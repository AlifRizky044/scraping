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LAPORAN" sheetId="1" state="visible" r:id="rId1"/>
  </sheets>
  <definedNames>
    <definedName name="_xlnm.Print_Titles" localSheetId="0">'LAPORAN'!$1:$7</definedName>
    <definedName name="_xlnm.Print_Area" localSheetId="0">'LAPORAN'!$A$1:$G$36</definedName>
  </definedNames>
  <calcPr calcId="124519" calcMode="auto" fullCalcOnLoad="1" forceFullCalc="1"/>
</workbook>
</file>

<file path=xl/styles.xml><?xml version="1.0" encoding="utf-8"?>
<styleSheet xmlns="http://schemas.openxmlformats.org/spreadsheetml/2006/main">
  <numFmts count="3">
    <numFmt numFmtId="164" formatCode="dd mmmm yyyy"/>
    <numFmt numFmtId="165" formatCode="&quot;Rp&quot; #,##0"/>
    <numFmt numFmtId="166" formatCode="dd mmm yyyy"/>
  </numFmts>
  <fonts count="13">
    <font>
      <name val="Calibri"/>
      <family val="2"/>
      <color theme="1"/>
      <sz val="11"/>
      <scheme val="minor"/>
    </font>
    <font>
      <name val="Calibri"/>
      <b val="1"/>
      <color rgb="00FFFFFF"/>
      <sz val="10"/>
    </font>
    <font>
      <name val="Calibri"/>
      <b val="1"/>
      <color rgb="00FFFFFF"/>
      <sz val="17"/>
    </font>
    <font>
      <name val="Calibri"/>
      <b val="1"/>
      <color rgb="0017365D"/>
      <sz val="10"/>
    </font>
    <font>
      <name val="Calibri"/>
      <b val="1"/>
      <color rgb="0017365D"/>
      <sz val="11"/>
    </font>
    <font>
      <name val="Calibri"/>
      <b val="1"/>
      <color rgb="00375623"/>
      <sz val="11"/>
    </font>
    <font>
      <name val="Calibri"/>
      <b val="1"/>
      <color rgb="0017365D"/>
      <sz val="9"/>
    </font>
    <font>
      <name val="Calibri"/>
      <b val="1"/>
      <color rgb="00666666"/>
      <sz val="9"/>
    </font>
    <font>
      <name val="Calibri"/>
      <color rgb="00222222"/>
      <sz val="10"/>
    </font>
    <font>
      <name val="Calibri"/>
      <b val="1"/>
      <color rgb="00FFFFFF"/>
      <sz val="15"/>
    </font>
    <font>
      <name val="Calibri"/>
      <i val="1"/>
      <color rgb="00666666"/>
      <sz val="10"/>
    </font>
    <font>
      <name val="Calibri"/>
      <b val="1"/>
      <color rgb="00FFFFFF"/>
      <sz val="16"/>
    </font>
    <font>
      <name val="Calibri"/>
      <b val="1"/>
      <color rgb="009C5700"/>
      <sz val="10"/>
    </font>
  </fonts>
  <fills count="10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17365D"/>
      </patternFill>
    </fill>
    <fill>
      <patternFill patternType="solid">
        <fgColor rgb="00D9EAF7"/>
      </patternFill>
    </fill>
    <fill>
      <patternFill patternType="solid">
        <fgColor rgb="00FFF2CC"/>
      </patternFill>
    </fill>
    <fill>
      <patternFill patternType="solid">
        <fgColor rgb="00E2F0D9"/>
      </patternFill>
    </fill>
    <fill>
      <patternFill patternType="solid">
        <fgColor rgb="00FFFFFF"/>
      </patternFill>
    </fill>
    <fill>
      <patternFill patternType="solid">
        <fgColor rgb="00EAF3F8"/>
      </patternFill>
    </fill>
    <fill>
      <patternFill patternType="solid">
        <fgColor rgb="00E7E6E6"/>
      </patternFill>
    </fill>
  </fills>
  <borders count="10">
    <border>
      <left/>
      <right/>
      <top/>
      <bottom/>
      <diagonal/>
    </border>
    <border>
      <left style="thin">
        <color rgb="00B7B7B7"/>
      </left>
      <right style="thin">
        <color rgb="00B7B7B7"/>
      </right>
      <top style="thin">
        <color rgb="00B7B7B7"/>
      </top>
      <bottom style="thin">
        <color rgb="00B7B7B7"/>
      </bottom>
    </border>
    <border>
      <left style="medium">
        <color rgb="001F4E78"/>
      </left>
      <right style="medium">
        <color rgb="001F4E78"/>
      </right>
      <top style="medium">
        <color rgb="001F4E78"/>
      </top>
      <bottom style="medium">
        <color rgb="001F4E78"/>
      </bottom>
    </border>
    <border>
      <left style="thin">
        <color rgb="00B7B7B7"/>
      </left>
      <right style="thin">
        <color rgb="00B7B7B7"/>
      </right>
      <top style="medium">
        <color rgb="001F4E78"/>
      </top>
      <bottom style="thin">
        <color rgb="00B7B7B7"/>
      </bottom>
    </border>
    <border>
      <left/>
      <right/>
      <top style="thin">
        <color rgb="00B7B7B7"/>
      </top>
      <bottom/>
      <diagonal/>
    </border>
    <border>
      <left/>
      <right style="thin">
        <color rgb="00B7B7B7"/>
      </right>
      <top style="thin">
        <color rgb="00B7B7B7"/>
      </top>
      <bottom/>
      <diagonal/>
    </border>
    <border>
      <left/>
      <right style="thin">
        <color rgb="00B7B7B7"/>
      </right>
      <top style="thin">
        <color rgb="00B7B7B7"/>
      </top>
      <bottom style="thin">
        <color rgb="00B7B7B7"/>
      </bottom>
      <diagonal/>
    </border>
    <border>
      <left style="thin">
        <color rgb="00B7B7B7"/>
      </left>
      <right/>
      <top/>
      <bottom/>
      <diagonal/>
    </border>
    <border>
      <left style="thin">
        <color rgb="00B7B7B7"/>
      </left>
      <right style="thin">
        <color rgb="00B7B7B7"/>
      </right>
      <top/>
      <bottom/>
      <diagonal/>
    </border>
    <border>
      <left style="thin">
        <color rgb="00B7B7B7"/>
      </left>
      <right style="thin">
        <color rgb="00B7B7B7"/>
      </right>
      <top/>
      <bottom style="thin">
        <color rgb="00B7B7B7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2" fillId="3" borderId="0" applyAlignment="1" pivotButton="0" quotePrefix="0" xfId="0">
      <alignment horizontal="center" vertical="center"/>
    </xf>
    <xf numFmtId="0" fontId="3" fillId="4" borderId="1" applyAlignment="1" pivotButton="0" quotePrefix="0" xfId="0">
      <alignment vertical="center"/>
    </xf>
    <xf numFmtId="0" fontId="4" fillId="5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right" vertical="center"/>
    </xf>
    <xf numFmtId="0" fontId="3" fillId="5" borderId="2" applyAlignment="1" pivotButton="0" quotePrefix="0" xfId="0">
      <alignment horizontal="center" vertical="center"/>
    </xf>
    <xf numFmtId="0" fontId="7" fillId="0" borderId="0" applyAlignment="1" pivotButton="0" quotePrefix="0" xfId="0">
      <alignment horizontal="right" vertical="center"/>
    </xf>
    <xf numFmtId="0" fontId="6" fillId="5" borderId="2" applyAlignment="1" pivotButton="0" quotePrefix="0" xfId="0">
      <alignment horizontal="center" vertical="center"/>
    </xf>
    <xf numFmtId="164" fontId="5" fillId="6" borderId="1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5" fillId="6" borderId="0" applyAlignment="1" pivotButton="0" quotePrefix="0" xfId="0">
      <alignment horizontal="left" vertical="center"/>
    </xf>
    <xf numFmtId="0" fontId="1" fillId="2" borderId="1" applyAlignment="1" pivotButton="0" quotePrefix="0" xfId="0">
      <alignment horizontal="center" vertical="center" wrapText="1"/>
    </xf>
    <xf numFmtId="0" fontId="3" fillId="4" borderId="3" applyAlignment="1" pivotButton="0" quotePrefix="0" xfId="0">
      <alignment vertical="center" wrapText="1"/>
    </xf>
    <xf numFmtId="3" fontId="3" fillId="4" borderId="3" applyAlignment="1" pivotButton="0" quotePrefix="0" xfId="0">
      <alignment horizontal="right" vertical="center"/>
    </xf>
    <xf numFmtId="165" fontId="3" fillId="4" borderId="3" applyAlignment="1" pivotButton="0" quotePrefix="0" xfId="0">
      <alignment horizontal="right" vertical="center"/>
    </xf>
    <xf numFmtId="10" fontId="3" fillId="4" borderId="3" applyAlignment="1" pivotButton="0" quotePrefix="0" xfId="0">
      <alignment horizontal="right" vertical="center"/>
    </xf>
    <xf numFmtId="0" fontId="8" fillId="7" borderId="1" applyAlignment="1" pivotButton="0" quotePrefix="0" xfId="0">
      <alignment vertical="center" indent="1"/>
    </xf>
    <xf numFmtId="3" fontId="8" fillId="7" borderId="1" applyAlignment="1" pivotButton="0" quotePrefix="0" xfId="0">
      <alignment horizontal="right" vertical="center"/>
    </xf>
    <xf numFmtId="165" fontId="8" fillId="7" borderId="1" applyAlignment="1" pivotButton="0" quotePrefix="0" xfId="0">
      <alignment horizontal="right" vertical="center"/>
    </xf>
    <xf numFmtId="10" fontId="8" fillId="7" borderId="1" applyAlignment="1" pivotButton="0" quotePrefix="0" xfId="0">
      <alignment horizontal="right" vertical="center"/>
    </xf>
    <xf numFmtId="0" fontId="8" fillId="7" borderId="1" applyAlignment="1" pivotButton="0" quotePrefix="0" xfId="0">
      <alignment vertical="center" wrapText="1"/>
    </xf>
    <xf numFmtId="0" fontId="1" fillId="3" borderId="2" applyAlignment="1" pivotButton="0" quotePrefix="0" xfId="0">
      <alignment vertical="center" wrapText="1"/>
    </xf>
    <xf numFmtId="3" fontId="1" fillId="3" borderId="2" applyAlignment="1" pivotButton="0" quotePrefix="0" xfId="0">
      <alignment horizontal="right" vertical="center"/>
    </xf>
    <xf numFmtId="165" fontId="1" fillId="3" borderId="2" applyAlignment="1" pivotButton="0" quotePrefix="0" xfId="0">
      <alignment horizontal="right" vertical="center"/>
    </xf>
    <xf numFmtId="10" fontId="1" fillId="3" borderId="2" applyAlignment="1" pivotButton="0" quotePrefix="0" xfId="0">
      <alignment horizontal="right" vertical="center"/>
    </xf>
    <xf numFmtId="0" fontId="9" fillId="3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166" fontId="0" fillId="5" borderId="1" applyAlignment="1" pivotButton="0" quotePrefix="0" xfId="0">
      <alignment vertical="center"/>
    </xf>
    <xf numFmtId="0" fontId="0" fillId="8" borderId="1" applyAlignment="1" pivotButton="0" quotePrefix="0" xfId="0">
      <alignment vertical="center"/>
    </xf>
    <xf numFmtId="0" fontId="0" fillId="5" borderId="1" applyAlignment="1" pivotButton="0" quotePrefix="0" xfId="0">
      <alignment vertical="center"/>
    </xf>
    <xf numFmtId="3" fontId="0" fillId="5" borderId="1" applyAlignment="1" pivotButton="0" quotePrefix="0" xfId="0">
      <alignment vertical="center"/>
    </xf>
    <xf numFmtId="165" fontId="0" fillId="5" borderId="1" applyAlignment="1" pivotButton="0" quotePrefix="0" xfId="0">
      <alignment vertical="center"/>
    </xf>
    <xf numFmtId="0" fontId="0" fillId="5" borderId="1" applyAlignment="1" pivotButton="0" quotePrefix="0" xfId="0">
      <alignment vertical="center" wrapText="1"/>
    </xf>
    <xf numFmtId="0" fontId="11" fillId="3" borderId="0" applyAlignment="1" pivotButton="0" quotePrefix="0" xfId="0">
      <alignment horizontal="center" vertical="center"/>
    </xf>
    <xf numFmtId="0" fontId="0" fillId="7" borderId="1" applyAlignment="1" pivotButton="0" quotePrefix="0" xfId="0">
      <alignment horizontal="center" vertical="top"/>
    </xf>
    <xf numFmtId="0" fontId="3" fillId="7" borderId="1" applyAlignment="1" pivotButton="0" quotePrefix="0" xfId="0">
      <alignment vertical="top" wrapText="1"/>
    </xf>
    <xf numFmtId="0" fontId="0" fillId="7" borderId="1" applyAlignment="1" pivotButton="0" quotePrefix="0" xfId="0">
      <alignment vertical="top" wrapText="1"/>
    </xf>
    <xf numFmtId="0" fontId="0" fillId="8" borderId="1" applyAlignment="1" pivotButton="0" quotePrefix="0" xfId="0">
      <alignment horizontal="center" vertical="top"/>
    </xf>
    <xf numFmtId="0" fontId="3" fillId="8" borderId="1" applyAlignment="1" pivotButton="0" quotePrefix="0" xfId="0">
      <alignment vertical="top" wrapText="1"/>
    </xf>
    <xf numFmtId="0" fontId="0" fillId="8" borderId="1" applyAlignment="1" pivotButton="0" quotePrefix="0" xfId="0">
      <alignment vertical="top" wrapText="1"/>
    </xf>
    <xf numFmtId="0" fontId="3" fillId="0" borderId="0" pivotButton="0" quotePrefix="0" xfId="0"/>
    <xf numFmtId="0" fontId="0" fillId="5" borderId="0" applyAlignment="1" pivotButton="0" quotePrefix="0" xfId="0">
      <alignment vertical="top" wrapText="1"/>
    </xf>
    <xf numFmtId="166" fontId="0" fillId="0" borderId="0" pivotButton="0" quotePrefix="0" xfId="0"/>
    <xf numFmtId="0" fontId="12" fillId="5" borderId="0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9" pivotButton="0" quotePrefix="0" xfId="0"/>
    <xf numFmtId="3" fontId="8" fillId="5" borderId="1" applyAlignment="1" pivotButton="0" quotePrefix="0" xfId="0">
      <alignment horizontal="right" vertical="center"/>
    </xf>
    <xf numFmtId="165" fontId="8" fillId="5" borderId="1" applyAlignment="1" pivotButton="0" quotePrefix="0" xfId="0">
      <alignment horizontal="right" vertical="center"/>
    </xf>
    <xf numFmtId="10" fontId="8" fillId="9" borderId="1" applyAlignment="1" pivotButton="0" quotePrefix="0" xfId="0">
      <alignment horizontal="right" vertical="center"/>
    </xf>
    <xf numFmtId="0" fontId="8" fillId="5" borderId="1" applyAlignment="1" pivotButton="0" quotePrefix="0" xfId="0">
      <alignment vertical="center" wrapText="1"/>
    </xf>
  </cellXfs>
  <cellStyles count="1">
    <cellStyle name="Normal" xfId="0" builtinId="0" hidden="0"/>
  </cellStyles>
  <dxfs count="2">
    <dxf>
      <fill>
        <patternFill patternType="solid">
          <fgColor rgb="00A9D18E"/>
        </patternFill>
      </fill>
    </dxf>
    <dxf>
      <font>
        <color rgb="00C00000"/>
      </font>
      <fill>
        <patternFill patternType="solid">
          <fgColor rgb="00FCE4D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/></Relationships>
</file>

<file path=xl/comments/comment1.xml><?xml version="1.0" encoding="utf-8"?>
<comments xmlns="http://schemas.openxmlformats.org/spreadsheetml/2006/main">
  <authors>
    <author>Laporan UPT</author>
  </authors>
  <commentList>
    <comment ref="B9" authorId="0" shapeId="0">
      <text>
        <t>Ketik langsung pada mode Harian. Nilai disimpan otomatis menurut Tanggal Aktif.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Sheet1">
    <tabColor rgb="0070AD47"/>
    <outlinePr summaryBelow="1" summaryRight="1"/>
    <pageSetUpPr fitToPage="1"/>
  </sheetPr>
  <dimension ref="A1:V39"/>
  <sheetViews>
    <sheetView showGridLines="0" workbookViewId="0">
      <pane ySplit="7" topLeftCell="A8" activePane="bottomLeft" state="frozen"/>
      <selection pane="bottomLeft" activeCell="B9" sqref="B9"/>
    </sheetView>
  </sheetViews>
  <sheetFormatPr baseColWidth="8" defaultRowHeight="15"/>
  <cols>
    <col width="25" customWidth="1" min="1" max="1"/>
    <col width="24" customWidth="1" min="2" max="2"/>
    <col width="15" customWidth="1" min="3" max="3"/>
    <col width="17" customWidth="1" min="4" max="4"/>
    <col width="21" customWidth="1" min="5" max="5"/>
    <col width="14" customWidth="1" min="6" max="6"/>
    <col width="36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 ht="32" customHeight="1">
      <c r="A1" s="1" t="inlineStr">
        <is>
          <t>LAPORAN HARIAN / BULANAN UPT</t>
        </is>
      </c>
      <c r="H1" t="inlineStr">
        <is>
          <t>Tanggal</t>
        </is>
      </c>
      <c r="I1" t="inlineStr">
        <is>
          <t>Bulan</t>
        </is>
      </c>
      <c r="J1" t="inlineStr">
        <is>
          <t>Tahun</t>
        </is>
      </c>
      <c r="V1" t="inlineStr">
        <is>
          <t>Kontrol Macro</t>
        </is>
      </c>
    </row>
    <row r="2" ht="24" customHeight="1">
      <c r="A2" s="2" t="inlineStr">
        <is>
          <t>Mode Laporan</t>
        </is>
      </c>
      <c r="B2" s="3" t="inlineStr">
        <is>
          <t>Harian</t>
        </is>
      </c>
      <c r="D2" s="4" t="inlineStr">
        <is>
          <t>Tanggal</t>
        </is>
      </c>
      <c r="E2" s="5">
        <f>DAY(TODAY())</f>
        <v/>
      </c>
      <c r="F2" s="6" t="inlineStr">
        <is>
          <t>Tahun</t>
        </is>
      </c>
      <c r="G2" s="7">
        <f>YEAR(TODAY())</f>
        <v/>
      </c>
      <c r="H2" t="n">
        <v>1</v>
      </c>
      <c r="I2" t="inlineStr">
        <is>
          <t>Januari</t>
        </is>
      </c>
      <c r="J2" t="n">
        <v>2020</v>
      </c>
      <c r="V2" s="42">
        <f>B3</f>
        <v/>
      </c>
    </row>
    <row r="3" ht="24" customHeight="1">
      <c r="A3" s="2" t="inlineStr">
        <is>
          <t>Tanggal Aktif</t>
        </is>
      </c>
      <c r="B3" s="8">
        <f>DATE($G$2,MATCH($E$3,$I$2:$I$13,0),MIN($E$2,DAY(EOMONTH(DATE($G$2,MATCH($E$3,$I$2:$I$13,0),1),0))))</f>
        <v/>
      </c>
      <c r="D3" s="4" t="inlineStr">
        <is>
          <t>Bulan</t>
        </is>
      </c>
      <c r="E3" s="5">
        <f>CHOOSE(MONTH(TODAY()),"Januari","Februari","Maret","April","Mei","Juni","Juli","Agustus","September","Oktober","November","Desember")</f>
        <v/>
      </c>
      <c r="F3" s="6" t="inlineStr">
        <is>
          <t>Jumlah Entri</t>
        </is>
      </c>
      <c r="G3" s="9">
        <f>COUNT($L$40:$L$10000)</f>
        <v/>
      </c>
      <c r="H3" t="n">
        <v>2</v>
      </c>
      <c r="I3" t="inlineStr">
        <is>
          <t>Februari</t>
        </is>
      </c>
      <c r="J3" t="n">
        <v>2021</v>
      </c>
      <c r="V3" t="inlineStr">
        <is>
          <t>Harian</t>
        </is>
      </c>
    </row>
    <row r="4" ht="24" customHeight="1">
      <c r="A4" s="2" t="inlineStr">
        <is>
          <t>Periode Tampil</t>
        </is>
      </c>
      <c r="B4" s="10">
        <f>IF($B$3="","Pilih tanggal",IF($B$2="Harian",CHOOSE(WEEKDAY($B$3),"Minggu","Senin","Selasa","Rabu","Kamis","Jumat","Sabtu")&amp;", "&amp;TEXT($B$3,"dd")&amp;" "&amp;CHOOSE(MONTH($B$3),"Januari","Februari","Maret","April","Mei","Juni","Juli","Agustus","September","Oktober","November","Desember")&amp;" "&amp;YEAR($B$3),CHOOSE(MONTH($B$3),"Januari","Februari","Maret","April","Mei","Juni","Juli","Agustus","September","Oktober","November","Desember")&amp;" "&amp;YEAR($B$3)))</f>
        <v/>
      </c>
      <c r="H4" t="n">
        <v>3</v>
      </c>
      <c r="I4" t="inlineStr">
        <is>
          <t>Maret</t>
        </is>
      </c>
      <c r="J4" t="n">
        <v>2022</v>
      </c>
    </row>
    <row r="5" ht="32" customHeight="1">
      <c r="A5" s="43" t="inlineStr">
        <is>
          <t>INPUT LANGSUNG: pilih mode Harian dan tanggal, lalu ketik pada sel kuning. Aktifkan Macro / Enable Content agar data tersimpan per tanggal.</t>
        </is>
      </c>
      <c r="H5" t="n">
        <v>4</v>
      </c>
      <c r="I5" t="inlineStr">
        <is>
          <t>April</t>
        </is>
      </c>
      <c r="J5" t="n">
        <v>2023</v>
      </c>
    </row>
    <row r="6" ht="24" customHeight="1">
      <c r="A6" s="11" t="inlineStr">
        <is>
          <t>UPT / Kecamatan</t>
        </is>
      </c>
      <c r="B6" s="11" t="inlineStr">
        <is>
          <t>Jumlah Petugas</t>
        </is>
      </c>
      <c r="C6" s="11" t="inlineStr">
        <is>
          <t>Target WP</t>
        </is>
      </c>
      <c r="D6" s="11" t="inlineStr">
        <is>
          <t>Realisasi</t>
        </is>
      </c>
      <c r="E6" s="44" t="n"/>
      <c r="F6" s="11" t="inlineStr">
        <is>
          <t>Persentase</t>
        </is>
      </c>
      <c r="G6" s="11" t="inlineStr">
        <is>
          <t>Keterangan</t>
        </is>
      </c>
      <c r="H6" t="n">
        <v>5</v>
      </c>
      <c r="I6" t="inlineStr">
        <is>
          <t>Mei</t>
        </is>
      </c>
      <c r="J6" t="n">
        <v>2024</v>
      </c>
    </row>
    <row r="7" ht="24" customHeight="1">
      <c r="A7" s="45" t="n"/>
      <c r="B7" s="45" t="n"/>
      <c r="C7" s="45" t="n"/>
      <c r="D7" s="11" t="inlineStr">
        <is>
          <t>Jumlah SPPT</t>
        </is>
      </c>
      <c r="E7" s="11" t="inlineStr">
        <is>
          <t>Jumlah RP</t>
        </is>
      </c>
      <c r="F7" s="45" t="n"/>
      <c r="G7" s="45" t="n"/>
      <c r="H7" t="n">
        <v>6</v>
      </c>
      <c r="I7" t="inlineStr">
        <is>
          <t>Juni</t>
        </is>
      </c>
      <c r="J7" t="n">
        <v>2025</v>
      </c>
    </row>
    <row r="8">
      <c r="A8" s="12" t="inlineStr">
        <is>
          <t>UPT I</t>
        </is>
      </c>
      <c r="B8" s="13">
        <f>SUM(B9:B11)</f>
        <v/>
      </c>
      <c r="C8" s="13">
        <f>SUM(C9:C11)</f>
        <v/>
      </c>
      <c r="D8" s="13">
        <f>SUM(D9:D11)</f>
        <v/>
      </c>
      <c r="E8" s="14">
        <f>SUM(E9:E11)</f>
        <v/>
      </c>
      <c r="F8" s="15">
        <f>IFERROR(D8/C8,0)</f>
        <v/>
      </c>
      <c r="G8" s="12">
        <f>"Total "&amp;A8</f>
        <v/>
      </c>
      <c r="H8" t="n">
        <v>7</v>
      </c>
      <c r="I8" t="inlineStr">
        <is>
          <t>Juli</t>
        </is>
      </c>
      <c r="J8" t="n">
        <v>2026</v>
      </c>
    </row>
    <row r="9" ht="22" customHeight="1">
      <c r="A9" s="16" t="inlineStr">
        <is>
          <t>Medan Amplas</t>
        </is>
      </c>
      <c r="B9" s="46" t="n"/>
      <c r="C9" s="46" t="n"/>
      <c r="D9" s="46" t="n"/>
      <c r="E9" s="47" t="n"/>
      <c r="F9" s="48">
        <f>IFERROR(D9/C9,0)</f>
        <v/>
      </c>
      <c r="G9" s="49" t="n"/>
      <c r="H9" t="n">
        <v>8</v>
      </c>
      <c r="I9" t="inlineStr">
        <is>
          <t>Agustus</t>
        </is>
      </c>
      <c r="J9" t="n">
        <v>2027</v>
      </c>
    </row>
    <row r="10" ht="22" customHeight="1">
      <c r="A10" s="16" t="inlineStr">
        <is>
          <t>Medan Area</t>
        </is>
      </c>
      <c r="B10" s="46" t="n"/>
      <c r="C10" s="46" t="n"/>
      <c r="D10" s="46" t="n"/>
      <c r="E10" s="47" t="n"/>
      <c r="F10" s="48">
        <f>IFERROR(D10/C10,0)</f>
        <v/>
      </c>
      <c r="G10" s="49" t="n"/>
      <c r="H10" t="n">
        <v>9</v>
      </c>
      <c r="I10" t="inlineStr">
        <is>
          <t>September</t>
        </is>
      </c>
      <c r="J10" t="n">
        <v>2028</v>
      </c>
    </row>
    <row r="11" ht="22" customHeight="1">
      <c r="A11" s="16" t="inlineStr">
        <is>
          <t>Medan Kota</t>
        </is>
      </c>
      <c r="B11" s="46" t="n"/>
      <c r="C11" s="46" t="n"/>
      <c r="D11" s="46" t="n"/>
      <c r="E11" s="47" t="n"/>
      <c r="F11" s="48">
        <f>IFERROR(D11/C11,0)</f>
        <v/>
      </c>
      <c r="G11" s="49" t="n"/>
      <c r="H11" t="n">
        <v>10</v>
      </c>
      <c r="I11" t="inlineStr">
        <is>
          <t>Oktober</t>
        </is>
      </c>
      <c r="J11" t="n">
        <v>2029</v>
      </c>
    </row>
    <row r="12">
      <c r="A12" s="12" t="inlineStr">
        <is>
          <t>UPT II</t>
        </is>
      </c>
      <c r="B12" s="13">
        <f>SUM(B13:B15)</f>
        <v/>
      </c>
      <c r="C12" s="13">
        <f>SUM(C13:C15)</f>
        <v/>
      </c>
      <c r="D12" s="13">
        <f>SUM(D13:D15)</f>
        <v/>
      </c>
      <c r="E12" s="14">
        <f>SUM(E13:E15)</f>
        <v/>
      </c>
      <c r="F12" s="15">
        <f>IFERROR(D12/C12,0)</f>
        <v/>
      </c>
      <c r="G12" s="12">
        <f>"Total "&amp;A12</f>
        <v/>
      </c>
      <c r="H12" t="n">
        <v>11</v>
      </c>
      <c r="I12" t="inlineStr">
        <is>
          <t>November</t>
        </is>
      </c>
      <c r="J12" t="n">
        <v>2030</v>
      </c>
    </row>
    <row r="13" ht="22" customHeight="1">
      <c r="A13" s="16" t="inlineStr">
        <is>
          <t>Medan Tembung</t>
        </is>
      </c>
      <c r="B13" s="46" t="n"/>
      <c r="C13" s="46" t="n"/>
      <c r="D13" s="46" t="n"/>
      <c r="E13" s="47" t="n"/>
      <c r="F13" s="48">
        <f>IFERROR(D13/C13,0)</f>
        <v/>
      </c>
      <c r="G13" s="49" t="n"/>
      <c r="H13" t="n">
        <v>12</v>
      </c>
      <c r="I13" t="inlineStr">
        <is>
          <t>Desember</t>
        </is>
      </c>
      <c r="J13" t="n">
        <v>2031</v>
      </c>
    </row>
    <row r="14" ht="22" customHeight="1">
      <c r="A14" s="16" t="inlineStr">
        <is>
          <t>Medan Perjuangan</t>
        </is>
      </c>
      <c r="B14" s="46" t="n"/>
      <c r="C14" s="46" t="n"/>
      <c r="D14" s="46" t="n"/>
      <c r="E14" s="47" t="n"/>
      <c r="F14" s="48">
        <f>IFERROR(D14/C14,0)</f>
        <v/>
      </c>
      <c r="G14" s="49" t="n"/>
      <c r="H14" t="n">
        <v>13</v>
      </c>
      <c r="J14" t="n">
        <v>2032</v>
      </c>
    </row>
    <row r="15" ht="22" customHeight="1">
      <c r="A15" s="16" t="inlineStr">
        <is>
          <t>Medan Denai</t>
        </is>
      </c>
      <c r="B15" s="46" t="n"/>
      <c r="C15" s="46" t="n"/>
      <c r="D15" s="46" t="n"/>
      <c r="E15" s="47" t="n"/>
      <c r="F15" s="48">
        <f>IFERROR(D15/C15,0)</f>
        <v/>
      </c>
      <c r="G15" s="49" t="n"/>
      <c r="H15" t="n">
        <v>14</v>
      </c>
      <c r="J15" t="n">
        <v>2033</v>
      </c>
    </row>
    <row r="16">
      <c r="A16" s="12" t="inlineStr">
        <is>
          <t>UPT III</t>
        </is>
      </c>
      <c r="B16" s="13">
        <f>SUM(B17:B19)</f>
        <v/>
      </c>
      <c r="C16" s="13">
        <f>SUM(C17:C19)</f>
        <v/>
      </c>
      <c r="D16" s="13">
        <f>SUM(D17:D19)</f>
        <v/>
      </c>
      <c r="E16" s="14">
        <f>SUM(E17:E19)</f>
        <v/>
      </c>
      <c r="F16" s="15">
        <f>IFERROR(D16/C16,0)</f>
        <v/>
      </c>
      <c r="G16" s="12">
        <f>"Total "&amp;A16</f>
        <v/>
      </c>
      <c r="H16" t="n">
        <v>15</v>
      </c>
      <c r="J16" t="n">
        <v>2034</v>
      </c>
    </row>
    <row r="17" ht="22" customHeight="1">
      <c r="A17" s="16" t="inlineStr">
        <is>
          <t>Medan Sunggal</t>
        </is>
      </c>
      <c r="B17" s="46" t="n"/>
      <c r="C17" s="46" t="n"/>
      <c r="D17" s="46" t="n"/>
      <c r="E17" s="47" t="n"/>
      <c r="F17" s="48">
        <f>IFERROR(D17/C17,0)</f>
        <v/>
      </c>
      <c r="G17" s="49" t="n"/>
      <c r="H17" t="n">
        <v>16</v>
      </c>
      <c r="J17" t="n">
        <v>2035</v>
      </c>
    </row>
    <row r="18" ht="22" customHeight="1">
      <c r="A18" s="16" t="inlineStr">
        <is>
          <t>Medan Petisah</t>
        </is>
      </c>
      <c r="B18" s="46" t="n"/>
      <c r="C18" s="46" t="n"/>
      <c r="D18" s="46" t="n"/>
      <c r="E18" s="47" t="n"/>
      <c r="F18" s="48">
        <f>IFERROR(D18/C18,0)</f>
        <v/>
      </c>
      <c r="G18" s="49" t="n"/>
      <c r="H18" t="n">
        <v>17</v>
      </c>
      <c r="J18" t="n">
        <v>2036</v>
      </c>
    </row>
    <row r="19" ht="22" customHeight="1">
      <c r="A19" s="16" t="inlineStr">
        <is>
          <t>Medan Helvetia</t>
        </is>
      </c>
      <c r="B19" s="46" t="n"/>
      <c r="C19" s="46" t="n"/>
      <c r="D19" s="46" t="n"/>
      <c r="E19" s="47" t="n"/>
      <c r="F19" s="48">
        <f>IFERROR(D19/C19,0)</f>
        <v/>
      </c>
      <c r="G19" s="49" t="n"/>
      <c r="H19" t="n">
        <v>18</v>
      </c>
      <c r="J19" t="n">
        <v>2037</v>
      </c>
    </row>
    <row r="20">
      <c r="A20" s="12" t="inlineStr">
        <is>
          <t>UPT IV</t>
        </is>
      </c>
      <c r="B20" s="13">
        <f>SUM(B21:B23)</f>
        <v/>
      </c>
      <c r="C20" s="13">
        <f>SUM(C21:C23)</f>
        <v/>
      </c>
      <c r="D20" s="13">
        <f>SUM(D21:D23)</f>
        <v/>
      </c>
      <c r="E20" s="14">
        <f>SUM(E21:E23)</f>
        <v/>
      </c>
      <c r="F20" s="15">
        <f>IFERROR(D20/C20,0)</f>
        <v/>
      </c>
      <c r="G20" s="12">
        <f>"Total "&amp;A20</f>
        <v/>
      </c>
      <c r="H20" t="n">
        <v>19</v>
      </c>
      <c r="J20" t="n">
        <v>2038</v>
      </c>
    </row>
    <row r="21" ht="22" customHeight="1">
      <c r="A21" s="16" t="inlineStr">
        <is>
          <t>Medan Barat</t>
        </is>
      </c>
      <c r="B21" s="46" t="n"/>
      <c r="C21" s="46" t="n"/>
      <c r="D21" s="46" t="n"/>
      <c r="E21" s="47" t="n"/>
      <c r="F21" s="48">
        <f>IFERROR(D21/C21,0)</f>
        <v/>
      </c>
      <c r="G21" s="49" t="n"/>
      <c r="H21" t="n">
        <v>20</v>
      </c>
      <c r="J21" t="n">
        <v>2039</v>
      </c>
    </row>
    <row r="22" ht="22" customHeight="1">
      <c r="A22" s="16" t="inlineStr">
        <is>
          <t>Medan Timur</t>
        </is>
      </c>
      <c r="B22" s="46" t="n"/>
      <c r="C22" s="46" t="n"/>
      <c r="D22" s="46" t="n"/>
      <c r="E22" s="47" t="n"/>
      <c r="F22" s="48">
        <f>IFERROR(D22/C22,0)</f>
        <v/>
      </c>
      <c r="G22" s="49" t="n"/>
      <c r="H22" t="n">
        <v>21</v>
      </c>
      <c r="J22" t="n">
        <v>2040</v>
      </c>
    </row>
    <row r="23" ht="22" customHeight="1">
      <c r="A23" s="16" t="inlineStr">
        <is>
          <t>Medan Deli</t>
        </is>
      </c>
      <c r="B23" s="46" t="n"/>
      <c r="C23" s="46" t="n"/>
      <c r="D23" s="46" t="n"/>
      <c r="E23" s="47" t="n"/>
      <c r="F23" s="48">
        <f>IFERROR(D23/C23,0)</f>
        <v/>
      </c>
      <c r="G23" s="49" t="n"/>
      <c r="H23" t="n">
        <v>22</v>
      </c>
    </row>
    <row r="24">
      <c r="A24" s="12" t="inlineStr">
        <is>
          <t>UPT V</t>
        </is>
      </c>
      <c r="B24" s="13">
        <f>SUM(B25:B27)</f>
        <v/>
      </c>
      <c r="C24" s="13">
        <f>SUM(C25:C27)</f>
        <v/>
      </c>
      <c r="D24" s="13">
        <f>SUM(D25:D27)</f>
        <v/>
      </c>
      <c r="E24" s="14">
        <f>SUM(E25:E27)</f>
        <v/>
      </c>
      <c r="F24" s="15">
        <f>IFERROR(D24/C24,0)</f>
        <v/>
      </c>
      <c r="G24" s="12">
        <f>"Total "&amp;A24</f>
        <v/>
      </c>
      <c r="H24" t="n">
        <v>23</v>
      </c>
    </row>
    <row r="25" ht="22" customHeight="1">
      <c r="A25" s="16" t="inlineStr">
        <is>
          <t>Medan Baru</t>
        </is>
      </c>
      <c r="B25" s="46" t="n"/>
      <c r="C25" s="46" t="n"/>
      <c r="D25" s="46" t="n"/>
      <c r="E25" s="47" t="n"/>
      <c r="F25" s="48">
        <f>IFERROR(D25/C25,0)</f>
        <v/>
      </c>
      <c r="G25" s="49" t="n"/>
      <c r="H25" t="n">
        <v>24</v>
      </c>
    </row>
    <row r="26" ht="22" customHeight="1">
      <c r="A26" s="16" t="inlineStr">
        <is>
          <t>Medan Polonia</t>
        </is>
      </c>
      <c r="B26" s="46" t="n"/>
      <c r="C26" s="46" t="n"/>
      <c r="D26" s="46" t="n"/>
      <c r="E26" s="47" t="n"/>
      <c r="F26" s="48">
        <f>IFERROR(D26/C26,0)</f>
        <v/>
      </c>
      <c r="G26" s="49" t="n"/>
      <c r="H26" t="n">
        <v>25</v>
      </c>
    </row>
    <row r="27" ht="22" customHeight="1">
      <c r="A27" s="16" t="inlineStr">
        <is>
          <t>Medan Maimun</t>
        </is>
      </c>
      <c r="B27" s="46" t="n"/>
      <c r="C27" s="46" t="n"/>
      <c r="D27" s="46" t="n"/>
      <c r="E27" s="47" t="n"/>
      <c r="F27" s="48">
        <f>IFERROR(D27/C27,0)</f>
        <v/>
      </c>
      <c r="G27" s="49" t="n"/>
      <c r="H27" t="n">
        <v>26</v>
      </c>
    </row>
    <row r="28">
      <c r="A28" s="12" t="inlineStr">
        <is>
          <t>UPT VI</t>
        </is>
      </c>
      <c r="B28" s="13">
        <f>SUM(B29:B31)</f>
        <v/>
      </c>
      <c r="C28" s="13">
        <f>SUM(C29:C31)</f>
        <v/>
      </c>
      <c r="D28" s="13">
        <f>SUM(D29:D31)</f>
        <v/>
      </c>
      <c r="E28" s="14">
        <f>SUM(E29:E31)</f>
        <v/>
      </c>
      <c r="F28" s="15">
        <f>IFERROR(D28/C28,0)</f>
        <v/>
      </c>
      <c r="G28" s="12">
        <f>"Total "&amp;A28</f>
        <v/>
      </c>
      <c r="H28" t="n">
        <v>27</v>
      </c>
    </row>
    <row r="29" ht="22" customHeight="1">
      <c r="A29" s="16" t="inlineStr">
        <is>
          <t>Medan Johor</t>
        </is>
      </c>
      <c r="B29" s="46" t="n"/>
      <c r="C29" s="46" t="n"/>
      <c r="D29" s="46" t="n"/>
      <c r="E29" s="47" t="n"/>
      <c r="F29" s="48">
        <f>IFERROR(D29/C29,0)</f>
        <v/>
      </c>
      <c r="G29" s="49" t="n"/>
      <c r="H29" t="n">
        <v>28</v>
      </c>
    </row>
    <row r="30" ht="22" customHeight="1">
      <c r="A30" s="16" t="inlineStr">
        <is>
          <t>Medan Selayang</t>
        </is>
      </c>
      <c r="B30" s="46" t="n"/>
      <c r="C30" s="46" t="n"/>
      <c r="D30" s="46" t="n"/>
      <c r="E30" s="47" t="n"/>
      <c r="F30" s="48">
        <f>IFERROR(D30/C30,0)</f>
        <v/>
      </c>
      <c r="G30" s="49" t="n"/>
      <c r="H30" t="n">
        <v>29</v>
      </c>
    </row>
    <row r="31" ht="22" customHeight="1">
      <c r="A31" s="16" t="inlineStr">
        <is>
          <t>Medan Tuntungan</t>
        </is>
      </c>
      <c r="B31" s="46" t="n"/>
      <c r="C31" s="46" t="n"/>
      <c r="D31" s="46" t="n"/>
      <c r="E31" s="47" t="n"/>
      <c r="F31" s="48">
        <f>IFERROR(D31/C31,0)</f>
        <v/>
      </c>
      <c r="G31" s="49" t="n"/>
      <c r="H31" t="n">
        <v>30</v>
      </c>
    </row>
    <row r="32">
      <c r="A32" s="12" t="inlineStr">
        <is>
          <t>UPT VII</t>
        </is>
      </c>
      <c r="B32" s="13">
        <f>SUM(B33:B35)</f>
        <v/>
      </c>
      <c r="C32" s="13">
        <f>SUM(C33:C35)</f>
        <v/>
      </c>
      <c r="D32" s="13">
        <f>SUM(D33:D35)</f>
        <v/>
      </c>
      <c r="E32" s="14">
        <f>SUM(E33:E35)</f>
        <v/>
      </c>
      <c r="F32" s="15">
        <f>IFERROR(D32/C32,0)</f>
        <v/>
      </c>
      <c r="G32" s="12">
        <f>"Total "&amp;A32</f>
        <v/>
      </c>
      <c r="H32" t="n">
        <v>31</v>
      </c>
    </row>
    <row r="33" ht="22" customHeight="1">
      <c r="A33" s="16" t="inlineStr">
        <is>
          <t>Medan Belawan</t>
        </is>
      </c>
      <c r="B33" s="46" t="n"/>
      <c r="C33" s="46" t="n"/>
      <c r="D33" s="46" t="n"/>
      <c r="E33" s="47" t="n"/>
      <c r="F33" s="48">
        <f>IFERROR(D33/C33,0)</f>
        <v/>
      </c>
      <c r="G33" s="49" t="n"/>
    </row>
    <row r="34" ht="22" customHeight="1">
      <c r="A34" s="16" t="inlineStr">
        <is>
          <t>Medan Marelan</t>
        </is>
      </c>
      <c r="B34" s="46" t="n"/>
      <c r="C34" s="46" t="n"/>
      <c r="D34" s="46" t="n"/>
      <c r="E34" s="47" t="n"/>
      <c r="F34" s="48">
        <f>IFERROR(D34/C34,0)</f>
        <v/>
      </c>
      <c r="G34" s="49" t="n"/>
    </row>
    <row r="35" ht="22" customHeight="1">
      <c r="A35" s="16" t="inlineStr">
        <is>
          <t>Medan Labuhan</t>
        </is>
      </c>
      <c r="B35" s="46" t="n"/>
      <c r="C35" s="46" t="n"/>
      <c r="D35" s="46" t="n"/>
      <c r="E35" s="47" t="n"/>
      <c r="F35" s="48">
        <f>IFERROR(D35/C35,0)</f>
        <v/>
      </c>
      <c r="G35" s="49" t="n"/>
    </row>
    <row r="36" ht="26" customHeight="1">
      <c r="A36" s="21" t="inlineStr">
        <is>
          <t>GRAND TOTAL</t>
        </is>
      </c>
      <c r="B36" s="22">
        <f>SUM(B8,B12,B16,B20,B24,B28,B32)</f>
        <v/>
      </c>
      <c r="C36" s="22">
        <f>SUM(C8,C12,C16,C20,C24,C28,C32)</f>
        <v/>
      </c>
      <c r="D36" s="22">
        <f>SUM(D8,D12,D16,D20,D24,D28,D32)</f>
        <v/>
      </c>
      <c r="E36" s="23">
        <f>SUM(E8,E12,E16,E20,E24,E28,E32)</f>
        <v/>
      </c>
      <c r="F36" s="24">
        <f>IFERROR(D36/C36,0)</f>
        <v/>
      </c>
      <c r="G36" s="21">
        <f>IF($B$2="Harian","Total harian","Total bulanan")</f>
        <v/>
      </c>
    </row>
    <row r="39">
      <c r="L39" t="inlineStr">
        <is>
          <t>Tanggal</t>
        </is>
      </c>
      <c r="M39" t="inlineStr">
        <is>
          <t>Hari</t>
        </is>
      </c>
      <c r="N39" t="inlineStr">
        <is>
          <t>UPT</t>
        </is>
      </c>
      <c r="O39" t="inlineStr">
        <is>
          <t>Kecamatan</t>
        </is>
      </c>
      <c r="P39" t="inlineStr">
        <is>
          <t>Jumlah Petugas</t>
        </is>
      </c>
      <c r="Q39" t="inlineStr">
        <is>
          <t>Target WP</t>
        </is>
      </c>
      <c r="R39" t="inlineStr">
        <is>
          <t>Realisasi SPPT</t>
        </is>
      </c>
      <c r="S39" t="inlineStr">
        <is>
          <t>Realisasi RP</t>
        </is>
      </c>
      <c r="T39" t="inlineStr">
        <is>
          <t>Keterangan</t>
        </is>
      </c>
    </row>
  </sheetData>
  <mergeCells count="9">
    <mergeCell ref="D6:E6"/>
    <mergeCell ref="A1:G1"/>
    <mergeCell ref="G6:G7"/>
    <mergeCell ref="B4:G4"/>
    <mergeCell ref="C6:C7"/>
    <mergeCell ref="A6:A7"/>
    <mergeCell ref="B6:B7"/>
    <mergeCell ref="F6:F7"/>
    <mergeCell ref="A5:G5"/>
  </mergeCells>
  <conditionalFormatting sqref="F8:F36">
    <cfRule type="colorScale" priority="1">
      <colorScale>
        <cfvo type="num" val="0"/>
        <cfvo type="num" val="0.75"/>
        <cfvo type="num" val="1"/>
        <color rgb="00F8696B"/>
        <color rgb="00FFEB84"/>
        <color rgb="0063BE7B"/>
      </colorScale>
    </cfRule>
    <cfRule type="cellIs" priority="2" operator="greaterThan" dxfId="0">
      <formula>1</formula>
    </cfRule>
  </conditionalFormatting>
  <dataValidations count="4">
    <dataValidation sqref="B2" showDropDown="0" showInputMessage="0" showErrorMessage="1" allowBlank="0" errorTitle="Pilihan tidak valid" error="Pilih nilai dari dropdown." type="list">
      <formula1>"Harian,Bulanan"</formula1>
    </dataValidation>
    <dataValidation sqref="E2" showDropDown="0" showInputMessage="0" showErrorMessage="1" allowBlank="0" errorTitle="Pilihan tidak valid" error="Pilih nilai dari dropdown." type="list">
      <formula1>=OFFSET($H$2,0,0,DAY(EOMONTH(DATE($G$2,MATCH($E$3,$I$2:$I$13,0),1),0)),1)</formula1>
    </dataValidation>
    <dataValidation sqref="E3" showDropDown="0" showInputMessage="0" showErrorMessage="1" allowBlank="0" errorTitle="Pilihan tidak valid" error="Pilih nilai dari dropdown." type="list">
      <formula1>=$I$2:$I$13</formula1>
    </dataValidation>
    <dataValidation sqref="G2" showDropDown="0" showInputMessage="0" showErrorMessage="1" allowBlank="0" errorTitle="Pilihan tidak valid" error="Pilih nilai dari dropdown." type="list">
      <formula1>=$J$2:$J$22</formula1>
    </dataValidation>
  </dataValidations>
  <pageMargins left="0.25" right="0.25" top="0.45" bottom="0.45" header="0.5" footer="0.5"/>
  <pageSetup orientation="landscape" paperSize="9" fitToHeight="1" fitToWidth="1"/>
  <headerFooter>
    <oddHeader/>
    <oddFooter>&amp;LLaporan UPT&amp;CHalaman &amp;P dari &amp;N&amp;RDicetak &amp;D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OpenAI Codex</dc:creator>
  <dc:title>Laporan Harian dan Bulanan UPT</dc:title>
  <dc:description>Workbook laporan UPT berbasis tabel input harian dengan rekap otomatis.</dc:description>
  <dc:subject>Input harian dengan filter tanggal dan bulan</dc:subject>
  <dcterms:created xsi:type="dcterms:W3CDTF">2026-09-24T09:21:30Z</dcterms:created>
  <dcterms:modified xsi:type="dcterms:W3CDTF">2026-09-24T09:21:41Z</dcterms:modified>
</cp:coreProperties>
</file>