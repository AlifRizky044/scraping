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K ASN BAPENDA KOTA MEDAN" sheetId="1" r:id="rId5"/>
    <sheet state="visible" name="PNS SESUAI UNIT KERJA" sheetId="2" r:id="rId6"/>
    <sheet state="visible" name="REKAPITULASI" sheetId="3" r:id="rId7"/>
    <sheet state="visible" name="P3K PENUH WAKTU SESUAI UNIT" sheetId="4" r:id="rId8"/>
    <sheet state="visible" name="P3K PARUH WAKTU SESUAI UNIT" sheetId="5" r:id="rId9"/>
    <sheet state="visible" name="Copy of OUTSOURCING" sheetId="6" r:id="rId10"/>
    <sheet state="visible" name="Copy of BEZZETING" sheetId="7" r:id="rId11"/>
  </sheets>
  <definedNames>
    <definedName hidden="1" localSheetId="0" name="_xlnm._FilterDatabase">'DUK ASN BAPENDA KOTA MEDAN'!$A$6:$AR$874</definedName>
    <definedName hidden="1" localSheetId="1" name="_xlnm._FilterDatabase">'PNS SESUAI UNIT KERJA'!$A$6:$AR$273</definedName>
    <definedName hidden="1" localSheetId="3" name="_xlnm._FilterDatabase">'P3K PENUH WAKTU SESUAI UNIT'!$A$6:$AI$65</definedName>
    <definedName hidden="1" localSheetId="4" name="_xlnm._FilterDatabase">'P3K PARUH WAKTU SESUAI UNIT'!$A$6:$AA$559</definedName>
    <definedName hidden="1" localSheetId="5" name="_xlnm._FilterDatabase">'Copy of OUTSOURCING'!$A$1:$AC$39</definedName>
    <definedName hidden="1" localSheetId="6" name="_xlnm._FilterDatabase">'Copy of BEZZETING'!$A$1:$Z$852</definedName>
  </definedNames>
  <calcPr/>
</workbook>
</file>

<file path=xl/sharedStrings.xml><?xml version="1.0" encoding="utf-8"?>
<sst xmlns="http://schemas.openxmlformats.org/spreadsheetml/2006/main" count="42362" uniqueCount="7111">
  <si>
    <t xml:space="preserve">DAFTAR NAMA PNS BADAN PENDAPATAN DAERAH KOTA MEDAN SESUAI UNIT KERJA </t>
  </si>
  <si>
    <t>No.</t>
  </si>
  <si>
    <t>NAMA PEGAWAI</t>
  </si>
  <si>
    <t>NIP</t>
  </si>
  <si>
    <t>MASA KERJA</t>
  </si>
  <si>
    <t>CPNS</t>
  </si>
  <si>
    <t>PANGKAT / GOL RUANG (TERAKHIR)</t>
  </si>
  <si>
    <t>JABATAN TERAKHIR</t>
  </si>
  <si>
    <t>PENDIDIKAN TERAKHIR</t>
  </si>
  <si>
    <t>DIKLAT STRUKTURAL</t>
  </si>
  <si>
    <t>TMT BUP</t>
  </si>
  <si>
    <t>KETERANGAN</t>
  </si>
  <si>
    <t>HELPER</t>
  </si>
  <si>
    <t>STATUS KEPEGAWAIAN</t>
  </si>
  <si>
    <t>AGAMA</t>
  </si>
  <si>
    <t>STATUS PERNIKAHAN</t>
  </si>
  <si>
    <t>JENIS KELAMIN</t>
  </si>
  <si>
    <t>GOLONGAN DARAH</t>
  </si>
  <si>
    <t>NOMOR HP</t>
  </si>
  <si>
    <t>EMAIL</t>
  </si>
  <si>
    <t>TEMPAT TANGGAL LAHIR</t>
  </si>
  <si>
    <t>ALAMAT</t>
  </si>
  <si>
    <t>PROVINSI</t>
  </si>
  <si>
    <t>KOTA/KABUPATEN</t>
  </si>
  <si>
    <t>KECAMATAN</t>
  </si>
  <si>
    <t>KELURAHAN</t>
  </si>
  <si>
    <t>RT</t>
  </si>
  <si>
    <t>RW</t>
  </si>
  <si>
    <t>TAHUN</t>
  </si>
  <si>
    <t>BULAN</t>
  </si>
  <si>
    <t>PANGKAT</t>
  </si>
  <si>
    <t>GOL RUANG</t>
  </si>
  <si>
    <t>TMT</t>
  </si>
  <si>
    <t>NO SK</t>
  </si>
  <si>
    <t>PEJABAT PENANDATANGAN</t>
  </si>
  <si>
    <t>TIPE JABATAN</t>
  </si>
  <si>
    <t>NAMA JABATAN</t>
  </si>
  <si>
    <t>ESELON</t>
  </si>
  <si>
    <t>UNIT KERJA</t>
  </si>
  <si>
    <t>TMT JABATAN</t>
  </si>
  <si>
    <t>TGL SK</t>
  </si>
  <si>
    <t>TINGKAT PENDIDIKAN</t>
  </si>
  <si>
    <t>JURUSAN</t>
  </si>
  <si>
    <t>Instansi</t>
  </si>
  <si>
    <t>TGL IJAZAH</t>
  </si>
  <si>
    <t>NAMA DIKLAT</t>
  </si>
  <si>
    <t>(PER DES 2024)</t>
  </si>
  <si>
    <t>3</t>
  </si>
  <si>
    <t>DR. M. AGHA NOVRIAN, S.STP, M.SI</t>
  </si>
  <si>
    <t>'198411302002121003</t>
  </si>
  <si>
    <t>Pengatur Muda (II/a)</t>
  </si>
  <si>
    <t>II/A</t>
  </si>
  <si>
    <t>Pembina Tk. I (IV/b)</t>
  </si>
  <si>
    <t>IV/B</t>
  </si>
  <si>
    <t>188.44/673/KPTS/2023</t>
  </si>
  <si>
    <t>GUBERNUR SUMATERA UTARA</t>
  </si>
  <si>
    <t>Struktural</t>
  </si>
  <si>
    <t>KEPALA BADAN PENDAPATAN DAERAH KOTA MEDAN</t>
  </si>
  <si>
    <t>III.a</t>
  </si>
  <si>
    <t>BADAN PENDAPATAN DAERAH KOTA MEDAN</t>
  </si>
  <si>
    <t>821.2/1231.K11-11-2021</t>
  </si>
  <si>
    <t>WALIKOTA MEDAN</t>
  </si>
  <si>
    <t>S3 (Doktor)</t>
  </si>
  <si>
    <t>Ilmu Komunikasi</t>
  </si>
  <si>
    <t>UNIVERSITAS ISLAM NEGERI SUMATERA UTARA</t>
  </si>
  <si>
    <t>PIM IV / ADUM / ADUMLA / SEPALA / PKP</t>
  </si>
  <si>
    <t>PNS</t>
  </si>
  <si>
    <t>Islam</t>
  </si>
  <si>
    <t>Laki-laki</t>
  </si>
  <si>
    <t>O</t>
  </si>
  <si>
    <t>novrianagha5@gmail.com</t>
  </si>
  <si>
    <t>MEDAN, 30 NOVEMBER 1984</t>
  </si>
  <si>
    <t>JL. SETIA BUDI PASAR II KOMPLEK TAMAN PERKASA INDAH BLOK B-18 MEDAN</t>
  </si>
  <si>
    <t>SUMATERA UTARA</t>
  </si>
  <si>
    <t>MEDAN</t>
  </si>
  <si>
    <t>MEDAN SELAYANG</t>
  </si>
  <si>
    <t>TANJUNG SARI</t>
  </si>
  <si>
    <t>-</t>
  </si>
  <si>
    <t>ALI FITRI HARAHAP, S.E.</t>
  </si>
  <si>
    <t>197709272002121006</t>
  </si>
  <si>
    <t>Penata Muda (III/a)</t>
  </si>
  <si>
    <t>III/A</t>
  </si>
  <si>
    <t>Penata Tk. I (III/d)</t>
  </si>
  <si>
    <t>III/D</t>
  </si>
  <si>
    <t>823.3/624.K</t>
  </si>
  <si>
    <t>SEKRETARIS BADAN PENDAPATAN DAERAH KOTA MEDAN</t>
  </si>
  <si>
    <t>SEKRETARIAT BADAN PENDAPATAN DAERAH KOTA MEDAN</t>
  </si>
  <si>
    <t>800.1.3.3/317.K23-02-2026</t>
  </si>
  <si>
    <t>Wali Kota Medan</t>
  </si>
  <si>
    <t>S1 (Sarjana)</t>
  </si>
  <si>
    <t>MANAJEMEN</t>
  </si>
  <si>
    <t>UNIV.PERSADA INDONESIA Y.A.I</t>
  </si>
  <si>
    <t>Menikah</t>
  </si>
  <si>
    <t>alifitri.hrp@gmail.com</t>
  </si>
  <si>
    <t>MEDAN, 27 SEPTEMBER 1977</t>
  </si>
  <si>
    <t>jl.BERINGIN II LK. IV NO.78</t>
  </si>
  <si>
    <t>Sumatera Utara</t>
  </si>
  <si>
    <t>Medan</t>
  </si>
  <si>
    <t>Medan Helvetia</t>
  </si>
  <si>
    <t>Helvetia</t>
  </si>
  <si>
    <t>MUHAMMAD ZULADHARI, S.STP</t>
  </si>
  <si>
    <t>'199206252014061001</t>
  </si>
  <si>
    <t>Penata (III/c)</t>
  </si>
  <si>
    <t>III/C</t>
  </si>
  <si>
    <t>823.3/285.K</t>
  </si>
  <si>
    <t>WALI KOTA MEDAN</t>
  </si>
  <si>
    <t>KEPALA SUB BAGIAN UMUM BADAN PENDAPATAN DAERAH KOTA MEDAN</t>
  </si>
  <si>
    <t>IV.a</t>
  </si>
  <si>
    <t>SUB BAGIAN UMUM BADAN PENDAPATAN DAERAH KOTA MEDAN</t>
  </si>
  <si>
    <t>800.1.3.3/ 1297.K29-11-2024</t>
  </si>
  <si>
    <t>D-IV</t>
  </si>
  <si>
    <t>POLITIK PEMERINTAHAN</t>
  </si>
  <si>
    <t>INSTITUT PEMERINTAHAN DALAM NEGERI</t>
  </si>
  <si>
    <t>26 Mei 2014</t>
  </si>
  <si>
    <t>Prajabatan / LATSAR</t>
  </si>
  <si>
    <t>zuladhary@gmail.com</t>
  </si>
  <si>
    <t>STABAT, 25 JUNI 1992</t>
  </si>
  <si>
    <t>JL. B KATAMSO GG. SAUDARA NO. 3 MEDAN</t>
  </si>
  <si>
    <t>MEDAN MAIMUN</t>
  </si>
  <si>
    <t>SEI MATI</t>
  </si>
  <si>
    <t>WIDYA SARASWATI PARIMORA, S.STP</t>
  </si>
  <si>
    <t>'199310102017082001</t>
  </si>
  <si>
    <t>800.1.3.2/1760.K</t>
  </si>
  <si>
    <t>Fungsional Tertentu</t>
  </si>
  <si>
    <t>ANALIS SUMBER DAYA MANUSIA APARATUR MUDA</t>
  </si>
  <si>
    <t>824.4/BKPSDM/015.K10-01-2023</t>
  </si>
  <si>
    <t>Manajemen Sumber Daya Aparatur</t>
  </si>
  <si>
    <t>Institut Pemerintahan Dalam Negeri</t>
  </si>
  <si>
    <t>18 Juli 2017</t>
  </si>
  <si>
    <t>Belum Menikah</t>
  </si>
  <si>
    <t>Perempuan</t>
  </si>
  <si>
    <t>B</t>
  </si>
  <si>
    <t>saraswatiparimora@gmail.com</t>
  </si>
  <si>
    <t>LHOKSEUMAWE, 10 OKTOBER 1993</t>
  </si>
  <si>
    <t>Jl. Merpati</t>
  </si>
  <si>
    <t>Kota Medan</t>
  </si>
  <si>
    <t>Medan Sunggal</t>
  </si>
  <si>
    <t>Sei Sikambing</t>
  </si>
  <si>
    <t>MUHAMMAD SURATNO, SE</t>
  </si>
  <si>
    <t>'197511102008011001</t>
  </si>
  <si>
    <t>800.1.3.2/575.K</t>
  </si>
  <si>
    <t>Fungsional Umum / Pelaksana</t>
  </si>
  <si>
    <t>PENATA LAYANAN OPERASIONAL</t>
  </si>
  <si>
    <t>800.1.3.3/012.K10-01-2024</t>
  </si>
  <si>
    <t>Sekretaris Daerah</t>
  </si>
  <si>
    <t>UNIVERSITAS SETIA BUDI MANDIRI MEDAN</t>
  </si>
  <si>
    <t>27 Juli 2011</t>
  </si>
  <si>
    <t>muhammadsuratno3@gmail.com</t>
  </si>
  <si>
    <t>TANJUNG SARI, 10 NOVEMBER 1975</t>
  </si>
  <si>
    <t>Dusun VI Purwojoyo Desa Sukamaju Sunggal</t>
  </si>
  <si>
    <t>Deli Serdang</t>
  </si>
  <si>
    <t>Sunggal</t>
  </si>
  <si>
    <t>Suka Maju</t>
  </si>
  <si>
    <t>T RINI SRI MEKA, S.I.P, M.H</t>
  </si>
  <si>
    <t>'198610092012122002</t>
  </si>
  <si>
    <t>823.3/1198.K</t>
  </si>
  <si>
    <t>a.n Wali Kota Medan</t>
  </si>
  <si>
    <t>ARSIPARIS PERTAMA</t>
  </si>
  <si>
    <t>800.1.3.3/928.K23-07-2025</t>
  </si>
  <si>
    <t>S2 (Magister)</t>
  </si>
  <si>
    <t>Ilmu Hukum</t>
  </si>
  <si>
    <t>Universitas Darma Agung</t>
  </si>
  <si>
    <t>07 Desember 2024</t>
  </si>
  <si>
    <t>srimekha@yahoo.co.id</t>
  </si>
  <si>
    <t>KABANJAHE, 09 OKTOBER 1986</t>
  </si>
  <si>
    <t>DUSUN VII JL BINJAI KM 10 GG DAMAI LR VII NO 358</t>
  </si>
  <si>
    <t>DELI SERDANG</t>
  </si>
  <si>
    <t>SUNGGAL</t>
  </si>
  <si>
    <t>PAYA GELI</t>
  </si>
  <si>
    <t>M. LUTHFI S, S.E.</t>
  </si>
  <si>
    <t>'198103032009021005</t>
  </si>
  <si>
    <t>Pengatur (II/c)</t>
  </si>
  <si>
    <t>II/C</t>
  </si>
  <si>
    <t>PENELAAH TEKNIS KEBIJAKAN</t>
  </si>
  <si>
    <t>STIE AL-HIKMAH</t>
  </si>
  <si>
    <t>upie33@gmail.com</t>
  </si>
  <si>
    <t>MEDAN, 03 MARET 1981</t>
  </si>
  <si>
    <t>Jl. KPT. M. JAMIL LUBIS NO. 146</t>
  </si>
  <si>
    <t>MEDAN TEMBUNG</t>
  </si>
  <si>
    <t>BANDAR SELAMAT</t>
  </si>
  <si>
    <t>MUHAMMAD SORIMUDA PANE, S.TR.IP</t>
  </si>
  <si>
    <t>'199907102021081003</t>
  </si>
  <si>
    <t>Penata Muda Tk. I (III/b)</t>
  </si>
  <si>
    <t>III/B</t>
  </si>
  <si>
    <t>800.1.3.2/861.K</t>
  </si>
  <si>
    <t>800.1.3.3/1059.K23-09-2024</t>
  </si>
  <si>
    <t>Administrasi Kependudukan dan Catatan Sipil</t>
  </si>
  <si>
    <t>01 Juli 2021</t>
  </si>
  <si>
    <t>msorimudapane@gmail.com</t>
  </si>
  <si>
    <t>MEDAN, 10 JULI 1999</t>
  </si>
  <si>
    <t>JL. PERJUANGAN GG AGAMA NO 1</t>
  </si>
  <si>
    <t>MEDAN PERJUANGAN</t>
  </si>
  <si>
    <t>SEI KERA HILIR I</t>
  </si>
  <si>
    <t>IRA PUSPASARI NATALIA, S.E.</t>
  </si>
  <si>
    <t>'198209202010012032</t>
  </si>
  <si>
    <t>823.3/2220.K</t>
  </si>
  <si>
    <t>PENGADMINISTRASI PERKANTORAN</t>
  </si>
  <si>
    <t>EKONOMI</t>
  </si>
  <si>
    <t>UISU</t>
  </si>
  <si>
    <t>16 Juni 2008</t>
  </si>
  <si>
    <t>iralukman2013@gmail.com</t>
  </si>
  <si>
    <t>MEDAN, 20 SEPTEMBER 1982</t>
  </si>
  <si>
    <t>JL. FLAMBOYAN RAYA NO.7 MEDAN</t>
  </si>
  <si>
    <t>MEDAN TUNTUNGAN</t>
  </si>
  <si>
    <t>TANJUNG SELAMAT</t>
  </si>
  <si>
    <t>RISMAWATI, S.E.</t>
  </si>
  <si>
    <t>'196910011993032002</t>
  </si>
  <si>
    <t>Ekonomi Manajemen</t>
  </si>
  <si>
    <t>UMN Al-Washliyah</t>
  </si>
  <si>
    <t>05 Agustus 2010</t>
  </si>
  <si>
    <t>rismawati1969.rw@gmail.com</t>
  </si>
  <si>
    <t>MAYANG, 01 OKTOBER 1969</t>
  </si>
  <si>
    <t>Jl. Manunggal Gg. Pribadi No.7</t>
  </si>
  <si>
    <t>Medan Denai</t>
  </si>
  <si>
    <t>Denai</t>
  </si>
  <si>
    <t>HETTY SOLIN, S.E</t>
  </si>
  <si>
    <t>'197002272003122001</t>
  </si>
  <si>
    <t>800.1.10.2/255.K</t>
  </si>
  <si>
    <t>Manajemen</t>
  </si>
  <si>
    <t>Universitas Muslim Nusantara Al-Washliyah</t>
  </si>
  <si>
    <t>Kristen Protestan</t>
  </si>
  <si>
    <t>hettysolinse@gmail.com</t>
  </si>
  <si>
    <t>SIDIKALANG, 27 FEBRUARI 1970</t>
  </si>
  <si>
    <t>DSN.IV NO.84 LIMAU MANIS</t>
  </si>
  <si>
    <t>TANJUNG MORAWA</t>
  </si>
  <si>
    <t>LIMAU MANIS</t>
  </si>
  <si>
    <t>DETA MUSTARA, S.E.</t>
  </si>
  <si>
    <t>'198410292010012031</t>
  </si>
  <si>
    <t>823.3/365.K</t>
  </si>
  <si>
    <t>PENGOLAH DATA DAN INFORMASI</t>
  </si>
  <si>
    <t>Akuntansi</t>
  </si>
  <si>
    <t>Universitas Sumatera Utara</t>
  </si>
  <si>
    <t>17 Februari 2009</t>
  </si>
  <si>
    <t>mustara.deta@gmail.com</t>
  </si>
  <si>
    <t>TG.GADING, 29 OKTOBER 1984</t>
  </si>
  <si>
    <t>Jln.Melinjo I no.12 komp.Johor Permai Lk. VIII</t>
  </si>
  <si>
    <t>Medan Johor</t>
  </si>
  <si>
    <t>Gedung Johor</t>
  </si>
  <si>
    <t>ALIF RIZKY PURWANTO, S.KOM</t>
  </si>
  <si>
    <t>'200002032025051001</t>
  </si>
  <si>
    <t>800.1.2.5/428.K</t>
  </si>
  <si>
    <t>CALON PENATA KELOLA SISTEM DAN TEKNOLOGI INFORMASI</t>
  </si>
  <si>
    <t>800.1.2.5/428.K15-04-2025</t>
  </si>
  <si>
    <t>Ilmu Komputer</t>
  </si>
  <si>
    <t>UNIVERSITAS SUMATERA UTARA</t>
  </si>
  <si>
    <t>29 Desember 2021</t>
  </si>
  <si>
    <t>A</t>
  </si>
  <si>
    <t>alifrizkypurwanto@gmail.com</t>
  </si>
  <si>
    <t>MEDAN, 03 FEBRUARI 2000</t>
  </si>
  <si>
    <t>DUSUN III PT.IRA BLOK D NO.7</t>
  </si>
  <si>
    <t>SUMATERA URARA</t>
  </si>
  <si>
    <t>HAMPARAN PERAK</t>
  </si>
  <si>
    <t>DRA FITRIATI HASIBUAN, M.M</t>
  </si>
  <si>
    <t>'196901021996032003</t>
  </si>
  <si>
    <t>Pembina (IV/a)</t>
  </si>
  <si>
    <t>IV/A</t>
  </si>
  <si>
    <t>188.44/1216/KPTS/2018</t>
  </si>
  <si>
    <t>ANALIS KEUANGAN PUSAT DAN DAERAH MUDA</t>
  </si>
  <si>
    <t>821.29/008.K07-01-2022</t>
  </si>
  <si>
    <t>Manajemen Sumber Daya Manusia</t>
  </si>
  <si>
    <t>UNIVERSITAS ISLAM SUMATERA UTARA</t>
  </si>
  <si>
    <t>fitriati.hasibuan69@gmail.com</t>
  </si>
  <si>
    <t>SIBUHUAN, 02 JANUARI 1969</t>
  </si>
  <si>
    <t>PERUM BUKIT JOHOR MAS BLOK B 36</t>
  </si>
  <si>
    <t>MIRA SILVIA, A.MD.</t>
  </si>
  <si>
    <t>'198903052011012009</t>
  </si>
  <si>
    <t>BIDANG BEA PEROLEHAN HAK ATAS TANAH DAN BANGUNAN DAN PAJAK BUMI DAN BANGUNAN BADAN PENDAPATAN DAERAH KOTA MEDAN</t>
  </si>
  <si>
    <t>D-III</t>
  </si>
  <si>
    <t>Politeknik Negeri Medan</t>
  </si>
  <si>
    <t>mirasilvya@gmail.com</t>
  </si>
  <si>
    <t>TEBING TINGGI, 05 MARET 1989</t>
  </si>
  <si>
    <t>Asmil Yonkav 6/ Serbu</t>
  </si>
  <si>
    <t>Medan Selayang</t>
  </si>
  <si>
    <t>Asam Kumbang</t>
  </si>
  <si>
    <t>SRI NURMALA SURBAKTI, SHI</t>
  </si>
  <si>
    <t>'198106102010012025</t>
  </si>
  <si>
    <t>MUAMALAH</t>
  </si>
  <si>
    <t>IAIN</t>
  </si>
  <si>
    <t>srinurmala2@gmail.com</t>
  </si>
  <si>
    <t>MEDAN, 10 JUNI 1981</t>
  </si>
  <si>
    <t>JL. ENGGANG XII  NO. 313 P. MANDALA</t>
  </si>
  <si>
    <t>Percut Sei Tuan</t>
  </si>
  <si>
    <t>Kenangan</t>
  </si>
  <si>
    <t>TENGKU YUNITA RULINA</t>
  </si>
  <si>
    <t>'198006062009022010</t>
  </si>
  <si>
    <t>SMA</t>
  </si>
  <si>
    <t>SMK Sultan Oloan</t>
  </si>
  <si>
    <t>29 Mei 1999</t>
  </si>
  <si>
    <t>AB</t>
  </si>
  <si>
    <t>jenkyunie@gmail.com</t>
  </si>
  <si>
    <t>MEDAN, 06 JUNI 1980</t>
  </si>
  <si>
    <t>ASR.TNI AD-SEJATI NO.26</t>
  </si>
  <si>
    <t>Medan Perjuangan</t>
  </si>
  <si>
    <t>Sidorame Barat I</t>
  </si>
  <si>
    <t>HERI RIFAI S</t>
  </si>
  <si>
    <t>'198203182017061001</t>
  </si>
  <si>
    <t>Pengatur Muda Tk. I (II/b)</t>
  </si>
  <si>
    <t>II/B</t>
  </si>
  <si>
    <t>PERKEBUNAN</t>
  </si>
  <si>
    <t>SPP PANCA BUDI</t>
  </si>
  <si>
    <t>29 Mei 2000</t>
  </si>
  <si>
    <t>heririfais@gmail.com</t>
  </si>
  <si>
    <t>MEDAN, 18 MARET 1982</t>
  </si>
  <si>
    <t>JL.PERTIWI BARU NO.7</t>
  </si>
  <si>
    <t>BANTAN</t>
  </si>
  <si>
    <t>MARTIVEN SITANGGANG, A.MD</t>
  </si>
  <si>
    <t>'198403272010011033</t>
  </si>
  <si>
    <t>Pengatur Tk. I (II/d)</t>
  </si>
  <si>
    <t>II/D</t>
  </si>
  <si>
    <t>BAHASA JEPANG</t>
  </si>
  <si>
    <t>26 Juni 2006</t>
  </si>
  <si>
    <t>Kristen Katolik</t>
  </si>
  <si>
    <t>martivensitanggang@gmail.com</t>
  </si>
  <si>
    <t>TANJUNGBALAI, 27 MARET 1984</t>
  </si>
  <si>
    <t>JL. BUNGA CEMPAKA GG PELAWI NO.6</t>
  </si>
  <si>
    <t>PB SELAYANG II</t>
  </si>
  <si>
    <t>M. SYAFARUDDIN RITONGA, S.H.</t>
  </si>
  <si>
    <t>'196904251998031004</t>
  </si>
  <si>
    <t>823.3/184.K</t>
  </si>
  <si>
    <t>HUKUM ADM NEGARA</t>
  </si>
  <si>
    <t>UNIV MEDAN AREA</t>
  </si>
  <si>
    <t>01 Maret 1996</t>
  </si>
  <si>
    <t>m.syafaruddinritonga@gmail.com</t>
  </si>
  <si>
    <t>TANJUNG PINANG, 25 APRIL 1969</t>
  </si>
  <si>
    <t>Jl. Pasar V Timur Blok XI No. 38JL.PASAR V TIMUR BLOK XI NO 38</t>
  </si>
  <si>
    <t>Medan Estate</t>
  </si>
  <si>
    <t>Jl. Pasar</t>
  </si>
  <si>
    <t>ALI AKBAR, S.E.</t>
  </si>
  <si>
    <t>'197707112000031004</t>
  </si>
  <si>
    <t>-Sekolah Tinggi Ilmu Ekonomi Graha Kirana</t>
  </si>
  <si>
    <t>22 Desember 2014</t>
  </si>
  <si>
    <t>aliakbar.bob6524@gmail.com</t>
  </si>
  <si>
    <t>MEDAN, 11 JULI 1977</t>
  </si>
  <si>
    <t>KOMP VILLA MULIA NO. JL MULIA</t>
  </si>
  <si>
    <t>Tanjung Sari</t>
  </si>
  <si>
    <t>GUGUS PRASTIYO, S.E.</t>
  </si>
  <si>
    <t>'198105252008011003</t>
  </si>
  <si>
    <t>Ekonomi</t>
  </si>
  <si>
    <t>SEKOLAH TINGGI ILMU EKONOMI RIAMA MEDAN</t>
  </si>
  <si>
    <t>14 Desember 2013</t>
  </si>
  <si>
    <t>agusgugus@gmail.com</t>
  </si>
  <si>
    <t>P. SIDEMPUAN (TAPANULI SELATAN), 25 MEI 1981</t>
  </si>
  <si>
    <t>Dusun IV A Sei Mencirim Sunggal</t>
  </si>
  <si>
    <t>Sei Mencirim</t>
  </si>
  <si>
    <t>MIRANDA</t>
  </si>
  <si>
    <t>'198006112008012019</t>
  </si>
  <si>
    <t>MANAJEMEN INFORMATIKA</t>
  </si>
  <si>
    <t>AKADEMI MANAJEMEN INFORMATIKA DAN KOMPUTER ITMI</t>
  </si>
  <si>
    <t>05 Desember 2005</t>
  </si>
  <si>
    <t>miimakarena@gmail.com</t>
  </si>
  <si>
    <t>MEDAN, 11 JUNI 1980</t>
  </si>
  <si>
    <t>Johor Indah Permai II Blok H No. 5</t>
  </si>
  <si>
    <t>DINDA SHAFIRA RASULY, S.TR.IP</t>
  </si>
  <si>
    <t>199909152022082001</t>
  </si>
  <si>
    <t>813.3-3475 TAHUN 2022</t>
  </si>
  <si>
    <t>MENTERI DALAM NEGERI</t>
  </si>
  <si>
    <t>800.1.3.1/135.K22-01-2026</t>
  </si>
  <si>
    <t>14 Juni 2022</t>
  </si>
  <si>
    <t>ASAHAN, 15 SEPTEMBER 1999</t>
  </si>
  <si>
    <t>KOMPLEK J CITY METROPOLIS BLOK 5 NO 33 JL KARYA WISATA</t>
  </si>
  <si>
    <t>MEDAN JOHOR</t>
  </si>
  <si>
    <t>PANGKALAN MANSUR</t>
  </si>
  <si>
    <t>RICKY NELSON BUDIMAN SIHITE, SE, MSE</t>
  </si>
  <si>
    <t>'197606022002121006</t>
  </si>
  <si>
    <t>823.4/840/2021</t>
  </si>
  <si>
    <t>PERENCANA MUDA</t>
  </si>
  <si>
    <t>Ilmu Ekonomi</t>
  </si>
  <si>
    <t>Universitas Indonesia</t>
  </si>
  <si>
    <t>25 Agustus 2007</t>
  </si>
  <si>
    <t>rickynelsonbs@gmail.com</t>
  </si>
  <si>
    <t>MEDAN, 02 JUNI 1976</t>
  </si>
  <si>
    <t>Jalan Dorowati Lr. Rejo Nomor 18/20</t>
  </si>
  <si>
    <t>FATIMAH ZURIA, S.E., M.SI.</t>
  </si>
  <si>
    <t>'198112062011012004</t>
  </si>
  <si>
    <t>AKUNTANSI</t>
  </si>
  <si>
    <t>24 Agustus 2016</t>
  </si>
  <si>
    <t>fatimah.zuria@gmail.com</t>
  </si>
  <si>
    <t>BANDA ACEH, 06 DESEMBER 1981</t>
  </si>
  <si>
    <t>JL.PELITA GG.MUSHOLLA NO.23 C</t>
  </si>
  <si>
    <t>Medan Amplas</t>
  </si>
  <si>
    <t>Timbang Deli</t>
  </si>
  <si>
    <t>BERTAHULINA BR PELAWI, S.M.</t>
  </si>
  <si>
    <t>'196909251990102001</t>
  </si>
  <si>
    <t>800.1.3.2/1319.K</t>
  </si>
  <si>
    <t>Universitas Muslim Nusantara Al-Washliyah (UMN)</t>
  </si>
  <si>
    <t>23 Juli 2020</t>
  </si>
  <si>
    <t>bertapelawi69@gmail.com</t>
  </si>
  <si>
    <t>TIGA NDERKET, 25 SEPTEMBER 1969</t>
  </si>
  <si>
    <t>Jl. Garu II Gg. Cempaka No. 67 E</t>
  </si>
  <si>
    <t>Harjosari I</t>
  </si>
  <si>
    <t>MASLINA FITRIYANTI SIREGAR, S.E.</t>
  </si>
  <si>
    <t>'198506092010012032</t>
  </si>
  <si>
    <t>09 Oktober 2007</t>
  </si>
  <si>
    <t>maslina.siregar@yahoo.co.id</t>
  </si>
  <si>
    <t>HUTABALANG, 09 JUNI 1985</t>
  </si>
  <si>
    <t>Jl.M.Nawi hrp gang.suka no.12/23a</t>
  </si>
  <si>
    <t>Sitirejo III</t>
  </si>
  <si>
    <t>JULIANDI</t>
  </si>
  <si>
    <t>'197507242009031002</t>
  </si>
  <si>
    <t>IPS</t>
  </si>
  <si>
    <t>SMA AL WASLIYAH</t>
  </si>
  <si>
    <t>31 Mei 1994</t>
  </si>
  <si>
    <t>andixiomi501@gmail.com</t>
  </si>
  <si>
    <t>MEDAN, 24 JULI 1975</t>
  </si>
  <si>
    <t>JL. SEI BLUMAI HILIR NO. 64/66</t>
  </si>
  <si>
    <t>TANJUNG MORAWA A</t>
  </si>
  <si>
    <t>NURINTAN HASIBUAN, S.E.</t>
  </si>
  <si>
    <t>'197610162009022004</t>
  </si>
  <si>
    <t>823.1.2.3/245.K</t>
  </si>
  <si>
    <t>UMSU</t>
  </si>
  <si>
    <t>31 Oktober 2000</t>
  </si>
  <si>
    <t>nurintanhasibuan16@gmail.com</t>
  </si>
  <si>
    <t>MEDAN, 16 OKTOBER 1976</t>
  </si>
  <si>
    <t>JL.EKA SUKA 14 NO. 10 A LINGK. 13</t>
  </si>
  <si>
    <t>Kota medan</t>
  </si>
  <si>
    <t>WILDA MEDANI, S.KOM</t>
  </si>
  <si>
    <t>'197810102009022009</t>
  </si>
  <si>
    <t>800.1.3.2/1090.K</t>
  </si>
  <si>
    <t>Teknik Informatika</t>
  </si>
  <si>
    <t>Universitas Pembangunan Panca Budi</t>
  </si>
  <si>
    <t>28 Agustus 2015</t>
  </si>
  <si>
    <t>Janda / Duda</t>
  </si>
  <si>
    <t>wildamedani@gmail.com</t>
  </si>
  <si>
    <t>MEDAN, 10 OKTOBER 1978</t>
  </si>
  <si>
    <t>Jl. Karya Bakti No 15</t>
  </si>
  <si>
    <t>Medan Petisah</t>
  </si>
  <si>
    <t>Sei Sikambing D</t>
  </si>
  <si>
    <t>JAMALUDDIN, S.H.</t>
  </si>
  <si>
    <t>'198201082009031006</t>
  </si>
  <si>
    <t>hukum</t>
  </si>
  <si>
    <t>STIH GRAHA KIRANA</t>
  </si>
  <si>
    <t>01 Desember 2015</t>
  </si>
  <si>
    <t>jamaluddin.mnf@gmail.com</t>
  </si>
  <si>
    <t>LANGKAT, 08 JANUARI 1982</t>
  </si>
  <si>
    <t>JL. Cingwan Lingk-V</t>
  </si>
  <si>
    <t>Medan labuhan</t>
  </si>
  <si>
    <t>Martubung</t>
  </si>
  <si>
    <t>MAHBUB BATUBARA, S.KOM.</t>
  </si>
  <si>
    <t>'198903202011011005</t>
  </si>
  <si>
    <t>TEKNIK INFORMATIKA KOMPUTER</t>
  </si>
  <si>
    <t>STMIK POTENSI UTAMA</t>
  </si>
  <si>
    <t>04 Desember 2013</t>
  </si>
  <si>
    <t>ma_boeb@yahoo.com</t>
  </si>
  <si>
    <t>MEDAN, 20 MARET 1989</t>
  </si>
  <si>
    <t>JL.LETDA SUJONO GG.NANGKA NO.7A</t>
  </si>
  <si>
    <t>Medan tembung</t>
  </si>
  <si>
    <t>Bandar selamat</t>
  </si>
  <si>
    <t>T. HARUN AL-RASYID, SE</t>
  </si>
  <si>
    <t>'198303182009021007</t>
  </si>
  <si>
    <t>SEKOLAH TINGGI ILMU EKONOMI AL-HIKMAH</t>
  </si>
  <si>
    <t>23 Agustus 2012</t>
  </si>
  <si>
    <t>teukuharun@yahoo.com</t>
  </si>
  <si>
    <t>MEDAN, 18 MARET 1983</t>
  </si>
  <si>
    <t>JL.GAPERTA UJUNG GG. IMAM NO. 31 LK.III</t>
  </si>
  <si>
    <t>MEDAN HELVETIA</t>
  </si>
  <si>
    <t>TANJUNG GUSTA</t>
  </si>
  <si>
    <t>NATA LIZA DINATA, S.E.</t>
  </si>
  <si>
    <t>'197909282008012003</t>
  </si>
  <si>
    <t>ekonomi</t>
  </si>
  <si>
    <t>Universitas Pembinaan Masyarakat Indonesia</t>
  </si>
  <si>
    <t>natalizadinata@gmail.com</t>
  </si>
  <si>
    <t>MEDAN, 28 SEPTEMBER 1979</t>
  </si>
  <si>
    <t>JL. Keruntung  Gg. Asahan  No.4</t>
  </si>
  <si>
    <t>Medan-Tembung</t>
  </si>
  <si>
    <t>Sidorejo</t>
  </si>
  <si>
    <t>WIWIEK DESY ANDRIANY, S.H.</t>
  </si>
  <si>
    <t>'197912292010012027</t>
  </si>
  <si>
    <t>Hukum Perdata</t>
  </si>
  <si>
    <t>18 Oktober 2002</t>
  </si>
  <si>
    <t>wiwiekdesyandriany@gmail.com</t>
  </si>
  <si>
    <t>SEI SEMAYANG, 29 DESEMBER 1979</t>
  </si>
  <si>
    <t>Dusun XV Kelingan Jl.Kirab Remaja</t>
  </si>
  <si>
    <t>Sei Semayang</t>
  </si>
  <si>
    <t>DEDY SUHENDRA</t>
  </si>
  <si>
    <t>'197112082007011022</t>
  </si>
  <si>
    <t>821.29/375.K26-03-2021</t>
  </si>
  <si>
    <t>SMK YP MEDAN PUTRI</t>
  </si>
  <si>
    <t>26 Mei 1990</t>
  </si>
  <si>
    <t>adysuhendra24@gmail.com</t>
  </si>
  <si>
    <t>PERCUT SEI TUAN, 08 DESEMBER 1971</t>
  </si>
  <si>
    <t>JLN. PANCING III NO 48</t>
  </si>
  <si>
    <t>KOTA MEDAN</t>
  </si>
  <si>
    <t>INDRAKASIH</t>
  </si>
  <si>
    <t>-/-</t>
  </si>
  <si>
    <t>ARDINA MALANNY LUBIS</t>
  </si>
  <si>
    <t>'198003082009022003</t>
  </si>
  <si>
    <t>SMA Swasta Amir Hamzah</t>
  </si>
  <si>
    <t>23 Mei 1998</t>
  </si>
  <si>
    <t>malanny1980@gmail.com</t>
  </si>
  <si>
    <t>MEDAN, 08 MARET 1980</t>
  </si>
  <si>
    <t>JL NUSA INDAH VII LK XX NO 102</t>
  </si>
  <si>
    <t>HELVETIA TENGAH</t>
  </si>
  <si>
    <t>SRI YUNINGSIH, S.AG, MM</t>
  </si>
  <si>
    <t>'197602192008012001</t>
  </si>
  <si>
    <t>188.44/218/KPTS/2024</t>
  </si>
  <si>
    <t>Pj. GUBERNUR SUMATERA UTARA</t>
  </si>
  <si>
    <t>neneng232603@gmail.com</t>
  </si>
  <si>
    <t>T.MEKU (BRANDAN), 19 FEBRUARI 1976</t>
  </si>
  <si>
    <t>JL. Bhayangkara Gg. Buntu No. 502 D</t>
  </si>
  <si>
    <t>Medan Tembung</t>
  </si>
  <si>
    <t>Indra kasih</t>
  </si>
  <si>
    <t>LILY TRISNA, S.T.P, MM</t>
  </si>
  <si>
    <t>'196812122008012006</t>
  </si>
  <si>
    <t>Magister Manajemen</t>
  </si>
  <si>
    <t>trisna.lily1968@gmail.com</t>
  </si>
  <si>
    <t>MEDAN, 12 DESEMBER 1968</t>
  </si>
  <si>
    <t>JL. Garu III No.49 ELK.III</t>
  </si>
  <si>
    <t>LAILATUL HUSNA, S.E., M.M.</t>
  </si>
  <si>
    <t>'198605162010012031</t>
  </si>
  <si>
    <t>Universitas Muhammadiyah Sumatera Utara</t>
  </si>
  <si>
    <t>17 Oktober 2017</t>
  </si>
  <si>
    <t>laila.irham86@gmail.com</t>
  </si>
  <si>
    <t>MEDAN, 16 MEI 1986</t>
  </si>
  <si>
    <t>jl. Suka Ramai no 4 LK III</t>
  </si>
  <si>
    <t>medan</t>
  </si>
  <si>
    <r>
      <rPr>
        <rFont val="Calibri"/>
        <color theme="1"/>
        <sz val="9.0"/>
      </rPr>
      <t xml:space="preserve">YACOBUS JANSEN, </t>
    </r>
    <r>
      <rPr>
        <rFont val="Calibri"/>
        <color rgb="FF000000"/>
        <sz val="9.0"/>
      </rPr>
      <t>A.MD</t>
    </r>
    <r>
      <rPr>
        <rFont val="Calibri"/>
        <color theme="1"/>
        <sz val="9.0"/>
      </rPr>
      <t xml:space="preserve"> KOM</t>
    </r>
  </si>
  <si>
    <t>199501182025211005</t>
  </si>
  <si>
    <t>VII</t>
  </si>
  <si>
    <t>800.1.2.5/775.K</t>
  </si>
  <si>
    <t>PENGELOLA LAYANAN OPERASIONAL</t>
  </si>
  <si>
    <t>D-III Teknik Komputer</t>
  </si>
  <si>
    <t>SEKOLAH TINGGI MANAJEMEN INFORMATIKA DAN KOMPUTER</t>
  </si>
  <si>
    <t>PPPK</t>
  </si>
  <si>
    <t>Katolik</t>
  </si>
  <si>
    <t>cobusnls@gmail.com</t>
  </si>
  <si>
    <t>BANDUNG,
18 JANUARI 1995</t>
  </si>
  <si>
    <t>Jl. Bunga Bangsa Lk.XX</t>
  </si>
  <si>
    <t>Kwala Bekala</t>
  </si>
  <si>
    <t>000/0000</t>
  </si>
  <si>
    <t>ASRUL LATIF RANGKUTI</t>
  </si>
  <si>
    <t>198905242025211003</t>
  </si>
  <si>
    <t>V</t>
  </si>
  <si>
    <t>OPERATOR LAYANAN OPERASIONAL</t>
  </si>
  <si>
    <t>SMA IPS</t>
  </si>
  <si>
    <t>Sekolah Menengah Atas Negeri 2 Medan</t>
  </si>
  <si>
    <t>asrullatifrangkuti@yahoo.co.id</t>
  </si>
  <si>
    <t>PADANG SIDEMPUAN,
24 MEI 1989</t>
  </si>
  <si>
    <t>JL BAJAK V GG RUKUN III NO 2</t>
  </si>
  <si>
    <t>HARJOSARI II</t>
  </si>
  <si>
    <t>YUDHA PUTRA RISDIANTO</t>
  </si>
  <si>
    <t>197308312025211003</t>
  </si>
  <si>
    <t>SLTA</t>
  </si>
  <si>
    <t>SMA NEGERI 3</t>
  </si>
  <si>
    <t>gotock33@gmail.com</t>
  </si>
  <si>
    <t>MADIUN,
31 AGUSTUS 1973</t>
  </si>
  <si>
    <t>Jl. Ampera Raya no.30</t>
  </si>
  <si>
    <t>Medan Timur</t>
  </si>
  <si>
    <t>Glugur Darat II</t>
  </si>
  <si>
    <t>BAMBANG HERI PRATAMA S, S.H.</t>
  </si>
  <si>
    <t>198710132025211007</t>
  </si>
  <si>
    <t>IX</t>
  </si>
  <si>
    <t>IV</t>
  </si>
  <si>
    <t>S-1 Hukum</t>
  </si>
  <si>
    <t>pratamas1331@gmail.com</t>
  </si>
  <si>
    <t>BINJAI,
13 OKTOBER 1987</t>
  </si>
  <si>
    <t>Jalan Danau Tempe II Lk. VII No. 15</t>
  </si>
  <si>
    <t>Binjai</t>
  </si>
  <si>
    <t>Binjai Timur</t>
  </si>
  <si>
    <t>Sumber Karya</t>
  </si>
  <si>
    <t>ANGGUN ROSELINE RUMIRI HUTAGALUNG, S.T.</t>
  </si>
  <si>
    <t>199008182025212009</t>
  </si>
  <si>
    <t>S-1 TEKNIK ELEKTRO</t>
  </si>
  <si>
    <t>UNIVERSITAS KRISTEN MARANATHA</t>
  </si>
  <si>
    <t>arrmh@ymail.com</t>
  </si>
  <si>
    <t>MEDAN,
18 AGUSTUS 1990</t>
  </si>
  <si>
    <t>KOMP JIP I BLOK VII NO 4 LK IX MEDAN</t>
  </si>
  <si>
    <t>GEDUNG JOHOR</t>
  </si>
  <si>
    <t>EGIA SURANTA KEMBAREN, A.MD</t>
  </si>
  <si>
    <t>199411132025211003</t>
  </si>
  <si>
    <t>D-III Manajemen Informatika</t>
  </si>
  <si>
    <t>POLITEKNIK UNGGUL LP3M MEDAN</t>
  </si>
  <si>
    <t>Protestan</t>
  </si>
  <si>
    <t>kembarenegi@gmail.com</t>
  </si>
  <si>
    <t>BANDAR LAMPUNG,
13 NOVEMBER 1994</t>
  </si>
  <si>
    <t>JL. RAMI XI NO. 26 LK. XVI P. SIMALINGKAR</t>
  </si>
  <si>
    <t>MANGGA</t>
  </si>
  <si>
    <t>RAJA USTY SIREGAR</t>
  </si>
  <si>
    <t>199107122025211005</t>
  </si>
  <si>
    <t>SMA HARAPAN 1 MEDAN</t>
  </si>
  <si>
    <t>ustyraja@gmail.com</t>
  </si>
  <si>
    <t>MEDAN,
12 JULI 1991</t>
  </si>
  <si>
    <t>Jl HM JONI NO 67 MEDAN</t>
  </si>
  <si>
    <t>MEDAN AREA</t>
  </si>
  <si>
    <t>PASAR MERAH TIMUR</t>
  </si>
  <si>
    <t>VITTI NINGSI SIHOTANG</t>
  </si>
  <si>
    <t>200108252025212002</t>
  </si>
  <si>
    <t>ningsihway@gmail.com</t>
  </si>
  <si>
    <t>TAPANULI TENGAH,
25 AGUSTUS 2001</t>
  </si>
  <si>
    <t>JL PERKUTUT LK I NO 60</t>
  </si>
  <si>
    <t>ZULFIKAR ALDY, A.MD</t>
  </si>
  <si>
    <t>199703302025211001</t>
  </si>
  <si>
    <t>D-III Akuntansi</t>
  </si>
  <si>
    <t>POLITEKNIK NEGERI MEDAN</t>
  </si>
  <si>
    <t>bangzoelfikar30@gmail.com</t>
  </si>
  <si>
    <t>MEDAN.
30 MARET 1997</t>
  </si>
  <si>
    <t>JL. PERHUBUNGAN DUSUN II KOMPLEK RAY PONDOK PLATINUM 2</t>
  </si>
  <si>
    <t>PERCUT SEI TUAN</t>
  </si>
  <si>
    <t>LAUT DENDANG</t>
  </si>
  <si>
    <t>RONI TANAKA</t>
  </si>
  <si>
    <t>198307222025211004</t>
  </si>
  <si>
    <t>SD</t>
  </si>
  <si>
    <t>SD SWASTA TP MARDI LESTARI</t>
  </si>
  <si>
    <t>tanaka_rotan@yahoo.com</t>
  </si>
  <si>
    <t>MEDAN,
22 JULI 1983</t>
  </si>
  <si>
    <t>JL. AMAL LUHUR GG. SEJAHTERA NO. 45 D</t>
  </si>
  <si>
    <t>DWIKORA</t>
  </si>
  <si>
    <t>ADRI FACHRIANSYAH</t>
  </si>
  <si>
    <t>199705182025211003</t>
  </si>
  <si>
    <t>SMK</t>
  </si>
  <si>
    <t>SMK REKAYASA PERANGKAT LUNAK</t>
  </si>
  <si>
    <t>SMK Swasta Brigjend Katamso</t>
  </si>
  <si>
    <t>adri.fachriansyah@gmail.com</t>
  </si>
  <si>
    <t>MEDAN,
18 MEI 1997</t>
  </si>
  <si>
    <t>Jl. Bunga Raya Lk. VIII Medan</t>
  </si>
  <si>
    <t>MEHDHIKA RUZI, A.MD</t>
  </si>
  <si>
    <t>198907082025211008</t>
  </si>
  <si>
    <t>ruzi.mehdhika@gmail.com</t>
  </si>
  <si>
    <t>SIMALUNGUN,
08 JULI 1989</t>
  </si>
  <si>
    <t>GG Rasmi dusun III</t>
  </si>
  <si>
    <t>Tanjung Morawa</t>
  </si>
  <si>
    <t>Bangun Sari</t>
  </si>
  <si>
    <t>RUDI HARTONO</t>
  </si>
  <si>
    <t>198203232025211006</t>
  </si>
  <si>
    <t>SMU Negeri 1 Pancurbatu</t>
  </si>
  <si>
    <t>hartonorudi203@gmail.com</t>
  </si>
  <si>
    <t>DELI SERDANG,
23 MARET 1982</t>
  </si>
  <si>
    <t>Jl. Padat Karya Gg. Sukur No.83</t>
  </si>
  <si>
    <t>Namorambe</t>
  </si>
  <si>
    <t>Deli Tua</t>
  </si>
  <si>
    <t>RENGGANIA BR PERANGIN ANGIN</t>
  </si>
  <si>
    <t>199305232025212007</t>
  </si>
  <si>
    <t>SMA SWASTA METHODIST 2 MEDAN</t>
  </si>
  <si>
    <t>niarengga@gmail.com</t>
  </si>
  <si>
    <t>KARO,
23 MEI 1993</t>
  </si>
  <si>
    <t>JL. DAMAR II NO 18 PERUMNAS SIMALINGKAR</t>
  </si>
  <si>
    <t>PANCUR BATU</t>
  </si>
  <si>
    <t>PERUMNAS SIMALINGKAR</t>
  </si>
  <si>
    <t>AHMAD AL HIDAYAH SIREGAR</t>
  </si>
  <si>
    <t>199502172025211040</t>
  </si>
  <si>
    <t>Sub Bagian Umum BAPENDA Kota Medan</t>
  </si>
  <si>
    <t>Sarjana Ekonomi</t>
  </si>
  <si>
    <t>Sekolah Tinggi Ilmu Ekonomi Indonesia Medan</t>
  </si>
  <si>
    <t>m</t>
  </si>
  <si>
    <t>MEDAN,
17 FEBRUARI 1995</t>
  </si>
  <si>
    <t>Comp. Vetpur D-21</t>
  </si>
  <si>
    <t>ALFIANSYAH ILYAS HARAHAP</t>
  </si>
  <si>
    <t>199805012025211026</t>
  </si>
  <si>
    <t>Hukum</t>
  </si>
  <si>
    <t>UNIVERSITAS MEDAN AREA</t>
  </si>
  <si>
    <t>alfiansyahilyashrp@gmail.com</t>
  </si>
  <si>
    <t>PADANG SIDEMPUAN,
01 MEI 1998</t>
  </si>
  <si>
    <t>JL EKASUKA 14 NO 10 LINGK 13</t>
  </si>
  <si>
    <t>ALI BOSAR SIREGAR</t>
  </si>
  <si>
    <t>198109272025211054</t>
  </si>
  <si>
    <t>alisiregar042@gmail.com</t>
  </si>
  <si>
    <t>MEDAN,
27 SEPTEMBER 1981</t>
  </si>
  <si>
    <t>Jl. Benteng Hulu Medan</t>
  </si>
  <si>
    <t>Tembung</t>
  </si>
  <si>
    <t>AMIR SUDIANTO HAMID</t>
  </si>
  <si>
    <t>197503152025211023</t>
  </si>
  <si>
    <t>PENGELOLA UMUM OPERASIONAL</t>
  </si>
  <si>
    <t>Tenaga Kebersihan  Kantor BAPENDA Kota Medan</t>
  </si>
  <si>
    <t>SD SWASTA DARMA</t>
  </si>
  <si>
    <t>amirhamid543@gmail.com</t>
  </si>
  <si>
    <t>MEDAN,
15 MARET 1975</t>
  </si>
  <si>
    <t>JL. KARYA YASA NO 6 LK V MEDAN</t>
  </si>
  <si>
    <t>PANGKALAN MANSYUR</t>
  </si>
  <si>
    <t>ANDIKA RAMA YANTO</t>
  </si>
  <si>
    <t>198804142025211083</t>
  </si>
  <si>
    <t>Tenaga Keamanan UPT WIL V BAPENDA Kota Medan</t>
  </si>
  <si>
    <t>SH</t>
  </si>
  <si>
    <t>UNIVERSITAS PEMBINAAN MASYARAKAT INDONESIA</t>
  </si>
  <si>
    <t>ramadikagaus@gmail.com</t>
  </si>
  <si>
    <t>MEDAN,
14 APRIL 1988</t>
  </si>
  <si>
    <t>JL.UTAMA 2 DESA KOLAM</t>
  </si>
  <si>
    <t>DESA KOLAM</t>
  </si>
  <si>
    <t>ANGGA HAKIM LUBIS</t>
  </si>
  <si>
    <t>199309212025211059</t>
  </si>
  <si>
    <t>Sistem Informasi</t>
  </si>
  <si>
    <t>Sekolah Tinggi Teknik Harapan Medan</t>
  </si>
  <si>
    <t>angga.lubiz@yahoo.com</t>
  </si>
  <si>
    <t>MEDAN,
21 SEPTEMBER 1993</t>
  </si>
  <si>
    <t>Jl. Prof H M Yamin SH Gg. Habir No. 31 Medan</t>
  </si>
  <si>
    <t>Sei Kera Hulu</t>
  </si>
  <si>
    <t>ARIF HANDRIAN</t>
  </si>
  <si>
    <t>199404202025211083</t>
  </si>
  <si>
    <t>Tenaga Kebersihan UPT V BAPENDA Kota MedanI</t>
  </si>
  <si>
    <t>Ilmu Pengetahuan Sosial</t>
  </si>
  <si>
    <t>SMA Darma Pancasila</t>
  </si>
  <si>
    <t>Arifhandrian335@gmail.com</t>
  </si>
  <si>
    <t>MEDAN,
20 APRIL 1994</t>
  </si>
  <si>
    <t>jl.genteng, no 10 LK III</t>
  </si>
  <si>
    <t>Sumatra Utara</t>
  </si>
  <si>
    <t>Delitua</t>
  </si>
  <si>
    <t>ASWAN</t>
  </si>
  <si>
    <t>197606042025211047</t>
  </si>
  <si>
    <t>Tenaga Supir BAPENDA Kota Medan</t>
  </si>
  <si>
    <t>MEDAN,
04 JUNI 1976</t>
  </si>
  <si>
    <t>AWALIA PANCA PERMATA SARI</t>
  </si>
  <si>
    <t>199005132025212085</t>
  </si>
  <si>
    <t>SWASTA SANDHY PUTRA 2 MEDAN</t>
  </si>
  <si>
    <t>lieyadealopha90@gmail.com</t>
  </si>
  <si>
    <t>MEDAN,
13 MEI 1990</t>
  </si>
  <si>
    <t>JL.KARYA TANI NO 90B MEDAN</t>
  </si>
  <si>
    <t>AZHARI PULUNGAN</t>
  </si>
  <si>
    <t>198910242025211075</t>
  </si>
  <si>
    <t>Tenaga Keamanan Kantor BAPENDA Kota Medan</t>
  </si>
  <si>
    <t>Tehnik Mesin</t>
  </si>
  <si>
    <t>Sekolah Menengah Kejuruan Swasta Dwiwarna 2 Medan</t>
  </si>
  <si>
    <t>pulunganazhari49@gmail.com</t>
  </si>
  <si>
    <t>MEDAN,
24 OKTOBER 1989</t>
  </si>
  <si>
    <t>Jl Karya Muda No 33 Lk VI</t>
  </si>
  <si>
    <t>Pangkalan Masyhur</t>
  </si>
  <si>
    <t>AZRIEL ILYAS HARAHAP</t>
  </si>
  <si>
    <t>200109182025211008</t>
  </si>
  <si>
    <t>NEGERI 13 MEDAN</t>
  </si>
  <si>
    <t>Azrielilyash@gmail.com</t>
  </si>
  <si>
    <t>PADANG SIDEMPUAN,
18 SEPTEMBER 2001</t>
  </si>
  <si>
    <t>BAHRUM</t>
  </si>
  <si>
    <t>198509262025211058</t>
  </si>
  <si>
    <t>Tenaga Keamanan UPT Wil I BAPENDA Kota Medan</t>
  </si>
  <si>
    <t>SEKOLAH MENENGAH KEJURUAN MAYJEND SUTOYO. SM</t>
  </si>
  <si>
    <t>murhabsanusi@gmail.com</t>
  </si>
  <si>
    <t>ASAHAN,
26 SEPTEMBER 1985</t>
  </si>
  <si>
    <t>JL. JENDRAL GATOT SUBROTO GG FAMILY</t>
  </si>
  <si>
    <t>SEI SIKAMBING C II</t>
  </si>
  <si>
    <t>DANIEL RIZKI TEVIN</t>
  </si>
  <si>
    <t>199806022025211024</t>
  </si>
  <si>
    <t>Sekolah Menengah Atas Negeri 8 Medan</t>
  </si>
  <si>
    <t>danieltevin70@gmail.com</t>
  </si>
  <si>
    <t>MEDAN,
02 JUNI 1998</t>
  </si>
  <si>
    <t>Jl. Pahlawan GG. Lumumba no 45</t>
  </si>
  <si>
    <t>Sumatera utara</t>
  </si>
  <si>
    <t>Medan perjuangan</t>
  </si>
  <si>
    <t>Pahlawan</t>
  </si>
  <si>
    <t>DARMAWAN SAHPUTRA</t>
  </si>
  <si>
    <t>197604012025211053</t>
  </si>
  <si>
    <t>STM SWASTA LESTARI</t>
  </si>
  <si>
    <t>darmawansyahputra091@gmail.com</t>
  </si>
  <si>
    <t>MEDAN,
01 APRIL 1976</t>
  </si>
  <si>
    <t>Jl. C Karya Gg Mesjid No. 9</t>
  </si>
  <si>
    <t>MEDAN POLONIA</t>
  </si>
  <si>
    <t>SARIREJO</t>
  </si>
  <si>
    <t>DEDY IRWAN</t>
  </si>
  <si>
    <t>197210162025211014</t>
  </si>
  <si>
    <t>Universitas Islam Sumatera Utara</t>
  </si>
  <si>
    <t>dedyirwan1972@gmail.com</t>
  </si>
  <si>
    <t>MEDAN,
16 OKTOBER 1972</t>
  </si>
  <si>
    <t>Jl. Bangun Sari III No.47</t>
  </si>
  <si>
    <t>DENNY SYAHPUTRA</t>
  </si>
  <si>
    <t>199007092025211078</t>
  </si>
  <si>
    <t>Tenaga Keamanan UPT WIL V BAPENDA Kota MedanI</t>
  </si>
  <si>
    <t>Manajemen Informatika</t>
  </si>
  <si>
    <t>Sekolah Tinggi Manajemen Informatika dan Komputer Triguna Dharma</t>
  </si>
  <si>
    <t>denny3613@gmail.com</t>
  </si>
  <si>
    <t>MEDAN,
09 JULI 1990</t>
  </si>
  <si>
    <t>Dusun Asih Desa Sudirejo</t>
  </si>
  <si>
    <t>Namo Rambe</t>
  </si>
  <si>
    <t>Sudirejo</t>
  </si>
  <si>
    <t>DESSY SUSAN ANGGREINI SE</t>
  </si>
  <si>
    <t>198012112025212043</t>
  </si>
  <si>
    <t>SEKOLAH TINGGI ILMU EKONOMI HARAPAN MEDAN</t>
  </si>
  <si>
    <t>anggreini7880@gmail.com</t>
  </si>
  <si>
    <t>MEDAN,
11 DESEMBER 1980</t>
  </si>
  <si>
    <t>KOMP JOHOR PERMAI MELINJO RAYA NO 5</t>
  </si>
  <si>
    <t>DEWI SEKAR SARI</t>
  </si>
  <si>
    <t>199312312025212105</t>
  </si>
  <si>
    <t>Tenaga Kebersihan UPT V BAPENDA Kota Medan</t>
  </si>
  <si>
    <t>KEUANGAN</t>
  </si>
  <si>
    <t>SMK SWASTA GAJAH MADA</t>
  </si>
  <si>
    <t>0815-3544-1321</t>
  </si>
  <si>
    <t>dewiiisekar88@gmail.com</t>
  </si>
  <si>
    <t>MEDAN,
31 DESEMBER 1993</t>
  </si>
  <si>
    <t>JL MENTENG II GG. JERMAL II UJUNG</t>
  </si>
  <si>
    <t>MEDAN DENAI</t>
  </si>
  <si>
    <t>BINJAI</t>
  </si>
  <si>
    <t>DIANA ELFIANI MANIK</t>
  </si>
  <si>
    <t>199010082025212077</t>
  </si>
  <si>
    <t>SWASTA KEMALA BHAYANGKARI I MEDAN</t>
  </si>
  <si>
    <t>yanamedan83@gmail.com</t>
  </si>
  <si>
    <t>MEDAN,
08 OKTOBER 1990</t>
  </si>
  <si>
    <t>Dusun VIII Jl. Sei Mencirim</t>
  </si>
  <si>
    <t>Medan Krio</t>
  </si>
  <si>
    <t>DIMAS NUGRAHA ADIN PRATAMA</t>
  </si>
  <si>
    <t>199507212025211092</t>
  </si>
  <si>
    <t>dimasnugrahaap@gmail.com</t>
  </si>
  <si>
    <t>MEDAN,
21 JULI 1995</t>
  </si>
  <si>
    <t>Komp. Bumi Seroja Permai Blok A No.1 Medan Sunggal, Sumatera Utara</t>
  </si>
  <si>
    <t>DWI PUSPITA SARI SYAHNAN</t>
  </si>
  <si>
    <t>199408202025212127</t>
  </si>
  <si>
    <t>dwisyahnan20@gmail.com</t>
  </si>
  <si>
    <t>MEDAN,
20 AGUSTUS 1994</t>
  </si>
  <si>
    <t>Jl. Abd Hakim Gg. Setia No. 8</t>
  </si>
  <si>
    <t>FAUZAN SHAUFI</t>
  </si>
  <si>
    <t>199504182025211070</t>
  </si>
  <si>
    <t>HUKUM</t>
  </si>
  <si>
    <t>ezannasution77@gmail.com</t>
  </si>
  <si>
    <t>MEDAN,
18 APRIL 1995</t>
  </si>
  <si>
    <t>KOMP MENTENG INDAH BLOK D 8 NO 18</t>
  </si>
  <si>
    <t>MEDAN TENGGARA</t>
  </si>
  <si>
    <t>FERI HIDAYATI LUBIS</t>
  </si>
  <si>
    <t>198002242025212020</t>
  </si>
  <si>
    <t>SMK PGRI-8 MEDAN</t>
  </si>
  <si>
    <t>ferihidayati326@gmail.com</t>
  </si>
  <si>
    <t>MEDAN,
24 FEBRUARI 1980</t>
  </si>
  <si>
    <t>FITRIANDA</t>
  </si>
  <si>
    <t>198205212025211045</t>
  </si>
  <si>
    <t>IPA</t>
  </si>
  <si>
    <t>SMU MULIA DAN PENCAWAN</t>
  </si>
  <si>
    <t>fitrianda8213@gmail.com</t>
  </si>
  <si>
    <t>MEDAN,
21 MEI 1982</t>
  </si>
  <si>
    <t>Jl. Bangun Sari III No. 31</t>
  </si>
  <si>
    <t>GUDO HARIONO</t>
  </si>
  <si>
    <t>198205282025211059</t>
  </si>
  <si>
    <t>MANAJEMEN INFORMATIKA DAN KOMPUTER</t>
  </si>
  <si>
    <t>AMIK HARAPAN MEDAN</t>
  </si>
  <si>
    <t>godohariono3@gmail.com</t>
  </si>
  <si>
    <t>MEDAN,
28 MEI 1982</t>
  </si>
  <si>
    <t>JL. MAWAR LINK IV SARI REJO POLONIA</t>
  </si>
  <si>
    <t>SARI REJO</t>
  </si>
  <si>
    <t>HENDRI WALUYO</t>
  </si>
  <si>
    <t>198301232025211054</t>
  </si>
  <si>
    <t>SWASTA ISTIQLAL</t>
  </si>
  <si>
    <t>0853 6102 2552</t>
  </si>
  <si>
    <t>waluyohendri09@gmailcom</t>
  </si>
  <si>
    <t>MEDAN,
23 JANUARI 1983</t>
  </si>
  <si>
    <t>JL. KARYA TANI NO. 15 B LK VIII</t>
  </si>
  <si>
    <t>PANGKALAN MASYHUR</t>
  </si>
  <si>
    <t>HIRWANSYAH PUTRA HASIBUAN</t>
  </si>
  <si>
    <t>198802162025211068</t>
  </si>
  <si>
    <t>Tenaga Keamanan UPT Wil I BAPENDA Kota MedanV</t>
  </si>
  <si>
    <t>SMA KARYA MANDIRI</t>
  </si>
  <si>
    <t>hirwansyahputrahasibuan@gmail.com</t>
  </si>
  <si>
    <t>MEDAN,
16 FEBRUARI 1988</t>
  </si>
  <si>
    <t>JL PROF H M YAMIN GG AREN NO 32</t>
  </si>
  <si>
    <t>MEDAN (KOTA)</t>
  </si>
  <si>
    <t>SEI KERA HULU</t>
  </si>
  <si>
    <t>HUSNI AMZAD</t>
  </si>
  <si>
    <t>197706172025211041</t>
  </si>
  <si>
    <t>Tenaga Keamanan UPT WIL V BAPENDA Kota MedanII</t>
  </si>
  <si>
    <t>SEKOLAH MENENGAH UMUM TINGKAT ATAS SWASTA PERSATUAN AMAL BAKTI - 6 HELVETIA</t>
  </si>
  <si>
    <t>husni69389@gmail.com</t>
  </si>
  <si>
    <t>DELI SERDANG,
17 JUNI 1977</t>
  </si>
  <si>
    <t>DUSUN III</t>
  </si>
  <si>
    <t>SEI BAHARU</t>
  </si>
  <si>
    <t>INDRA</t>
  </si>
  <si>
    <t>197507052025211061</t>
  </si>
  <si>
    <t>SMP</t>
  </si>
  <si>
    <t>KELOMPOK BELAJAR ANANDA DELITUA</t>
  </si>
  <si>
    <t>nurhayati555@gmail.com</t>
  </si>
  <si>
    <t>MEDAN,
05 JULI 1975</t>
  </si>
  <si>
    <t>Jl. Karyawan No 14 LK VIII</t>
  </si>
  <si>
    <t>Pangkalan Mansyur</t>
  </si>
  <si>
    <t>IRHAM ASMAR</t>
  </si>
  <si>
    <t>198402102025211071</t>
  </si>
  <si>
    <t>TEKNIK KOMPUTER</t>
  </si>
  <si>
    <t>SISINGAMANGARAJA XII MEDAN</t>
  </si>
  <si>
    <t>irhamasmar1@gmail.com</t>
  </si>
  <si>
    <t>MEDAN,
10 FEBRUARI 1984</t>
  </si>
  <si>
    <t>JALAN PASAR PAGI NO 8 TANJUNG MULIA MEDAN</t>
  </si>
  <si>
    <t>MEDAN DELI</t>
  </si>
  <si>
    <t>TANJUNG MULIA</t>
  </si>
  <si>
    <t>IRMA</t>
  </si>
  <si>
    <t>198712102025212074</t>
  </si>
  <si>
    <t>KOMPUTER</t>
  </si>
  <si>
    <t>SEKOLAH TINGGI MANAJEMEN INFORMATIKA DAN KOMPUTER TRIGUNA DHARMA</t>
  </si>
  <si>
    <t>0819 9022 5493</t>
  </si>
  <si>
    <t>irmadoank5870@gmail.com</t>
  </si>
  <si>
    <t>DELI SERDANG,
10 DESEMBER 1987</t>
  </si>
  <si>
    <t>DUSUN II</t>
  </si>
  <si>
    <t>DALU X A</t>
  </si>
  <si>
    <t>IRNA RUSLAINI LUBIS</t>
  </si>
  <si>
    <t>199310052025212080</t>
  </si>
  <si>
    <t>Psikologi</t>
  </si>
  <si>
    <t>irnaruslainilubis@gmail.com</t>
  </si>
  <si>
    <t>MEDAN,
05 OKTOBER 1993</t>
  </si>
  <si>
    <t>Dusun V. P. Asabri</t>
  </si>
  <si>
    <t>Biru-biru</t>
  </si>
  <si>
    <t>Selamat</t>
  </si>
  <si>
    <t>IRWAN SYAH PUTRA</t>
  </si>
  <si>
    <t>197504062025211052</t>
  </si>
  <si>
    <t>Sekolah Menengah Ekonomi Atas</t>
  </si>
  <si>
    <t>merlev749@gmail.com</t>
  </si>
  <si>
    <t>MEDAN,
06 APRIL 1975</t>
  </si>
  <si>
    <t>Jl. Rawa Gg. Bilal No. 16</t>
  </si>
  <si>
    <t>Tegal Sari Mandala III</t>
  </si>
  <si>
    <t>JAMAL KLANA</t>
  </si>
  <si>
    <t>199205012025211083</t>
  </si>
  <si>
    <t>SMA SWASTA RAKYAT SEI GLUGUR</t>
  </si>
  <si>
    <t>0823 6566 7264</t>
  </si>
  <si>
    <t>jamalgaul0105@gmail.com</t>
  </si>
  <si>
    <t>DELI SERDANG,
01 MEI 1992</t>
  </si>
  <si>
    <t>DUSUN VI PURWOJOYO</t>
  </si>
  <si>
    <t>SUKA MAJU</t>
  </si>
  <si>
    <t>JULIAWAN KESUMA</t>
  </si>
  <si>
    <t>198807292025211060</t>
  </si>
  <si>
    <t>UNIVERSITAS BUDI DHARMA</t>
  </si>
  <si>
    <t>juliawankesuma@gmail.com</t>
  </si>
  <si>
    <t>MEDAN,
29 JULI 1988</t>
  </si>
  <si>
    <t>JL. MEDAN AREA SELATAN GG CITRO NO 6/968</t>
  </si>
  <si>
    <t>SUKARAMAI I</t>
  </si>
  <si>
    <t>KHAIDIR ALI</t>
  </si>
  <si>
    <t>199304242025211115</t>
  </si>
  <si>
    <t>Akutansi</t>
  </si>
  <si>
    <t>Universitas Muhammdiyah Sumatera Utara</t>
  </si>
  <si>
    <t>khaidirali812@gmail.com</t>
  </si>
  <si>
    <t>MEDAN,
24 APRIL 1993</t>
  </si>
  <si>
    <t>JL.AIR BERSIH UJUNG NO.224 MEDAN</t>
  </si>
  <si>
    <t>KUKUH RISTIYONO</t>
  </si>
  <si>
    <t>197403172025211025</t>
  </si>
  <si>
    <t>AUTOMOTIF</t>
  </si>
  <si>
    <t>STM SWASTA YBPK QUICKLY MEDAN</t>
  </si>
  <si>
    <t>cocotio696@gmail.com</t>
  </si>
  <si>
    <t>MEDAN,
17 MARET 1974</t>
  </si>
  <si>
    <t>JL.D.TUA KM 8,25</t>
  </si>
  <si>
    <t>DELI TUA</t>
  </si>
  <si>
    <t>SUKA MAKMUR</t>
  </si>
  <si>
    <t>M SYAIFUL BAHRI</t>
  </si>
  <si>
    <t>197701122025211034</t>
  </si>
  <si>
    <t>OTOMOTIF MESIN</t>
  </si>
  <si>
    <t>SMK SWASTA TELADAN</t>
  </si>
  <si>
    <t>0859 2373 1180</t>
  </si>
  <si>
    <t>saifulbahri32832@gmail.com</t>
  </si>
  <si>
    <t>DELI SERDANG,
12 JANUARI 1977</t>
  </si>
  <si>
    <t>JL. PENDIDIKAN NO. 21/15</t>
  </si>
  <si>
    <t>MEDAN TIMUR</t>
  </si>
  <si>
    <t>GLUGUR DARAT I</t>
  </si>
  <si>
    <t>M. IKHSAN LUBIS</t>
  </si>
  <si>
    <t>198910242025211103</t>
  </si>
  <si>
    <t>ikhsanlubis10@gmail.com</t>
  </si>
  <si>
    <t>MANDAILING NATAL,
24 OKTOBER 1989</t>
  </si>
  <si>
    <t>JL PISANG NO 58-52 MEDAN</t>
  </si>
  <si>
    <t>MEDAN BARAT</t>
  </si>
  <si>
    <t>SILALAS</t>
  </si>
  <si>
    <t>000/000</t>
  </si>
  <si>
    <t>M.RIVAN SYAHPUTRA</t>
  </si>
  <si>
    <t>198708172025211110</t>
  </si>
  <si>
    <t>TEKNIK ENERGI LISTRIK</t>
  </si>
  <si>
    <t>UNIVERSITAS HARAPAN MEDAN</t>
  </si>
  <si>
    <t>rivan.syahdahlan@gmail.com</t>
  </si>
  <si>
    <t>MEDAN,
17 AGUSTUS 1987</t>
  </si>
  <si>
    <t>JL JERMAL XII NO 8</t>
  </si>
  <si>
    <t>DENAI</t>
  </si>
  <si>
    <t>M.TAUFIK</t>
  </si>
  <si>
    <t>199411142025211051</t>
  </si>
  <si>
    <t>Tenaga Kebersihan UPT I BAPENDA Kota MedanI</t>
  </si>
  <si>
    <t>TEKNIK OTOMOTIF</t>
  </si>
  <si>
    <t>SWASTA AL WASHLIYAH 4 MEDAN</t>
  </si>
  <si>
    <t>topikuser2016@gmail.com</t>
  </si>
  <si>
    <t>MEDAN,
14 NOVEMBER 1994</t>
  </si>
  <si>
    <t>JL NUSANTARA DUSUN IX</t>
  </si>
  <si>
    <t>BANDAR KLIPPA</t>
  </si>
  <si>
    <t>MARNO</t>
  </si>
  <si>
    <t>197603262025211020</t>
  </si>
  <si>
    <t>Tenaga Keamanan UPT Wil I BAPENDA Kota MedanI</t>
  </si>
  <si>
    <t>MEDAN,
26 MARET 1976</t>
  </si>
  <si>
    <t>MAYA INDHI RAYANTHI</t>
  </si>
  <si>
    <t>198305222025212035</t>
  </si>
  <si>
    <t>mayaindira18@gmail.com</t>
  </si>
  <si>
    <t>LABUHANBATU UTARA,
22 MEI 1983</t>
  </si>
  <si>
    <t>MHD. RAMADHAN LUBIS</t>
  </si>
  <si>
    <t>199008142025211081</t>
  </si>
  <si>
    <t>TEKNIK MEKANIK OTOMOTIF</t>
  </si>
  <si>
    <t>SEKOLAH MENENGAH KEJURUAN SWASTA MEDAN PUTRI</t>
  </si>
  <si>
    <t>danilubis008@gmail.com</t>
  </si>
  <si>
    <t>MEDAN,
14 AGUSTUS 1990</t>
  </si>
  <si>
    <t>JL RAKYAT NO 3A</t>
  </si>
  <si>
    <t>SIDORAME TIMUR</t>
  </si>
  <si>
    <t>MHD.FAHRIZAL</t>
  </si>
  <si>
    <t>199608292025211043</t>
  </si>
  <si>
    <t>SMK SWASTA NUR HASANAH 1</t>
  </si>
  <si>
    <t>mhdfahrizal3@gmail.com</t>
  </si>
  <si>
    <t>MEDAN,
29 AGUSTUS 1996</t>
  </si>
  <si>
    <t>KOMP. ARDAGUSEMA UNDIAN LK V</t>
  </si>
  <si>
    <t>DELI TUA TIMUR</t>
  </si>
  <si>
    <t>MIFTACHULLOH</t>
  </si>
  <si>
    <t>198105232025211084</t>
  </si>
  <si>
    <t>MADRASAH TSANAWIYAH MASAHLAHIYAH</t>
  </si>
  <si>
    <t>miftasany77@gmail.com</t>
  </si>
  <si>
    <t>KEDIRI,
23 MEI 1981</t>
  </si>
  <si>
    <t>JL. GAPERTA GG KELUARGA NO.277 E</t>
  </si>
  <si>
    <t>MEDAN HELVETIAN</t>
  </si>
  <si>
    <t>HELVETIA</t>
  </si>
  <si>
    <t>MUHAMAD ADITYA FAHREVI LUBIS</t>
  </si>
  <si>
    <t>199808172025211089</t>
  </si>
  <si>
    <t>SEKOLAH MENENGAH ATAS NEGERI 13 MEDAN</t>
  </si>
  <si>
    <t>adityafahrevi@gmail.com</t>
  </si>
  <si>
    <t>MEDAN,
17 AGUSTUS 1998</t>
  </si>
  <si>
    <t>JL. BAJAK II H GG. COKLAT 2 NO. 51 C MEDAN AMPLAS</t>
  </si>
  <si>
    <t>MEDAN AMPLAS</t>
  </si>
  <si>
    <t>HARJOSARI 2</t>
  </si>
  <si>
    <t>MUHAMMAD AIDIL FITRA LUBIS</t>
  </si>
  <si>
    <t>199303272025211122</t>
  </si>
  <si>
    <t>TEKNIK KETENAGALISTRIKAN</t>
  </si>
  <si>
    <t>SWASTA AL- WASHLIYAH 4 MEDAN</t>
  </si>
  <si>
    <t>akumelodyy@gmail.com</t>
  </si>
  <si>
    <t>MEDAN,
27 MARET 1993</t>
  </si>
  <si>
    <t>JL WILLIEM ISKANDAR NO 99</t>
  </si>
  <si>
    <t>SIDOREJO</t>
  </si>
  <si>
    <t>MUHAMMAD ALFIYANDI</t>
  </si>
  <si>
    <t>200101032025211029</t>
  </si>
  <si>
    <t>TEKNIK KETENAGA LISTRIKAN</t>
  </si>
  <si>
    <t>SMK NEGERI 2 MEDAN</t>
  </si>
  <si>
    <t>mhdalfii99@gmail.com</t>
  </si>
  <si>
    <t>MEDAN,
03 JANUARI 2001</t>
  </si>
  <si>
    <t>Jl Teh VI No I Perumnas Simalingkar</t>
  </si>
  <si>
    <t>Medan tuntungan</t>
  </si>
  <si>
    <t>Mangga</t>
  </si>
  <si>
    <t>MUHAMMAD HADI SYAHPUTRA</t>
  </si>
  <si>
    <t>198705262025211054</t>
  </si>
  <si>
    <t>Universitas Medan Area</t>
  </si>
  <si>
    <t>adityarahmatsyah@gmail.com</t>
  </si>
  <si>
    <t>BINJAI,
26 MEI 1987</t>
  </si>
  <si>
    <t>Jl . Mistar komp. Kejaksaan No 59 J</t>
  </si>
  <si>
    <t>Sei Putih barat</t>
  </si>
  <si>
    <t>MUHAMMAD INDRA HARAHAP</t>
  </si>
  <si>
    <t>199012112025211085</t>
  </si>
  <si>
    <t>Ilmu Pengetahuan Alam</t>
  </si>
  <si>
    <t>SMA Negeri 16 Medan</t>
  </si>
  <si>
    <t>harahapoloan969@gmail.com</t>
  </si>
  <si>
    <t>MEDAN,
11 DESEMBER 1990</t>
  </si>
  <si>
    <t>Jl Marelan Raya Gg Rasmi No.18</t>
  </si>
  <si>
    <t>Medan Marelan</t>
  </si>
  <si>
    <t>Tanah Enam Ratus</t>
  </si>
  <si>
    <t>MUHAMMAD IQBAL SIREGAR</t>
  </si>
  <si>
    <t>199611172025211047</t>
  </si>
  <si>
    <t>Universitas Amir Hamzah</t>
  </si>
  <si>
    <t>MEDAN,
17 NOVEMBER 1996</t>
  </si>
  <si>
    <t>Jl.garu 2a Gg.cempaka No.67 E</t>
  </si>
  <si>
    <t>sumatera utara</t>
  </si>
  <si>
    <t>medan amplas</t>
  </si>
  <si>
    <t>harjosari I</t>
  </si>
  <si>
    <t>MUHAMMAD MISWAR NASUTION</t>
  </si>
  <si>
    <t>199205012025211077</t>
  </si>
  <si>
    <t>Tenaga Kebersihan UPT I BAPENDA Kota Medan</t>
  </si>
  <si>
    <t>ILMU PENGETAHUAN SOSIAL</t>
  </si>
  <si>
    <t>SMA SWASTA PRAYATNA MEDAN</t>
  </si>
  <si>
    <t>mmizwarnst@gmail.com</t>
  </si>
  <si>
    <t>MEDAN,
01 MEI 1992</t>
  </si>
  <si>
    <t>JL LETDA SUJONO GG PERGURUAN NO 10</t>
  </si>
  <si>
    <t>MUHAMMAD YUSUF</t>
  </si>
  <si>
    <t>198501102025211071</t>
  </si>
  <si>
    <t>Tenaga Kebersihan UPT I BAPENDA Kota MedanII</t>
  </si>
  <si>
    <t>PKBM KREATIF</t>
  </si>
  <si>
    <t>yusuffatih77@gmail.com</t>
  </si>
  <si>
    <t>MEDAN,
10 JANUARI 1985</t>
  </si>
  <si>
    <t>JL. M. IDRIS GG. BECAK NO. 30/24</t>
  </si>
  <si>
    <t>MEDAN PETISAH</t>
  </si>
  <si>
    <t>SEI PUTIH TIMUR II</t>
  </si>
  <si>
    <t>NADA SAFARINA</t>
  </si>
  <si>
    <t>198405292025212037</t>
  </si>
  <si>
    <t>Sarjana Akuntasi</t>
  </si>
  <si>
    <t>MEDAN,
29 MEI 1984</t>
  </si>
  <si>
    <t>KOMPLEK CITRA WISATA BLOK IX NO 23</t>
  </si>
  <si>
    <t>NAZLISYAH RAMBE</t>
  </si>
  <si>
    <t>198909022025211077</t>
  </si>
  <si>
    <t>adzyebrownstone@gmail.com</t>
  </si>
  <si>
    <t>MEDAN,
02 SEPTEMBER 1989</t>
  </si>
  <si>
    <t>Jalan Pertahanan Gg. Pisang</t>
  </si>
  <si>
    <t>Kabupaten Deli Serdang</t>
  </si>
  <si>
    <t>Patumbak</t>
  </si>
  <si>
    <t>Patumbak Kampung</t>
  </si>
  <si>
    <t>NENGMAWATY LUBIS</t>
  </si>
  <si>
    <t>197803192025212013</t>
  </si>
  <si>
    <t>ADMINISTRASI PERKANTORAN</t>
  </si>
  <si>
    <t>SMK SWASTA TIMOR</t>
  </si>
  <si>
    <t>nengmawatylubis@gmail.com</t>
  </si>
  <si>
    <t>MEDAN,
19 MARET 1978</t>
  </si>
  <si>
    <t>Jl.GT.SUBROTO GG.WARGA NO.9-6</t>
  </si>
  <si>
    <t>NIA SYAHRINA BATUBARA A.MD</t>
  </si>
  <si>
    <t>199109282025212059</t>
  </si>
  <si>
    <t>Kesekretariatan</t>
  </si>
  <si>
    <t>niabatubara2809@gmail.com</t>
  </si>
  <si>
    <t>MEDAN,
28 SEPTEMBER 1991</t>
  </si>
  <si>
    <t>SEI AGUL</t>
  </si>
  <si>
    <t>NOVI PRATIWI</t>
  </si>
  <si>
    <t>199711292025212051</t>
  </si>
  <si>
    <t>ILMU PENGETAHUAN ALAM</t>
  </si>
  <si>
    <t>SMA SWASTA BUDI AGUNG KOTA MEDAN</t>
  </si>
  <si>
    <t>pratiwinovi24@gmail.com</t>
  </si>
  <si>
    <t>MEDAN,
29 NOVEMBER 1997</t>
  </si>
  <si>
    <t>JL MARELAN IX GG SERBA JADI LK VI</t>
  </si>
  <si>
    <t>MEDAN MARELAN</t>
  </si>
  <si>
    <t>TANAH ENAM RATUS</t>
  </si>
  <si>
    <t>NURHAWANI</t>
  </si>
  <si>
    <t>197212242025212011</t>
  </si>
  <si>
    <t>ILMU-ILMU AGAMA</t>
  </si>
  <si>
    <t>MADRASAH ALIYAH SUBULUSSALAM</t>
  </si>
  <si>
    <t>tanjunghani@gmail.com</t>
  </si>
  <si>
    <t>MANDAILING NATAL,
24 DESEMBER 1972</t>
  </si>
  <si>
    <t>SINGENGU JAE</t>
  </si>
  <si>
    <t>MANDAILING NATAL</t>
  </si>
  <si>
    <t>KOTANOPAN</t>
  </si>
  <si>
    <t>NURLINA SARI LUBIS</t>
  </si>
  <si>
    <t>198303012025212047</t>
  </si>
  <si>
    <t>SMK MMA-UISU</t>
  </si>
  <si>
    <t>0812 6330 0609</t>
  </si>
  <si>
    <t>sarinurlina25@gmail.com</t>
  </si>
  <si>
    <t>MEDAN,
01 MARET 1983</t>
  </si>
  <si>
    <t>JL. GARU II A NO. 73-A</t>
  </si>
  <si>
    <t>HARJOSARI 1</t>
  </si>
  <si>
    <t>NURMALA SIREGAR</t>
  </si>
  <si>
    <t>198910312025212051</t>
  </si>
  <si>
    <t>Sekolah Tinggi Manajemen Informatika Komputer ( MIKROSKIL ) Medan</t>
  </si>
  <si>
    <t>00 0000</t>
  </si>
  <si>
    <t>olasiregar89@gmail.com</t>
  </si>
  <si>
    <t>ASAHAN,
31 OKTOBER 1989</t>
  </si>
  <si>
    <t>Jl.Karya Darma Komp.Villa KArida Indah B-29</t>
  </si>
  <si>
    <t>NURRIYADI</t>
  </si>
  <si>
    <t>197502032025211022</t>
  </si>
  <si>
    <t>Listrik</t>
  </si>
  <si>
    <t>Yayasan Pendidikan Medan Putri</t>
  </si>
  <si>
    <t>ar8828844@gmail.com</t>
  </si>
  <si>
    <t>DELI SERDANG,
03 FEBRUARI 1975</t>
  </si>
  <si>
    <t>DUSUN XVI Gg. Sidorukun Klambir Lima Kebun</t>
  </si>
  <si>
    <t>Hamparan Perak</t>
  </si>
  <si>
    <t>Klambir Lima Kebun</t>
  </si>
  <si>
    <t>NUZULA AHMAD</t>
  </si>
  <si>
    <t>199709182025211033</t>
  </si>
  <si>
    <t>SEKOLAH TINGGI ILMU EKONOMI INDONESIA MEDAN</t>
  </si>
  <si>
    <t>nuzula.ahmad18@gmail.com</t>
  </si>
  <si>
    <t>SIMALUNGUN,
18 SEPTEMBER 1997</t>
  </si>
  <si>
    <t>JL. KAPT. M. JAMIL LUBIS NO.26</t>
  </si>
  <si>
    <t>PRAMANA PUTRA</t>
  </si>
  <si>
    <t>198908272025211059</t>
  </si>
  <si>
    <t>ILMU SOSIAL</t>
  </si>
  <si>
    <t>SWASTA WIDYASANA UTAMA</t>
  </si>
  <si>
    <t>Auliapramanaputra06@gmail.com</t>
  </si>
  <si>
    <t>MEDAN,
27 AGUSTUS 1989</t>
  </si>
  <si>
    <t>JL. KARYAWAN GG. SENTOSA NO.06 LK VIII MEDAN PANGKALAN MANSYUR MEDAN JOHOR KOTA MEDAN</t>
  </si>
  <si>
    <t>PURNAMA SIREGAR</t>
  </si>
  <si>
    <t>198711302025212051</t>
  </si>
  <si>
    <t>Madrasah Aliyah Swasta Muallimin Univa Medan</t>
  </si>
  <si>
    <t>Siregarpurnama762@gmail.com</t>
  </si>
  <si>
    <t>PADANG LAWAS,
30 NOVEMBER 1987</t>
  </si>
  <si>
    <t>Jl. Pancing V Lk. III</t>
  </si>
  <si>
    <t>Medan Labuhan</t>
  </si>
  <si>
    <t>Besar</t>
  </si>
  <si>
    <t>RACHMAWATI BR TARIGAN</t>
  </si>
  <si>
    <t>197702182025212018</t>
  </si>
  <si>
    <t>PERKANTORAN</t>
  </si>
  <si>
    <t>SMEA Swasta Bina Bersaudara</t>
  </si>
  <si>
    <t>rachma060619@gmail.com</t>
  </si>
  <si>
    <t>DELI SERDANG,
18 FEBRUARI 1977</t>
  </si>
  <si>
    <t>Dusun III GG Inpres Tanjung Selamat</t>
  </si>
  <si>
    <t>Tanjung Selamat</t>
  </si>
  <si>
    <t>RAHMAD BUDI</t>
  </si>
  <si>
    <t>198009232025211038</t>
  </si>
  <si>
    <t>Mas Teladan Medan</t>
  </si>
  <si>
    <t>budilubis231980@gmail.com</t>
  </si>
  <si>
    <t>MEDAN,
23 SEPTEMBER 1980</t>
  </si>
  <si>
    <t>Jl.Letda Sujono No.168 Lk.V</t>
  </si>
  <si>
    <t>RAMADHANI</t>
  </si>
  <si>
    <t>198107312025211053</t>
  </si>
  <si>
    <t>OTOMOTIF</t>
  </si>
  <si>
    <t>danidone128@gmail.com</t>
  </si>
  <si>
    <t>MEDAN,
31 JULI 1981</t>
  </si>
  <si>
    <t>JL GURILLA NO 128, KELURAHAN SEI KERAH HILIR II, KECAMATAN MEDAN PERJUANGAN, KOTA MEDAN, SUMATERA UT</t>
  </si>
  <si>
    <t>SEI KERAH HILIR II</t>
  </si>
  <si>
    <t>RANNES PANERANGAN HASIBUAN</t>
  </si>
  <si>
    <t>198611072025211107</t>
  </si>
  <si>
    <t>SEKOLAH MENENGAH ATAS NEGERI 1 HALONGONAN</t>
  </si>
  <si>
    <t>banghsb8@gmail.com</t>
  </si>
  <si>
    <t>TAPANULI SELATAN,
07 NOVEMBER 1986</t>
  </si>
  <si>
    <t>JL PRIMA GANG MELUR</t>
  </si>
  <si>
    <t>BANDAR KHALIFAH</t>
  </si>
  <si>
    <t>REZA KURNIAWAN</t>
  </si>
  <si>
    <t>199509112025211063</t>
  </si>
  <si>
    <t>Keamanan Jaringan Komputer</t>
  </si>
  <si>
    <t>rezakurniawan.s1cunpab@gmail.com</t>
  </si>
  <si>
    <t>MEDAN,
11 SEPTEMBER 1995</t>
  </si>
  <si>
    <t>Jl. Amal No. 33 Medan Sunggal</t>
  </si>
  <si>
    <t>Kelurahan Sunggal</t>
  </si>
  <si>
    <t>RUDI EDWARD DAMANIK</t>
  </si>
  <si>
    <t>198912072025211068</t>
  </si>
  <si>
    <t>Swasta Tri Sakti Pematangsiantar</t>
  </si>
  <si>
    <t>Edwarddamanik07@gmail.com</t>
  </si>
  <si>
    <t>SIMALUNGUN,
07 DESEMBER 1989</t>
  </si>
  <si>
    <t>Jl. Seroja no 18</t>
  </si>
  <si>
    <t>RULY MARDIAN</t>
  </si>
  <si>
    <t>198503102025211077</t>
  </si>
  <si>
    <t>SEKOLAH MENENGAH UMUM SWASTA NAHDLATUL ULAMA</t>
  </si>
  <si>
    <t>MEDAN,
10 MARET 1985</t>
  </si>
  <si>
    <t>DUSUN II JL KAPTEN SUMARSONO/JL MESJID GG RELA NO 25</t>
  </si>
  <si>
    <t>RUSLIADI</t>
  </si>
  <si>
    <t>197411022025211016</t>
  </si>
  <si>
    <t>Ilmu-ilmu Sosial</t>
  </si>
  <si>
    <t>SMA Swasta Sunggal</t>
  </si>
  <si>
    <t>Rusliadirusli965@gmail.com</t>
  </si>
  <si>
    <t>MEDAN,
02 NOVEMBER 1974</t>
  </si>
  <si>
    <t>Jl. Bunga Raya No. 87 Medan</t>
  </si>
  <si>
    <t>RUTH MEI LYN</t>
  </si>
  <si>
    <t>199305292025212075</t>
  </si>
  <si>
    <t>SISTEM INFORMASI</t>
  </si>
  <si>
    <t>UNIVERSITAS METHODIST INDONESIA</t>
  </si>
  <si>
    <t>ruthmeilyn29@gmail.com</t>
  </si>
  <si>
    <t>TEBING TINGGI,
29 MEI 1993</t>
  </si>
  <si>
    <t>JL. PASAR VII KANTIL XXII NO.2</t>
  </si>
  <si>
    <t>SEMPAKATA</t>
  </si>
  <si>
    <t>SAPARUDDIN HARAHAP</t>
  </si>
  <si>
    <t>197907052025211087</t>
  </si>
  <si>
    <t>SEKOLAH MENENGAH KEJURUAN SWASTA TUNAS BANGSA PADANGSIDIMPUAN</t>
  </si>
  <si>
    <t>Safaruddinhrp1980@gmail.com</t>
  </si>
  <si>
    <t>PADANG LAWAS UTARA,
05 JULI 1979</t>
  </si>
  <si>
    <t>Jl. Pancing V Lk III</t>
  </si>
  <si>
    <t>SEHAT SIDABUTAR</t>
  </si>
  <si>
    <t>198408132025211049</t>
  </si>
  <si>
    <t>MESIN OTOMOTIF</t>
  </si>
  <si>
    <t>SMK-2 SWASTA SATRIA BINJAI</t>
  </si>
  <si>
    <t>sehatsidabutar87@gmail.com</t>
  </si>
  <si>
    <t>DAIRI,
13 AGUSTUS 1984</t>
  </si>
  <si>
    <t>JL. KARYA JAYA NO 23-C MEDAN</t>
  </si>
  <si>
    <t>SITI ADABIAH PUTRI SIANTURI</t>
  </si>
  <si>
    <t>198810252025212073</t>
  </si>
  <si>
    <t>ILMU HUKUM</t>
  </si>
  <si>
    <t>UNIVERSITAS PEMBANGUNAN PANCA BUDI</t>
  </si>
  <si>
    <t>0853 6279 2937</t>
  </si>
  <si>
    <t>sitiadabiah7@gmail.com</t>
  </si>
  <si>
    <t>MEDAN,
25 OKTOBER 1988</t>
  </si>
  <si>
    <t>JL. HIU 8 NO. 256 BLOK A GRIYA MARTUBUNG 2</t>
  </si>
  <si>
    <t>MEDAN LABUHAN</t>
  </si>
  <si>
    <t>TANGKAHAN</t>
  </si>
  <si>
    <t>SITI AISYAH SIANTURI</t>
  </si>
  <si>
    <t>197703012025212013</t>
  </si>
  <si>
    <t>Tenaga Kebersihan UPT V BAPENDA Kota MedanII</t>
  </si>
  <si>
    <t>KONSENTRASI TEKNIK ENERGI LISTRIK</t>
  </si>
  <si>
    <t>0812 9899 6573</t>
  </si>
  <si>
    <t>itsmebiah88@gmail.com</t>
  </si>
  <si>
    <t>MEDAN,
01 MARET 1977</t>
  </si>
  <si>
    <t>SITI MAISYAROH</t>
  </si>
  <si>
    <t>199005222025212103</t>
  </si>
  <si>
    <t>UNIVERSITAS MUHAMMADIYAH SUMATERA UTARA</t>
  </si>
  <si>
    <t>0853 7378 8042</t>
  </si>
  <si>
    <t>syarahsyarah2@gmail.com</t>
  </si>
  <si>
    <t>ASAHAN,
22 MEI 1990</t>
  </si>
  <si>
    <t>JL. BUNGA ASOKA GG SUBUR NO. 20</t>
  </si>
  <si>
    <t>ASAM KUMBANG</t>
  </si>
  <si>
    <t>SITI PUTRI LUTHFIYYAH</t>
  </si>
  <si>
    <t>200008272025212027</t>
  </si>
  <si>
    <t>SARJANA EKONOMI</t>
  </si>
  <si>
    <t>sitiputriluthfiyyah@gmail.com</t>
  </si>
  <si>
    <t>MEDAN,
27 AGUSTUS 2000</t>
  </si>
  <si>
    <t>Jl. Eka Warni 1 No.15</t>
  </si>
  <si>
    <t>medan johor</t>
  </si>
  <si>
    <t>gedung johor</t>
  </si>
  <si>
    <t>SITI SAHARA PASARIBU</t>
  </si>
  <si>
    <t>198306082025212051</t>
  </si>
  <si>
    <t>Tenaga Kebersihan UPT I BAPENDA Kota MedanV</t>
  </si>
  <si>
    <t>MADRASAH ALIYAH SWASTA AL-MUKHLISHIN LUMUT</t>
  </si>
  <si>
    <t>0608sahara@gmail.com</t>
  </si>
  <si>
    <t>TAPANULI TENGAH,
08 JUNI 1983</t>
  </si>
  <si>
    <t>JL. KARYA GG MESJID NO. 3 B</t>
  </si>
  <si>
    <t>SULAIMAN ALAMSYAH NASUTION</t>
  </si>
  <si>
    <t>198106112025211051</t>
  </si>
  <si>
    <t>SEKOLAH MENENGAH ATAS SWASTA MULIA TANJUNG SARI</t>
  </si>
  <si>
    <t>alamsyahnst26@gmail.com</t>
  </si>
  <si>
    <t>MEDAN,
11 JUNI 1981</t>
  </si>
  <si>
    <t>JL EKA SUKA VII LK XIII MEDAN</t>
  </si>
  <si>
    <t>SUNARDI</t>
  </si>
  <si>
    <t>197206202025211030</t>
  </si>
  <si>
    <t>SWASTA ABDI NEGARA</t>
  </si>
  <si>
    <t>0813 7645 2734</t>
  </si>
  <si>
    <t>sunardigento123@gmail.com</t>
  </si>
  <si>
    <t>DELI SERDANG,
20 JUNI 1972</t>
  </si>
  <si>
    <t>DUSUN XIV EMPLASMEN</t>
  </si>
  <si>
    <t>SEI SEMAYANG</t>
  </si>
  <si>
    <t>T. IRWANSYAH</t>
  </si>
  <si>
    <t>197711212025211026</t>
  </si>
  <si>
    <t>bgwandu01@gmail.com</t>
  </si>
  <si>
    <t>MEDAN,
21 NOVEMBER 1977</t>
  </si>
  <si>
    <t>Jl. Tuba IV Gg Pembangunan I No. 6</t>
  </si>
  <si>
    <t>VICKRIE AL IKHSAN</t>
  </si>
  <si>
    <t>198503202025211070</t>
  </si>
  <si>
    <t>SMU SWASTA AL-ULUM</t>
  </si>
  <si>
    <t>vickriealikhsan85@gmail.com</t>
  </si>
  <si>
    <t>MEDAN,
20 MARET 1985</t>
  </si>
  <si>
    <t>JL. PAJAK RABAI PINTU 16 LK VI KEL MARTUBUNG</t>
  </si>
  <si>
    <t>MARTUBUNG</t>
  </si>
  <si>
    <t>WINDA LESTARI NAWANG WULAN</t>
  </si>
  <si>
    <t>197202052025212017</t>
  </si>
  <si>
    <t>SMK APIPSU</t>
  </si>
  <si>
    <t>windalestarinawangwulan@gmail.com</t>
  </si>
  <si>
    <t>MEDAN,
05 FEBRUARI 1972</t>
  </si>
  <si>
    <t>JL AR HAKIM GG SILA NO 2A</t>
  </si>
  <si>
    <t>TEGAL SARI II</t>
  </si>
  <si>
    <t>YETTI GUSMIRANDA</t>
  </si>
  <si>
    <t>199908042025212035</t>
  </si>
  <si>
    <t>SISTEM KOMPUTER PENGEMBANGAN INTERNET OF THINGS</t>
  </si>
  <si>
    <t>yettigusmiranda1999@gmail.com</t>
  </si>
  <si>
    <t>DELI SERDANG,
04 AGUSTUS 1999</t>
  </si>
  <si>
    <t>JL. SEROJA NO.18 A</t>
  </si>
  <si>
    <t>MEDAN SUNGGAL</t>
  </si>
  <si>
    <t>BIDANG 1</t>
  </si>
  <si>
    <t>IRVAN PARLINDUNGAN LUBIS, SE, MM</t>
  </si>
  <si>
    <t>198101012009021012</t>
  </si>
  <si>
    <t>KEPALA BIDANG HOTEL, RESTORAN, DAN HIBURAN BADAN PENDAPATAN DAERAH KOTA MEDAN</t>
  </si>
  <si>
    <t>III.b</t>
  </si>
  <si>
    <t>BIDANG HOTEL, RESTORAN, DAN HIBURAN BADAN PENDAPATAN DAERAH KOTA MEDAN</t>
  </si>
  <si>
    <t>irvanlubisIII@gmail.com</t>
  </si>
  <si>
    <t>MEDAN, 01 JANUARI 1981</t>
  </si>
  <si>
    <t>JL JERMAL XI GG SUBUR II NO 2B</t>
  </si>
  <si>
    <t>HADI WAHYUDI HARAHAP, S.STP, M.SP</t>
  </si>
  <si>
    <t>199312272015071001</t>
  </si>
  <si>
    <t>KEPALA SUB BIDANG TEKNIS HOTEL, RESTORAN, DAN HIBURAN BADAN PENDAPATAN DAERAH KOTA MEDAN</t>
  </si>
  <si>
    <t>SUB BIDANG TEKNIS HOTEL, RESTORAN, DAN HIBURAN BADAN PENDAPATAN DAERAH KOTA MEDAN</t>
  </si>
  <si>
    <t>Politik Pemerintahan</t>
  </si>
  <si>
    <t>21 Mei 2015</t>
  </si>
  <si>
    <t>Dhd.hady@yahoo.com</t>
  </si>
  <si>
    <t>MEDAN, 27 DESEMBER 1993</t>
  </si>
  <si>
    <t>JL. TUBA IV GG.PERINTIS V NO.2</t>
  </si>
  <si>
    <t>TEGAL SARI MANDAL III</t>
  </si>
  <si>
    <t>SETTA VERO TS, S.H.</t>
  </si>
  <si>
    <t>'196802261997031004</t>
  </si>
  <si>
    <t>823.3/198.K</t>
  </si>
  <si>
    <t>Walikota Medan</t>
  </si>
  <si>
    <t>KEPALA SUB BIDANG PEMBUKUAN DAN PELAPORAN BIDANG HOTEL, RESTORAN, DAN HIBURAN BADAN PENDAPATAN DAERAH KOTA MEDAN</t>
  </si>
  <si>
    <t>SUB BIDANG PEMBUKUAN DAN PELAPORAN BIDANG HOTEL, RESTORAN, DAN HIBURAN BADAN PENDAPATAN DAERAH KOTA MEDAN</t>
  </si>
  <si>
    <t>800.1.6.6/323.K26-08-2025</t>
  </si>
  <si>
    <t>Hukum Keperdataan</t>
  </si>
  <si>
    <t>UNTAG 45</t>
  </si>
  <si>
    <t>settavero68@gmail.com</t>
  </si>
  <si>
    <t>DELI SERDANG, 26 FEBRUARI 1968</t>
  </si>
  <si>
    <t>Jl.Bunga Terompet I No.9 kelurahan PB selayang II Kec. MEDAN SELAYANG</t>
  </si>
  <si>
    <t>RUSHENDRI, S.SOS, M.SI</t>
  </si>
  <si>
    <t>'196807161991031003</t>
  </si>
  <si>
    <t>823.4/1622/2013</t>
  </si>
  <si>
    <t>Gubernur Sumatera Utara</t>
  </si>
  <si>
    <t>821.29/1486.K23-12-2019</t>
  </si>
  <si>
    <t>Perencanaan Pembangunan Wilayah dan Pedesaan</t>
  </si>
  <si>
    <t>USU</t>
  </si>
  <si>
    <t>07 Juli 2007</t>
  </si>
  <si>
    <t>hendrirushendri@gmail.com</t>
  </si>
  <si>
    <t>MEDAN, 16 JULI 1968</t>
  </si>
  <si>
    <t>JL SUKA TERANG NO 10 LK.XI</t>
  </si>
  <si>
    <t>SUMIATI SIREGAR, S.SOS, M.SI</t>
  </si>
  <si>
    <t>'196903101989032003</t>
  </si>
  <si>
    <t>823.4/467/2015</t>
  </si>
  <si>
    <t>UNIVERSITAS BUNG HATTA</t>
  </si>
  <si>
    <t>sumiatisiregar2017@gmail.com</t>
  </si>
  <si>
    <t>TAPANULI SELATAN, 10 MARET 1969</t>
  </si>
  <si>
    <t>JL KARYA KASIH PERUMAHAN BUKIT JOHOR MAS BLOK E NO 16</t>
  </si>
  <si>
    <t>AHMAD SAI SAMOSIR, S.SOS, M.SI</t>
  </si>
  <si>
    <t>'196811241990071001</t>
  </si>
  <si>
    <t>823.4/2860/2016</t>
  </si>
  <si>
    <t>821.29/043.K27-01-2020</t>
  </si>
  <si>
    <t>a.n. Wali Kota Medan</t>
  </si>
  <si>
    <t>Magister Sains</t>
  </si>
  <si>
    <t>01 Januari 1970</t>
  </si>
  <si>
    <t>saisamosir@gmail.com</t>
  </si>
  <si>
    <t>MEDAN, 24 NOVEMBER 1968</t>
  </si>
  <si>
    <t>JL. KARYA DARMA PERUMAHAN PALAZZO NO. A1</t>
  </si>
  <si>
    <t>BAMBANG HENDRATMO, SE, M.M</t>
  </si>
  <si>
    <t>'196808031989031007</t>
  </si>
  <si>
    <t>188.4/1353/KPTS/2018</t>
  </si>
  <si>
    <t>MANAJEMEN SUMBER DAYA MANUSIA</t>
  </si>
  <si>
    <t>bahan68@gmail.com</t>
  </si>
  <si>
    <t>MEDAN, 03 AGUSTUS 1968</t>
  </si>
  <si>
    <t>Jl. Meteorologi III No. 10-A</t>
  </si>
  <si>
    <t>Indra Kasih</t>
  </si>
  <si>
    <t>ILHAM NUR, S.E, MM</t>
  </si>
  <si>
    <t>'196805021990071001</t>
  </si>
  <si>
    <t>823.4/1649/2019</t>
  </si>
  <si>
    <t>800.1.3.3/742.K25-06-2024</t>
  </si>
  <si>
    <t>ilhamnurn@yahoo.com</t>
  </si>
  <si>
    <t>SELESAI, 02 MEI 1968</t>
  </si>
  <si>
    <t>Jl. Jermal XV Gg. Mesjid No. 13 Medan</t>
  </si>
  <si>
    <t>Medan Tenggara</t>
  </si>
  <si>
    <t>YURIKA AVRILIA SIREGAR, S.STP</t>
  </si>
  <si>
    <t>'198404102002122003</t>
  </si>
  <si>
    <t>823.3/1030.K</t>
  </si>
  <si>
    <t>Sarjana Sains Terapan Pemerintahan</t>
  </si>
  <si>
    <t>STPDN</t>
  </si>
  <si>
    <t>15 Juli 2006</t>
  </si>
  <si>
    <t>yurikaraihan2010@gmail.com</t>
  </si>
  <si>
    <t>MEDAN, 10 APRIL 1984</t>
  </si>
  <si>
    <t>Komplek Pondok Surya Blok VI LK.VI No. 210</t>
  </si>
  <si>
    <t>Helvetia Timur</t>
  </si>
  <si>
    <t>ALVHANT SYAFRI</t>
  </si>
  <si>
    <t>'198107252010011008</t>
  </si>
  <si>
    <t>alvhantsyafri@gmail.com</t>
  </si>
  <si>
    <t>NATAL, 25 JULI 1981</t>
  </si>
  <si>
    <t>Jl. Pimpinan Gg. Ikhlas No. 2 Medan</t>
  </si>
  <si>
    <t>SEI KERAH HILIR I</t>
  </si>
  <si>
    <t>RAHADIAN EDWIN, S.E.</t>
  </si>
  <si>
    <t>'198009282010011014</t>
  </si>
  <si>
    <t>STIE Teladan Medan</t>
  </si>
  <si>
    <t>16 Desember 2003</t>
  </si>
  <si>
    <t>rahadianedwin1@gmail.com</t>
  </si>
  <si>
    <t>P.BRANDAN, 28 SEPTEMBER 1980</t>
  </si>
  <si>
    <t>JL PS II RINGROAD GG MERAK KOMP GRIYA PERMATA SARI NO. 24</t>
  </si>
  <si>
    <t>ANWAR YUSANDI NASUTION, S.E.</t>
  </si>
  <si>
    <t>'197810302008011017</t>
  </si>
  <si>
    <t>27 Mei 2006</t>
  </si>
  <si>
    <t>anwaryusandi1978@gmail.com</t>
  </si>
  <si>
    <t>MUARA SOMA, 30 OKTOBER 1978</t>
  </si>
  <si>
    <t>JL.LETDA SUJONO Gg.LANGSAT NO.22 MEDAN</t>
  </si>
  <si>
    <t>Bandar Selamat</t>
  </si>
  <si>
    <t>INDAH HAYATI TANJUNG, SE</t>
  </si>
  <si>
    <t>'198111092009022007</t>
  </si>
  <si>
    <t>823.3/2119.K</t>
  </si>
  <si>
    <t>09 Maret 2007</t>
  </si>
  <si>
    <t>indahhayati.se@gmail.com</t>
  </si>
  <si>
    <t>MEDAN, 09 NOVEMBER 1981</t>
  </si>
  <si>
    <t>Jl. Abadi Komplek Setiabudi Abadi Palace Blok B No 12</t>
  </si>
  <si>
    <t>Tanjung Rejo</t>
  </si>
  <si>
    <t>XX</t>
  </si>
  <si>
    <t>RUDI KURNIAWAN, S.E.</t>
  </si>
  <si>
    <t>'197601262010011011</t>
  </si>
  <si>
    <t>13 Mei 2000</t>
  </si>
  <si>
    <t>kurniawanrudi6494@gmail.com</t>
  </si>
  <si>
    <t>MEDAN, 26 JANUARI 1976</t>
  </si>
  <si>
    <t>Pasar 2/ Pertambangan Royal Setia Budi Residen E 3</t>
  </si>
  <si>
    <t>PB Selayang</t>
  </si>
  <si>
    <t>SYAHRAN HARAHAP, S.T.</t>
  </si>
  <si>
    <t>'197608162008011003</t>
  </si>
  <si>
    <t>800.1.3.2/869.K</t>
  </si>
  <si>
    <t>Teknik Elektro</t>
  </si>
  <si>
    <t>STT. Graha KIrana</t>
  </si>
  <si>
    <t>18 Desember 2007</t>
  </si>
  <si>
    <t>harahapsyahran@gmail.com</t>
  </si>
  <si>
    <t>MEDAN, 16 AGUSTUS 1976</t>
  </si>
  <si>
    <t>Jl. Karya Gg. Sehati No. 10</t>
  </si>
  <si>
    <t>Medan Barat</t>
  </si>
  <si>
    <t>Karang Berombak</t>
  </si>
  <si>
    <t>MUHAMMAD ICHSAN, S.H.</t>
  </si>
  <si>
    <t>'198505152010011019</t>
  </si>
  <si>
    <t>muhammad.ichsan61@yahoo.co.id</t>
  </si>
  <si>
    <t>LHOKSEUMAWE, 15 MEI 1985</t>
  </si>
  <si>
    <t>JL SUTRISNO GG CEMPAKA NO 32B</t>
  </si>
  <si>
    <t>Medan Area</t>
  </si>
  <si>
    <t>Kota Matsum</t>
  </si>
  <si>
    <t>DEDI DARMADI, S.T</t>
  </si>
  <si>
    <t>'198609082011011002</t>
  </si>
  <si>
    <t>21 Juni 2006</t>
  </si>
  <si>
    <t>Dedidarmadi40@gmail.com</t>
  </si>
  <si>
    <t>, 08 SEPTEMBER 1986</t>
  </si>
  <si>
    <t>SEI ROTAN GG. PENDAWA DALAM</t>
  </si>
  <si>
    <t>SITIREJO II</t>
  </si>
  <si>
    <t>MEITA BOINA NAPITUPULU, S.PI</t>
  </si>
  <si>
    <t>'198005032006042009</t>
  </si>
  <si>
    <t>823.1.2.3/213.K</t>
  </si>
  <si>
    <t>Ekonomi Perikanan</t>
  </si>
  <si>
    <t>Institut Pertanian Bogor</t>
  </si>
  <si>
    <t>meitaboina03@gmailcom</t>
  </si>
  <si>
    <t>AMBON, 03 MEI 1980</t>
  </si>
  <si>
    <t>JL BUNGA TERATAI NO 17</t>
  </si>
  <si>
    <t>MEDAN BARU</t>
  </si>
  <si>
    <t>GAMAL, S.E.</t>
  </si>
  <si>
    <t>'197212152009031002</t>
  </si>
  <si>
    <t>Keuangan</t>
  </si>
  <si>
    <t>STESA</t>
  </si>
  <si>
    <t>24 Maret 2001</t>
  </si>
  <si>
    <t>Gamal9404@gmail.com</t>
  </si>
  <si>
    <t>MEDAN, 15 DESEMBER 1972</t>
  </si>
  <si>
    <t>Perum citra menteng No. B-03</t>
  </si>
  <si>
    <t>NILAWATI</t>
  </si>
  <si>
    <t>'197712222009022005</t>
  </si>
  <si>
    <t>STIE Harapan Medan</t>
  </si>
  <si>
    <t>watin8052@gmail.com</t>
  </si>
  <si>
    <t>MEDAN, 22 DESEMBER 1977</t>
  </si>
  <si>
    <t>JL. BERINGIN RAYA KOMPLEK DANINTEL LK-IV</t>
  </si>
  <si>
    <t>RAJA HUMANY SIREGAR, SE, M.SI</t>
  </si>
  <si>
    <t>'198501222011011007</t>
  </si>
  <si>
    <t>800.1.3.3/962.K21-08-2024</t>
  </si>
  <si>
    <t>Ilmu Administrasi</t>
  </si>
  <si>
    <t>rajahumani@gmail.com</t>
  </si>
  <si>
    <t>MEDAN, 22 JANUARI 1985</t>
  </si>
  <si>
    <t>Jl. Seksama Gg. Pasti Barat N. 11</t>
  </si>
  <si>
    <t>SYAHRI DENNY LUBIS, S.E.</t>
  </si>
  <si>
    <t>'197906072005022002</t>
  </si>
  <si>
    <t>01 Maret 2000</t>
  </si>
  <si>
    <t>syahri.denie79@gmail.com</t>
  </si>
  <si>
    <t>MEDAN, 07 JUNI 1979</t>
  </si>
  <si>
    <t>JL. EKA WARNI NO. 22 B</t>
  </si>
  <si>
    <t>UMI UMAMI LUBIS, S.E.</t>
  </si>
  <si>
    <t>'198401162011012010</t>
  </si>
  <si>
    <t>umamie84@gmail.com</t>
  </si>
  <si>
    <t>MEDAN, 16 JANUARI 1984</t>
  </si>
  <si>
    <t>JL. BERSAMA NO 214 A MEDAN</t>
  </si>
  <si>
    <t>Bantan</t>
  </si>
  <si>
    <t>SUSILOWATI, S.P, M.M.</t>
  </si>
  <si>
    <t>'197104222008012001</t>
  </si>
  <si>
    <t>31 Januari 2025</t>
  </si>
  <si>
    <t>susilo_wati10@yahoo.co.id</t>
  </si>
  <si>
    <t>MEDAN, 22 APRIL 1971</t>
  </si>
  <si>
    <t>Jl. MULYO GG IKHLAS NO 16C</t>
  </si>
  <si>
    <t>Desa Kuta Tualah</t>
  </si>
  <si>
    <t>NURJANI HARAHAP</t>
  </si>
  <si>
    <t>'196802011993122005</t>
  </si>
  <si>
    <t>800.1.6.6/353.K14-09-2025</t>
  </si>
  <si>
    <t>Sekolah Tinggi Ilmu Ekonomi AL-Hikmah Medan</t>
  </si>
  <si>
    <t>nurjaniharahap@gmail.com</t>
  </si>
  <si>
    <t>TAPANULI SELATAN, 01 FEBRUARI 1968</t>
  </si>
  <si>
    <t>Jl. A MANAF LUBIS GG ENCONG NO 86D</t>
  </si>
  <si>
    <t>SARMILA BR. SEMBIRING, S.E.</t>
  </si>
  <si>
    <t>'197910082008012004</t>
  </si>
  <si>
    <t>STIE Pelita Bangsa</t>
  </si>
  <si>
    <t>16 Juli 2012</t>
  </si>
  <si>
    <t>sarmilasembiring@gmail.com</t>
  </si>
  <si>
    <t>TIGA BINANGA, 08 OKTOBER 1979</t>
  </si>
  <si>
    <t>Jl. Bunga Mawar XIV No. 2 a Medan</t>
  </si>
  <si>
    <t>Medan selayang</t>
  </si>
  <si>
    <t>Pb.selayang II</t>
  </si>
  <si>
    <t>KOKO MAGRISA FAISAL SIREGAR, S.E.</t>
  </si>
  <si>
    <t>'198305202010011029</t>
  </si>
  <si>
    <t>823.1.2.3/399.K</t>
  </si>
  <si>
    <t>STIE TELADAN MEDAN</t>
  </si>
  <si>
    <t>kokodoelsiregar@gmail.com</t>
  </si>
  <si>
    <t>TANAH ITAM ULU, 20 MEI 1983</t>
  </si>
  <si>
    <t>FLAMBOYAN KOMP. WAIKIKI NO. 1</t>
  </si>
  <si>
    <t>kotamadya medan</t>
  </si>
  <si>
    <t>Medan Tuntungan</t>
  </si>
  <si>
    <t>SRI WARDHANY, S.E.</t>
  </si>
  <si>
    <t>'198001122008012004</t>
  </si>
  <si>
    <t>Sekolah Tinggi Ilmu Ekonomi Al Hikmah Medan</t>
  </si>
  <si>
    <t>MEDAN, 12 JANUARI 1980</t>
  </si>
  <si>
    <t>JL.BAJAK II H KOMPLEK VILLA MARENDAL PERMAI BLOK G NO.1</t>
  </si>
  <si>
    <t>Harjosari II</t>
  </si>
  <si>
    <t>CHRISTIAN GINTING, S.E.</t>
  </si>
  <si>
    <t>'198012172010011016</t>
  </si>
  <si>
    <t>EKONOMI MANAJEMEN</t>
  </si>
  <si>
    <t>UNIVERSITAS SETIA BUDI MANDIRI</t>
  </si>
  <si>
    <t>00  0000</t>
  </si>
  <si>
    <t>christiangintingganteng@gmail.com</t>
  </si>
  <si>
    <t>MEDAN, 17 DESEMBER 1980</t>
  </si>
  <si>
    <t>Jl. Bunga Kantil No. 134</t>
  </si>
  <si>
    <t>ADNIN MAUDUDY LUBIS, S.E.</t>
  </si>
  <si>
    <t>'198301192010011022</t>
  </si>
  <si>
    <t>UNIVERSITAS AMIR HAMZAH</t>
  </si>
  <si>
    <t>19 Agustus 2013</t>
  </si>
  <si>
    <t>adninmaududylubis@gmail.com</t>
  </si>
  <si>
    <t>MEDAN, 19 JANUARI 1983</t>
  </si>
  <si>
    <t>WARINGIN NO.40-B</t>
  </si>
  <si>
    <t>Sekip</t>
  </si>
  <si>
    <t>NUR ARIFIN, S.H. M.M.</t>
  </si>
  <si>
    <t>'197306292006041003</t>
  </si>
  <si>
    <t>nr.arifin.nst@gmail.com</t>
  </si>
  <si>
    <t>LANGSA, 29 JUNI 1973</t>
  </si>
  <si>
    <t>Dusun XI Emplasment gg. Ar-Ridho</t>
  </si>
  <si>
    <t>Bandar Klippa</t>
  </si>
  <si>
    <t>NOVA DWIYANA, S.MN., M.SI</t>
  </si>
  <si>
    <t>'198111042011012006</t>
  </si>
  <si>
    <t>poep_zuhra@yahoo.com</t>
  </si>
  <si>
    <t>MEDAN, 04 NOVEMBER 1981</t>
  </si>
  <si>
    <t>Jl. Flamboyan Raya Villa Setia Budi Flamboyan Blok Q No.24</t>
  </si>
  <si>
    <t>KHAIRLINA FIRST SARI CHAN, S.E.</t>
  </si>
  <si>
    <t>'198005122010012032</t>
  </si>
  <si>
    <t>28 Maret 2005</t>
  </si>
  <si>
    <t>khairlinafirstsari264@gmail.com</t>
  </si>
  <si>
    <t>SIBOLGA, 12 MEI 1980</t>
  </si>
  <si>
    <t>JL. EKA MELATI NO. 27 B LK III</t>
  </si>
  <si>
    <t>DONA ANDRIYANI HASIBUAN, SE</t>
  </si>
  <si>
    <t>'198610062010012024</t>
  </si>
  <si>
    <t>STIE Harapan</t>
  </si>
  <si>
    <t>19 Desember 2013</t>
  </si>
  <si>
    <t>donaandriyanihsb@gmail.com</t>
  </si>
  <si>
    <t>MEDAN, 06 OKTOBER 1986</t>
  </si>
  <si>
    <t>JL. KARYA WISATA KOMPLEK CITRA WISATA BLOK 14 NO 21</t>
  </si>
  <si>
    <t>PAHLAWAN</t>
  </si>
  <si>
    <t>ISNA ELFIRA TARIGAN, SE</t>
  </si>
  <si>
    <t>'198908312010012004</t>
  </si>
  <si>
    <t>800.1.3.2/913.K</t>
  </si>
  <si>
    <t>Ekonomi Pembangunan</t>
  </si>
  <si>
    <t>11 Juli 2014</t>
  </si>
  <si>
    <t>Isnatarigan@gmail.com</t>
  </si>
  <si>
    <t>KABANJAHE, 31 AGUSTUS 1989</t>
  </si>
  <si>
    <t>JL.PRONA NO.17 A LK.VII</t>
  </si>
  <si>
    <t>CINTA DAMAI</t>
  </si>
  <si>
    <t>AFRINAWATI PANE</t>
  </si>
  <si>
    <t>'197004261990032002</t>
  </si>
  <si>
    <t>Tata Usaha</t>
  </si>
  <si>
    <t>SMEA SWASTA TELADAN</t>
  </si>
  <si>
    <t>13 Mei 1989</t>
  </si>
  <si>
    <t>afrinawati.pane@gmail.com</t>
  </si>
  <si>
    <t>MEDAN, 26 APRIL 1970</t>
  </si>
  <si>
    <t>JL.SAKTI LUBIS GG PEGAWAI NO.38</t>
  </si>
  <si>
    <t>Medan Kota</t>
  </si>
  <si>
    <t>Siti Rejo I</t>
  </si>
  <si>
    <t>TENGKU FAUZIAH</t>
  </si>
  <si>
    <t>'197010101992082002</t>
  </si>
  <si>
    <t>823.3/160.K</t>
  </si>
  <si>
    <t>SMA Swasta Al-Washliyah-3 Medan</t>
  </si>
  <si>
    <t>tengkufauziah1070@gmail.com</t>
  </si>
  <si>
    <t>MEDAN, 10 OKTOBER 1970</t>
  </si>
  <si>
    <t>Jl. Garu IV No. 118 A medan</t>
  </si>
  <si>
    <t>HARJOSARI I</t>
  </si>
  <si>
    <t>MAYA SUHERA</t>
  </si>
  <si>
    <t>'197803201998032002</t>
  </si>
  <si>
    <t>823.1.2.3/108.K</t>
  </si>
  <si>
    <t>SMA SWASTA PAB I MEDAN ESTATE</t>
  </si>
  <si>
    <t>27 Mei 1996</t>
  </si>
  <si>
    <t>mayasuhera.bebi20@gmail.com</t>
  </si>
  <si>
    <t>MEDAN, 20 MARET 1978</t>
  </si>
  <si>
    <t>Jl Flamboyan 1/3 NO.2 KOMPLEK PEMDA TK II</t>
  </si>
  <si>
    <t>MULIANI ULFA</t>
  </si>
  <si>
    <t>'197603012000032004</t>
  </si>
  <si>
    <t>PERTANIAN</t>
  </si>
  <si>
    <t>Swasta SPP-SPMA Harapan Mekar</t>
  </si>
  <si>
    <t>01 Juni 1994</t>
  </si>
  <si>
    <t>auliaulfa21@gmail.com</t>
  </si>
  <si>
    <t>TITI PAPAN, 01 MARET 1976</t>
  </si>
  <si>
    <t>Marelan Indah Sumbawa I/51</t>
  </si>
  <si>
    <t>RENGAS PULAU</t>
  </si>
  <si>
    <t>ALI FAZRI HARAHAP</t>
  </si>
  <si>
    <t>'198009102002121004</t>
  </si>
  <si>
    <t>SMU Swasta Kemala Bhayangkari 1</t>
  </si>
  <si>
    <t>alifazrih@gmail.com</t>
  </si>
  <si>
    <t>MEDAN, 10 SEPTEMBER 1980</t>
  </si>
  <si>
    <t>Comp.Citra Menteng Residence  no.9 LK. IX</t>
  </si>
  <si>
    <t>EVI INDRIANI, A.MD.</t>
  </si>
  <si>
    <t>'198111282010012013</t>
  </si>
  <si>
    <t>Manajemen Perpajakan</t>
  </si>
  <si>
    <t>14 Oktober 2003</t>
  </si>
  <si>
    <t>vindriani2811@gmail.com</t>
  </si>
  <si>
    <t>P. SIANTAR, 28 NOVEMBER 1981</t>
  </si>
  <si>
    <t>Jl. Kawat III Lk. XXI</t>
  </si>
  <si>
    <t>Kotamadya Medan</t>
  </si>
  <si>
    <t>Medan Deli</t>
  </si>
  <si>
    <t>Tanjung Mulia Hilir</t>
  </si>
  <si>
    <t>RICKY NUZIRWAN, A.MD. S.AK</t>
  </si>
  <si>
    <t>'198803232010011006</t>
  </si>
  <si>
    <t>rickynuzirwan@gmail.com</t>
  </si>
  <si>
    <t>MEDAN, 23 MARET 1988</t>
  </si>
  <si>
    <t>Jln. ABD HAKIM KOMP. CLASSIC RESIDENCE LOK B NO.9</t>
  </si>
  <si>
    <t>RAHMAD PANUSUNAN SIREGAR, S.E</t>
  </si>
  <si>
    <t>'198409292009061001</t>
  </si>
  <si>
    <t>22 Agustus 2007</t>
  </si>
  <si>
    <t>siregarrafie@gmail.com</t>
  </si>
  <si>
    <t>MEDAN, 29 SEPTEMBER 1984</t>
  </si>
  <si>
    <t>JLN KARYA JAYA NO 106 MEDAN</t>
  </si>
  <si>
    <t>Pangkalan Mashyur</t>
  </si>
  <si>
    <t>REZA FAHMI, S.A.P.</t>
  </si>
  <si>
    <t>'198605222005021001</t>
  </si>
  <si>
    <t>Administrasi Publik</t>
  </si>
  <si>
    <t>rezafahmi013@gmail.com</t>
  </si>
  <si>
    <t>MEDAN, 22 MEI 1986</t>
  </si>
  <si>
    <t>jl. bambu V no 3</t>
  </si>
  <si>
    <t>DURIAN</t>
  </si>
  <si>
    <t>ARSAD HUSIN</t>
  </si>
  <si>
    <t>'196901052007011006</t>
  </si>
  <si>
    <t>823.3/429.K</t>
  </si>
  <si>
    <t>SMA Sw. PERGURUAN NASIONAL KHALSA</t>
  </si>
  <si>
    <t>arsadhusin5@gmail.com</t>
  </si>
  <si>
    <t>MEDAN, 05 JANUARI 1969</t>
  </si>
  <si>
    <t>JL. Tuba IV No.52</t>
  </si>
  <si>
    <t>Tegal Sari mandala III</t>
  </si>
  <si>
    <t>MUHAMMAD ZULKARNAEN</t>
  </si>
  <si>
    <t>'196910022008011001</t>
  </si>
  <si>
    <t>SMA Gajah Mada Medan</t>
  </si>
  <si>
    <t>mzulkarnain1969@gmail.com</t>
  </si>
  <si>
    <t>MEDAN, 02 OKTOBER 1969</t>
  </si>
  <si>
    <t>Jl. Datuk Kabu Gg. Pribadi No. 02</t>
  </si>
  <si>
    <t>ROSIANNA SENTARIA TAMPUBOLON, A.MD</t>
  </si>
  <si>
    <t>'199206052020122002</t>
  </si>
  <si>
    <t>800.1.10.2/1290.K</t>
  </si>
  <si>
    <t>PERBANKAN DAN KEUANGAN</t>
  </si>
  <si>
    <t>rositampubolon@gmail.com</t>
  </si>
  <si>
    <t>MEDAN, 05 JUNI 1992</t>
  </si>
  <si>
    <t>JL. MENTENG VII GG GARUDA II NO.11</t>
  </si>
  <si>
    <t>LABUHANBATU</t>
  </si>
  <si>
    <t>NIKMAL FAUZI LUBIS, S.T.</t>
  </si>
  <si>
    <t>'198506052010011021</t>
  </si>
  <si>
    <t>823.3/1352.K</t>
  </si>
  <si>
    <t>800.1.3.3/710.K28-05-2025</t>
  </si>
  <si>
    <t>25 Februari 2008</t>
  </si>
  <si>
    <t>nikmalfauzilubis@gmail.com</t>
  </si>
  <si>
    <t>MEDAN, 05 JUNI 1985</t>
  </si>
  <si>
    <t>JL LETDA SUJONO GG AMAL NO 11-A</t>
  </si>
  <si>
    <t>FOLKEN BERG SETIAWAN ARUAN, S.AK.</t>
  </si>
  <si>
    <t>'199809222025051002</t>
  </si>
  <si>
    <t>CALON PRANATA KEWILAYAHAN</t>
  </si>
  <si>
    <t>Universitas Advent Indonesia</t>
  </si>
  <si>
    <t>16 Agustus 2020</t>
  </si>
  <si>
    <t>folken.ba9@gmail.com</t>
  </si>
  <si>
    <t>BATUBARA, 22 SEPTEMBER 1998</t>
  </si>
  <si>
    <t>Jl. Nirbaya Raya VII, No.109</t>
  </si>
  <si>
    <t>DKI JAKARTA</t>
  </si>
  <si>
    <t>JAKARTA TIMUR</t>
  </si>
  <si>
    <t>MAKASAR</t>
  </si>
  <si>
    <t>PINANGRANTI</t>
  </si>
  <si>
    <t>SINDY ASRIKA PUTRI, S.E</t>
  </si>
  <si>
    <t>199412072025212005</t>
  </si>
  <si>
    <t>S.1 EKONOMI MANAJEMEN</t>
  </si>
  <si>
    <t>Sindyasrika@yahoo.com</t>
  </si>
  <si>
    <t>MEDAN,
07 DESEMBER 1994</t>
  </si>
  <si>
    <t>Villa Gading Mas Indah I Blok J No 14</t>
  </si>
  <si>
    <t>DIVA FITRIA ASKARI, A.MD</t>
  </si>
  <si>
    <t>198810012025212004</t>
  </si>
  <si>
    <t>D-III BAHASA JEPANG</t>
  </si>
  <si>
    <t>divafitria2011@gmail.com</t>
  </si>
  <si>
    <t>MEDAN,
01 OKTOBER 1988</t>
  </si>
  <si>
    <t>Jl. Jermal VI no 5A Medan</t>
  </si>
  <si>
    <t>SOFIANSYAH RITONGA, A.MD.</t>
  </si>
  <si>
    <t>197702252025211002</t>
  </si>
  <si>
    <t>D-III TEKNIK INFORMATIKA</t>
  </si>
  <si>
    <t>AMIKOM YOGYAKARTA</t>
  </si>
  <si>
    <t>MEDAN,
25 FEBRUARI 1977</t>
  </si>
  <si>
    <t>JL. PELAJAR GG. ALAS NO 6</t>
  </si>
  <si>
    <t>MEDAN KOTA</t>
  </si>
  <si>
    <t>TELADAN TIMUR</t>
  </si>
  <si>
    <t>VANESSHA RIMADANY BR SITEPU</t>
  </si>
  <si>
    <t>199701272025212007</t>
  </si>
  <si>
    <t>rimadhanivanessa@gmail.com</t>
  </si>
  <si>
    <t>MEDAN,
27 JANUARI 1997</t>
  </si>
  <si>
    <t>Jl. Suka Murni No.20</t>
  </si>
  <si>
    <t>ADE JAN SURYA SIHALOHO</t>
  </si>
  <si>
    <t>198901152025211075</t>
  </si>
  <si>
    <t>Sub Bidang Teknis Hotel, Restoran, Dan Hiburan BAPENDA Kota Medan</t>
  </si>
  <si>
    <t>suryamancool@gamil.com</t>
  </si>
  <si>
    <t>PEMATANGSIANTAR,
15 JANUARI 1989</t>
  </si>
  <si>
    <t>Jl. Pasar II Gg. Fadillah No. 03</t>
  </si>
  <si>
    <t>Tegal Rejo</t>
  </si>
  <si>
    <t>ALFONS OKTO SIREGAR</t>
  </si>
  <si>
    <t>198910292025211057</t>
  </si>
  <si>
    <t>alfonsiregar1@gmail.com</t>
  </si>
  <si>
    <t>SURABAYA,
29 OKTOBER 1989</t>
  </si>
  <si>
    <t>Jl. Raya Menteng Gg. Benteng No. 34 A</t>
  </si>
  <si>
    <t>ARBI VIDINTA TARIGAN</t>
  </si>
  <si>
    <t>198603162025211099</t>
  </si>
  <si>
    <t>CAROL.SITEPU@GMAIL.COM</t>
  </si>
  <si>
    <t>PALEMBANG,
16 MARET 1986</t>
  </si>
  <si>
    <t>Jl. Pasar VII Kantil XXII No.2</t>
  </si>
  <si>
    <t>Selayang</t>
  </si>
  <si>
    <t>Sempakat</t>
  </si>
  <si>
    <t>BOY ISKANDAR</t>
  </si>
  <si>
    <t>198405022025211068</t>
  </si>
  <si>
    <t>boy.iskandar0205@gmail.com</t>
  </si>
  <si>
    <t>SIMALUNGUN,
02 MEI 1984</t>
  </si>
  <si>
    <t>Jln. Mesjid I</t>
  </si>
  <si>
    <t>Lubuk Pakam</t>
  </si>
  <si>
    <t>CHAIRI YUSBAH</t>
  </si>
  <si>
    <t>198608262025211069</t>
  </si>
  <si>
    <t>chairiyusbah3@gmail.com</t>
  </si>
  <si>
    <t>MEDAN,
26 AGUSTUS 1986</t>
  </si>
  <si>
    <t>Jl. Ibrahim Umar No. 26</t>
  </si>
  <si>
    <t>Sei Kera Hilir II</t>
  </si>
  <si>
    <t>CHAIRUL IKHSAN LUBIS</t>
  </si>
  <si>
    <t>199311102025211156</t>
  </si>
  <si>
    <t>SEKOLAH TINGGI TEKNOLOGI SINAR HUSNI</t>
  </si>
  <si>
    <t>chairulikhsan1011@gmail.com</t>
  </si>
  <si>
    <t>MEDAN,
10 NOVEMBER 1993</t>
  </si>
  <si>
    <t>JL. JAMBU NO. 1- A MEDAN</t>
  </si>
  <si>
    <t>DESY SARTIKA LUBIS</t>
  </si>
  <si>
    <t>198912262025212065</t>
  </si>
  <si>
    <t>Sub Bidang Pembukuan Dan Pelaporan Bidang Hotel, Restoran, Dan Hiburan BAPENDA Kota Medan</t>
  </si>
  <si>
    <t>desylubis457@gmail.com</t>
  </si>
  <si>
    <t>TAPANULI TENGAH,
26 DESEMBER 1989</t>
  </si>
  <si>
    <t>Jl. Turi Perum Taman Blok E No 3</t>
  </si>
  <si>
    <t>DIAN MENTARI HARAHAP</t>
  </si>
  <si>
    <t>199309262025212061</t>
  </si>
  <si>
    <t>dianmentari2609@gmail.com</t>
  </si>
  <si>
    <t>MEDAN,
26 SEPTEMBER 1993</t>
  </si>
  <si>
    <t>JL. PERSATUAN NO.31</t>
  </si>
  <si>
    <t>HELVETIA TIMUR</t>
  </si>
  <si>
    <t>ERMAN EFENDI NASUTION</t>
  </si>
  <si>
    <t>198008122025211063</t>
  </si>
  <si>
    <t>ennasution12@gmail.com</t>
  </si>
  <si>
    <t>MANDAILING NATAL,
12 AGUSTUS 1980</t>
  </si>
  <si>
    <t>GRIYA KELUARGA JL. EKA BAKTI GG. KELUARGA NO. C3</t>
  </si>
  <si>
    <t>FACHRY HANDANI HARAHAP</t>
  </si>
  <si>
    <t>199210012025211105</t>
  </si>
  <si>
    <t>fachry.Handani92@gmail.com</t>
  </si>
  <si>
    <t>MEDAN,
01 OKTOBER 1992</t>
  </si>
  <si>
    <t>Jl. Roso Kasih III</t>
  </si>
  <si>
    <t>Kedai Durian</t>
  </si>
  <si>
    <t>FITRI APRILLIANI</t>
  </si>
  <si>
    <t>199304042025212089</t>
  </si>
  <si>
    <t>pitiapriliani@gmail.com</t>
  </si>
  <si>
    <t>MEDAN,
04 APRIL 1993</t>
  </si>
  <si>
    <t>Jalan Pahlawan Gang Rukun Nomor 6 Medan</t>
  </si>
  <si>
    <t>Kelurahan Pahlawan</t>
  </si>
  <si>
    <t>HALIMAH NASUTION</t>
  </si>
  <si>
    <t>198409242025212042</t>
  </si>
  <si>
    <t>Teknik Energi</t>
  </si>
  <si>
    <t>halimahnasution1984@gmail.com</t>
  </si>
  <si>
    <t>MEDAN,
24 SEPTEMBER 1984</t>
  </si>
  <si>
    <t>Jalan Pukat Banting IV No.42</t>
  </si>
  <si>
    <t>ISNAN HADI SYAHPUTRA</t>
  </si>
  <si>
    <t>198110222025211042</t>
  </si>
  <si>
    <t>Teknik Industri</t>
  </si>
  <si>
    <t>Institut Teknologi Medan</t>
  </si>
  <si>
    <t>isnanhadisyahputra@gmail.com</t>
  </si>
  <si>
    <t>PEMATANGSIANTAR,
22 OKTOBER 1981</t>
  </si>
  <si>
    <t>Jl. Karya Bakti II No. 57</t>
  </si>
  <si>
    <t>Medan Polonia</t>
  </si>
  <si>
    <t>Sari Rejo</t>
  </si>
  <si>
    <t>LIZA SEPTIANA SEMBIRING K</t>
  </si>
  <si>
    <t>198709032025212075</t>
  </si>
  <si>
    <t>Sekolah TInggi Teknik Poliprofesi</t>
  </si>
  <si>
    <t>zazamcqueen@gmail.com</t>
  </si>
  <si>
    <t>LANGKAT,
03 SEPTEMBER 1987</t>
  </si>
  <si>
    <t>Dusun Kuta Pinang M</t>
  </si>
  <si>
    <t>Langkat</t>
  </si>
  <si>
    <t>Kuala</t>
  </si>
  <si>
    <t>Namo Mbelin</t>
  </si>
  <si>
    <t>M RIZADRI FADLI AULIA RITONGA</t>
  </si>
  <si>
    <t>199611072025211054</t>
  </si>
  <si>
    <t>Sub Bidang Teknis Hotel, Restoran, Dan Hiburan BAPENDA Kota Medan Kota</t>
  </si>
  <si>
    <t>UNIVERSITAS PELITA HARAPAN</t>
  </si>
  <si>
    <t>rizadryritonga@gmail.com</t>
  </si>
  <si>
    <t>MEDAN,
07 NOVEMBER 1996</t>
  </si>
  <si>
    <t>Jalan Sei Kuala No 23</t>
  </si>
  <si>
    <t>Medan Baru</t>
  </si>
  <si>
    <t>Merdeka</t>
  </si>
  <si>
    <t>MAZLIA ULFA RANGKUTI</t>
  </si>
  <si>
    <t>199301312025212062</t>
  </si>
  <si>
    <t>mazlyaulfa31@gmail.com</t>
  </si>
  <si>
    <t>MEDAN,
31 JANUARI 1993</t>
  </si>
  <si>
    <t>JL BELAT NO 150 LK XII</t>
  </si>
  <si>
    <t>MEIKE AMALIA</t>
  </si>
  <si>
    <t>198205312025212027</t>
  </si>
  <si>
    <t>ILMU KOMUNIKASI</t>
  </si>
  <si>
    <t>UNIVERSITAS MUHAMMADIYAH SUMATERA UTARA MEDAN</t>
  </si>
  <si>
    <t>filya.amalia@gmail.com</t>
  </si>
  <si>
    <t>JAKARTA,
31 MEI 1982</t>
  </si>
  <si>
    <t>Jl. Giro Chek No 11</t>
  </si>
  <si>
    <t>Helvetia timur</t>
  </si>
  <si>
    <t>MIMI NOVIDA YANTI HARAHAP</t>
  </si>
  <si>
    <t>199311132025212074</t>
  </si>
  <si>
    <t>SEKOLAH TINGGI ILMU EKONOMI AL-HIKMAH MEDAN</t>
  </si>
  <si>
    <t>mimiyanti946@gmail.com</t>
  </si>
  <si>
    <t>MEDAN,
13 NOVEMBER 1993</t>
  </si>
  <si>
    <t>JL. PELITA 1 GG. POS 1 LR.BERINGIN NO. 2</t>
  </si>
  <si>
    <t>SIDORAME BARAT II</t>
  </si>
  <si>
    <t>MUHAMMAD ERSYAD NASUTION</t>
  </si>
  <si>
    <t>198808312025211064</t>
  </si>
  <si>
    <t>Keperdataan</t>
  </si>
  <si>
    <t>Universitas Al Washliyah (UNIVA) Medan</t>
  </si>
  <si>
    <t>syatoe24@gmail.com</t>
  </si>
  <si>
    <t>MEDAN,
31 AGUSTUS 1988</t>
  </si>
  <si>
    <t>Jl. Garu IV Gg. Ikhlas No. 118</t>
  </si>
  <si>
    <t>MUHAMMAD FAKHRO ROZI</t>
  </si>
  <si>
    <t>199208072025211090</t>
  </si>
  <si>
    <t>Ilmu Sosial dan Ilmu Politik</t>
  </si>
  <si>
    <t>muhammad.fakhrorozi@gmail.com</t>
  </si>
  <si>
    <t>MEDAN,
07 AGUSTUS 1992</t>
  </si>
  <si>
    <t>Jl. Puri Gg. Repelita No. 223 B</t>
  </si>
  <si>
    <t>MUHAMMAD RAENDI PUTRA JUSTISI</t>
  </si>
  <si>
    <t>199907012025211031</t>
  </si>
  <si>
    <t>m.raendi99@gmail.com</t>
  </si>
  <si>
    <t>MEDAN,
01 JULI 1999</t>
  </si>
  <si>
    <t>JL.VETPUR RAYA BLOK C.58</t>
  </si>
  <si>
    <t>MEDAN ESTATE</t>
  </si>
  <si>
    <t>MUNASSAR MUBARAK SALIM</t>
  </si>
  <si>
    <t>199310292025211059</t>
  </si>
  <si>
    <t>MUNASSARBASWEL</t>
  </si>
  <si>
    <t>MEDAN,
29 OKTOBER 1993</t>
  </si>
  <si>
    <t>JL. B. KATAMSO GG. MESJID NO. 39</t>
  </si>
  <si>
    <t>KAMPUNG BARU</t>
  </si>
  <si>
    <t>RABIATUL ADAWIYAH LUBIS</t>
  </si>
  <si>
    <t>199404032025212050</t>
  </si>
  <si>
    <t>sumber daya manusia</t>
  </si>
  <si>
    <t>Yayaklbs@yahoo.com</t>
  </si>
  <si>
    <t>MEDAN,
03 APRIL 1994</t>
  </si>
  <si>
    <t>Letda sujono gg setia no 21</t>
  </si>
  <si>
    <t>RESTU EMILIA NASUTION</t>
  </si>
  <si>
    <t>198904302025212078</t>
  </si>
  <si>
    <t>Pendidikan Ilmu Pengetahuan Sosial</t>
  </si>
  <si>
    <t>raisasheyess@gmail.com</t>
  </si>
  <si>
    <t>DELI SERDANG,
30 APRIL 1989</t>
  </si>
  <si>
    <t>Jl. AR Hakim Gg. Belanga No. 3</t>
  </si>
  <si>
    <t>Sukaramai I</t>
  </si>
  <si>
    <t>RIZKI HAFIZ</t>
  </si>
  <si>
    <t>198410032025211054</t>
  </si>
  <si>
    <t>Universitas Setia Budi Mandiri</t>
  </si>
  <si>
    <t>zaynalhafizhin@gmail.com</t>
  </si>
  <si>
    <t>MEDAN,
03 OKTOBER 1984</t>
  </si>
  <si>
    <t>Jl. Karya Wisata Komp. J City J Metropolis I No. 48 Lk. XI</t>
  </si>
  <si>
    <t>Pangakalan Mansur</t>
  </si>
  <si>
    <t>RYAN BASTARI</t>
  </si>
  <si>
    <t>198611262025211079</t>
  </si>
  <si>
    <t>UNIVERSITAS SAMUDRA</t>
  </si>
  <si>
    <t>0852 7709 9099</t>
  </si>
  <si>
    <t>bastaryan26@gmail.com</t>
  </si>
  <si>
    <t>LANGSA,
26 NOVEMBER 1986</t>
  </si>
  <si>
    <t>jl. EKA RASMI KOMP. SPRINGVILLE LK. VII</t>
  </si>
  <si>
    <t>SITI SARAH YOHANA MANIK</t>
  </si>
  <si>
    <t>199711272025212057</t>
  </si>
  <si>
    <t>Sub Bagian Teknis HRH BAPENDA Kota Medan</t>
  </si>
  <si>
    <t>0895-80038-5106</t>
  </si>
  <si>
    <t>sarahmanik27@gmail.com</t>
  </si>
  <si>
    <t>MEDAN,
27 NOVEMBER 1997</t>
  </si>
  <si>
    <t>Merak II no 65</t>
  </si>
  <si>
    <t>Kenangan Baru</t>
  </si>
  <si>
    <t>SYARAH DHIBA LUBIS</t>
  </si>
  <si>
    <t>198906252025212071</t>
  </si>
  <si>
    <t>Sub Bidang Pembukuan Dan Pelaporan Bidang Hotel, Restoran, Dan Hiburan BAPENDA Kota Medan Kota</t>
  </si>
  <si>
    <t>SE</t>
  </si>
  <si>
    <t>AL-HIKMAH</t>
  </si>
  <si>
    <t>syarah.dhiba@gmail.com</t>
  </si>
  <si>
    <t>MEDAN,
25 JUNI 1989</t>
  </si>
  <si>
    <t>Jalan Intan No. 61 D</t>
  </si>
  <si>
    <t>Sei Rengas 2</t>
  </si>
  <si>
    <t>TENGKU SYAHREANDA</t>
  </si>
  <si>
    <t>199808252025211020</t>
  </si>
  <si>
    <t>tengkurehan20@gmail.com</t>
  </si>
  <si>
    <t>MEDAN,
25 AGUSTUS 1998</t>
  </si>
  <si>
    <t>Jl Karya Darma Seroja No 2</t>
  </si>
  <si>
    <t>Pangkalan Mansur</t>
  </si>
  <si>
    <t>TENGKU TASYA</t>
  </si>
  <si>
    <t>199910262025212033</t>
  </si>
  <si>
    <t>tengkutasya561@gmail.com</t>
  </si>
  <si>
    <t>MEDAN,
26 OKTOBER 1999</t>
  </si>
  <si>
    <t>Jl. Metrologi IV No. 1 Lk. I</t>
  </si>
  <si>
    <t>TIARMAIDA SIBURIAN</t>
  </si>
  <si>
    <t>197902032025212012</t>
  </si>
  <si>
    <t>Pendidikan Kimia</t>
  </si>
  <si>
    <t>STKIP Riama Medan</t>
  </si>
  <si>
    <t>tiarmaidasiburian@gmail.com</t>
  </si>
  <si>
    <t>TAPANULI SELATAN,
03 FEBRUARI 1979</t>
  </si>
  <si>
    <t>Jl.GARU IX NO.15</t>
  </si>
  <si>
    <t>VHARA DIVA WIJAYA</t>
  </si>
  <si>
    <t>199607242025212068</t>
  </si>
  <si>
    <t>Management</t>
  </si>
  <si>
    <t>Universitas Harapan Medan</t>
  </si>
  <si>
    <t>divaawijaya@gmail.com</t>
  </si>
  <si>
    <t>MEDAN,
24 JULI 1996</t>
  </si>
  <si>
    <t>Jl. ABD Hakim Komplek Classic I Blok B No. 19</t>
  </si>
  <si>
    <t>BIDANG 2</t>
  </si>
  <si>
    <t>IBRAHIM MANGARA LAUT BATUBARA, S.H, M.H.</t>
  </si>
  <si>
    <t>'198203042009031010</t>
  </si>
  <si>
    <t>KEPALA BIDANG PARKIR, REKLAME, PENERANGAN JALAN, AIR TANAH, SARANG BURUNG WALET, DAN RETRIBUSI BADAN PENDAPATAN DAERAH KOTA MEDAN</t>
  </si>
  <si>
    <t>arabotax@yahoo.co.id</t>
  </si>
  <si>
    <t>MEDAN, 04 MARET 1982</t>
  </si>
  <si>
    <t>Jl. Tulip Blok L Lk.XII No. 210 GRIYA RIATUR INDAH</t>
  </si>
  <si>
    <t>M.TAUPIK HILMI LUBIS, S.H.</t>
  </si>
  <si>
    <t>'197005252007011041</t>
  </si>
  <si>
    <t>KEPALA SUB BIDANG PEMBUKUAN DAN PELAPORAN BIDANG PARKIR, REKLAME, PENERANGAN JALAN, AIR TANAH, SARANG BURUNG WALET, DAN RETRIBUSI BADAN PENDAPATAN DAERAH KOTA MEDAN</t>
  </si>
  <si>
    <t>SUB BIDANG PEMBUKUAN DAN PELAPORAN BIDANG PARKIR, REKLAME, PENERANGAN JALAN, AIR TANAH, SARANG BURUNG WALET, DAN RETRIBUSI BADAN PENDAPATAN DAERAH KOTA MEDAN</t>
  </si>
  <si>
    <t>SEKOLAH TINGGI ILMU HUKUM GRAHA KIRANA</t>
  </si>
  <si>
    <t>20 Desember 2010</t>
  </si>
  <si>
    <t>adektaupik@gmail.com</t>
  </si>
  <si>
    <t>MEDAN, 25 MEI 1970</t>
  </si>
  <si>
    <t>Jl. Puskesmas II Komplek Griya Raihan Blok B NO.1</t>
  </si>
  <si>
    <t>YUDHI HERIANTO, S.T.,M.M.</t>
  </si>
  <si>
    <t>'198006122010011029</t>
  </si>
  <si>
    <t>KEPALA SUB BIDANG TEKNIS PARKIR, REKLAME, PENERANGAN JALAN, AIR TANAH, SARANG BURUNG WALET, DAN RETRIBUSI BADAN PENDAPATAN DAERAH KOTA MEDAN</t>
  </si>
  <si>
    <t>SUB BIDANG TEKNIS PARKIR, REKLAME, PENERANGAN JALAN, AIR TANAH, SARANG BURUNG WALET, DAN RETRIBUSI BADAN PENDAPATAN DAERAH KOTA MEDAN</t>
  </si>
  <si>
    <t>yudhiherianto80@gmail.com</t>
  </si>
  <si>
    <t>PEMATANG SIANTAR, 12 JUNI 1980</t>
  </si>
  <si>
    <t>Jl. Merak II No. 72 Perumnas Mandala</t>
  </si>
  <si>
    <t>Percut sei tuan</t>
  </si>
  <si>
    <t>Kenangan baru</t>
  </si>
  <si>
    <t>SYAHRUDDIN SIREGAR, S.E., MM</t>
  </si>
  <si>
    <t>'197404242001121001</t>
  </si>
  <si>
    <t>823.4/1279/2019</t>
  </si>
  <si>
    <t>udinsiregar74@gmail.com</t>
  </si>
  <si>
    <t>PADANG SIDIMPUAN, 24 APRIL 1974</t>
  </si>
  <si>
    <t>JL. KARYA WISATA KOMP JOHOR BARU BLOK B 3 NO.2</t>
  </si>
  <si>
    <t>ROSANA FODESTA SIMANJUNTAK, SE, MM</t>
  </si>
  <si>
    <t>'197410131997032004</t>
  </si>
  <si>
    <t>188.44/717/KPTS/2022</t>
  </si>
  <si>
    <t>BIDANG PARKIR, REKLAME, PENERANGAN JALAN, AIR TANAH, SARANG BURUNG WALET, DAN RETRIBUSI BADAN PENDAPATAN DAERAH KOTA MEDAN</t>
  </si>
  <si>
    <t>900.1.13.1.SA/4708-01-2025</t>
  </si>
  <si>
    <t>Kepala Badan Pendapatan Daerah Kota Medan</t>
  </si>
  <si>
    <t>IMNI</t>
  </si>
  <si>
    <t>22 Maret 2009</t>
  </si>
  <si>
    <t>vera15nop@gmail.com</t>
  </si>
  <si>
    <t>MEDAN, 13 OKTOBER 1974</t>
  </si>
  <si>
    <t>Jl. Menteng II Gg. Pelita No.17</t>
  </si>
  <si>
    <t>Pasar Merah Timur</t>
  </si>
  <si>
    <t>TETTY MARYANINGRUM, S.H.</t>
  </si>
  <si>
    <t>'197408311994032002</t>
  </si>
  <si>
    <t>823.3/642.K</t>
  </si>
  <si>
    <t>UMSU MEDAN</t>
  </si>
  <si>
    <t>13 Juli 2001</t>
  </si>
  <si>
    <t>Tettymaryaningrum@gmail.com</t>
  </si>
  <si>
    <t>MEDAN, 31 AGUSTUS 1974</t>
  </si>
  <si>
    <t>Jl. M. Yacub Gg. Buyung Ali No. 4</t>
  </si>
  <si>
    <t>Siekera Hilir II</t>
  </si>
  <si>
    <t>HELENA RANGKUTI, S.E.</t>
  </si>
  <si>
    <t>'196905041992032005</t>
  </si>
  <si>
    <t>823.1.2.3/328.K</t>
  </si>
  <si>
    <t>Universitas Al-Azhar</t>
  </si>
  <si>
    <t>05 Oktober 2006</t>
  </si>
  <si>
    <t>rangkutihelena@gmail.com</t>
  </si>
  <si>
    <t>MEDAN, 04 MEI 1969</t>
  </si>
  <si>
    <t>Jl. Karya Kasih Gg. Kasih VIII No.19 Medan</t>
  </si>
  <si>
    <t>RIZAM ANANDA HARAHAP, SP. MM</t>
  </si>
  <si>
    <t>'197111162009031001</t>
  </si>
  <si>
    <t>188.44/476/KPTS/2025</t>
  </si>
  <si>
    <t>13 Maret 2015</t>
  </si>
  <si>
    <t>rizam.ananda57@gmail.com</t>
  </si>
  <si>
    <t>PEMATANG SIANTAR, 16 NOVEMBER 1971</t>
  </si>
  <si>
    <t>JL. BRIGJEN ZEIN HAMID GG. KELUARGA NO.22 LK.II</t>
  </si>
  <si>
    <t>TITI KUNING</t>
  </si>
  <si>
    <t>MOH. ARI SAKTRIYANTO. P, S.E.</t>
  </si>
  <si>
    <t>'197710012010011021</t>
  </si>
  <si>
    <t>20 Desember 2000</t>
  </si>
  <si>
    <t>aripasaribu77@yahoo.com</t>
  </si>
  <si>
    <t>MEDAN, 01 OKTOBER 1977</t>
  </si>
  <si>
    <t>JL. Sei Mencirim No.69</t>
  </si>
  <si>
    <t>Babura</t>
  </si>
  <si>
    <t>T. FAUZAN FIKRI, S.T.</t>
  </si>
  <si>
    <t>'197307082009011001</t>
  </si>
  <si>
    <t>823.1.2.3/169.K</t>
  </si>
  <si>
    <t>Universitas Sriwijaya</t>
  </si>
  <si>
    <t>22 Juli 1999</t>
  </si>
  <si>
    <t>fauzanfikri1973@gmail.com</t>
  </si>
  <si>
    <t>P. BRANDAN, 08 JULI 1973</t>
  </si>
  <si>
    <t>Jl. Bambu VI No. 14 Medan</t>
  </si>
  <si>
    <t>Durian</t>
  </si>
  <si>
    <t>KHAIRIZA HAFNY HASIBUAN, S.E.</t>
  </si>
  <si>
    <t>'197209141993032002</t>
  </si>
  <si>
    <t>823.1.2.3/651.K</t>
  </si>
  <si>
    <t>STIE GRAHA KIRANA</t>
  </si>
  <si>
    <t>21 Desember 2006</t>
  </si>
  <si>
    <t>khairizahafny09@gmail.com</t>
  </si>
  <si>
    <t>MEDAN, 14 SEPTEMBER 1972</t>
  </si>
  <si>
    <t>Jl. Prof HM Yamin GG Bidan No 13/15</t>
  </si>
  <si>
    <t>SEI KERA HILIR II</t>
  </si>
  <si>
    <t>TEDDY ARMAYA, S.T.</t>
  </si>
  <si>
    <t>'197405022006041010</t>
  </si>
  <si>
    <t>823.3/0682.K</t>
  </si>
  <si>
    <t>800.1.3.3/457.K12-04-2023</t>
  </si>
  <si>
    <t>SEKRETARIS DAERAH</t>
  </si>
  <si>
    <t>TEKNIK INFORMATIKA</t>
  </si>
  <si>
    <t>UNIVERSITAS ISLAM INDONESIA</t>
  </si>
  <si>
    <t>27 Maret 2003</t>
  </si>
  <si>
    <t>teddy.armaya@gmail.com</t>
  </si>
  <si>
    <t>MEDAN, 02 MEI 1974</t>
  </si>
  <si>
    <t>JOHOR INDAH PERMAI BLOK VIII NO. 26 LK IX</t>
  </si>
  <si>
    <t>CHALID FAHMI, S.E.</t>
  </si>
  <si>
    <t>'198203052009031005</t>
  </si>
  <si>
    <t>SEKOLAH TINGGI ILMU EKONOMI GRAHA KIRANA</t>
  </si>
  <si>
    <t>fahmichalid3@gmail.com</t>
  </si>
  <si>
    <t>MEDAN, 05 MARET 1982</t>
  </si>
  <si>
    <t>JL. PAKU NO. 69 LINGK-9</t>
  </si>
  <si>
    <t>ISKANDAR PRAJA</t>
  </si>
  <si>
    <t>'198504172009021007</t>
  </si>
  <si>
    <t>HUKUM PERDATA</t>
  </si>
  <si>
    <t>GRAHA KIRANA</t>
  </si>
  <si>
    <t>22 Desember 2008</t>
  </si>
  <si>
    <t>ipman0785@gmail.com</t>
  </si>
  <si>
    <t>MEDAN, 17 APRIL 1985</t>
  </si>
  <si>
    <t>JL.GARU I GG.MARKISA NO.176-H MEDAN</t>
  </si>
  <si>
    <t>Harjosari 1</t>
  </si>
  <si>
    <t>MUHAMMAD ARISY, S.E.</t>
  </si>
  <si>
    <t>'198408162009031010</t>
  </si>
  <si>
    <t>arisymuhammad@yahoo.com</t>
  </si>
  <si>
    <t>MEDAN, 16 AGUSTUS 1984</t>
  </si>
  <si>
    <t>JL. GAHARU BAMBU VI NO. 07</t>
  </si>
  <si>
    <t>Kota</t>
  </si>
  <si>
    <t>Medan timur</t>
  </si>
  <si>
    <t>MANANTI PANE, S.H, M.H</t>
  </si>
  <si>
    <t>'196905162007011034</t>
  </si>
  <si>
    <t>31 Oktober 2015</t>
  </si>
  <si>
    <t>manantipane1969@gmail.com</t>
  </si>
  <si>
    <t>ARSE JAE DOLOK, 16 MEI 1969</t>
  </si>
  <si>
    <t>Jl. Pelita IV Gg Pertama No. 2</t>
  </si>
  <si>
    <t>Sidorame Timur</t>
  </si>
  <si>
    <t>ENDANG SISWATI</t>
  </si>
  <si>
    <t>'197310132007012003</t>
  </si>
  <si>
    <t>00-00-0000</t>
  </si>
  <si>
    <t>Sekolah tinggi ilmu ekonomi Al hikmah</t>
  </si>
  <si>
    <t>04 Juni 2011</t>
  </si>
  <si>
    <t>esiswati92@gmail.com</t>
  </si>
  <si>
    <t>MEDAN, 13 OKTOBER 1973</t>
  </si>
  <si>
    <t>jl.PAMTIRTANADI.gg.MESJID LK XI</t>
  </si>
  <si>
    <t>medan sunggal</t>
  </si>
  <si>
    <t>sunggal</t>
  </si>
  <si>
    <t>ALDRIANSYAH SIREGAR , S.PD</t>
  </si>
  <si>
    <t>'198110202010011021</t>
  </si>
  <si>
    <t>Pendidikan Kesehatan Dan Rekreasi</t>
  </si>
  <si>
    <t>UNIVERSITAS NEGERI MEDAN</t>
  </si>
  <si>
    <t>20 Agustus 2007</t>
  </si>
  <si>
    <t>siregaraldri@gmail.com</t>
  </si>
  <si>
    <t>MEDAN, 20 OKTOBER 1981</t>
  </si>
  <si>
    <t>Jl.kutilang IX NO 279 perumnas mandala</t>
  </si>
  <si>
    <t>deliserdang</t>
  </si>
  <si>
    <t>percut sei tuan</t>
  </si>
  <si>
    <t>kenangan baru</t>
  </si>
  <si>
    <t>MEDIAN RAMADHIN, S.H.</t>
  </si>
  <si>
    <t>'198406152011011004</t>
  </si>
  <si>
    <t>823.3/186.K</t>
  </si>
  <si>
    <t>27 Juni 2006</t>
  </si>
  <si>
    <t>median.ramadhin.sh@gmail.com</t>
  </si>
  <si>
    <t>BANDUNG, 15 JUNI 1984</t>
  </si>
  <si>
    <t>PERUMAHAN RORINATA TAHAP 9 BLOK. G NO. 14</t>
  </si>
  <si>
    <t>SUKAMAJU</t>
  </si>
  <si>
    <t>MUHAMMAD NURHAKIM, S.H.</t>
  </si>
  <si>
    <t>'197810132009031001</t>
  </si>
  <si>
    <t>UNIVERSITAS DHARMAWANGSA</t>
  </si>
  <si>
    <t>m_nur45@yahoo.com</t>
  </si>
  <si>
    <t>MEDAN, 13 OKTOBER 1978</t>
  </si>
  <si>
    <t>JL. Lizardi putra kompl.setiabudivista blok G9</t>
  </si>
  <si>
    <t>Simpangselayang</t>
  </si>
  <si>
    <t>RIKA MEILIA TARIGAN, S.E.</t>
  </si>
  <si>
    <t>'198405172011012013</t>
  </si>
  <si>
    <t>11 Oktober 2006</t>
  </si>
  <si>
    <t>rikameilia2@gmail.com</t>
  </si>
  <si>
    <t>MEDAN, 17 MEI 1984</t>
  </si>
  <si>
    <t>KO ASOKA RESIDENCE BLOK A/35</t>
  </si>
  <si>
    <t>ALPIAN HADI SIREGAR, S.E., M.SP</t>
  </si>
  <si>
    <t>'197907032008011001</t>
  </si>
  <si>
    <t>823.1.2.3/1207.K</t>
  </si>
  <si>
    <t>Studi Pembangunan</t>
  </si>
  <si>
    <t>19 Januari 2015</t>
  </si>
  <si>
    <t>alpianhadi03@gmail.com</t>
  </si>
  <si>
    <t>PARUPUK JULU, 03 JULI 1979</t>
  </si>
  <si>
    <t>Jl. Bajak V Gg Rukun No 10 Komp Keluarga</t>
  </si>
  <si>
    <t>MAHADI SYAHPUTRA, S.E.</t>
  </si>
  <si>
    <t>'197303022009031001</t>
  </si>
  <si>
    <t>mahadisyahputra@gmail.com</t>
  </si>
  <si>
    <t>MEDAN, 02 MARET 1973</t>
  </si>
  <si>
    <t>DUSUN VI SRIDADI</t>
  </si>
  <si>
    <t>SEI SUNGGAL</t>
  </si>
  <si>
    <t>SEI MAYANG</t>
  </si>
  <si>
    <t>NOVITA ANGGRAINI NASUTION, S.E.</t>
  </si>
  <si>
    <t>'198111072009032006</t>
  </si>
  <si>
    <t>novitaanggraini13@gmail.com</t>
  </si>
  <si>
    <t>P. SIDEMPUAN, 07 NOVEMBER 1981</t>
  </si>
  <si>
    <t>JL.  AMAL LUHUR GG. SEJAHTERA LK. II NO.45 D</t>
  </si>
  <si>
    <t>HERMAWARNI, S.E., M.M</t>
  </si>
  <si>
    <t>'197102151998012001</t>
  </si>
  <si>
    <t>823.1.2.3/105.K</t>
  </si>
  <si>
    <t>13 Mei 2024</t>
  </si>
  <si>
    <t>Cerai</t>
  </si>
  <si>
    <t>hermawarni71@gmail.com</t>
  </si>
  <si>
    <t>PAKANTAN, 15 FEBRUARI 1971</t>
  </si>
  <si>
    <t>JL.BAJAK II H KOMPLEK PURI MEDITERANIA NO. 5</t>
  </si>
  <si>
    <t>DANIEL MARPAUNG, S.E.</t>
  </si>
  <si>
    <t>'197511032005021002</t>
  </si>
  <si>
    <t>823.1.2.3/306.K</t>
  </si>
  <si>
    <t>UNIVERSITAS GAJAH MADA</t>
  </si>
  <si>
    <t>19 Mei 2003</t>
  </si>
  <si>
    <t>KABANJAHE, 03 NOVEMBER 1975</t>
  </si>
  <si>
    <t>JL. ANGGREK I NO.6 LK.IX</t>
  </si>
  <si>
    <t>SIMPANG SELAYANG</t>
  </si>
  <si>
    <t>SUMASNI SINURAT, S.SOS</t>
  </si>
  <si>
    <t>'197107311998032002</t>
  </si>
  <si>
    <t>823.3/192.K</t>
  </si>
  <si>
    <t>Ilmu Administrasi Negara</t>
  </si>
  <si>
    <t>UNIV.HKBP NOMENSEN MEDAN</t>
  </si>
  <si>
    <t>sumasnisinurat3171@gmail.com</t>
  </si>
  <si>
    <t>MEDAN, 31 JULI 1971</t>
  </si>
  <si>
    <t>JL. PENDIDIKAN Gg SAMARIA No 1 MEDAN</t>
  </si>
  <si>
    <t>SURAJADI, S.E.</t>
  </si>
  <si>
    <t>'198108052009031010</t>
  </si>
  <si>
    <t>surajadisura@gmail.com</t>
  </si>
  <si>
    <t>SUMBER JAYA, 05 AGUSTUS 1981</t>
  </si>
  <si>
    <t>PERUM PURI ANOM ASRI BLOK F NO 48</t>
  </si>
  <si>
    <t>SEMBAHE BARU</t>
  </si>
  <si>
    <t>CHINDY MEIRANI, S.E., M.M.</t>
  </si>
  <si>
    <t>'198505282010012032</t>
  </si>
  <si>
    <t>Sekolah Tinggi Ilmu Ekonomi Harapan Medan</t>
  </si>
  <si>
    <t>18 Desember 2014</t>
  </si>
  <si>
    <t>chindymeirani17@gmail.com</t>
  </si>
  <si>
    <t>MEDAN, 28 MEI 1985</t>
  </si>
  <si>
    <t>Komp TASBI Blok HH no 32</t>
  </si>
  <si>
    <t>Tj Rejo</t>
  </si>
  <si>
    <t>LISBET TARIHORAN, A.MD.</t>
  </si>
  <si>
    <t>'196907111989032003</t>
  </si>
  <si>
    <t>Juru Muda Tk. I (I/b)</t>
  </si>
  <si>
    <t>I/B</t>
  </si>
  <si>
    <t>823.1.2.3/108.k</t>
  </si>
  <si>
    <t>Gunung Louser</t>
  </si>
  <si>
    <t>05 Juni 2000</t>
  </si>
  <si>
    <t>tarihoran.lisbet@gmail.com</t>
  </si>
  <si>
    <t>PEMATANG SIANTAR, 11 JULI 1969</t>
  </si>
  <si>
    <t>JL. PELAJAR TIMUR GG  KELAPA NO.18A</t>
  </si>
  <si>
    <t>RIA SRI ASTUTI, S.TR.GZ.</t>
  </si>
  <si>
    <t>'198606132010012037</t>
  </si>
  <si>
    <t>823.3/2279.K</t>
  </si>
  <si>
    <t>800.1.3.3/148.K17-02-2025</t>
  </si>
  <si>
    <t>Gizi dan Dietetika</t>
  </si>
  <si>
    <t>Politeknik Kesehatan Kementerian Kesehatan Medan</t>
  </si>
  <si>
    <t>riaastutii1986@gmail.com</t>
  </si>
  <si>
    <t>PADANG, 13 JUNI 1986</t>
  </si>
  <si>
    <t>JLN. PARKIT RAYA III NO.297</t>
  </si>
  <si>
    <t>KENANGAN</t>
  </si>
  <si>
    <t>RICO REVADA PERDANA, S.E.</t>
  </si>
  <si>
    <t>'198510142011011012</t>
  </si>
  <si>
    <t>07 Februari 2019</t>
  </si>
  <si>
    <t>iyiobs@gmail.com</t>
  </si>
  <si>
    <t>PETUMBUKAN, 14 OKTOBER 1985</t>
  </si>
  <si>
    <t>Complex TPI Blok I  No 10</t>
  </si>
  <si>
    <t>MAYA WIJAYA</t>
  </si>
  <si>
    <t>'198105102009022007</t>
  </si>
  <si>
    <t>AMIR HAMZAH</t>
  </si>
  <si>
    <t>mayawijaya105@gmail.com</t>
  </si>
  <si>
    <t>MEDAN, 10 MEI 1981</t>
  </si>
  <si>
    <t>JL.PERSATUAN KOMP.KARYA CITY I NO.88 F</t>
  </si>
  <si>
    <t>MUHAMMAD FAHMI LUBIS, A.MD.</t>
  </si>
  <si>
    <t>'198907102011011006</t>
  </si>
  <si>
    <t>Perpajakan</t>
  </si>
  <si>
    <t>Fisip USU</t>
  </si>
  <si>
    <t>02 Juli 2010</t>
  </si>
  <si>
    <t>buyahlubis@yahoo.com</t>
  </si>
  <si>
    <t>MEDAN, 10 JULI 1989</t>
  </si>
  <si>
    <t>Jl. M. Nawi Harahap Gg. Maju No.8</t>
  </si>
  <si>
    <t>Siti Rejo III</t>
  </si>
  <si>
    <t>IRPAN HENDRIK</t>
  </si>
  <si>
    <t>'197902122008011002</t>
  </si>
  <si>
    <t>SMK Negeri 2</t>
  </si>
  <si>
    <t>03 Juni 1997</t>
  </si>
  <si>
    <t>KEDAI DURIAN (DELI SERDANG), 12 FEBRUARI 1979</t>
  </si>
  <si>
    <t>JL SUMBER RUKUN II NO 284 LK -XII</t>
  </si>
  <si>
    <t>HARJOSARI-II</t>
  </si>
  <si>
    <t>ADITAWARMAN DAMANIK</t>
  </si>
  <si>
    <t>'197803192008011003</t>
  </si>
  <si>
    <t>SMK GKPS</t>
  </si>
  <si>
    <t>adidamanik69@gmail.com</t>
  </si>
  <si>
    <t>TINOKKAH, 19 MARET 1978</t>
  </si>
  <si>
    <t>Jl. Tuar GG. hasan NO.23</t>
  </si>
  <si>
    <t>Amplas</t>
  </si>
  <si>
    <t>MUHAMMAD NUR AZADDIN</t>
  </si>
  <si>
    <t>'198010252010011022</t>
  </si>
  <si>
    <t>SMA Swasta Dwi Warna</t>
  </si>
  <si>
    <t>mnurazaddin@gmail.com</t>
  </si>
  <si>
    <t>MEDAN, 25 OKTOBER 1980</t>
  </si>
  <si>
    <t>JL.RAWA GG.TENGAH NO.57 MEDAN</t>
  </si>
  <si>
    <t>Tegal S.Mandala III</t>
  </si>
  <si>
    <t>MARA PANDE HASIBUAN</t>
  </si>
  <si>
    <t>'197701022009031002</t>
  </si>
  <si>
    <t>800.1.3.2/314.K</t>
  </si>
  <si>
    <t>SMU N GUNUNG TUA</t>
  </si>
  <si>
    <t>MARAPANDE.Hasibuan@yahoo.com</t>
  </si>
  <si>
    <t>PORTIBI JAE, 02 JANUARI 1977</t>
  </si>
  <si>
    <t>Jl. Tanjung Gusta Gg. Keluarga No. 6</t>
  </si>
  <si>
    <t>Tanjung Gusta</t>
  </si>
  <si>
    <t>DINA AWAD ABDAT</t>
  </si>
  <si>
    <t>'198404032009022013</t>
  </si>
  <si>
    <t>800.1.3.2/1622.K</t>
  </si>
  <si>
    <t>ILMU PENGEGATHUAN ALAM</t>
  </si>
  <si>
    <t>SMU NEGERI 10 MEDAN</t>
  </si>
  <si>
    <t>15 Juni 2002</t>
  </si>
  <si>
    <t>abdat.dina@gmail.com</t>
  </si>
  <si>
    <t>MEDAN, 03 APRIL 1984</t>
  </si>
  <si>
    <t>JL.SENTOSA LAMA GG.ANTARA NO.3C</t>
  </si>
  <si>
    <t>RISDIANTO</t>
  </si>
  <si>
    <t>'197808232009021002</t>
  </si>
  <si>
    <t>823.2/195.K</t>
  </si>
  <si>
    <t>800.1.3.3/043.K18-01-2024</t>
  </si>
  <si>
    <t>SWASTA DWIWARNA-2</t>
  </si>
  <si>
    <t>MEDAN, 23 AGUSTUS 1978</t>
  </si>
  <si>
    <t>JL.B.Z HAMID Gg SAWAH NO. 58 LK XIV MEDAN</t>
  </si>
  <si>
    <t>FANDI TIRTA NUGRAHA, S.H.</t>
  </si>
  <si>
    <t>199002042025211005</t>
  </si>
  <si>
    <t>S-1 Ilmu Hukum</t>
  </si>
  <si>
    <t>tirtanadi_pandi@yahoo.com</t>
  </si>
  <si>
    <t>MEDAN,
04 FEBRUARI1990</t>
  </si>
  <si>
    <t>jalan jemadi kelapa II no.18</t>
  </si>
  <si>
    <t>medan timur</t>
  </si>
  <si>
    <t>pulo brayan darat II</t>
  </si>
  <si>
    <t>EFRIANA STEPHANY, A.MD</t>
  </si>
  <si>
    <t>199209212025212006</t>
  </si>
  <si>
    <t>efrianastephany@gmail.com</t>
  </si>
  <si>
    <t>MEDAN,
21 SEPTEMBER 1992</t>
  </si>
  <si>
    <t>JL. KARYA LK I GG WONOSOBO NO. 5A</t>
  </si>
  <si>
    <t>KARANG BEROMBAK</t>
  </si>
  <si>
    <t>NURMAIDA MOLVO HUTAURUK, A.MD</t>
  </si>
  <si>
    <t>198207152025212006</t>
  </si>
  <si>
    <t>D-III AKUNTANSI</t>
  </si>
  <si>
    <t>SEOLAH TINGGI ILMU EKONOMI IBBI</t>
  </si>
  <si>
    <t>ivomolvo33@gmail.com</t>
  </si>
  <si>
    <t>MEDAN,
15 JULI 1982</t>
  </si>
  <si>
    <t>Jl. Starban Gg.Bilal No.45</t>
  </si>
  <si>
    <t>Polonia</t>
  </si>
  <si>
    <t>IVAN SABARUDDIN HASIBUAN</t>
  </si>
  <si>
    <t>197205272025211003</t>
  </si>
  <si>
    <t>Swasta dinul islam</t>
  </si>
  <si>
    <t>Ivansabarudin04@gmail.com</t>
  </si>
  <si>
    <t>MEDAN,
27 MEI 1972</t>
  </si>
  <si>
    <t>Jl. Puskesmas Desa bandar khalifah kec. Percut seituan deli serdang</t>
  </si>
  <si>
    <t>Sumatra utara</t>
  </si>
  <si>
    <t>Deli serdang</t>
  </si>
  <si>
    <t>Bandar khalifah</t>
  </si>
  <si>
    <t>PUJI HARRY SANDI</t>
  </si>
  <si>
    <t>199006062025211007</t>
  </si>
  <si>
    <t>SLTA KEJURUAN</t>
  </si>
  <si>
    <t>Sekolah Menengah Kejuruan Pencawan 3 Medan</t>
  </si>
  <si>
    <t>sarin3360@gmail.com</t>
  </si>
  <si>
    <t>PADANG,
06 JUNI 1990</t>
  </si>
  <si>
    <t>Jl. Letj jamin Ginting no 09 lk 1 medan</t>
  </si>
  <si>
    <t>Kemenangan Tani</t>
  </si>
  <si>
    <t>ADELLA LUBIS</t>
  </si>
  <si>
    <t>197410282025212010</t>
  </si>
  <si>
    <t>Sub Bidang Teknis Parkir, Reklame, Penerangan Jalan, Air Tanah, Sarang Burung Walet, Dan Retribusi BAPENDA Kota Medan</t>
  </si>
  <si>
    <t>dellalubis28@gmail.com</t>
  </si>
  <si>
    <t>MEDAN,
28 OKTOBER 1974</t>
  </si>
  <si>
    <t>JL.SEI KERA GG SERI I NO.42</t>
  </si>
  <si>
    <t>AFRODITA ARIKA ARNISYA HARAHAP S.SOS</t>
  </si>
  <si>
    <t>199207312025212061</t>
  </si>
  <si>
    <t>arika.harahap3107@gmail.com</t>
  </si>
  <si>
    <t>LANGKAT,
31 JULI 1992</t>
  </si>
  <si>
    <t>Jl. Wapity BUkit KUnci Kelurahan Alur Cempedak Kecamatan Pangkalan Susu</t>
  </si>
  <si>
    <t>langkat</t>
  </si>
  <si>
    <t>pangkalan susu</t>
  </si>
  <si>
    <t>alur cempedak</t>
  </si>
  <si>
    <t>AHMAD MUNAWIR SE</t>
  </si>
  <si>
    <t>198303292025211061</t>
  </si>
  <si>
    <t>awier29@ymail.com</t>
  </si>
  <si>
    <t>MEDAN,
29 MARET 1983</t>
  </si>
  <si>
    <t>komp taman eka Rasmi A-18</t>
  </si>
  <si>
    <t>ALI NASARUDDIN HARAHAP</t>
  </si>
  <si>
    <t>199110082025211064</t>
  </si>
  <si>
    <t>Universitas Tjut Nyak Dhien</t>
  </si>
  <si>
    <t>alinasaruddinhrp@gmail.com</t>
  </si>
  <si>
    <t>PADANG SIDEMPUAN,
08 OKTOBER 1991</t>
  </si>
  <si>
    <t>Jl suratman no 12</t>
  </si>
  <si>
    <t>P.berayan darat I</t>
  </si>
  <si>
    <t>ANDY</t>
  </si>
  <si>
    <t>198301282025211053</t>
  </si>
  <si>
    <t>Ekonomi Akuntansi</t>
  </si>
  <si>
    <t>universitas muhammadiyah sumatera utara</t>
  </si>
  <si>
    <t>andyzan6363@gmail.com</t>
  </si>
  <si>
    <t>ASAHAN,
28 JANUARI 1983</t>
  </si>
  <si>
    <t>perum graha eka kencana no 7 jl.eka surya gg eka kencana</t>
  </si>
  <si>
    <t>ANNISA MAYANG SARI</t>
  </si>
  <si>
    <t>199408182025212079</t>
  </si>
  <si>
    <t>Bidang Parkir, Reklame, Penerangan Jalan, Air Tanah, Sarang Burung Walet Dan Retribusi BAPENDA Kota Medan</t>
  </si>
  <si>
    <t>annisamayangsari64@yahoo.com</t>
  </si>
  <si>
    <t>MEDAN,
18 AGUSTUS 1994</t>
  </si>
  <si>
    <t>Jl. Air bersih 141</t>
  </si>
  <si>
    <t>Sudirejo1</t>
  </si>
  <si>
    <t>ARDIKA PERLAYA SINAGA</t>
  </si>
  <si>
    <t>199211152025211061</t>
  </si>
  <si>
    <t>ILMU ADMINISTRASI NEGARA</t>
  </si>
  <si>
    <t>ardikasng@gmail.com</t>
  </si>
  <si>
    <t>MEDAN,
15 NOVEMBER 1992</t>
  </si>
  <si>
    <t>JL KL YOS SUDARSO KM 15,5 LINGK II - KELURAHAN MARTUBUNG - KECAMATAN MEDAN LABUHAN - KOTA MEDAN</t>
  </si>
  <si>
    <t>BELLA AZHARI LUBIS</t>
  </si>
  <si>
    <t>199509202025212062</t>
  </si>
  <si>
    <t>bellaazharilubis4765@gmail.com</t>
  </si>
  <si>
    <t>MEDAN,
20 SEPTEMBER 1995</t>
  </si>
  <si>
    <t>JL.MARELAN RAYA GG ABADI LK XI</t>
  </si>
  <si>
    <t>DEDI HANDOKO SIREGAR</t>
  </si>
  <si>
    <t>199411042025211065</t>
  </si>
  <si>
    <t>Sarjana Manajemen</t>
  </si>
  <si>
    <t>handokodedi474@gmail.com</t>
  </si>
  <si>
    <t>MEDAN,
04 NOVEMBER 1994</t>
  </si>
  <si>
    <t>Jl Harapan Pasti Timur No 5</t>
  </si>
  <si>
    <t>DESSY ANA</t>
  </si>
  <si>
    <t>198912072025212096</t>
  </si>
  <si>
    <t>echyfinza@gmail.com</t>
  </si>
  <si>
    <t>TEBING TINGGI,
07 DESEMBER 1989</t>
  </si>
  <si>
    <t>DUSUN SERBAJADI DESA KARANG REJO</t>
  </si>
  <si>
    <t>LANGKAT</t>
  </si>
  <si>
    <t>STABAT</t>
  </si>
  <si>
    <t>KARANG REJO</t>
  </si>
  <si>
    <t>EDY FADLAN</t>
  </si>
  <si>
    <t>198311072025211050</t>
  </si>
  <si>
    <t>Edysafa77@gmail.com</t>
  </si>
  <si>
    <t>MEDAN,
07 NOVEMBER 1983</t>
  </si>
  <si>
    <t>JL.BERINGIN 3 LK II NO.15</t>
  </si>
  <si>
    <t>EKA INDRA WATI</t>
  </si>
  <si>
    <t>199306152025212074</t>
  </si>
  <si>
    <t>eka.indrawati1@gmail.com</t>
  </si>
  <si>
    <t>DELI SERDANG,
15 JUNI 1993</t>
  </si>
  <si>
    <t>JL. GAPERTA LK III NO. 217 BB</t>
  </si>
  <si>
    <t>ESRA HUTABARAT</t>
  </si>
  <si>
    <t>199101282025212063</t>
  </si>
  <si>
    <t>UNIVERSITAS HKBP NOMMENSEN</t>
  </si>
  <si>
    <t>zha.barath@gmail.com</t>
  </si>
  <si>
    <t>MEDAN,
28 JANUARI 1991</t>
  </si>
  <si>
    <t>JL.KPT M JAMIL LBS ASPOL BLOK AA. 16 MEDAN</t>
  </si>
  <si>
    <t>FADIL HANAFIAH LUBIS</t>
  </si>
  <si>
    <t>199305102025211080</t>
  </si>
  <si>
    <t>Sub Bidang Teknis Parkir, Reklame, Penerangan Jalan, Air Tanah, Sarang Burung Walet, Dan Retribusi BAPENDA Kota Medan Kota</t>
  </si>
  <si>
    <t>UNIVERSITAS TELKOM</t>
  </si>
  <si>
    <t>fadilhanafiah@gmail.com</t>
  </si>
  <si>
    <t>MEDAN,
10 MEI 1993</t>
  </si>
  <si>
    <t>JL. RINTE 3 NO. 105 LK. 13</t>
  </si>
  <si>
    <t>FATIMAH SYAHPUTRI</t>
  </si>
  <si>
    <t>199410082025212068</t>
  </si>
  <si>
    <t>fatimahsyahputri10@gmail.com</t>
  </si>
  <si>
    <t>LABUHANBATU,
08 OKTOBER 1994</t>
  </si>
  <si>
    <t>JL KLAMBIR V GG SAHABAT BARU LK II NO 1</t>
  </si>
  <si>
    <t>FATMAWATI</t>
  </si>
  <si>
    <t>199908172025212062</t>
  </si>
  <si>
    <t>SMA SWASTA GLOBAL PRIMA</t>
  </si>
  <si>
    <t>fwati8384@gmail.com</t>
  </si>
  <si>
    <t>TEBING TINGGI,
17 AGUSTUS 1999</t>
  </si>
  <si>
    <t>Jl garu 2a GG.cempaka no 67 e</t>
  </si>
  <si>
    <t>FAUZAN AFMIRZAL SILALAHI</t>
  </si>
  <si>
    <t>198403032025211125</t>
  </si>
  <si>
    <t>fauzanid84@gmail.com</t>
  </si>
  <si>
    <t>MEDAN,
03 MARET 1984</t>
  </si>
  <si>
    <t>Jl. M. Yakub No 25-132 Medan</t>
  </si>
  <si>
    <t>Sei Kerah Hilir I</t>
  </si>
  <si>
    <t>FERDY HARUN S GADING HASIBUAN</t>
  </si>
  <si>
    <t>198402202025211058</t>
  </si>
  <si>
    <t>ferdy.harunhsb@gmail.com</t>
  </si>
  <si>
    <t>JAKARTA,
20 FEBRUARI 1984</t>
  </si>
  <si>
    <t>Jl. Permata Mekar No. 19 LK. X</t>
  </si>
  <si>
    <t>FISER OKTAVIANUS</t>
  </si>
  <si>
    <t>198110072025211074</t>
  </si>
  <si>
    <t>baratfio81@gmail.com</t>
  </si>
  <si>
    <t>MEDAN,
07 OKTOBER 1981</t>
  </si>
  <si>
    <t>JL. GARUDA RAYA NO 63 KENANGAN</t>
  </si>
  <si>
    <t>FUAD RASMAWAN</t>
  </si>
  <si>
    <t>197711232025211028</t>
  </si>
  <si>
    <t>Universitas Terbuka</t>
  </si>
  <si>
    <t>MEDAN,
23 NOVEMBER 1977</t>
  </si>
  <si>
    <t>Jl Pasar III GG Cempaka No 4 D</t>
  </si>
  <si>
    <t>HARIMBI HAGRESI KASMARA</t>
  </si>
  <si>
    <t>198906102025211105</t>
  </si>
  <si>
    <t>manajemen</t>
  </si>
  <si>
    <t>sekolah tinggi ilmu ekonomi indonesia medan</t>
  </si>
  <si>
    <t>harimbihagresi@gmail.com</t>
  </si>
  <si>
    <t>DELI SERDANG,
10 JUNI 1989</t>
  </si>
  <si>
    <t>dusun II sepakat</t>
  </si>
  <si>
    <t>deli serdang</t>
  </si>
  <si>
    <t>biru biru</t>
  </si>
  <si>
    <t>candi rejo</t>
  </si>
  <si>
    <t>HERMAN SAPUTRA HARAHAP</t>
  </si>
  <si>
    <t>199506152025211052</t>
  </si>
  <si>
    <t>hermansimataniari95@gmail.com</t>
  </si>
  <si>
    <t>PADANG LAWAS UTARA,
15 JUNI 1995</t>
  </si>
  <si>
    <t>JL.PENGILAR LK I MEDAN</t>
  </si>
  <si>
    <t>AMPLAS</t>
  </si>
  <si>
    <t>HERU DWI PUTRA</t>
  </si>
  <si>
    <t>198902182025211077</t>
  </si>
  <si>
    <t>herudwiputra66@gmail.com</t>
  </si>
  <si>
    <t>SERDANG BEDAGAI,
18 FEBRUARI 1989</t>
  </si>
  <si>
    <t>Jl. Pelajar Timur No. 264</t>
  </si>
  <si>
    <t>JULIA NATALIA GULTOM</t>
  </si>
  <si>
    <t>198907042025212072</t>
  </si>
  <si>
    <t>AGROTEKNOLOGI</t>
  </si>
  <si>
    <t>juliagultom27@gmail.com</t>
  </si>
  <si>
    <t>PEMATANGSIANTAR,
04 JULI 1989</t>
  </si>
  <si>
    <t>CITRA WAHANA II BLOK A NO. 06</t>
  </si>
  <si>
    <t>KHAIR ILHAM</t>
  </si>
  <si>
    <t>199608312025211053</t>
  </si>
  <si>
    <t>MEDAN,
31 AGUSTUS 1996</t>
  </si>
  <si>
    <t>LISA INDRIANI</t>
  </si>
  <si>
    <t>198902152025212073</t>
  </si>
  <si>
    <t>indrianilisa192@gmail.com</t>
  </si>
  <si>
    <t>MEDAN,
15 FEBRUARI 1989</t>
  </si>
  <si>
    <t>JL.KARYA BAKTI GG.PRIBADI NO.6</t>
  </si>
  <si>
    <t>LUSI YANA</t>
  </si>
  <si>
    <t>199512122025212084</t>
  </si>
  <si>
    <t>lusiyanaparinduri@gmail.com</t>
  </si>
  <si>
    <t>MANDAILING NATAL,
12 DESEMBER 1995</t>
  </si>
  <si>
    <t>Manambin Kecamatan Kotanopan Kabupaten Mandailing Natal</t>
  </si>
  <si>
    <t>MANDAILING NATAL (KAB)</t>
  </si>
  <si>
    <t>MANAMBIN</t>
  </si>
  <si>
    <t>MHD.HAZLIANSYAH</t>
  </si>
  <si>
    <t>199307042025211069</t>
  </si>
  <si>
    <t>Teknik Otomotif</t>
  </si>
  <si>
    <t>Sekolah Menengah Kejuruan Swasta Teladan Sumatera Utara 2 Medan</t>
  </si>
  <si>
    <t>mhdhazliansyah50034@gmail.com</t>
  </si>
  <si>
    <t>MEDAN,
04 JULI 1993</t>
  </si>
  <si>
    <t>Dusun XV Kelingan Jl. Kaswari No. 281</t>
  </si>
  <si>
    <t>MONALISA REBINA BR GINTING</t>
  </si>
  <si>
    <t>199305062025212083</t>
  </si>
  <si>
    <t>gintingmonalisa93@gmail.com</t>
  </si>
  <si>
    <t>LABUHANBATU,
06 MEI 1993</t>
  </si>
  <si>
    <t>JL. RINTE IV NO. 113 C</t>
  </si>
  <si>
    <t>MUHAMMAD DENNY SYAHPUTRA</t>
  </si>
  <si>
    <t>199007302025211063</t>
  </si>
  <si>
    <t>dennymhd23@gmail.com</t>
  </si>
  <si>
    <t>MEDAN,
30 JULI 1990</t>
  </si>
  <si>
    <t>Jl. Melinjo V No. 17 LK VIII Komp. Johor Permai</t>
  </si>
  <si>
    <t>MUHAMMAD IQBAL NASUTION</t>
  </si>
  <si>
    <t>199304022025211070</t>
  </si>
  <si>
    <t>iqbalnasution193@gmail.com</t>
  </si>
  <si>
    <t>MEDAN,
02 APRIL 1993</t>
  </si>
  <si>
    <t>JL.STM SUKAMENANTI NO.1 MEDAN</t>
  </si>
  <si>
    <t>MUHAMMAD RENU</t>
  </si>
  <si>
    <t>198711252025211088</t>
  </si>
  <si>
    <t>Universitas Setia Budi Mandiri Medan</t>
  </si>
  <si>
    <t>muhammadrenu4@gmail.com</t>
  </si>
  <si>
    <t>MEDAN,
25 NOVEMBER 1987</t>
  </si>
  <si>
    <t>JL Pukat IV No 19 B</t>
  </si>
  <si>
    <t>Bantan Timur</t>
  </si>
  <si>
    <t>NOVIAR YUDHISTIRA RINANDA</t>
  </si>
  <si>
    <t>199111142025211060</t>
  </si>
  <si>
    <t>SEKOLAH TINGGI MANAJEMEN DAN INFORMATIKA KOMPUTER TRIGUNA DHARMA</t>
  </si>
  <si>
    <t>noviar.yudhistira@gmail.com</t>
  </si>
  <si>
    <t>MEDAN,
14 NOVEMBER 1991</t>
  </si>
  <si>
    <t>JL INTAN NO 2 AA</t>
  </si>
  <si>
    <t>SUMATRA UTARA</t>
  </si>
  <si>
    <t>SEI RENGAS II</t>
  </si>
  <si>
    <t>PUTRA ANANDA</t>
  </si>
  <si>
    <t>199308182025211095</t>
  </si>
  <si>
    <t>anandaputra1818@gmail.com</t>
  </si>
  <si>
    <t>DELI SERDANG,
18 AGUSTUS 1993</t>
  </si>
  <si>
    <t>Jl. TG. Sentosa 22 no. 99 blok 4 GM</t>
  </si>
  <si>
    <t>PUTRI LESTARI</t>
  </si>
  <si>
    <t>199209182025212056</t>
  </si>
  <si>
    <t>SEKOLAH TINGGI ILMU EKONOMI PELITA BANGSA</t>
  </si>
  <si>
    <t>putrilestariputri1234@gmail.com</t>
  </si>
  <si>
    <t>MEDAN,
18 SEPTEMBER 1992</t>
  </si>
  <si>
    <t>JL.PERTIWI GG TERONG NO.13 C</t>
  </si>
  <si>
    <t>RAFITA ATTIA</t>
  </si>
  <si>
    <t>199105222025212056</t>
  </si>
  <si>
    <t>rafitaattia@gmail.com</t>
  </si>
  <si>
    <t>MEDAN,
22 MEI 1991</t>
  </si>
  <si>
    <t>JL BAMBU VI NO 21</t>
  </si>
  <si>
    <t>RAHMAN SALEH SIREGAR</t>
  </si>
  <si>
    <t>198504012025211068</t>
  </si>
  <si>
    <t>TEKNIK MESIN</t>
  </si>
  <si>
    <t>SEKOLAH MENENGAH KEJURUAN MUHAMMADIYAH 09 MEDAN</t>
  </si>
  <si>
    <t>rahmansiregar201t@gmai.com</t>
  </si>
  <si>
    <t>MEDAN,
01 APRIL 1985</t>
  </si>
  <si>
    <t>DUSUN XVIII JALAN PABRIK GULA RT.095 RW.046</t>
  </si>
  <si>
    <t>MULIO REJO</t>
  </si>
  <si>
    <t>RITA PURNAMASARI</t>
  </si>
  <si>
    <t>199505012025212078</t>
  </si>
  <si>
    <t>HUKUM ADMINISTRASI NEGARA</t>
  </si>
  <si>
    <t>UNUVERSITAS AMIR HAMZAH</t>
  </si>
  <si>
    <t>ritapurnamasari0195@gmail.com</t>
  </si>
  <si>
    <t>MANDAILING NATAL,
01 MEI 1995</t>
  </si>
  <si>
    <t>JL.JAMIN GINTING KM .14 N0 10</t>
  </si>
  <si>
    <t>SIDOMULYO</t>
  </si>
  <si>
    <t>RITA ZAHARA HASIBUAN</t>
  </si>
  <si>
    <t>199708022025212046</t>
  </si>
  <si>
    <t>zahararita97@gmail.com</t>
  </si>
  <si>
    <t>MEDAN,
02 AGUSTUS 1997</t>
  </si>
  <si>
    <t>JL MISTAR GG MINANG NO 04</t>
  </si>
  <si>
    <t>SEI PUTIH BARAT</t>
  </si>
  <si>
    <t>SAMUEL JIFKY ANDERSON HUTAGAOL</t>
  </si>
  <si>
    <t>199410072025211049</t>
  </si>
  <si>
    <t>MEDAN,
07 OKTOBER 1994</t>
  </si>
  <si>
    <t>JL SEHATI GG BINTARA NO 4</t>
  </si>
  <si>
    <t>TEGAL REJO</t>
  </si>
  <si>
    <t>SARI ROMAITO SIREGAR</t>
  </si>
  <si>
    <t>199005102025212093</t>
  </si>
  <si>
    <t>sariromaito@gmail.com</t>
  </si>
  <si>
    <t>MEDAN,
10 MEI 1990</t>
  </si>
  <si>
    <t>SITI SALLY ROSSA</t>
  </si>
  <si>
    <t>197604302025212019</t>
  </si>
  <si>
    <t>SEKOLAH TINGGI ILMU EKONOMI AL- HIKMAH</t>
  </si>
  <si>
    <t>sitysally1976@gmail.com</t>
  </si>
  <si>
    <t>MEDAN,
30 APRIL 1976</t>
  </si>
  <si>
    <t>JL.UTAMA GG KENARI NO.2</t>
  </si>
  <si>
    <t>KOTA MATSUM III</t>
  </si>
  <si>
    <t>SYAHWALI ARIE PUTRA PINEM</t>
  </si>
  <si>
    <t>198901102025211111</t>
  </si>
  <si>
    <t>putraarie311@gmail.com</t>
  </si>
  <si>
    <t>MEDAN,
10 JANUARI 1989</t>
  </si>
  <si>
    <t>JL BUNGA KANTIL XXII NO 9B</t>
  </si>
  <si>
    <t>TENGKU MIRDA ANGGI MUTIA</t>
  </si>
  <si>
    <t>199208082025212097</t>
  </si>
  <si>
    <t>Sub Bidang Pembukuan Dan Pelaporan Bidang Parkir, Reklame, Penerangan Jalan, Air Tanah, Sarang Burung Walet Dan Retribusi BAPENDA Kota Medan</t>
  </si>
  <si>
    <t>asyifakinara18@gmail.com</t>
  </si>
  <si>
    <t>DELI SERDANG,
08 AGUSTUS 1992</t>
  </si>
  <si>
    <t>JL.AR HAKIM GG BELANGA NO.3</t>
  </si>
  <si>
    <t>TIMBUL HENRY YANTO</t>
  </si>
  <si>
    <t>198405162025211049</t>
  </si>
  <si>
    <t>Program studi Ilmu Hukum</t>
  </si>
  <si>
    <t>UNIVERSITAS TERBUKA</t>
  </si>
  <si>
    <t>rachel.oktavia2014@gmail.com</t>
  </si>
  <si>
    <t>MEDAN,
16 MEI 1984</t>
  </si>
  <si>
    <t>Jl Bunga Ester x no 2</t>
  </si>
  <si>
    <t>PB selayang II</t>
  </si>
  <si>
    <t>ULFA HUDAYAH</t>
  </si>
  <si>
    <t>199009282025212071</t>
  </si>
  <si>
    <t>uphahudayah@yahoo.co.id</t>
  </si>
  <si>
    <t>MEDAN,
28 SEPTEMBER 1990</t>
  </si>
  <si>
    <t>JL. GURILLA GG.ANGGREK NO.14</t>
  </si>
  <si>
    <t>ZULTONI MATONDANG</t>
  </si>
  <si>
    <t>198706132025211066</t>
  </si>
  <si>
    <t>tettyefridah@gmail.com</t>
  </si>
  <si>
    <t>MANDAILING NATAL,
13 JUNI 1987</t>
  </si>
  <si>
    <t>JL. KARYA DARMA NO 10-M LK XIII MEDAN</t>
  </si>
  <si>
    <t xml:space="preserve">BIDANG 3 </t>
  </si>
  <si>
    <t>SAHLAN ROMADHON NST, SSTP</t>
  </si>
  <si>
    <t>'199202242015071001</t>
  </si>
  <si>
    <t>KEPALA BIDANG BEA PEROLEHAN HAK ATAS TANAH DAN BANGUNAN DAN PAJAK BUMI DAN BANGUNAN BADAN PENDAPATAN DAERAH KOTA MEDAN</t>
  </si>
  <si>
    <t>sahlanromadhon@gmail.com</t>
  </si>
  <si>
    <t>MEDAN, 24 FEBRUARI 1992</t>
  </si>
  <si>
    <t>JL. PERJUANGAN NO.57</t>
  </si>
  <si>
    <t>TANJUNG REJO</t>
  </si>
  <si>
    <t>AHMAD SOFWAN, S.T., M.A.P.</t>
  </si>
  <si>
    <t>'198201202011011002</t>
  </si>
  <si>
    <t>823.3/2525.K</t>
  </si>
  <si>
    <t>KEPALA SUB BIDANG TEKNIS BEA PEROLEHAN HAK ATAS TANAH DAN BANGUNAN DAN PAJAK BUMI DAN BANGUNAN BADAN PENDAPATAN DAERAH KOTA MEDAN</t>
  </si>
  <si>
    <t>SUB BIDANG TEKNIS BEA PEROLEHAN HAK ATAS TANAH DAN BANGUNAN DAN PAJAK BUMI DAN BANGUNAN BADAN PENDAPATAN DAERAH KOTA MEDAN</t>
  </si>
  <si>
    <t>800.1.3.3/1297.K29-11-2024</t>
  </si>
  <si>
    <t>Ilmu Administrasi Publik</t>
  </si>
  <si>
    <t>sofwan.lbs82@gmail.com</t>
  </si>
  <si>
    <t>MANAMBIN, 20 JANUARI 1982</t>
  </si>
  <si>
    <t>Jl. Pembangunan gg. H. Ruriz II-14</t>
  </si>
  <si>
    <t>HENDRA ASMILAN, S.IP., M.A.P.</t>
  </si>
  <si>
    <t>'196906171990091001</t>
  </si>
  <si>
    <t>823.4/1290/2015</t>
  </si>
  <si>
    <t>KEPALA SUB BIDANG KEBERATAN DAN SENGKETA BADAN PENDAPATAN DAERAH KOTA MEDAN</t>
  </si>
  <si>
    <t>SUB BIDANG KEBERATAN DAN SENGKETA BADAN PENDAPATAN DAERAH KOTA MEDAN</t>
  </si>
  <si>
    <t>15 Juli 2017</t>
  </si>
  <si>
    <t>PIM III / SPAMA / SPADYA / PKA</t>
  </si>
  <si>
    <t>hendra.asmilan69@gmail.com</t>
  </si>
  <si>
    <t>MEDAN, 17 JUNI 1969</t>
  </si>
  <si>
    <t>Jl STM Ujung / Jl Suka Sopan No. 1</t>
  </si>
  <si>
    <t>ZULFAKHRI AHMADI, S.SOS</t>
  </si>
  <si>
    <t>'197107121996021001</t>
  </si>
  <si>
    <t>188.44/1353/KPTS/2018</t>
  </si>
  <si>
    <t>821.2/324.K17-07-2017</t>
  </si>
  <si>
    <t>STIA LAN</t>
  </si>
  <si>
    <t>dzoel1971@gmail.com</t>
  </si>
  <si>
    <t>LANGKAT, 12 JULI 1971</t>
  </si>
  <si>
    <t>JOHOR INDAH PERMAI I BLOK B NO 10 LK X MEDAN</t>
  </si>
  <si>
    <t>YEMKI SATRIA, S.SOS, M.M.</t>
  </si>
  <si>
    <t>'197804272005021004</t>
  </si>
  <si>
    <t>21 Juni 2021</t>
  </si>
  <si>
    <t>yemkisatria78@gmail.com</t>
  </si>
  <si>
    <t>BUKIT TINGGI, 27 APRIL 1978</t>
  </si>
  <si>
    <t>JL. A.R. HAKIM GG. SEHAT NO. 4 B MEDAN</t>
  </si>
  <si>
    <t>YANTI ZULHAFNY S, S.E., M.M.</t>
  </si>
  <si>
    <t>'197202122008012003</t>
  </si>
  <si>
    <t>yantizulhafny72@gmail.com</t>
  </si>
  <si>
    <t>MEDAN, 12 FEBRUARI 1972</t>
  </si>
  <si>
    <t>Jl. Jermal 1 No. 6</t>
  </si>
  <si>
    <t>ROSMANIAR, S.SOS</t>
  </si>
  <si>
    <t>'197204161992032001</t>
  </si>
  <si>
    <t>823.3/1627.K</t>
  </si>
  <si>
    <t>03 Agustus 1999</t>
  </si>
  <si>
    <t>rosmaniarrose@gmail.com</t>
  </si>
  <si>
    <t>MEDAN, 16 APRIL 1972</t>
  </si>
  <si>
    <t>Jl. SELAMAT Gg. SUBRA III NO. 4 A</t>
  </si>
  <si>
    <t>JENNI IRAWATI TANJUNG, S.E.</t>
  </si>
  <si>
    <t>'197006121992032007</t>
  </si>
  <si>
    <t>27 Januari 1995</t>
  </si>
  <si>
    <t>irawatijenni@gmail.com</t>
  </si>
  <si>
    <t>MEDAN, 12 JUNI 1970</t>
  </si>
  <si>
    <t>Jl. Garu I No. 44 LK.I MEDAN</t>
  </si>
  <si>
    <t>JUNITA FAUZIAH NASUTION, S.H.</t>
  </si>
  <si>
    <t>'197506192003122003</t>
  </si>
  <si>
    <t>823.1.2.3/189.K</t>
  </si>
  <si>
    <t>walikota medan</t>
  </si>
  <si>
    <t>UNIV.MUHAMMADIYAH TAPSEL</t>
  </si>
  <si>
    <t>junitanasution75@gmail.com</t>
  </si>
  <si>
    <t>MEDAN, 19 JUNI 1975</t>
  </si>
  <si>
    <t>JL. TIRTOSARI NO.29 MEDAN</t>
  </si>
  <si>
    <t>MASKUD SUASONO, S.SI</t>
  </si>
  <si>
    <t>'196912062008011002</t>
  </si>
  <si>
    <t>MATEMATIKA</t>
  </si>
  <si>
    <t>UNIVERSITAS SISINGAMANGARAJA XII</t>
  </si>
  <si>
    <t>suasonomasud@gmail.com</t>
  </si>
  <si>
    <t>KARANG BANGUN, 06 DESEMBER 1969</t>
  </si>
  <si>
    <t>JL. MULYO GG IKHLAS NO.16 C</t>
  </si>
  <si>
    <t>PULO BRAYAN BARAT II</t>
  </si>
  <si>
    <t>ISMA BRINA BR. BUKIT, S.E.</t>
  </si>
  <si>
    <t>'197602142008012003</t>
  </si>
  <si>
    <t>UNIVERSITAS KATOLIK ST. THOMAS</t>
  </si>
  <si>
    <t>12 Mei 2001</t>
  </si>
  <si>
    <t>ismabrina7@gmail.com</t>
  </si>
  <si>
    <t>MEDAN, 14 FEBRUARI 1976</t>
  </si>
  <si>
    <t>JL. SETIA BUDI PSR 2 NO. 5 B</t>
  </si>
  <si>
    <t>PARUHUMAN SIREGAR, S.T.</t>
  </si>
  <si>
    <t>'197602062009031005</t>
  </si>
  <si>
    <t>823.1.2.3/742.K</t>
  </si>
  <si>
    <t>TEKNIK SIPIL</t>
  </si>
  <si>
    <t>12 Juni 2001</t>
  </si>
  <si>
    <t>PakRegar225@gmail.com</t>
  </si>
  <si>
    <t>MEDAN, 06 FEBRUARI 1976</t>
  </si>
  <si>
    <t>JL. SELAMAT UJUNG NO. 188 MEDAN</t>
  </si>
  <si>
    <t>sitirejo III</t>
  </si>
  <si>
    <t>ELVINA SARI, S.E.</t>
  </si>
  <si>
    <t>'197010012008012002</t>
  </si>
  <si>
    <t>elvinasari0110@gmail.com</t>
  </si>
  <si>
    <t>MADINA, 01 OKTOBER 1970</t>
  </si>
  <si>
    <t>JL. EKA WARNI GG. EKA WARNI  I -A NO. 3</t>
  </si>
  <si>
    <t>RIANI YANTY HARIANJA, S.E.</t>
  </si>
  <si>
    <t>'198101272010012026</t>
  </si>
  <si>
    <t>UNIV. HKBP NOMENSEN</t>
  </si>
  <si>
    <t>harianzarianti@gmail.com</t>
  </si>
  <si>
    <t>SIMALUNGUN, 27 JANUARI 1981</t>
  </si>
  <si>
    <t>JL. JERMAL IV UJUNG NO.71</t>
  </si>
  <si>
    <t>SYOPHIA NELY, S.H.</t>
  </si>
  <si>
    <t>'198201162010012020</t>
  </si>
  <si>
    <t>KENOTARIATAN</t>
  </si>
  <si>
    <t>syophia.nely@gmail.com</t>
  </si>
  <si>
    <t>PEMATANG SIANTAR, 16 JANUARI 1982</t>
  </si>
  <si>
    <t>JL. KOMP. VILLA ASOKA BLOK A No. 8</t>
  </si>
  <si>
    <t>IVAN WINARTA, S.SOS, M.A.P.</t>
  </si>
  <si>
    <t>'197705182010011011</t>
  </si>
  <si>
    <t>23 Desember 2017</t>
  </si>
  <si>
    <t>ivan.gintingok@yahoo.com</t>
  </si>
  <si>
    <t>KABANJAHE, 18 MEI 1977</t>
  </si>
  <si>
    <t>JL. DR. ,MANSYUR NO.4</t>
  </si>
  <si>
    <t>MALIM, S.E.</t>
  </si>
  <si>
    <t>'196902062007011008</t>
  </si>
  <si>
    <t>malimse69@gmail.com</t>
  </si>
  <si>
    <t>PALANGAS, 06 FEBRUARI 1969</t>
  </si>
  <si>
    <t>JL. SODUMULYO GG. SETIA NO. 51 A TEMBUNG</t>
  </si>
  <si>
    <t>tembung</t>
  </si>
  <si>
    <t>NAZWA MUIS, S.H.,M.KN</t>
  </si>
  <si>
    <t>'198104172010012012</t>
  </si>
  <si>
    <t>Magister Kenotariatan</t>
  </si>
  <si>
    <t>07 Juni 2007</t>
  </si>
  <si>
    <t>najwamuis@gmail.com</t>
  </si>
  <si>
    <t>MEDAN, 17 APRIL 1981</t>
  </si>
  <si>
    <t>JL FRAKSI A NO 23</t>
  </si>
  <si>
    <t>Pulo Brayan Bengkel</t>
  </si>
  <si>
    <t>TARNAMA KHARTA MARINUS SIHOTANG, S.E., MM</t>
  </si>
  <si>
    <t>'198507272011011016</t>
  </si>
  <si>
    <t>26 Oktober 2013</t>
  </si>
  <si>
    <t>minicar27@gmail.com</t>
  </si>
  <si>
    <t>MEDAN, 27 JULI 1985</t>
  </si>
  <si>
    <t>JL. JERMAL 1 No. 17</t>
  </si>
  <si>
    <t>FAHRI ISKANDAR SYAH, S.E, MM</t>
  </si>
  <si>
    <t>'197311112008011003</t>
  </si>
  <si>
    <t>15 Desember 2015</t>
  </si>
  <si>
    <t>fahriiskandarsyah772@gmail.com</t>
  </si>
  <si>
    <t>MEDAN, 11 NOVEMBER 1973</t>
  </si>
  <si>
    <t>JL. KARYA KASIH NO.18 MEDAN</t>
  </si>
  <si>
    <t>Medan johor</t>
  </si>
  <si>
    <t>Pangkalan masyhur</t>
  </si>
  <si>
    <t>HERMAWAN, S.SOS</t>
  </si>
  <si>
    <t>'197605241997031005</t>
  </si>
  <si>
    <t>ILMU SOSIAL DAN POLITIK</t>
  </si>
  <si>
    <t>mawan.zafran@gmail.com</t>
  </si>
  <si>
    <t>MEDAN, 24 MEI 1976</t>
  </si>
  <si>
    <t>Jl.SOSRO NO.10</t>
  </si>
  <si>
    <t>ANDRY HASAN NASUTION, S.E.</t>
  </si>
  <si>
    <t>'197809172010011008</t>
  </si>
  <si>
    <t>821.2/532.K25-10-2017</t>
  </si>
  <si>
    <t>EKONOMI PEMBANGUNAN</t>
  </si>
  <si>
    <t>23 Agustus 2008</t>
  </si>
  <si>
    <t>nasution78@gmail.com</t>
  </si>
  <si>
    <t>MEDAN, 17 SEPTEMBER 1978</t>
  </si>
  <si>
    <t>Jl. Cempaka V No. 161 Medan</t>
  </si>
  <si>
    <t>POLTAK CHRISIE TUMANGGOR, S.E.</t>
  </si>
  <si>
    <t>'198112242009031005</t>
  </si>
  <si>
    <t>STIE DUTA NUSANTARA</t>
  </si>
  <si>
    <t>15 Agustus 2006</t>
  </si>
  <si>
    <t>poltaktumanggor@gmail.com</t>
  </si>
  <si>
    <t>MEDAN, 24 DESEMBER 1981</t>
  </si>
  <si>
    <t>Jl.Karya Bakti No.1 LK VII</t>
  </si>
  <si>
    <t>SRI MEILIYANTI RANGKUTY, S.H.</t>
  </si>
  <si>
    <t>'197205121993122001</t>
  </si>
  <si>
    <t>UNIVERSITAS MUSLIM NUSANTARA ( UMN )</t>
  </si>
  <si>
    <t>yantisrimeili@gmail.com</t>
  </si>
  <si>
    <t>MEDAN, 12 MEI 1972</t>
  </si>
  <si>
    <t>JL. SM. RAJA KM. 6,5 No. 13 Lk. VII</t>
  </si>
  <si>
    <t>HARJO SARI I</t>
  </si>
  <si>
    <t>ABEL GURUSINGA, S.SOS</t>
  </si>
  <si>
    <t>'197609232011011006</t>
  </si>
  <si>
    <t>ILMU ANTROPOLOGI</t>
  </si>
  <si>
    <t>Panegara22@gmail.com</t>
  </si>
  <si>
    <t>MEDAN, 23 SEPTEMBER 1976</t>
  </si>
  <si>
    <t>JL. JAMIN GINTING GG. PANEGARA NO. 22 MEDAN</t>
  </si>
  <si>
    <t>Padang Bulan</t>
  </si>
  <si>
    <t>KHOIRUL EFFENDY SIREGAR, S.T.</t>
  </si>
  <si>
    <t>'198605162011011011</t>
  </si>
  <si>
    <t>UNIVERSITAS ISLAM SUMATERA UTARA (UISU)</t>
  </si>
  <si>
    <t>15 Desember 2009</t>
  </si>
  <si>
    <t>khoisirpa@gmail.com</t>
  </si>
  <si>
    <t>GUNUNG TUA, 16 MEI 1986</t>
  </si>
  <si>
    <t>JL LETDA SUJONO GG PERWIRA NO 4</t>
  </si>
  <si>
    <t>TEMBUNG</t>
  </si>
  <si>
    <t>SRI MARINI, S.E.</t>
  </si>
  <si>
    <t>'197703111996022002</t>
  </si>
  <si>
    <t>823.3/1259.K</t>
  </si>
  <si>
    <t>UNIVERSITAS USU</t>
  </si>
  <si>
    <t>srimarinj@gmail.com</t>
  </si>
  <si>
    <t>MEDAN, 11 MARET 1977</t>
  </si>
  <si>
    <t>Jln. AMPERA VI NO. 16/31</t>
  </si>
  <si>
    <t>GLUGUR DARAT II</t>
  </si>
  <si>
    <t>RIA MELATI, S.E.</t>
  </si>
  <si>
    <t>'198509232010012033</t>
  </si>
  <si>
    <t>Universitas Andalas</t>
  </si>
  <si>
    <t>rheea.em.23@gmail.com</t>
  </si>
  <si>
    <t>PADANG, 23 SEPTEMBER 1985</t>
  </si>
  <si>
    <t>JL.Bajak 2H Gang Nasional No.27</t>
  </si>
  <si>
    <t>ERMIDA SIREGAR</t>
  </si>
  <si>
    <t>'197512232008012004</t>
  </si>
  <si>
    <t>SMA Negeri B. Toru</t>
  </si>
  <si>
    <t>ermidasiregar.75@gmail.com</t>
  </si>
  <si>
    <t>SIAGIAN, 23 DESEMBER 1975</t>
  </si>
  <si>
    <t>Jl. Nilam 17 No. 2 P. Simalingkar</t>
  </si>
  <si>
    <t>MARLON DAMA HASIHOLAN, SH, M.H</t>
  </si>
  <si>
    <t>'197701062008011002</t>
  </si>
  <si>
    <t>mrsco113077topu@gmail.com</t>
  </si>
  <si>
    <t>MEDAN, 06 JANUARI 1977</t>
  </si>
  <si>
    <t>Jl.Gereja GKPS Sei Padang No.170/8A</t>
  </si>
  <si>
    <t>RACHMADSYAH, S.H.</t>
  </si>
  <si>
    <t>'197412102008011001</t>
  </si>
  <si>
    <t>MSDM</t>
  </si>
  <si>
    <t>Universita Islam Sumatera Utara</t>
  </si>
  <si>
    <t>rachmadsyah1974@gmail.com</t>
  </si>
  <si>
    <t>MEDAN, 10 DESEMBER 1974</t>
  </si>
  <si>
    <t>Gg. HARJO DSN II DESA TEMBUNG</t>
  </si>
  <si>
    <t>ABDULLAH HAKIM DONGORAN, ST, M.SI</t>
  </si>
  <si>
    <t>'198103082015051001</t>
  </si>
  <si>
    <t>PERENCANAAN WILAYAH PERKOTAAN</t>
  </si>
  <si>
    <t>UNIVERSITAS SIMALUNGUN</t>
  </si>
  <si>
    <t>30 Juli 2020</t>
  </si>
  <si>
    <t>dongoranhakim@gmail.com</t>
  </si>
  <si>
    <t>MEDAN, 08 MARET 1981</t>
  </si>
  <si>
    <t>JL.BERSAMA NO.106</t>
  </si>
  <si>
    <t>RUSLAN EFFENDI, S.E</t>
  </si>
  <si>
    <t>'197003252007011007</t>
  </si>
  <si>
    <t>Sekolah Tinggi Ilmu Ekonomi</t>
  </si>
  <si>
    <t>15 Desember 2014</t>
  </si>
  <si>
    <t>ruslanefendi557@gmail.com</t>
  </si>
  <si>
    <t>MEDAN, 25 MARET 1970</t>
  </si>
  <si>
    <t>Jl.Kelambir V Gg.rahmad LK.II No.6 Medan</t>
  </si>
  <si>
    <t>HERI SUPARJAN PASARIBU, S.SOS</t>
  </si>
  <si>
    <t>'198211052001031001</t>
  </si>
  <si>
    <t>herisuparjan2@gmail.com</t>
  </si>
  <si>
    <t>MEDAN, 05 NOVEMBER 1982</t>
  </si>
  <si>
    <t>JLN. TANGKUL NO. 50A LK. X</t>
  </si>
  <si>
    <t>INDRA KASIH</t>
  </si>
  <si>
    <t>EDDUWIN SYAHPUTRA, S.E.</t>
  </si>
  <si>
    <t>'197612012008011003</t>
  </si>
  <si>
    <t>823.3/411.K</t>
  </si>
  <si>
    <t>STIE RIAMA MEDAN</t>
  </si>
  <si>
    <t>edduwinsyah76@gmail.com</t>
  </si>
  <si>
    <t>MEDAN, 01 DESEMBER 1976</t>
  </si>
  <si>
    <t>JLN. BANGAU NO. 16 C LK.VII</t>
  </si>
  <si>
    <t>Sei Sikambing B</t>
  </si>
  <si>
    <t>GAZALI SORMIN</t>
  </si>
  <si>
    <t>'197401142008011001</t>
  </si>
  <si>
    <t>alisormin1@gmail.com</t>
  </si>
  <si>
    <t>RANTAUPRAPAT, 14 JANUARI 1974</t>
  </si>
  <si>
    <t>JL. KUTILANG 7 NO.176</t>
  </si>
  <si>
    <t>SRI DINA SIREGAR, A.MD.</t>
  </si>
  <si>
    <t>'198107192006042010</t>
  </si>
  <si>
    <t>PARIWISATA</t>
  </si>
  <si>
    <t>UNIVERSITAR SUMATERA UTARA</t>
  </si>
  <si>
    <t>02 Oktober 2002</t>
  </si>
  <si>
    <t>dinaregar4@gmail.com</t>
  </si>
  <si>
    <t>MEDAN, 19 JULI 1981</t>
  </si>
  <si>
    <t>JL. SELAMAT NO.165</t>
  </si>
  <si>
    <t>Medan amplas</t>
  </si>
  <si>
    <t>Siti rejo 3</t>
  </si>
  <si>
    <t>AULIA DARWAN, S.KOM.</t>
  </si>
  <si>
    <t>'198604112011011011</t>
  </si>
  <si>
    <t>SEKOLAH TINGGI TEKNIK POLIPROFESI</t>
  </si>
  <si>
    <t>darwan.86.ad@gmail.com</t>
  </si>
  <si>
    <t>STABAT LAMA, 11 APRIL 1986</t>
  </si>
  <si>
    <t>Jl. Eka bakti gg.keluarga komplek griya ruzain no.2</t>
  </si>
  <si>
    <t>Gedung johor</t>
  </si>
  <si>
    <t>MUHAMMAD NANDA HARAPAN SIREGAR, S.STP</t>
  </si>
  <si>
    <t>'199003102014061001</t>
  </si>
  <si>
    <t>800.1.3.3/1367.K18-12-2024</t>
  </si>
  <si>
    <t>MANAJEMEN SUMBER DAYA APARATUR</t>
  </si>
  <si>
    <t>nandaharapan@gmail.com</t>
  </si>
  <si>
    <t>MEDAN, 10 MARET 1990</t>
  </si>
  <si>
    <t>JL.Jermal V No.40</t>
  </si>
  <si>
    <t>YUNIZAR, S.E., M.M</t>
  </si>
  <si>
    <t>'197906232008012005</t>
  </si>
  <si>
    <t>kuncupaxl3103@gmail.com</t>
  </si>
  <si>
    <t>MEDAN, 23 JUNI 1979</t>
  </si>
  <si>
    <t>JL. TERATAI NO.42</t>
  </si>
  <si>
    <t>HAMDAN</t>
  </si>
  <si>
    <t>ELSANA GINTING, S.E., M.A.P</t>
  </si>
  <si>
    <t>'198110052010012027</t>
  </si>
  <si>
    <t>800.1.2.3/1319K</t>
  </si>
  <si>
    <t>elsanaginting81@gmail.com</t>
  </si>
  <si>
    <t>TIGANDERKET, 05 OKTOBER 1981</t>
  </si>
  <si>
    <t>KOMP PURI AMBASADOR, JL ASOKA 1</t>
  </si>
  <si>
    <t>GLORIA NATALITA, A.MD.</t>
  </si>
  <si>
    <t>'198612082010012029</t>
  </si>
  <si>
    <t>Komputerisasi Akuntansi</t>
  </si>
  <si>
    <t>Universitas Methodist Indonesia</t>
  </si>
  <si>
    <t>17 Desember 2008</t>
  </si>
  <si>
    <t>gloria_tarigan@ymail.com</t>
  </si>
  <si>
    <t>MEDAN, 08 DESEMBER 1986</t>
  </si>
  <si>
    <t>Jl. Parang IV Gg. I No. 7 Lk. VI Medan</t>
  </si>
  <si>
    <t>IMMANUEL CARLY LUMBAN TOBING, S.E</t>
  </si>
  <si>
    <t>'198602232010011019</t>
  </si>
  <si>
    <t>Sekolah Tinggi Ilmu Ekonomi Graha Kirana</t>
  </si>
  <si>
    <t>rapindos0286@gmail.com</t>
  </si>
  <si>
    <t>JAMBI, 23 FEBRUARI 1986</t>
  </si>
  <si>
    <t>Jln. Bunga Melati II Komplek Puskesmas</t>
  </si>
  <si>
    <t>RAHMAINI</t>
  </si>
  <si>
    <t>'197206191993032003</t>
  </si>
  <si>
    <t>MANAJEMEN PEMASARAN</t>
  </si>
  <si>
    <t>SMEA</t>
  </si>
  <si>
    <t>01 Juni 1991</t>
  </si>
  <si>
    <t>rahmainiharahap40@gmail.com</t>
  </si>
  <si>
    <t>KANTIN, 19 JUNI 1972</t>
  </si>
  <si>
    <t>JL STASIUN NO 24</t>
  </si>
  <si>
    <t>IRMA NURHASANAH RANGKUTI, SE</t>
  </si>
  <si>
    <t>'198512172010012037</t>
  </si>
  <si>
    <t>800.1.3.2/986.K</t>
  </si>
  <si>
    <t>23 Oktober 2021</t>
  </si>
  <si>
    <t>irangkuti608@yahoo.com</t>
  </si>
  <si>
    <t>DELI TUA, 17 DESEMBER 1985</t>
  </si>
  <si>
    <t>JL. MELATI RAYA LK.IV NO 170 HELVETIA MEDAN</t>
  </si>
  <si>
    <t>HASAN MUHAMMAD, S.E</t>
  </si>
  <si>
    <t>'197711252009021001</t>
  </si>
  <si>
    <t>28 Oktober 2021</t>
  </si>
  <si>
    <t>hasanihim@gmail.com</t>
  </si>
  <si>
    <t>MEDAN, 25 NOVEMBER 1977</t>
  </si>
  <si>
    <t>JLN. STM GG.ARIPIN NO.30 LK.VII</t>
  </si>
  <si>
    <t>sitirejo II</t>
  </si>
  <si>
    <t>MUHAMMAD YUSUF DAULAY, S.E</t>
  </si>
  <si>
    <t>'198706062010011012</t>
  </si>
  <si>
    <t>07 Desember 2021</t>
  </si>
  <si>
    <t>coveniscala@gmail.com</t>
  </si>
  <si>
    <t>MEDAN, 06 JUNI 1987</t>
  </si>
  <si>
    <t>Jl. Roso Dusun VIII No. 2</t>
  </si>
  <si>
    <t>Desa Marindal 1</t>
  </si>
  <si>
    <t>NAUDUR SIMANJUNTAK, S.SOS</t>
  </si>
  <si>
    <t>'198411302010012038</t>
  </si>
  <si>
    <t>800.1.3.3/216.K08-03-2024</t>
  </si>
  <si>
    <t>SEKOLAH TINGGI ILMU ADMINISTRASI KARYA DHARMA MERAUKE</t>
  </si>
  <si>
    <t>09 Januari 2010</t>
  </si>
  <si>
    <t>naudursimanjuntak021@gmail.com</t>
  </si>
  <si>
    <t>PARDOMUAN, 30 NOVEMBER 1984</t>
  </si>
  <si>
    <t>JL. PINTU AIR IV GG PRIBADI NO 20</t>
  </si>
  <si>
    <t>KWALA BEKALA</t>
  </si>
  <si>
    <t>SUKANDAR</t>
  </si>
  <si>
    <t>'197801132008011002</t>
  </si>
  <si>
    <t>STIE PELITA BANGSA</t>
  </si>
  <si>
    <t>12 Oktober 2016</t>
  </si>
  <si>
    <t>sukandardantob@gmail.com</t>
  </si>
  <si>
    <t>MEDAN, 13 JANUARI 1978</t>
  </si>
  <si>
    <t>Jl. Danau Toba No 1 MEDAN</t>
  </si>
  <si>
    <t>MAWARDI</t>
  </si>
  <si>
    <t>'196909302008011017</t>
  </si>
  <si>
    <t>SMA NEGERI 2 MEDAN</t>
  </si>
  <si>
    <t>13 Mei 1988</t>
  </si>
  <si>
    <t>mawardiadi616@gmail.com</t>
  </si>
  <si>
    <t>BANDA ACEH, 30 SEPTEMBER 1969</t>
  </si>
  <si>
    <t>JL SENTOSA LAMA GG. ALIYAH NO 16</t>
  </si>
  <si>
    <t>ERWIN HARIADI PANE</t>
  </si>
  <si>
    <t>197902092025211003</t>
  </si>
  <si>
    <t>SUB BIDANG TEKNIS BIDANG BEA PEROLEHAN HAK ATAS TANAH DAN BANGUNAN DAN PAJAK BUMI DAN BANGUNAN BADAN PENDAPATAN DAERAH KOTA MEDAN</t>
  </si>
  <si>
    <t>RONAL MULIADY</t>
  </si>
  <si>
    <t>198610162025211003</t>
  </si>
  <si>
    <t>SMA IPA</t>
  </si>
  <si>
    <t>SMA Swasta Santo Thomas 1</t>
  </si>
  <si>
    <t>ronalmuliady77@gmail.com</t>
  </si>
  <si>
    <t>MEDAN,
16 OKTOBER 1986</t>
  </si>
  <si>
    <t>JL. B W KESUMA XIX NO.4</t>
  </si>
  <si>
    <t>P B SELAYANG II</t>
  </si>
  <si>
    <t>MIFTAHUR RIZKY RANGKUTI, S.E.</t>
  </si>
  <si>
    <t>199612152025212005</t>
  </si>
  <si>
    <t>S.1 Ekonomi Manajemen</t>
  </si>
  <si>
    <t>miftahurrkt@gmail.com</t>
  </si>
  <si>
    <t>MEDAN,
15 DESEMBER 1996</t>
  </si>
  <si>
    <t>Jl. Belat No. 150 Lk XII</t>
  </si>
  <si>
    <t>CHANDRA PARNINGOTAN SIHOMBING, A.MD.PAR</t>
  </si>
  <si>
    <t>198809252025211003</t>
  </si>
  <si>
    <t>D-III Manajemen Kepariwisataan</t>
  </si>
  <si>
    <t>Akademi Pariwisata Medan</t>
  </si>
  <si>
    <t>phoenix.wex88@gmail.com</t>
  </si>
  <si>
    <t>MEDAN,
25 SEPTEMBER 1988</t>
  </si>
  <si>
    <t>Jl. Seroja Raya Gg. Arkeologi No. 1 Lk. VIII</t>
  </si>
  <si>
    <t>EVEIS RUMITA SARTIKA PASARIBU, A.MD.</t>
  </si>
  <si>
    <t>198905182025212003</t>
  </si>
  <si>
    <t>Akademi Manajemen Informatika Komputer Medicom</t>
  </si>
  <si>
    <t>pasaribueveis@gmail.com</t>
  </si>
  <si>
    <t>MEDAN,
18 MEI 1989</t>
  </si>
  <si>
    <t>Jl. Pales IV Lingkungan VII</t>
  </si>
  <si>
    <t>Simpang Selayang</t>
  </si>
  <si>
    <t>REMINDA SURYANI TARIGAN</t>
  </si>
  <si>
    <t>198908312025212002</t>
  </si>
  <si>
    <t>remindatarigan8982@gmail.com</t>
  </si>
  <si>
    <t>MEDAN,
31 AGUSTUS 1989</t>
  </si>
  <si>
    <t>JALAN SETIA BUDI GANG RAMBUTAN 1 NO 20</t>
  </si>
  <si>
    <t>ABDUL JABBAR ZARKASYI</t>
  </si>
  <si>
    <t>200004212025211018</t>
  </si>
  <si>
    <t>Bidang Bea Perolehan Hak Atas Tanah Dan Bangunan Dan Pajak Bumi Dan Bangunan BAPENDA Kota Medan Kota</t>
  </si>
  <si>
    <t>jzarkasyi5@gmail.com</t>
  </si>
  <si>
    <t>MEDAN,
21 APRIL 2000</t>
  </si>
  <si>
    <t>PERUMAHAN DANAMON DUSUN VI</t>
  </si>
  <si>
    <t>TANJUNG ANOM</t>
  </si>
  <si>
    <t>AGUNG SUHENDAR DINATA</t>
  </si>
  <si>
    <t>199011302025211082</t>
  </si>
  <si>
    <t>Sub Bidang Teknis Bea Perolehan Hak Atas Tanah Dan Bangunan Dan Pajak Bumi Dan Bangunan BAPENDA Kota Medan</t>
  </si>
  <si>
    <t>agungdinata3030@gmail.com</t>
  </si>
  <si>
    <t>MEDAN,
30 NOVEMBER 1990</t>
  </si>
  <si>
    <t>JL MENTENG VII NO 29</t>
  </si>
  <si>
    <t>AHMAD AL FAZHAR TANJUNG</t>
  </si>
  <si>
    <t>199410182025211062</t>
  </si>
  <si>
    <t>Bidang Bea Perolehan Hak Atas Tanah Dan Bangunan Dan Pajak Bumi Dan Bangunan BAPENDA Kota Medan</t>
  </si>
  <si>
    <t>UNIVERSITAS HARAPAN</t>
  </si>
  <si>
    <t>fajarahmad5525@gmail.com</t>
  </si>
  <si>
    <t>MEDAN,
18 OKTOBER 1994</t>
  </si>
  <si>
    <t>VILLA GADING MAS I BLOK F NO 4</t>
  </si>
  <si>
    <t>AHMAD RASYIDI NASUTION</t>
  </si>
  <si>
    <t>198807312025211043</t>
  </si>
  <si>
    <t>arsy2277@gmail.com</t>
  </si>
  <si>
    <t>MEDAN,
31 JULI 1988</t>
  </si>
  <si>
    <t>jl. kelambir v gg. ubudiyah no. 2 a</t>
  </si>
  <si>
    <t>helvetia</t>
  </si>
  <si>
    <t>tj. gusta</t>
  </si>
  <si>
    <t>ALAMSYAH YWR</t>
  </si>
  <si>
    <t>199004302025211067</t>
  </si>
  <si>
    <t>alamsyah.ywr@gmail.com</t>
  </si>
  <si>
    <t>MEDAN,
30 APRIL 1990</t>
  </si>
  <si>
    <t>JL BARU GG HIDAYAH NO 5</t>
  </si>
  <si>
    <t>ALDRY BOB INAL SIREGAR</t>
  </si>
  <si>
    <t>198904302025211118</t>
  </si>
  <si>
    <t>inalsiregaraldrybob@gmail.com</t>
  </si>
  <si>
    <t>TANJUNGBALAI,
30 APRIL 1989</t>
  </si>
  <si>
    <t>LK II JLN SUDIRMAN GG MALINDA</t>
  </si>
  <si>
    <t>KABUPATEN DELI SERDANG</t>
  </si>
  <si>
    <t>LUBUK PAKAM</t>
  </si>
  <si>
    <t>LUBUK PAKAM PEKAN</t>
  </si>
  <si>
    <t>ANA ZURIKA PANGARIBUAN</t>
  </si>
  <si>
    <t>197907312025212024</t>
  </si>
  <si>
    <t>anapgrb6@gmail.com</t>
  </si>
  <si>
    <t>PEMATANGSIANTAR,
31 JULI 1979</t>
  </si>
  <si>
    <t>DUSUN VII - DESA SEI ROTAN</t>
  </si>
  <si>
    <t>SEI ROTAN</t>
  </si>
  <si>
    <t>ARIEF MADEZA</t>
  </si>
  <si>
    <t>197911102025211057</t>
  </si>
  <si>
    <t>Sub Bidang Teknis Bea Perolehan Hak Atas Tanah Dan Bangunan Dan Pajak Bumi Dan Bangunan BAPENDA Kota Medan Kota</t>
  </si>
  <si>
    <t>SEKOLAH TINGGI TEKNIK HARAPAN MEDAN</t>
  </si>
  <si>
    <t>ariefmadeza1979@gmail.com</t>
  </si>
  <si>
    <t>MEDAN,
10 NOVEMBER 1979</t>
  </si>
  <si>
    <t>JL. PURI GG. MAWAR NO. 28</t>
  </si>
  <si>
    <t>KOTAMATSUM II</t>
  </si>
  <si>
    <t>BAHARUDDIN DALIMUNTHE</t>
  </si>
  <si>
    <t>198905232025211062</t>
  </si>
  <si>
    <t>bahardalimunthe3@gmail.com</t>
  </si>
  <si>
    <t>LABUHANBATU UTARA,
23 MEI 1989</t>
  </si>
  <si>
    <t>JLN STARBAN GG SAWAH LK XI</t>
  </si>
  <si>
    <t>POLONIA</t>
  </si>
  <si>
    <t>BUDI SETIAWAN GINTING</t>
  </si>
  <si>
    <t>197907092025211049</t>
  </si>
  <si>
    <t>SEKOLAH TINGGI MANAJEMEN INFORMATIKA DAN KOMPUTER TULUS CENDEKIA</t>
  </si>
  <si>
    <t>budisetiawanginshu@gmail.com</t>
  </si>
  <si>
    <t>MEDAN,
09 JULI 1979</t>
  </si>
  <si>
    <t>JL BUNGA LAU NO 66 MEDAN</t>
  </si>
  <si>
    <t>KEMENANGAN TANI</t>
  </si>
  <si>
    <t>CINDY TIFFANY ANDALASIA</t>
  </si>
  <si>
    <t>199109252025212070</t>
  </si>
  <si>
    <t>cnoycndy@gmail.com</t>
  </si>
  <si>
    <t>MEDAN,
25 SEPTEMBER 1991</t>
  </si>
  <si>
    <t>Comp. Citra wisata blok.12 no.72 Lk. XIV</t>
  </si>
  <si>
    <t>DENI SYAFRYADY</t>
  </si>
  <si>
    <t>198001222025211035</t>
  </si>
  <si>
    <t>Sekolah Tinggi Ilmu Ekonomi Pelita Bangsa</t>
  </si>
  <si>
    <t>MEDAN,
22 JANUARI 1980</t>
  </si>
  <si>
    <t>Gg. Pringgan Lr. Tiung Lk 08</t>
  </si>
  <si>
    <t>Paya Pasir</t>
  </si>
  <si>
    <t>DEVY IRYANTHY HASIBUAN</t>
  </si>
  <si>
    <t>199007072025212075</t>
  </si>
  <si>
    <t>deviryanthyhsb@gmail.com</t>
  </si>
  <si>
    <t>MEDAN,
07 JULI 1990</t>
  </si>
  <si>
    <t>JL RISPA III/IV NO 62 MEDAN</t>
  </si>
  <si>
    <t>DIAN UTAMI</t>
  </si>
  <si>
    <t>199203262025212066</t>
  </si>
  <si>
    <t>PENDIDIKAN BAHASA DAN SENI</t>
  </si>
  <si>
    <t>UNIVERSITAS PASUNDAN</t>
  </si>
  <si>
    <t>dianutm26@gmail.com</t>
  </si>
  <si>
    <t>MEDAN,
26 MARET 1992</t>
  </si>
  <si>
    <t>JL PAHLAWAN GG PERWIRA NO 16/11</t>
  </si>
  <si>
    <t>DINA SARTIKA</t>
  </si>
  <si>
    <t>198303252025212050</t>
  </si>
  <si>
    <t>dinasartika2503@gmail.com</t>
  </si>
  <si>
    <t>BATUBARA,
25 MARET 1983</t>
  </si>
  <si>
    <t>Jl Karya Jaya gg Karya Muda No 32 A LK VI Medan</t>
  </si>
  <si>
    <t>DWI ARIMBI</t>
  </si>
  <si>
    <t>199412152025212065</t>
  </si>
  <si>
    <t>dwiarimbi636@gmail.com</t>
  </si>
  <si>
    <t>MEDAN,
15 DESEMBER 1994</t>
  </si>
  <si>
    <t>JL.LETDA SUJONO GG LANGSAT NO 14</t>
  </si>
  <si>
    <t>ELVI ZAHARA NASUTION</t>
  </si>
  <si>
    <t>198512182025212040</t>
  </si>
  <si>
    <t>elvi.zahara1985@gmail.com</t>
  </si>
  <si>
    <t>MANDAILING NATAL,
18 DESEMBER 1985</t>
  </si>
  <si>
    <t>JL HARAPAN PASTI NO 52</t>
  </si>
  <si>
    <t>EMIR NATALIANSYAH</t>
  </si>
  <si>
    <t>199006252025211083</t>
  </si>
  <si>
    <t>emirnataliansyah90@gmail.com</t>
  </si>
  <si>
    <t>BANDAR LAMPUNG,
25 JUNI 1990</t>
  </si>
  <si>
    <t>JL. FLAMBOYAN RAYA KOMPLEK VILLA SETIA BUDI FLAMBOYAN BLOK J NO 18</t>
  </si>
  <si>
    <t>ENDA SWANDANA</t>
  </si>
  <si>
    <t>198210102025211200</t>
  </si>
  <si>
    <t>SWASTA BUDI LUHUR</t>
  </si>
  <si>
    <t>aresha2107@gmail.com</t>
  </si>
  <si>
    <t>MEDAN,
10 OKTOBER 1982</t>
  </si>
  <si>
    <t>JL BUDI LUHUR GG MESJID LK XI NO 5</t>
  </si>
  <si>
    <t>FAUZIAH NASUTION</t>
  </si>
  <si>
    <t>198302242025212030</t>
  </si>
  <si>
    <t>0852 9719 7796</t>
  </si>
  <si>
    <t>Zizi.nst24@gmail.com</t>
  </si>
  <si>
    <t>MEDAN,
24 FEBRUARI 1983</t>
  </si>
  <si>
    <t>JL. TUAR 14 NO. 270 BLOK 11</t>
  </si>
  <si>
    <t>BESAR</t>
  </si>
  <si>
    <t>FEBTIA NUR WULANDARI</t>
  </si>
  <si>
    <t>198702122025212097</t>
  </si>
  <si>
    <t>MEDAN,
12 FEBRUARI 1987</t>
  </si>
  <si>
    <t>TAMAN HARAPAN INDAH BLOK C-10</t>
  </si>
  <si>
    <t>FITRI ERVINA</t>
  </si>
  <si>
    <t>198008172025212063</t>
  </si>
  <si>
    <t>fitriervina681@gmail.com</t>
  </si>
  <si>
    <t>MEDAN,
17 AGUSTUS 1980</t>
  </si>
  <si>
    <t>JL P BARIS GG JAWA NO 16A LK XII</t>
  </si>
  <si>
    <t>FITRI REBTYNA HARAHAP</t>
  </si>
  <si>
    <t>198905072025212087</t>
  </si>
  <si>
    <t>SISTEM INFORMASI AKUNTANSI</t>
  </si>
  <si>
    <t>STMIK MIKROSKIL MEDAN</t>
  </si>
  <si>
    <t>fitri.rebtynahrp@gmail.com</t>
  </si>
  <si>
    <t>MEDAN,
07 MEI 1989</t>
  </si>
  <si>
    <t>JL STADION DUSUN I</t>
  </si>
  <si>
    <t>TANJUNG GARBUS I</t>
  </si>
  <si>
    <t>HARDY WIGUNA NABABAN</t>
  </si>
  <si>
    <t>199309282025211059</t>
  </si>
  <si>
    <t>hardywigunanababan@gmail.com</t>
  </si>
  <si>
    <t>MEDAN,
28 SEPTEMBER 1993</t>
  </si>
  <si>
    <t>JL. PINANG RAYA IV NO. 14 P. SIMALINGKAR</t>
  </si>
  <si>
    <t>HENNI HERLINA</t>
  </si>
  <si>
    <t>198206162025212055</t>
  </si>
  <si>
    <t>henny.herlina82@gmail.com</t>
  </si>
  <si>
    <t>MEDAN,
16 JUNI 1982</t>
  </si>
  <si>
    <t>Jln Lukah Gg Keluarga No 35 G</t>
  </si>
  <si>
    <t>INDRA YANI</t>
  </si>
  <si>
    <t>198801232025211062</t>
  </si>
  <si>
    <t>Indra_8895@yahoo.co.id</t>
  </si>
  <si>
    <t>BANDUNG,
23 JANUARI 1988</t>
  </si>
  <si>
    <t>JL SEI BATU GINGGING PSR X NO 42</t>
  </si>
  <si>
    <t>PB SELAYANG I</t>
  </si>
  <si>
    <t>JOKO MACHDY BATUBARA</t>
  </si>
  <si>
    <t>198903192025211064</t>
  </si>
  <si>
    <t>nda.muach@gmail.com</t>
  </si>
  <si>
    <t>MEDAN,
19 MARET 1989</t>
  </si>
  <si>
    <t>JL M YAKUB NO 146</t>
  </si>
  <si>
    <t>KHADRILAH ALRUMANA LUBIS</t>
  </si>
  <si>
    <t>198805132025211073</t>
  </si>
  <si>
    <t>SEKOLAH TINGGI MANAJEMEN INFORMATIKA DAN KOMPUTER BUDI DARMA</t>
  </si>
  <si>
    <t>khadrilubis@yahoo.com</t>
  </si>
  <si>
    <t>MEDAN,
13 MEI 1988</t>
  </si>
  <si>
    <t>JL IBRAHIM UMAR GG MANTRI NO 11</t>
  </si>
  <si>
    <t>KHAIRUNNISA NASUTION</t>
  </si>
  <si>
    <t>199407132025212093</t>
  </si>
  <si>
    <t>Ekonomi Islam</t>
  </si>
  <si>
    <t>Universitas Islam Negeri Sumatera Utara</t>
  </si>
  <si>
    <t>khairunnisanst137@gamil.com</t>
  </si>
  <si>
    <t>MEDAN,
13 JULI 1994</t>
  </si>
  <si>
    <t>Jl. Klambir V Komp Az Zahra No. 6 Lk II</t>
  </si>
  <si>
    <t>LISA AMELIA EKA PUTRI</t>
  </si>
  <si>
    <t>198501172025212046</t>
  </si>
  <si>
    <t>ekonomi manajemen</t>
  </si>
  <si>
    <t>STIE TELADAN</t>
  </si>
  <si>
    <t>putrifansa60@gmail.com</t>
  </si>
  <si>
    <t>MEDAN,
17 JANUARI 1985</t>
  </si>
  <si>
    <t>M ANDRIANSYAH PRANATA</t>
  </si>
  <si>
    <t>199403212025211072</t>
  </si>
  <si>
    <t>mandriansyahpranata21@gmail.com</t>
  </si>
  <si>
    <t>MEDAN,
21 MARET 1994</t>
  </si>
  <si>
    <t>JL. TG. SENTOSA 4 BLOK 4 NO. 178 LK . XVI GM I</t>
  </si>
  <si>
    <t>M IRWANSYAH</t>
  </si>
  <si>
    <t>198807052025211096</t>
  </si>
  <si>
    <t>MANAJEMEN BISNIS TELEKOMUNIKASI DAN INFORMATIKA</t>
  </si>
  <si>
    <t>INSTITUT MANAJEMEN TELKOM</t>
  </si>
  <si>
    <t>m.irwansyahh@gmail.com</t>
  </si>
  <si>
    <t>MEDAN,
05 JULI 1988</t>
  </si>
  <si>
    <t>JL BUNGA ESTER NO 76 A LK XV</t>
  </si>
  <si>
    <t>PADANG BULAN SELAYANG II</t>
  </si>
  <si>
    <t>MARY ASNITA</t>
  </si>
  <si>
    <t>199412132025212065</t>
  </si>
  <si>
    <t>maryasnita@gmail.com</t>
  </si>
  <si>
    <t>MEDAN,
13 DESEMBER 1994</t>
  </si>
  <si>
    <t>DUSUN XII JL SIDOMULYO NO 158</t>
  </si>
  <si>
    <t>MISNAWATI</t>
  </si>
  <si>
    <t>199205282025212071</t>
  </si>
  <si>
    <t>PENDIDIKAN AGAMA ISLAM</t>
  </si>
  <si>
    <t>SEKOLAH TINGGI AGAMA ISLAM SUMATERA (STAIS) MEDAN</t>
  </si>
  <si>
    <t>misnawati854@gmail.com</t>
  </si>
  <si>
    <t>MEDAN,
28 MEI 1992</t>
  </si>
  <si>
    <t>PETUNIA RAYA LINGKUNGAN II</t>
  </si>
  <si>
    <t>NAMO GAJAH</t>
  </si>
  <si>
    <t>MORINA RUGUN TP.BOLON</t>
  </si>
  <si>
    <t>198206082025212039</t>
  </si>
  <si>
    <t>UNIVERSITAS MUSLIM NUSANTARA AL-WASHLIYAH</t>
  </si>
  <si>
    <t>morinatampu@yahoo.co.id</t>
  </si>
  <si>
    <t>MEDAN,
08 JUNI 1982</t>
  </si>
  <si>
    <t>JL KARYA JAYA NO 4-B</t>
  </si>
  <si>
    <t>MUHAMMAD ARDY</t>
  </si>
  <si>
    <t>198210172025211075</t>
  </si>
  <si>
    <t>ardhy223@gmail.com</t>
  </si>
  <si>
    <t>MEDAN,
17 OKTOBER 1982</t>
  </si>
  <si>
    <t>JL SATU NO B 31</t>
  </si>
  <si>
    <t>PULO BRAYAN BENGKEL BARU</t>
  </si>
  <si>
    <t>MUHAMMAD IRSAN AULIA</t>
  </si>
  <si>
    <t>199802192025211025</t>
  </si>
  <si>
    <t>SEKOLAH MENENGAH ATAS NEGERI 4 MEDAN</t>
  </si>
  <si>
    <t>irsanaulia190298@gmail.com</t>
  </si>
  <si>
    <t>MEDAN,
19 FEBRUARI 1998</t>
  </si>
  <si>
    <t>JL PINTU AIR IV NO 177 LK II MEDAN</t>
  </si>
  <si>
    <t>MUHAMMAD RORI PRATAMA</t>
  </si>
  <si>
    <t>199503212025211040</t>
  </si>
  <si>
    <t>SMA Negeri 8</t>
  </si>
  <si>
    <t>rorynasution26@gmail.com</t>
  </si>
  <si>
    <t>MEDAN,
21 MARET 1995</t>
  </si>
  <si>
    <t>JL PAHLAWAN GG PERWIRA NO 5 A</t>
  </si>
  <si>
    <t>MUHAMMAD YUNUS RITONGA</t>
  </si>
  <si>
    <t>198912012025211107</t>
  </si>
  <si>
    <t>radnoz24ozn@gmail.com</t>
  </si>
  <si>
    <t>MEDAN,
01 DESEMBER 1989</t>
  </si>
  <si>
    <t>G. SIDODADI NO 100 A DSN V</t>
  </si>
  <si>
    <t>PATUMBAK</t>
  </si>
  <si>
    <t>MARINDAL I</t>
  </si>
  <si>
    <t>MUKSIN</t>
  </si>
  <si>
    <t>197003282025211019</t>
  </si>
  <si>
    <t>SEKOLAH TEKNOLOGI MENENGAH NEGERI</t>
  </si>
  <si>
    <t>muksinnasution60@gmail.com</t>
  </si>
  <si>
    <t>MANDAILING NATAL,
28 MARET 1970</t>
  </si>
  <si>
    <t>JL SIDORUKUN GG SIDOELING NO 6</t>
  </si>
  <si>
    <t>PULO BRAYAN DARAT II</t>
  </si>
  <si>
    <t>MUKTI RIZAL</t>
  </si>
  <si>
    <t>197609262025211034</t>
  </si>
  <si>
    <t>muktirizal2626@gmail.com</t>
  </si>
  <si>
    <t>BINJAI,
26 SEPTEMBER 1976</t>
  </si>
  <si>
    <t>JL JERMAL X NO 10</t>
  </si>
  <si>
    <t>MULIA SYAHPUTRA PANE</t>
  </si>
  <si>
    <t>198507272025211097</t>
  </si>
  <si>
    <t>muliapane272785@gmail.com</t>
  </si>
  <si>
    <t>MEDAN,
27 JULI 1985</t>
  </si>
  <si>
    <t>JL JERMAL XIV NO 12</t>
  </si>
  <si>
    <t>NUGRAHA SAPUTRA</t>
  </si>
  <si>
    <t>199306082025211062</t>
  </si>
  <si>
    <t>SEKOLAH TINGGI TEKNIK HARAPAN</t>
  </si>
  <si>
    <t>nugrahasaputra091@gmail.com</t>
  </si>
  <si>
    <t>BANDA ACEH,
08 JUNI 1993</t>
  </si>
  <si>
    <t>JL KARYA WISATA KOMP GRAND JOHOR PERMAI BLOK B NO 5 LK I</t>
  </si>
  <si>
    <t>NUR AFIFAH BATUBARA</t>
  </si>
  <si>
    <t>199404012025212097</t>
  </si>
  <si>
    <t>Sub Bidang Keberatan Dan Sengketa BAPENDA Kota Medan</t>
  </si>
  <si>
    <t>nurafifah010494@gmail.com</t>
  </si>
  <si>
    <t>MEDAN,
01 APRIL 1994</t>
  </si>
  <si>
    <t>JL LETDA SUJONO GG NANGKA NO 7A, KELURAHAN BANDAR SELAMAT, KECAMATAN MEDAN TEMBUNG</t>
  </si>
  <si>
    <t>PUTRI RAMADANI</t>
  </si>
  <si>
    <t>199402282025212079</t>
  </si>
  <si>
    <t>putriara2102@gmail.com</t>
  </si>
  <si>
    <t>MEDAN,
28 FEBRUARI 1994</t>
  </si>
  <si>
    <t>JL.BALAM GANG RUHAMA NO.7</t>
  </si>
  <si>
    <t>SEI SEIKAMBING B</t>
  </si>
  <si>
    <t>RADINDA AZZAHRA</t>
  </si>
  <si>
    <t>200111072025212016</t>
  </si>
  <si>
    <t>AKUNTANSI DAN KEUANGAN</t>
  </si>
  <si>
    <t>SMK SWASTA SULTAN ISKANDAR MUDA MEDAN</t>
  </si>
  <si>
    <t>radindaazzahra071101@gmail.com</t>
  </si>
  <si>
    <t>MEDAN,
07 NOVEMBER 2001</t>
  </si>
  <si>
    <t>JL PAM TIRTANADI GG MESJID LK XI</t>
  </si>
  <si>
    <t>RAHMADANI PUTRA SINULINGGA</t>
  </si>
  <si>
    <t>198207102025211087</t>
  </si>
  <si>
    <t>rahmadaniputras@gmail.com</t>
  </si>
  <si>
    <t>MEDAN,
10 JULI 1982</t>
  </si>
  <si>
    <t>JL PELAJAR GG KELAPA SOPOHOPUR NO 1</t>
  </si>
  <si>
    <t>RICKY ZOEL FADLY HASIBUAN</t>
  </si>
  <si>
    <t>198803072025211082</t>
  </si>
  <si>
    <t>rzulfadly@gmail.com</t>
  </si>
  <si>
    <t>MEDAN,
07 MARET 1988</t>
  </si>
  <si>
    <t>JL KARYA BERSAMA NO 1-A MEDAN</t>
  </si>
  <si>
    <t>RIZQI FAUZI LIMBONG</t>
  </si>
  <si>
    <t>198912102025211110</t>
  </si>
  <si>
    <t>fauzilim89@gmail.com</t>
  </si>
  <si>
    <t>MEDAN,
10 DESEMBER 1989</t>
  </si>
  <si>
    <t>JL P DENAI GG SUMAR NO.10</t>
  </si>
  <si>
    <t>ROBBY DIANATA</t>
  </si>
  <si>
    <t>198009082025211048</t>
  </si>
  <si>
    <t>Teknik Informatika Komputer</t>
  </si>
  <si>
    <t>Sekolah Tinggi Teknik Harapan</t>
  </si>
  <si>
    <t>elankazzura@gmail.com</t>
  </si>
  <si>
    <t>MEDAN,
08 SEPTEMBER 1980</t>
  </si>
  <si>
    <t>Jl. B. Katamso Gg. Jeruk No. 19</t>
  </si>
  <si>
    <t>Medan Maimun</t>
  </si>
  <si>
    <t>Kampung Baru</t>
  </si>
  <si>
    <t>ROVI SUTANZA PUTRA HARAHAP</t>
  </si>
  <si>
    <t>198708282025211098</t>
  </si>
  <si>
    <t>thanzha280@gamil.com</t>
  </si>
  <si>
    <t>MEDAN,
28 AGUSTUS 1987</t>
  </si>
  <si>
    <t>Jl. H.A Malik GG. Peringatan 198</t>
  </si>
  <si>
    <t>Silalas</t>
  </si>
  <si>
    <t>SARTIKA</t>
  </si>
  <si>
    <t>198009182025212028</t>
  </si>
  <si>
    <t>ILMU EKONOMI DAN STUDI PEMBANGUNAN</t>
  </si>
  <si>
    <t>ikabanget1809@yahoo.com</t>
  </si>
  <si>
    <t>MEDAN,
18 SEPTEMBER 1980</t>
  </si>
  <si>
    <t>JL GAPERTA GG.PRIBADI LK V NO.15</t>
  </si>
  <si>
    <t>SATRYA WARLYON SITOMPUL</t>
  </si>
  <si>
    <t>198407132025211079</t>
  </si>
  <si>
    <t>lelebasi999@gmail.com</t>
  </si>
  <si>
    <t>SIMALUNGUN,
13 JULI 1984</t>
  </si>
  <si>
    <t>JL GARU I NO 11</t>
  </si>
  <si>
    <t>SITI AMINAH NST</t>
  </si>
  <si>
    <t>197308042025212016</t>
  </si>
  <si>
    <t>sitiaminah.nasution73@gmail.com</t>
  </si>
  <si>
    <t>MEDAN,
04 AGUSTUS 1973</t>
  </si>
  <si>
    <t>JL SUKA MAKMUR NI 12 LK V</t>
  </si>
  <si>
    <t>SITI DINA MALIKAH</t>
  </si>
  <si>
    <t>198807172025212102</t>
  </si>
  <si>
    <t>ILMU KOMPUTER</t>
  </si>
  <si>
    <t>dinamalikah@yahoo.com</t>
  </si>
  <si>
    <t>MEDAN,
17 JULI 1988</t>
  </si>
  <si>
    <t>JL EKA BAKTI GG BONSAI NO 88 LK IV</t>
  </si>
  <si>
    <t>SUCI ISTIA SARI</t>
  </si>
  <si>
    <t>199307142025212076</t>
  </si>
  <si>
    <t>SEKOLAH TINGGI ILMU EKONOMI HARAPAN</t>
  </si>
  <si>
    <t>suciistia@gmail.com</t>
  </si>
  <si>
    <t>DELI SERDANG,
14 JULI 1993</t>
  </si>
  <si>
    <t>JL KARYA KASIH 58 E</t>
  </si>
  <si>
    <t>SULAIMAN</t>
  </si>
  <si>
    <t>197406022025211034</t>
  </si>
  <si>
    <t>ulaiman1974@gmail.com</t>
  </si>
  <si>
    <t>MEDAN,
02 JUNI 1974</t>
  </si>
  <si>
    <t>JL TANGGUK BONGKAR IX NO 8</t>
  </si>
  <si>
    <t>TEGAL S MANDALA II</t>
  </si>
  <si>
    <t>T M RAHMAT HALIM MULI</t>
  </si>
  <si>
    <t>198612062025211129</t>
  </si>
  <si>
    <t>YAYASAN PENDIDIKAN HARAPAN SEKOLAH TINGGI ILMU EKONOMI HARAPAN</t>
  </si>
  <si>
    <t>nekrophone_moely@yahoo.com</t>
  </si>
  <si>
    <t>MEDAN,
06 DESEMBER 1986</t>
  </si>
  <si>
    <t>JL KAMBOJA 12 LK XII NO 38</t>
  </si>
  <si>
    <t>VANDICA VIRELLY Z</t>
  </si>
  <si>
    <t>199007192025211066</t>
  </si>
  <si>
    <t>virelly19@gmail.com</t>
  </si>
  <si>
    <t>MEDAN,
19 JULI 1990</t>
  </si>
  <si>
    <t>JL HM JONI G PERBATASAN LR BUDI NO 13 A</t>
  </si>
  <si>
    <t>VINARIA MARBUN</t>
  </si>
  <si>
    <t>199412092025212078</t>
  </si>
  <si>
    <t>Sumber Daya Manusia</t>
  </si>
  <si>
    <t>Universitas Prima Indonesia</t>
  </si>
  <si>
    <t>vinariamarbunn@gmail.com</t>
  </si>
  <si>
    <t>BANDUNG,
09 DESEMBER 1994</t>
  </si>
  <si>
    <t>Jl. Cempaka 4 No. 123</t>
  </si>
  <si>
    <t>Helvetia Tengah</t>
  </si>
  <si>
    <t>WELDY MAULANA</t>
  </si>
  <si>
    <t>199109242025211078</t>
  </si>
  <si>
    <t>EKONOMI AKUNTANSI</t>
  </si>
  <si>
    <t>weldymaulana1991@gmail.com</t>
  </si>
  <si>
    <t>MEDAN,
24 SEPTEMBER 1991</t>
  </si>
  <si>
    <t>JL SEJARAH BARU NO 41 DSN IX</t>
  </si>
  <si>
    <t>MEKAR SARI</t>
  </si>
  <si>
    <t>WENI PRATIWI GINTING</t>
  </si>
  <si>
    <t>199003022025212072</t>
  </si>
  <si>
    <t>SEKOLAH TINGGI ILMU KOMPUTER</t>
  </si>
  <si>
    <t>gintingweni26@gmail.com</t>
  </si>
  <si>
    <t>MEDAN,
02 MARET 1990</t>
  </si>
  <si>
    <t>JL BUNGA PALES VII LK V</t>
  </si>
  <si>
    <t>YARA NAZHIRA LUBIS</t>
  </si>
  <si>
    <t>199102052025212068</t>
  </si>
  <si>
    <t>yaranazhira52@gmail.com</t>
  </si>
  <si>
    <t>MEDAN,
05 FEBRUARI 1991</t>
  </si>
  <si>
    <t>JL LETTER PRESS NO 23</t>
  </si>
  <si>
    <t>YULI SUHARRY</t>
  </si>
  <si>
    <t>197507082025211037</t>
  </si>
  <si>
    <t>herichaniago1975@gmail.com</t>
  </si>
  <si>
    <t>MEDAN,
08 JULI 1975</t>
  </si>
  <si>
    <t>JL SWANDANA KOMD RAYA 92 LK I</t>
  </si>
  <si>
    <t>TITI PAPAN</t>
  </si>
  <si>
    <t>ZAENAB FARHANA</t>
  </si>
  <si>
    <t>199506162025212132</t>
  </si>
  <si>
    <t>HUKUM INTERNASIONAL</t>
  </si>
  <si>
    <t>hanafarhana1606@gmail.com</t>
  </si>
  <si>
    <t>JAKARTA,
16 JUNI 1995</t>
  </si>
  <si>
    <t>komplek citra wisata blok viii no.2 lk xiv me</t>
  </si>
  <si>
    <t>pangkalan mashyur</t>
  </si>
  <si>
    <t>BIDANG 4</t>
  </si>
  <si>
    <t>POPY MAYA SYAFIRA, SP, MM</t>
  </si>
  <si>
    <t>'197412082000032003</t>
  </si>
  <si>
    <t>823.4/3223/2015</t>
  </si>
  <si>
    <t>KEPALA BIDANG PENGEMBANGAN DAN PENGENDALIAN PAJAK DAN RETRIBUSI DAERAH BADAN PENDAPATAN DAERAH KOTA MEDAN</t>
  </si>
  <si>
    <t>BIDANG PENGEMBANGAN DAN PENGENDALIAN PAJAK DAN RETRIBUSI DAERAH BADAN PENDAPATAN DAERAH KOTA MEDAN</t>
  </si>
  <si>
    <t>821.2/002.K02-01-2023</t>
  </si>
  <si>
    <t>JUR. MAGISTER MANAJEMEN</t>
  </si>
  <si>
    <t>thepiano74@gmail.com</t>
  </si>
  <si>
    <t>MEDAN, 08 DESEMBER 1974</t>
  </si>
  <si>
    <t>Jl. Sei Musi No. 48 A</t>
  </si>
  <si>
    <t>Babura Sunggal</t>
  </si>
  <si>
    <t>YUNITA HANIF, S.E., M.M.</t>
  </si>
  <si>
    <t>'198601052005022001</t>
  </si>
  <si>
    <t>KEPALA SUB BIDANG PERENCANAAN, PENGEMBANGAN, DAN EVALUASI PAJAK DAERAH BADAN PENDAPATAN DAERAH KOTA MEDAN</t>
  </si>
  <si>
    <t>SUB BIDANG PERENCANAAN, PENGEMBANGAN, DAN EVALUASI PAJAK DAERAH BADAN PENDAPATAN DAERAH KOTA MEDAN</t>
  </si>
  <si>
    <t>12.K/PROKOPIM/202413-03-2024</t>
  </si>
  <si>
    <t>Kepala Bagian Protokol dan Komunikasi Pimpinan Setda Kota Medan</t>
  </si>
  <si>
    <t>Uiversitas Terbuka</t>
  </si>
  <si>
    <t>yunita.hanif1@gmail.com</t>
  </si>
  <si>
    <t>SIBOLGA, 05 JANUARI 1986</t>
  </si>
  <si>
    <t>JL ABDUL HAKIM SETIA BUDI PASAR</t>
  </si>
  <si>
    <t>TONGKU PANUSUNAN SIREGAR, S.H.</t>
  </si>
  <si>
    <t>'198202132003121001</t>
  </si>
  <si>
    <t>KEPALA SUB BIDANG PERENCANAAN, PENGEMBANGAN, DAN EVALUASI RETRIBUSI DAERAH BADAN PENDAPATAN DAERAH KOTA MEDAN</t>
  </si>
  <si>
    <t>SUB BIDANG PERENCANAAN, PENGEMBANGAN, DAN EVALUASI RETRIBUSI DAERAH BADAN PENDAPATAN DAERAH KOTA MEDAN</t>
  </si>
  <si>
    <t>09 Agustus 2006</t>
  </si>
  <si>
    <t>tongkusiregar09@gmail.com</t>
  </si>
  <si>
    <t>PADANG SIDEMPUAN, 13 FEBRUARI 1982</t>
  </si>
  <si>
    <t>Jl Durung No, 44</t>
  </si>
  <si>
    <t>Sumut</t>
  </si>
  <si>
    <t>LUTHFIYAH, S.SOS.</t>
  </si>
  <si>
    <t>'198912302011012002</t>
  </si>
  <si>
    <t>Luthfiyah_tahmid@yahoo.com</t>
  </si>
  <si>
    <t>GUNUNGSITOLI, 30 DESEMBER 1989</t>
  </si>
  <si>
    <t>Jl. Karya wisata komplek johor indah permai II blok A No. 55</t>
  </si>
  <si>
    <t>SRI REZEKI, S.SOS, M.M.</t>
  </si>
  <si>
    <t>'197304191992032001</t>
  </si>
  <si>
    <t>13 Januari 1997</t>
  </si>
  <si>
    <t>Srezeki84@gmail.com</t>
  </si>
  <si>
    <t>MEDAN, 19 APRIL 1973</t>
  </si>
  <si>
    <t>Jl. Kutilang No.14 Medan LK XVI</t>
  </si>
  <si>
    <t>SEI SIKAMBING B</t>
  </si>
  <si>
    <t>LINKON SITEPU</t>
  </si>
  <si>
    <t>'197611132009031001</t>
  </si>
  <si>
    <t>sitepulinkon@gmail.com</t>
  </si>
  <si>
    <t>PANCURIDO, 13 NOVEMBER 1976</t>
  </si>
  <si>
    <t>JL. IR. H. JUANDA NO. 405 LK. V</t>
  </si>
  <si>
    <t>Kota Binjai</t>
  </si>
  <si>
    <t>Mencirim</t>
  </si>
  <si>
    <t>RIKKI ZULHARI, S.T., M.M.</t>
  </si>
  <si>
    <t>'197611252009031003</t>
  </si>
  <si>
    <t>Universitas Islam Sumatera utara</t>
  </si>
  <si>
    <t>31 Agustus 2022</t>
  </si>
  <si>
    <t>rikkizulhari@gmail.com</t>
  </si>
  <si>
    <t>MEDAN, 25 NOVEMBER 1976</t>
  </si>
  <si>
    <t>JL.SM.RAJA Gg.MESJID NO 30 MEDAN</t>
  </si>
  <si>
    <t>Medan kota</t>
  </si>
  <si>
    <t>Sitirejo I</t>
  </si>
  <si>
    <t>ANGGI ANGGRIANI , S.E, M.SC, M.A</t>
  </si>
  <si>
    <t>'198601222010012034</t>
  </si>
  <si>
    <t>823.3/.K</t>
  </si>
  <si>
    <t>Economics</t>
  </si>
  <si>
    <t>International University of Japan</t>
  </si>
  <si>
    <t>anggi.anggriani22@gmail.com</t>
  </si>
  <si>
    <t>MEDAN, 22 JANUARI 1986</t>
  </si>
  <si>
    <t>Jl. Kemuning 4 No. 271 Perumnas Helvetia</t>
  </si>
  <si>
    <t>YULIA RIZKA, S.SOS</t>
  </si>
  <si>
    <t>'197708102009022004</t>
  </si>
  <si>
    <t>25 Maret 2000</t>
  </si>
  <si>
    <t>0813 7072 1877</t>
  </si>
  <si>
    <t>Bebyyr@gmail.com</t>
  </si>
  <si>
    <t>MEDAN, 10 AGUSTUS 1977</t>
  </si>
  <si>
    <t>JL. JAMIN GINTING NO.26 MEDAN</t>
  </si>
  <si>
    <t>ELISABET RITA KAROLINA SIMBOLON, S.E., M.M.</t>
  </si>
  <si>
    <t>'198409212011012006</t>
  </si>
  <si>
    <t>b2th_angel84@yahoo.co.id</t>
  </si>
  <si>
    <t>MEDAN, 21 SEPTEMBER 1984</t>
  </si>
  <si>
    <t>KOMPLEKS PERUM PURI BAHAGIA JL. SEMPURNA NO M-3</t>
  </si>
  <si>
    <t>SUDIREJO I</t>
  </si>
  <si>
    <t>NONI ARYATI DEWI SYAFITRI</t>
  </si>
  <si>
    <t>'197209291994022001</t>
  </si>
  <si>
    <t>823.3/456.K</t>
  </si>
  <si>
    <t>SMA Swasta Al-Washliyah 1</t>
  </si>
  <si>
    <t>noniaryati00@gmail.com</t>
  </si>
  <si>
    <t>MEDAN, 29 SEPTEMBER 1972</t>
  </si>
  <si>
    <t>Jl. Brig. Jend Katamso Gg. Perbatasan NO.29</t>
  </si>
  <si>
    <t>MEDAN MAIMOON</t>
  </si>
  <si>
    <t>MARADONA HERDIN SIREGAR, S.M</t>
  </si>
  <si>
    <t>'198203262011011006</t>
  </si>
  <si>
    <t>Sekolah Tinggi Ilmu Manajemen Sukma Medan</t>
  </si>
  <si>
    <t>26 Februari 2024</t>
  </si>
  <si>
    <t>maradonaherdin@gmail.com</t>
  </si>
  <si>
    <t>TEMBILAHAN-RIAU, 26 MARET 1982</t>
  </si>
  <si>
    <t>Jln. Bajak III Gg. Mesjid no. 18</t>
  </si>
  <si>
    <t>ABDUL RAHMAN, S.I.KOM</t>
  </si>
  <si>
    <t>'198502152011011009</t>
  </si>
  <si>
    <t>11 Desember 2023</t>
  </si>
  <si>
    <t>abdrahman1502@gmail.com</t>
  </si>
  <si>
    <t>PUNGGULAN, 15 FEBRUARI 1985</t>
  </si>
  <si>
    <t>PERUMAHAN PURI ZAHARA I BLOK C 28 JL BUNGA RINTE</t>
  </si>
  <si>
    <t>DIMPOS YUSTINUS SORMIN , M.PD</t>
  </si>
  <si>
    <t>'198306252010011026</t>
  </si>
  <si>
    <t>102 TAHUN 2025</t>
  </si>
  <si>
    <t>BUPATI DELI SERDANG</t>
  </si>
  <si>
    <t>800.1.3.1/175.K01-02-2026</t>
  </si>
  <si>
    <t>SEKRETARIS DAERAH KOTA MEDAN</t>
  </si>
  <si>
    <t>Administrasi Pendidikan</t>
  </si>
  <si>
    <t>Universitas Negeri Medan</t>
  </si>
  <si>
    <t>19 Oktober 2016</t>
  </si>
  <si>
    <t>GALANG, 25 JUNI 1983</t>
  </si>
  <si>
    <t>DUSUN XIV</t>
  </si>
  <si>
    <t>SERDANG BEDAGAI</t>
  </si>
  <si>
    <t>SEI RAMPAH</t>
  </si>
  <si>
    <t>FIRDAUS</t>
  </si>
  <si>
    <t>IRDA FAIROUZ, S.SOS, MSP</t>
  </si>
  <si>
    <t>'198001052009022005</t>
  </si>
  <si>
    <t>800.1.3.3/098.K30-01-2025</t>
  </si>
  <si>
    <t>26 Agustus 2013</t>
  </si>
  <si>
    <t>aflahzakya@gmail.com</t>
  </si>
  <si>
    <t>MEDAN, 05 JANUARI 1980</t>
  </si>
  <si>
    <t>JL.SUKA TEGUH NO.06 MEDAN</t>
  </si>
  <si>
    <t>ARWENDA SARDI MALAU, A.MD.</t>
  </si>
  <si>
    <t>'198801142011032001</t>
  </si>
  <si>
    <t>Universitas Syiah Kuala</t>
  </si>
  <si>
    <t>02 Agustus 2010</t>
  </si>
  <si>
    <t>arwendasardimalau@yahoo.com</t>
  </si>
  <si>
    <t>MEDAN, 14 JANUARI 1988</t>
  </si>
  <si>
    <t>KOMP TNI AU KSARI-I NO96 MDN</t>
  </si>
  <si>
    <t>Medan Petissah</t>
  </si>
  <si>
    <t>FITRI ARUNA SIREGAR, S.SI, M.SI</t>
  </si>
  <si>
    <t>'198606172010012030</t>
  </si>
  <si>
    <t>800.1.3.1/001.K02-01-2025</t>
  </si>
  <si>
    <t>fitriarunasiregar@gmail.com</t>
  </si>
  <si>
    <t>PABATU, 17 JUNI 1986</t>
  </si>
  <si>
    <t>Jl. Pintu Air IV Gang Maju Kampung Tengah Gg. Ikhlas No.8</t>
  </si>
  <si>
    <t>NUR ANNISA NASUTION, S.KOM</t>
  </si>
  <si>
    <t>'199906252025052002</t>
  </si>
  <si>
    <t>31 Desember 2021</t>
  </si>
  <si>
    <t>annisabapenda@gmail.com</t>
  </si>
  <si>
    <t>MEDAN, 25 JUNI 1999</t>
  </si>
  <si>
    <t>JL STASIUN GG AMAT BARI NO 4-B</t>
  </si>
  <si>
    <t>YUNINGSIH, S.H</t>
  </si>
  <si>
    <t>'199807172025052001</t>
  </si>
  <si>
    <t>CALON FASILITATOR PEMERINTAHAN</t>
  </si>
  <si>
    <t>yuningsi23234@gmail.com</t>
  </si>
  <si>
    <t>LANGKAT, 17 JULI 1998</t>
  </si>
  <si>
    <t>JL.KETILANG LK.IV</t>
  </si>
  <si>
    <t>BINJAI TIMUR</t>
  </si>
  <si>
    <t>MENCIRIM</t>
  </si>
  <si>
    <t>TIUR NORITA SARI MANURUNG, S.H.</t>
  </si>
  <si>
    <t>'199507052025052002</t>
  </si>
  <si>
    <t>UNIVERSITAS RIAU</t>
  </si>
  <si>
    <t>Tiurmanurung1995@gmail.com</t>
  </si>
  <si>
    <t>LABUHANBATU SELATAN, 05 JULI 1995</t>
  </si>
  <si>
    <t>ASPOL PASAR MERAH JL. MENTENG RAYA BLOK Y NO 8</t>
  </si>
  <si>
    <t>MELISSA FEBIOLA, SP</t>
  </si>
  <si>
    <t>198002162025212002</t>
  </si>
  <si>
    <t>S-1 Sosial Ekonomi Pertanian</t>
  </si>
  <si>
    <t>MEDAN,
16 FEBRUARI 1980</t>
  </si>
  <si>
    <t>JL LETJEN JAMIN GINTING KOMP CITRA GARDEN BLOK C-II NO 5</t>
  </si>
  <si>
    <t>GIHON KUSY MARPAUNG</t>
  </si>
  <si>
    <t>199903042025211001</t>
  </si>
  <si>
    <t>Swasta Sultan Agung Pematangsiantar</t>
  </si>
  <si>
    <t>barbianatorz@gmail.com</t>
  </si>
  <si>
    <t>MEDAN,
04 MARET 1999</t>
  </si>
  <si>
    <t>JALAN NILAM 23, NO. 30</t>
  </si>
  <si>
    <t>TODO MUARA MARINUS SIHOTANG</t>
  </si>
  <si>
    <t>199002172025211006</t>
  </si>
  <si>
    <t>SMA NEGERI 5 MEDAN</t>
  </si>
  <si>
    <t>todo510tang@gmail.com</t>
  </si>
  <si>
    <t>MEDAN,
17 FEBRUARI 1990</t>
  </si>
  <si>
    <t>jalan jermal 1 no.17</t>
  </si>
  <si>
    <t>medan denai</t>
  </si>
  <si>
    <t>denai</t>
  </si>
  <si>
    <t>ABDUL RAHIM POHAN</t>
  </si>
  <si>
    <t>199705132025211046</t>
  </si>
  <si>
    <t>Bidang Pengembangan Dan Pengendalian Pajak Dan Retribusi BAPENDA Kota Medan</t>
  </si>
  <si>
    <t>abdulrahimpohan5@gmail.com</t>
  </si>
  <si>
    <t>MEDAN,
13 MEI 1997</t>
  </si>
  <si>
    <t>Dusun VII Kopi Jl. Gambir Psr 8 Tembung</t>
  </si>
  <si>
    <t>M. ARIF NANDA SARAGIH</t>
  </si>
  <si>
    <t>199102052025211070</t>
  </si>
  <si>
    <t>Bidang Pengembangan Dan Pengendalian Pajak Dan Retribusi BAPENDA Kota Medan Kota</t>
  </si>
  <si>
    <t>Pendidikan Ekonomi</t>
  </si>
  <si>
    <t>arepsaragih@gmail.com</t>
  </si>
  <si>
    <t>Jl. Garu III No.66 A Medan</t>
  </si>
  <si>
    <t>MHD WIBI PRASATYA</t>
  </si>
  <si>
    <t>199605242025211052</t>
  </si>
  <si>
    <t>wibiprasatya@gmail.com</t>
  </si>
  <si>
    <t>MEDAN,
24 MEI 1996</t>
  </si>
  <si>
    <t>Jl. Tuba IV Gg.Pembangunan 6 No.2b</t>
  </si>
  <si>
    <t>RAHMAT ZULHAM</t>
  </si>
  <si>
    <t>197509202025211028</t>
  </si>
  <si>
    <t>rahmatzulham2009@gmail.com</t>
  </si>
  <si>
    <t>MEDAN,
20 SEPTEMBER 1975</t>
  </si>
  <si>
    <t>Jl L. Sujono Gg. Selamat No. 8-B Medan</t>
  </si>
  <si>
    <t>UPT 1</t>
  </si>
  <si>
    <t>RONALD FANNY IRAWAN TARIGAN, S.E.</t>
  </si>
  <si>
    <t>'198212142009021003</t>
  </si>
  <si>
    <t>KEPALA UPT PAJAK DAN RETRIBUSI WILAYAH I BADAN PENDAPATAN DAERAH KOTA MEDAN</t>
  </si>
  <si>
    <t>UPT PAJAK DAN RETRIBUSI WILAYAH I BADAN PENDAPATAN DAERAH KOTA MEDAN</t>
  </si>
  <si>
    <t>28 Januari 2008</t>
  </si>
  <si>
    <t>MEDAN, 14 DESEMBER 1982</t>
  </si>
  <si>
    <t>JL.TB.SIMATUPANG GG.MESJID NO.04 MEDAN</t>
  </si>
  <si>
    <t>LUCYANNA ANDRIANITA BR TARIGAN, S.SOS</t>
  </si>
  <si>
    <t>'198702062010012023</t>
  </si>
  <si>
    <t>KEPALA SUB BAGIAN TATA USAHA UPT PAJAK DAN RETRIBUSI WILAYAH I BADAN PENDAPATAN DAERAH KOTA MEDAN</t>
  </si>
  <si>
    <t>IV.b</t>
  </si>
  <si>
    <t>SUB BAGIAN TATA USAHA UPT PAJAK DAN RETRIBUSI WILAYAH I BADAN PENDAPATAN DAERAH KOTA MEDAN</t>
  </si>
  <si>
    <t>17 Desember 2016</t>
  </si>
  <si>
    <t>uchietarigan@yahoo.com</t>
  </si>
  <si>
    <t>MEDAN, 06 FEBRUARI 1987</t>
  </si>
  <si>
    <t>JL. LETJEN JAMIN GINTING NO 841</t>
  </si>
  <si>
    <t>TITI RANTAI</t>
  </si>
  <si>
    <t>DELISMAN, S.E.</t>
  </si>
  <si>
    <t>'197509292009031002</t>
  </si>
  <si>
    <t>23 Oktober 2002</t>
  </si>
  <si>
    <t>delis_de2k@yahoo.co.id</t>
  </si>
  <si>
    <t>MEDAN, 29 SEPTEMBER 1975</t>
  </si>
  <si>
    <t>ASR. WIDURI BARAK JELUNTUNG 282</t>
  </si>
  <si>
    <t>harjosari 2</t>
  </si>
  <si>
    <t>YULVIDA MULFA, S.KOM, M.M</t>
  </si>
  <si>
    <t>'198407232010012026</t>
  </si>
  <si>
    <t>800.1.10.2/320.K</t>
  </si>
  <si>
    <t>09 Desember 2023</t>
  </si>
  <si>
    <t>yulvidhamulfa@gmail.com</t>
  </si>
  <si>
    <t>LANGSA, 23 JULI 1984</t>
  </si>
  <si>
    <t>Jl.Cut.Nyak Dien XIII no.9 Binjai</t>
  </si>
  <si>
    <t>Tannah Tinggi</t>
  </si>
  <si>
    <t>MUHAMMAD MUNIR</t>
  </si>
  <si>
    <t>'196802212009021001</t>
  </si>
  <si>
    <t>800.1.6.6/011.K12-01-2026</t>
  </si>
  <si>
    <t>SMU Negeri 13</t>
  </si>
  <si>
    <t>mhdmunir1968@gmail.com</t>
  </si>
  <si>
    <t>MEDAN, 21 FEBRUARI 1968</t>
  </si>
  <si>
    <t>Jl. Sm. Raja Gg. Zending No. 4 Medan</t>
  </si>
  <si>
    <t>Teladan Barat</t>
  </si>
  <si>
    <t>BEBY AGUSTINA SIREGAR, S.AK</t>
  </si>
  <si>
    <t>'198208232011012014</t>
  </si>
  <si>
    <t>11 Agustus 2020</t>
  </si>
  <si>
    <t>bebysiregar183@gmail.com</t>
  </si>
  <si>
    <t>MEDAN, 23 AGUSTUS 1982</t>
  </si>
  <si>
    <t>JL. JERMAL IV NO. 41</t>
  </si>
  <si>
    <t>WINDA HASTRINI HARAHAP, S.M.</t>
  </si>
  <si>
    <t>'198106142010012022</t>
  </si>
  <si>
    <t>16 Juli 2020</t>
  </si>
  <si>
    <t>winda.hastrini@gmail.com</t>
  </si>
  <si>
    <t>MEDAN, 14 JUNI 1981</t>
  </si>
  <si>
    <t>JL. BANGUN SARI II NO. 23</t>
  </si>
  <si>
    <t>MHD WAWIN ALBANI, S.AK.</t>
  </si>
  <si>
    <t>'200008182025051001</t>
  </si>
  <si>
    <t>30 Desember 2023</t>
  </si>
  <si>
    <t>wawinalbani@gmail.com</t>
  </si>
  <si>
    <t>TEBING TINGGI, 18 AGUSTUS 2000</t>
  </si>
  <si>
    <t>JL. JEND. GATOT SUBROTO NO.19 LK. V</t>
  </si>
  <si>
    <t>TEBING TINGGI</t>
  </si>
  <si>
    <t>PADANG HULU</t>
  </si>
  <si>
    <t>LUBUK RAYA</t>
  </si>
  <si>
    <t>RICKY MAHENDA SEMBIRING, A.MD.</t>
  </si>
  <si>
    <t>199406042025211002</t>
  </si>
  <si>
    <t>D-III Ilmu Perhotelan</t>
  </si>
  <si>
    <t>POLITEKNIK IT&amp;B MEDAN</t>
  </si>
  <si>
    <t>rickymahenda@gmail.com</t>
  </si>
  <si>
    <t>SIMALUNGUN,
04 JUNI 1994</t>
  </si>
  <si>
    <t>DUSUN V</t>
  </si>
  <si>
    <t>GALANG</t>
  </si>
  <si>
    <t>PISANG PALA</t>
  </si>
  <si>
    <t>EDI GUNAWAN</t>
  </si>
  <si>
    <t>198402052025211004</t>
  </si>
  <si>
    <t>SMK SWASTA BAKTI</t>
  </si>
  <si>
    <t>igoen5284@gmail.com</t>
  </si>
  <si>
    <t>MEDAN,
05 FEBRUARI 1984</t>
  </si>
  <si>
    <t>Jl. Perbatasan GG. Intan II Perum. Pesona Batang Kuis Residence Blok A10 Desa Bakaran Batu Kec. Bata</t>
  </si>
  <si>
    <t>Deliserdang</t>
  </si>
  <si>
    <t>Batangkuis</t>
  </si>
  <si>
    <t>Bakaran Batu</t>
  </si>
  <si>
    <t>ABDUL RAUF</t>
  </si>
  <si>
    <t>197312132025211019</t>
  </si>
  <si>
    <t>8rauflbs8@gmail.com</t>
  </si>
  <si>
    <t>MEDAN,
13 DESEMBER 1973</t>
  </si>
  <si>
    <t>Jl. Pelopor No 12</t>
  </si>
  <si>
    <t>Teladan Timur</t>
  </si>
  <si>
    <t>ADE RIZKI ANANDA</t>
  </si>
  <si>
    <t>199211242025212062</t>
  </si>
  <si>
    <t>UNIVERSITAS SYIAH KUALA</t>
  </si>
  <si>
    <t>aderizki.aran@gmail.com</t>
  </si>
  <si>
    <t>MEDAN,
24 NOVEMBER 1992</t>
  </si>
  <si>
    <t>JLN. MENTENG VII GG. SENTOSA N0.19</t>
  </si>
  <si>
    <t>AMRU SIREGAR</t>
  </si>
  <si>
    <t>198405142025211063</t>
  </si>
  <si>
    <t>SEKOLAH MENENGAH UMUM</t>
  </si>
  <si>
    <t>aquilanisrgl@gmail.com</t>
  </si>
  <si>
    <t>MEDAN,
14 MEI 1984</t>
  </si>
  <si>
    <t>JL PROF HM YAMIN SH NO 151</t>
  </si>
  <si>
    <t>ASTRI RESYITA NOPANI</t>
  </si>
  <si>
    <t>199703042025212050</t>
  </si>
  <si>
    <t>astrirn@gmail.com</t>
  </si>
  <si>
    <t>MANDAILING NATAL,
04 MARET 1997</t>
  </si>
  <si>
    <t>AYU WIDYA</t>
  </si>
  <si>
    <t>199007052025212076</t>
  </si>
  <si>
    <t>SEKOLAH TINGGI MANAJEMEN INFORMATIKA DAN KOMPUTER POTENSI UTAMA</t>
  </si>
  <si>
    <t>aw1636285@gmail.com</t>
  </si>
  <si>
    <t>MEDAN,
05 JULI 1990</t>
  </si>
  <si>
    <t>Jl Harapan pasti komplek Triviona Palace No. B 5</t>
  </si>
  <si>
    <t>BUDI IRAWAN HARAHAP</t>
  </si>
  <si>
    <t>198108012025211061</t>
  </si>
  <si>
    <t>Universitas Muslim Nusantara Al Washliyah</t>
  </si>
  <si>
    <t>budiirawanhrp01@gmail.com</t>
  </si>
  <si>
    <t>MEDAN,
01 AGUSTUS 1981</t>
  </si>
  <si>
    <t>Jl. Tuba IV Gg Perintis V No 8</t>
  </si>
  <si>
    <t>DESI JUNITA SIMANJUNTAK</t>
  </si>
  <si>
    <t>199106172025212089</t>
  </si>
  <si>
    <t>desysimanjuntak853@gmail.com</t>
  </si>
  <si>
    <t>MEDAN,
17 JUNI 1991</t>
  </si>
  <si>
    <t>Jl.HM joni GG.Cemara No.50</t>
  </si>
  <si>
    <t>Teladan timur</t>
  </si>
  <si>
    <t>ENNY SERIANI HARAHAP SE</t>
  </si>
  <si>
    <t>197512162025212016</t>
  </si>
  <si>
    <t>ennymusaharahap@gmail.com</t>
  </si>
  <si>
    <t>MEDAN,
16 DESEMBER 1975</t>
  </si>
  <si>
    <t>Jl. SM.RAJA Gg. Jati-I No.21</t>
  </si>
  <si>
    <t>FITRA DARMAWAN</t>
  </si>
  <si>
    <t>198704192025211064</t>
  </si>
  <si>
    <t>SMK SWASTA KARYA PENDIDIK 1 LUBUK PAKAM</t>
  </si>
  <si>
    <t>syafiraazahradarmawan@gmail.com</t>
  </si>
  <si>
    <t>DELI SERDANG,
19 APRIL 1987</t>
  </si>
  <si>
    <t>JLN RAYA MENTENG GG BUDI SUCI NO.2</t>
  </si>
  <si>
    <t>FRANSISKA AGUSTINA BR MUNTHE</t>
  </si>
  <si>
    <t>198208242025212036</t>
  </si>
  <si>
    <t>SMU NEGERI 1 KARO</t>
  </si>
  <si>
    <t>munthesisca@gmail.com</t>
  </si>
  <si>
    <t>MEDAN,
24 AGUSTUS 1982</t>
  </si>
  <si>
    <t>JL. NGUMBAN SURBAKTI SEDAP MALAM 12</t>
  </si>
  <si>
    <t>HANAFI</t>
  </si>
  <si>
    <t>198807222025211061</t>
  </si>
  <si>
    <t>MEDANHANAFI2@GMAIL.COM</t>
  </si>
  <si>
    <t>MEDAN,
22 JULI 1988</t>
  </si>
  <si>
    <t>JLN KLAMBIR V LK II NO 47</t>
  </si>
  <si>
    <t>HARI ADRIANSAH PUTRA AMANDA</t>
  </si>
  <si>
    <t>198112222025211038</t>
  </si>
  <si>
    <t>INSTITUT ILMU SOSIAL DAN ILMU POLITIK JAKARTA</t>
  </si>
  <si>
    <t>putraadriansah81@gmail.com</t>
  </si>
  <si>
    <t>SERDANG BEDAGAI,
22 DESEMBER 1981</t>
  </si>
  <si>
    <t>dusun II</t>
  </si>
  <si>
    <t>Serdang Bedagai</t>
  </si>
  <si>
    <t>Perbaungan</t>
  </si>
  <si>
    <t>Kota Galuh</t>
  </si>
  <si>
    <t>HARRY CHRYSTIE FRANCIS COLLY</t>
  </si>
  <si>
    <t>198511032025211057</t>
  </si>
  <si>
    <t>harrycephe@gmail.com</t>
  </si>
  <si>
    <t>TEBING TINGGI,
03 NOVEMBER 1985</t>
  </si>
  <si>
    <t>Jl. KL Yos Sudarso Lk V No 38/8 Gg Djinan</t>
  </si>
  <si>
    <t>Glugur Kota</t>
  </si>
  <si>
    <t>INDAH WAHYU ASHARY</t>
  </si>
  <si>
    <t>198705142025212061</t>
  </si>
  <si>
    <t>indahwahyuashary@gmail.com</t>
  </si>
  <si>
    <t>SIMALUNGUN,
14 MEI 1987</t>
  </si>
  <si>
    <t>JL. SM RAJA GG.MESJID NO.16</t>
  </si>
  <si>
    <t>SITIREJO III</t>
  </si>
  <si>
    <t>JAMILAH NASUTION</t>
  </si>
  <si>
    <t>199001192025212071</t>
  </si>
  <si>
    <t>nstmila17@gmail.com</t>
  </si>
  <si>
    <t>DELI SERDANG,
19 JANUARI 1990</t>
  </si>
  <si>
    <t>JL.GARU 3, KOMPLEK TAMAN HARJOSARI INDAH NO.B21, MEDAN AMPLAS</t>
  </si>
  <si>
    <t>JULITA EVELIANI SIREGAR</t>
  </si>
  <si>
    <t>198607272025212075</t>
  </si>
  <si>
    <t>Sekolah Tinggi Manajemen Informatika Dan Komputer TRIGUNA DHARMA</t>
  </si>
  <si>
    <t>julisiregar76@gmail.com</t>
  </si>
  <si>
    <t>PADANG LAWAS UTARA,
27 JULI 1986</t>
  </si>
  <si>
    <t>Jl. Panglima Denai Gg Hasibuan No 2C</t>
  </si>
  <si>
    <t>LAMHORAS FREDY NATANAEL SIPAHUTAR</t>
  </si>
  <si>
    <t>199112122025211113</t>
  </si>
  <si>
    <t>orasipa@yahoo.com</t>
  </si>
  <si>
    <t>MEDAN,
12 DESEMBER 1991</t>
  </si>
  <si>
    <t>JL BANGUN SARI 4 NO 1</t>
  </si>
  <si>
    <t>LIDYA AFRIANI RITONGA</t>
  </si>
  <si>
    <t>198804052025212079</t>
  </si>
  <si>
    <t>lidya.afriani0504@gmail.com</t>
  </si>
  <si>
    <t>MEDAN,
05 APRIL 1988</t>
  </si>
  <si>
    <t>JL. SYAHRUDDIN NO 33 LK. 1 MEDAN</t>
  </si>
  <si>
    <t>MEGGY AGUSTINA LUBIS</t>
  </si>
  <si>
    <t>198708142025212063</t>
  </si>
  <si>
    <t>UNIVERSITA MUHAMMADIYAH SUMATERA UTARA</t>
  </si>
  <si>
    <t>megylubiss@gmail.com</t>
  </si>
  <si>
    <t>MEDAN,
14 AGUSTUS 1987</t>
  </si>
  <si>
    <t>JL. MA SELATAN GG AMSIN 407/3</t>
  </si>
  <si>
    <t>MHD HAFEZ AL ASAD LUBIS</t>
  </si>
  <si>
    <t>199910082025211054</t>
  </si>
  <si>
    <t>hafezlubis452gmail.com</t>
  </si>
  <si>
    <t>MEDAN,
08 OKTOBER 1999</t>
  </si>
  <si>
    <t>JL BENTENG HULU GG SYUKUR NO 14A MEDAN</t>
  </si>
  <si>
    <t>MUHAMMAD FAHRUR ROZI SIREGAR</t>
  </si>
  <si>
    <t>199711082025211036</t>
  </si>
  <si>
    <t>rozi79138@gmail.com</t>
  </si>
  <si>
    <t>MEDAN,
08 NOVEMBER 1997</t>
  </si>
  <si>
    <t>JL. LETDA SUJONO GG PERGURUAN NO.3</t>
  </si>
  <si>
    <t>MUHAMMAD REZI FADILLAH</t>
  </si>
  <si>
    <t>200008142025211020</t>
  </si>
  <si>
    <t>rezifadillah751@gmail.com</t>
  </si>
  <si>
    <t>MEDAN,
14 AGUSTUS 2000</t>
  </si>
  <si>
    <t>JL.B.KATAMSO GG JAWA NO 19</t>
  </si>
  <si>
    <t>NAJRI FARISI</t>
  </si>
  <si>
    <t>199412202025211071</t>
  </si>
  <si>
    <t>farisi_n@yahoo.com</t>
  </si>
  <si>
    <t>MEDAN,
20 DESEMBER 1994</t>
  </si>
  <si>
    <t>JL Garu II B GG Rambe No 9 FF</t>
  </si>
  <si>
    <t>NURUL RAUDA PILIANG</t>
  </si>
  <si>
    <t>199512142025212074</t>
  </si>
  <si>
    <t>nurulrauda14@gmail.com</t>
  </si>
  <si>
    <t>MEDAN,
14 DESEMBER 1995</t>
  </si>
  <si>
    <t>JL S.M. RAJA KM. 8 GG. IKHLAS NO. 5</t>
  </si>
  <si>
    <t>TIMBANG DELI</t>
  </si>
  <si>
    <t>OSHIN ISABELLA ANNA SIHOTANG</t>
  </si>
  <si>
    <t>198610182025212043</t>
  </si>
  <si>
    <t>Universitas Dharma Agung</t>
  </si>
  <si>
    <t>oshinoshintank@gmail.com</t>
  </si>
  <si>
    <t>MEDAN,
18 OKTOBER 1986</t>
  </si>
  <si>
    <t>Asrama Polisi Selambo Jalan Selambo No. 34</t>
  </si>
  <si>
    <t>PARULIAN SILITONGA</t>
  </si>
  <si>
    <t>197502262025212009</t>
  </si>
  <si>
    <t>AKADEMI GIZI SARI MUTIARA MEDAN</t>
  </si>
  <si>
    <t>Paruliansilitonga53@gmail.com</t>
  </si>
  <si>
    <t>TAPANULI UTARA,
26 FEBRUARI 1975</t>
  </si>
  <si>
    <t>JL. MENTENG-VII GG.PERWIRA NO.9</t>
  </si>
  <si>
    <t>RANTO LIBREK BOLIVER SINURAT</t>
  </si>
  <si>
    <t>198402162025211047</t>
  </si>
  <si>
    <t>PELITA BANGSA</t>
  </si>
  <si>
    <t>123rantolibrek@gmail.com</t>
  </si>
  <si>
    <t>MEDAN,
16 FEBRUARI 1984</t>
  </si>
  <si>
    <t>JL.FLAMBOYAN III NO.35 HELVETIA</t>
  </si>
  <si>
    <t>REVI FADILLAH</t>
  </si>
  <si>
    <t>199005252025212096</t>
  </si>
  <si>
    <t>SMA SWASTA ERIA</t>
  </si>
  <si>
    <t>dillalubis25@gmail.com</t>
  </si>
  <si>
    <t>MEDAN,
25 MEI 1990</t>
  </si>
  <si>
    <t>JL. MERAK II NO.67 PERUMNAS MANDALA</t>
  </si>
  <si>
    <t>KENANGAN BARU</t>
  </si>
  <si>
    <t>REYHAN MUSTIKA HAQIQI NASUTION</t>
  </si>
  <si>
    <t>198609082025212059</t>
  </si>
  <si>
    <t>reyhan8986@gmail.com</t>
  </si>
  <si>
    <t>MEDAN,
08 SEPTEMBER 1986</t>
  </si>
  <si>
    <t>JL. KENARI RAYA NO.575 P.MANDALA</t>
  </si>
  <si>
    <t>RICKY ANDRIE</t>
  </si>
  <si>
    <t>198009022025211058</t>
  </si>
  <si>
    <t>rickyandrie@yahoo.com</t>
  </si>
  <si>
    <t>MEDAN,
02 SEPTEMBER 1980</t>
  </si>
  <si>
    <t>Jl. Gedung arca. Gg, volli no 9/10</t>
  </si>
  <si>
    <t>RIJAL SIREGAR</t>
  </si>
  <si>
    <t>198801182025211066</t>
  </si>
  <si>
    <t>MADRASAH ALIYAH DARUSALAM SIMPANG LIMUN</t>
  </si>
  <si>
    <t>rijalsiregar831@gmail.com</t>
  </si>
  <si>
    <t>PADANG LAWAS UTARA,
18 JANUARI 1988</t>
  </si>
  <si>
    <t>JL. LETDA SUJONO GG M IDRIS NO.8</t>
  </si>
  <si>
    <t>RIO AZHARI SIPAHUTAR</t>
  </si>
  <si>
    <t>199407202025211051</t>
  </si>
  <si>
    <t>SEKOLAH TINGGI ILMU KOMUNIKASI PEMBANGUNAN</t>
  </si>
  <si>
    <t>rioazhari1994.ra@gmail.com</t>
  </si>
  <si>
    <t>MEDAN,
20 JULI 1994</t>
  </si>
  <si>
    <t>JL. AIR BERSIH GG OLAHRAGA 6-A</t>
  </si>
  <si>
    <t>RIRI KAMELA</t>
  </si>
  <si>
    <t>197906072025212034</t>
  </si>
  <si>
    <t>UNIVERSITAS EKASAKTI</t>
  </si>
  <si>
    <t>kamelariri8@gmail.com</t>
  </si>
  <si>
    <t>PADANG,
07 JUNI 1979</t>
  </si>
  <si>
    <t>JL. RAHMADSYAH GG AMAN NO 345 A</t>
  </si>
  <si>
    <t>KOTAMATSUM I</t>
  </si>
  <si>
    <t>SANDY KARDO SIBARANI</t>
  </si>
  <si>
    <t>199207202025211075</t>
  </si>
  <si>
    <t>sandyhardo2092@gmail.com</t>
  </si>
  <si>
    <t>TOBA,
20 JULI 1992</t>
  </si>
  <si>
    <t>JL. TURI UJUNG</t>
  </si>
  <si>
    <t>SILVANI NASUTION</t>
  </si>
  <si>
    <t>198909132025212060</t>
  </si>
  <si>
    <t>sil_funny@yahoo.com</t>
  </si>
  <si>
    <t>MEDAN,
13 SEPTEMBER 1989</t>
  </si>
  <si>
    <t>JL DURUNG NO 104 MEDAN</t>
  </si>
  <si>
    <t>SONYA SEISARIA LUBIS</t>
  </si>
  <si>
    <t>198608262025212052</t>
  </si>
  <si>
    <t>sonya.lubis86@gmail.com</t>
  </si>
  <si>
    <t>JL. SUKA CERDAS COMP SD LK XIII MEDAN</t>
  </si>
  <si>
    <t>TYANI SIREGAR</t>
  </si>
  <si>
    <t>199507032025212087</t>
  </si>
  <si>
    <t>UNIVERSITAS PRIMA INDONESIA</t>
  </si>
  <si>
    <t>tyaniboreg@gmail.com</t>
  </si>
  <si>
    <t>JAMBI,
03 JULI 1995</t>
  </si>
  <si>
    <t>Perumahan Villa Triviona Blok D No. 27</t>
  </si>
  <si>
    <t>Marindal II</t>
  </si>
  <si>
    <t>YUKI MARSELLA DAMANIK</t>
  </si>
  <si>
    <t>199103262025212071</t>
  </si>
  <si>
    <t>SEKOLAH TINGGI ILMU EKONOMI IBBI (STIE IBBI)</t>
  </si>
  <si>
    <t>yukimarsella23@gmail.com</t>
  </si>
  <si>
    <t>MEDAN,
26 MARET 1991</t>
  </si>
  <si>
    <t>JL SAKTI LUBIS GG AMAL NO 16</t>
  </si>
  <si>
    <t>SITIREJO I</t>
  </si>
  <si>
    <t>ZAL KAIRI</t>
  </si>
  <si>
    <t>199109202025211074</t>
  </si>
  <si>
    <t>SMK SWASTA DWIWARNA 2 MEDAN</t>
  </si>
  <si>
    <t>tzalkhairi@gmail.com</t>
  </si>
  <si>
    <t>MEDAN,
20 SEPTEMBER 1991</t>
  </si>
  <si>
    <t>Jl mamiyai no 39</t>
  </si>
  <si>
    <t>Medan area</t>
  </si>
  <si>
    <t>Tegal sari III</t>
  </si>
  <si>
    <t>ZUANSYAHDANA HASIBUAN</t>
  </si>
  <si>
    <t>199408222025211063</t>
  </si>
  <si>
    <t>zuansyahdana@gmail.com</t>
  </si>
  <si>
    <t>MEDAN, 22 AGUSTUS 1994</t>
  </si>
  <si>
    <t xml:space="preserve">JL JERMAL -XII GG AMINULLAH NO 11F </t>
  </si>
  <si>
    <t>UPT 2</t>
  </si>
  <si>
    <t>ARI DWI MIRZA HARAHAP, S.IP</t>
  </si>
  <si>
    <t>'198707032007011002</t>
  </si>
  <si>
    <t>KEPALA UPT PAJAK DAN RETRIBUSI WILAYAH II BADAN PENDAPATAN DAERAH KOTA MEDAN</t>
  </si>
  <si>
    <t>UPT PAJAK DAN RETRIBUSI WILAYAH II BADAN PENDAPATAN DAERAH KOTA MEDAN</t>
  </si>
  <si>
    <t>IPDN</t>
  </si>
  <si>
    <t>Instut Pemerintahan Dalam Negeri</t>
  </si>
  <si>
    <t>harahapari18@gmail.com</t>
  </si>
  <si>
    <t>MEDAN, 03 JULI 1987</t>
  </si>
  <si>
    <t>JL P TINGGI SWADAYA GG SEPAKAT NO 8</t>
  </si>
  <si>
    <t>PARLINDUNGAN SYAH LUBIS, S.H.</t>
  </si>
  <si>
    <t>'196812022010011003</t>
  </si>
  <si>
    <t>KEPALA SUB BAGIAN TATA USAHA UPT PAJAK DAN RETRIBUSI WILAYAH II BADAN PENDAPATAN DAERAH KOTA MEDAN</t>
  </si>
  <si>
    <t>SUB BAGIAN TATA USAHA UPT PAJAK DAN RETRIBUSI WILAYAH II BADAN PENDAPATAN DAERAH KOTA MEDAN</t>
  </si>
  <si>
    <t>821.2/302.K13-03-2023</t>
  </si>
  <si>
    <t>24 Januari 2015</t>
  </si>
  <si>
    <t>parlindungan31@gmail.com</t>
  </si>
  <si>
    <t>KOTA NOPAN, 02 DESEMBER 1968</t>
  </si>
  <si>
    <t>JL. KELAMBIR V Gg. KALPATARU NO. 08</t>
  </si>
  <si>
    <t>RIDHA AFANI HASIBUAN, S.E.</t>
  </si>
  <si>
    <t>'196809201993032003</t>
  </si>
  <si>
    <t>823.3/1047.K</t>
  </si>
  <si>
    <t>STIE TJUT NJA~ DHIEN</t>
  </si>
  <si>
    <t>07 Mei 1999</t>
  </si>
  <si>
    <t>ridhahasibuan278@gmail.com</t>
  </si>
  <si>
    <t>TAPANULI SELATAN, 20 SEPTEMBER 1968</t>
  </si>
  <si>
    <t>Jl. Letda. Sujono Gg. Famili No. 13</t>
  </si>
  <si>
    <t>HIKMAH NAZLI HASIBUAN, S.E.</t>
  </si>
  <si>
    <t>'197005101993032003</t>
  </si>
  <si>
    <t>UNIVERSITAS TJUT NYAK DHIEN</t>
  </si>
  <si>
    <t>31 Desember 2007</t>
  </si>
  <si>
    <t>hikmanazly@gmail.com</t>
  </si>
  <si>
    <t>PERBAUNGAN, 10 MEI 1970</t>
  </si>
  <si>
    <t>Jl. Suluh Gg.Mulyo no.17E Medan</t>
  </si>
  <si>
    <t>Sidorejo Hilir</t>
  </si>
  <si>
    <t>AMRIL SYAHPUTRA TANJUNG, S.SOS</t>
  </si>
  <si>
    <t>'197906052009031010</t>
  </si>
  <si>
    <t>ADMINISTRASI NEGARA</t>
  </si>
  <si>
    <t>19 Oktober 2002</t>
  </si>
  <si>
    <t>amrilsyahputra05@gmail.com</t>
  </si>
  <si>
    <t>MEDAN, 05 JUNI 1979</t>
  </si>
  <si>
    <t>JL. GARU I NO.44</t>
  </si>
  <si>
    <t>KOTA  MEDAN</t>
  </si>
  <si>
    <t>BHAKTI MUSLIM, SE</t>
  </si>
  <si>
    <t>'197404112009021006</t>
  </si>
  <si>
    <t>29 Agustus 2000</t>
  </si>
  <si>
    <t>bhaktimuslim03060@gmail.com</t>
  </si>
  <si>
    <t>MEDAN, 11 APRIL 1974</t>
  </si>
  <si>
    <t>Jl Garuda Gg Dewi 112A LK.VI</t>
  </si>
  <si>
    <t>SARNO, S.E.</t>
  </si>
  <si>
    <t>'197201312008011002</t>
  </si>
  <si>
    <t>823.3/313.K</t>
  </si>
  <si>
    <t>sekolah tinggi ekonomi al-hikmah medan</t>
  </si>
  <si>
    <t>26 Agustus 2014</t>
  </si>
  <si>
    <t>7272@gmail.com</t>
  </si>
  <si>
    <t>SEI MENCIRIM, 31 JANUARI 1972</t>
  </si>
  <si>
    <t>DUSUN IV A SEI MENCIRIM</t>
  </si>
  <si>
    <t>RATIH UTAMI NINGSIH, S.SOS</t>
  </si>
  <si>
    <t>'198410242010012030</t>
  </si>
  <si>
    <t>ILMU KESEJAHTERAAN SOSIAL</t>
  </si>
  <si>
    <t>14 Juni 2006</t>
  </si>
  <si>
    <t>ratih.scor@gmail.com</t>
  </si>
  <si>
    <t>MEDAN, 24 OKTOBER 1984</t>
  </si>
  <si>
    <t>JL. RAKYAT NO. 204 LKXI MEDAN</t>
  </si>
  <si>
    <t>GOMGOM TRIMINAR SIRINGORINGO, S.PN.</t>
  </si>
  <si>
    <t>'199503292025052003</t>
  </si>
  <si>
    <t>Universitas Brawijaya</t>
  </si>
  <si>
    <t>18 Januari 2018</t>
  </si>
  <si>
    <t>gomgom.gts@gmail.com</t>
  </si>
  <si>
    <t>SIMALUNGUN, 29 MARET 1995</t>
  </si>
  <si>
    <t>Sosor Mangambit</t>
  </si>
  <si>
    <t>Simalungun</t>
  </si>
  <si>
    <t>Girsang Sipanganbolon</t>
  </si>
  <si>
    <t>Parapat</t>
  </si>
  <si>
    <t>TONI PROBOSUNARDI</t>
  </si>
  <si>
    <t>197901092025211007</t>
  </si>
  <si>
    <t>SMU</t>
  </si>
  <si>
    <t>SWASTA BINA BERSAUDARA</t>
  </si>
  <si>
    <t>probosunarditoni0901@gmail.com</t>
  </si>
  <si>
    <t>MEDAN,
09 JANUARI 1979</t>
  </si>
  <si>
    <t>JL. MENTENG VII KOMP PIK NO B-7</t>
  </si>
  <si>
    <t>RETTA KELIAT, A.MD</t>
  </si>
  <si>
    <t>197809032025212013</t>
  </si>
  <si>
    <t>MANAJEMEN PERKANTORAN</t>
  </si>
  <si>
    <t>rettakeliat2015@gmail.com</t>
  </si>
  <si>
    <t>Deli Serdang, 3 September 1978</t>
  </si>
  <si>
    <t>JL BAHAGIA NO. 255 MEDAN</t>
  </si>
  <si>
    <t>ADEKSTY RAMADHANI</t>
  </si>
  <si>
    <t>198207112025212029</t>
  </si>
  <si>
    <t>adekRamadhani5@gmail.com</t>
  </si>
  <si>
    <t>BINJAI,
11 JULI 1982</t>
  </si>
  <si>
    <t>Jl Pukat V No 32 Medan</t>
  </si>
  <si>
    <t>AKHDAN MARTUA DAULAY</t>
  </si>
  <si>
    <t>199208192025211063</t>
  </si>
  <si>
    <t>SMA Swasta Harapan Mandiri Medan</t>
  </si>
  <si>
    <t>akhdanmartuadaulay07@gmail.com</t>
  </si>
  <si>
    <t>MEDAN,
19 AGUSTUS 1992</t>
  </si>
  <si>
    <t>JL SELAMAT UJUNG GG HIKMAH LK IX MEDAN</t>
  </si>
  <si>
    <t>AKHYAR AFFANDI</t>
  </si>
  <si>
    <t>199007022025211058</t>
  </si>
  <si>
    <t>akhyaraffandi@gmail.com</t>
  </si>
  <si>
    <t>MEDAN,
02 JULI 1990</t>
  </si>
  <si>
    <t>Jl Tuba II No 84</t>
  </si>
  <si>
    <t>ANGGA FAHRIZAL ASMI</t>
  </si>
  <si>
    <t>198803212025211066</t>
  </si>
  <si>
    <t>Swasta Angkasa-1 Lanud Medan</t>
  </si>
  <si>
    <t>anggafahrizalazmi@gmail.com</t>
  </si>
  <si>
    <t>MEDAN,
21 MARET 1988</t>
  </si>
  <si>
    <t>Jl.Kol Bejo GG Waringin No.22B</t>
  </si>
  <si>
    <t>Pulo Brayan Darat II</t>
  </si>
  <si>
    <t>ARIFAH SELTIA LUBIS</t>
  </si>
  <si>
    <t>198404022025212054</t>
  </si>
  <si>
    <t>Perbankan Dan Keuangan</t>
  </si>
  <si>
    <t>arifahseltia44@gmail.com</t>
  </si>
  <si>
    <t>BANDUNG,
02 APRIL 1984</t>
  </si>
  <si>
    <t>Dusun II Jl.Widya Utama GG Berutu</t>
  </si>
  <si>
    <t>Sei Rotan</t>
  </si>
  <si>
    <t>ARMAN SYAHPUTRA</t>
  </si>
  <si>
    <t>198610072025211077</t>
  </si>
  <si>
    <t>UNIVERSITAS TRI KARYA MEDAN</t>
  </si>
  <si>
    <t>armansyahputra86@gmail.com</t>
  </si>
  <si>
    <t>MEDAN,
07 OKTOBER 1986</t>
  </si>
  <si>
    <t>JL NURI II NO 94</t>
  </si>
  <si>
    <t>ASMAN</t>
  </si>
  <si>
    <t>196903262025211008</t>
  </si>
  <si>
    <t>SEKOLAH MENENGAH UMUM TINGKAT ATAS NEGERI 8</t>
  </si>
  <si>
    <t>asmansikumbang870@gmail.com</t>
  </si>
  <si>
    <t>MEDAN,
26 MARET 1969</t>
  </si>
  <si>
    <t>JL. PURI GG. MAWAR NO. 25</t>
  </si>
  <si>
    <t>KOTA MATSUM II</t>
  </si>
  <si>
    <t>EDI PARUNTUNGAN SITOMPUL</t>
  </si>
  <si>
    <t>198001082025211030</t>
  </si>
  <si>
    <t>edilenisitompul@gmail.com</t>
  </si>
  <si>
    <t>MEDAN,
08 JANUARI 1980</t>
  </si>
  <si>
    <t>Jln. Gelatik 10 No. 266</t>
  </si>
  <si>
    <t>ELIDA HAFNI</t>
  </si>
  <si>
    <t>197811132025212019</t>
  </si>
  <si>
    <t>Tata Boga</t>
  </si>
  <si>
    <t>083836144375 / 0877</t>
  </si>
  <si>
    <t>hafnielida1978@gmail.com</t>
  </si>
  <si>
    <t>MEDAN,
13 NOVEMBER 1978</t>
  </si>
  <si>
    <t>Jl Kapten m jamil No 26</t>
  </si>
  <si>
    <t>ELYFER PANGIHUTAN SITUMORANG</t>
  </si>
  <si>
    <t>197109062025211025</t>
  </si>
  <si>
    <t>elyferpangihutansitumorang@gmail.com</t>
  </si>
  <si>
    <t>SAMOSIR,
06 SEPTEMBER 1971</t>
  </si>
  <si>
    <t>Jl Pertiwi Baru Gg. Tapanuli 01</t>
  </si>
  <si>
    <t>EN EKO PRASTOWO</t>
  </si>
  <si>
    <t>198402252025211051</t>
  </si>
  <si>
    <t>Sekolah Tinggi Manajemen Informatika dan Komputer Logika</t>
  </si>
  <si>
    <t>echoaja0@gmail.com</t>
  </si>
  <si>
    <t>MEDAN,
25 FEBRUARI 1984</t>
  </si>
  <si>
    <t>Jl. Madrasyah No. 59 D Deli Tua</t>
  </si>
  <si>
    <t>FANNY ROSHADI NASUTION</t>
  </si>
  <si>
    <t>199505082025212049</t>
  </si>
  <si>
    <t>fannyroshadi1995@gmail.com</t>
  </si>
  <si>
    <t>MEDAN,
08 MEI 1995</t>
  </si>
  <si>
    <t>JL. WAHIDIN UJUNG NO. 85-38</t>
  </si>
  <si>
    <t>BANTAN TIMUR</t>
  </si>
  <si>
    <t>FARIDA</t>
  </si>
  <si>
    <t>198805052025212112</t>
  </si>
  <si>
    <t>SEKOLAH TINGGI MANAJEMEN INFORMATIKA KOMPUTER BUDI DARMA</t>
  </si>
  <si>
    <t>Rydaon3@gmail.com</t>
  </si>
  <si>
    <t>SERDANG BEDAGAI,
05 MEI 1988</t>
  </si>
  <si>
    <t>Jl.Pancing III No. 58 LK IV Medan</t>
  </si>
  <si>
    <t>FEBRY FAKHRURRAZY</t>
  </si>
  <si>
    <t>198002242025211041</t>
  </si>
  <si>
    <t>fakhrurrazyfebry1@gmail.com</t>
  </si>
  <si>
    <t>JL. M. YAKUB NO. 40</t>
  </si>
  <si>
    <t>HARUNSYAH GURUH LUBIS</t>
  </si>
  <si>
    <t>199004092025211112</t>
  </si>
  <si>
    <t>Sekolah Tinggi Ilmu Hukum Al-Hikmah Medan</t>
  </si>
  <si>
    <t>lubisharunsyahguruh@gmail.com</t>
  </si>
  <si>
    <t>MEDAN,
09 APRIL 1990</t>
  </si>
  <si>
    <t>Jl.Benteng Hulu GG.Sukur No.14A</t>
  </si>
  <si>
    <t>HARYADI WISUANDA SIREGAR</t>
  </si>
  <si>
    <t>198806252025211093</t>
  </si>
  <si>
    <t>wisuanda@gmail.com</t>
  </si>
  <si>
    <t>MEDAN,
25 JUNI 1988</t>
  </si>
  <si>
    <t>Dusun 1 Jl. Pasar Baru No. 4 Desa Tembung</t>
  </si>
  <si>
    <t>IMANUDDIN SIREGAR</t>
  </si>
  <si>
    <t>198808202025211090</t>
  </si>
  <si>
    <t>PENDIDIKAN OLAH RAGA</t>
  </si>
  <si>
    <t>UNIVERSITAS NEGERI JAKARTA</t>
  </si>
  <si>
    <t>imanuddin.siregar@gmail.com</t>
  </si>
  <si>
    <t>MEDAN,
20 AGUSTUS 1988</t>
  </si>
  <si>
    <t>JL TUBA IV GG PRINTIS V NO 07</t>
  </si>
  <si>
    <t>TEGAL SARI MANDALA III</t>
  </si>
  <si>
    <t>JIMI WALTER SITUMORANG</t>
  </si>
  <si>
    <t>198106062025211111</t>
  </si>
  <si>
    <t>TEKNIK ELEKTRONIKA</t>
  </si>
  <si>
    <t>POLITEKNIK MANDIRI BINA PRESTASI</t>
  </si>
  <si>
    <t>jwsitumorang6681@gmail.com</t>
  </si>
  <si>
    <t>DELI SERDANG,
06 JUNI 1981</t>
  </si>
  <si>
    <t>Dusun VI, Jl. Lembaga no. 29 Tanjung Rejo</t>
  </si>
  <si>
    <t>JUARI SITORUS</t>
  </si>
  <si>
    <t>198801082025211063</t>
  </si>
  <si>
    <t>SEKOLAH TINGGI ILMU EKONOMI NUSA BANGSA</t>
  </si>
  <si>
    <t>sitorusjuari@gmail.com</t>
  </si>
  <si>
    <t>DUMAI,
08 JANUARI 1988</t>
  </si>
  <si>
    <t>JL. MENTENG VII GG NASIONAL</t>
  </si>
  <si>
    <t>JULIANTY MATONDANG</t>
  </si>
  <si>
    <t>197507032025212011</t>
  </si>
  <si>
    <t>juliantimatondang54@gmail.com</t>
  </si>
  <si>
    <t>MEDAN,
03 JULI 1975</t>
  </si>
  <si>
    <t>Jl. Sentosa Baru No.33/35</t>
  </si>
  <si>
    <t>JUNI FERNANDO SIJABAT</t>
  </si>
  <si>
    <t>200106172025211022</t>
  </si>
  <si>
    <t>Sekolah Menengah Atas Negeri 12 Medan</t>
  </si>
  <si>
    <t>andojabat17@gmail.com</t>
  </si>
  <si>
    <t>MEDAN,
17 JUNI 2001</t>
  </si>
  <si>
    <t>Jl Kapten Muslim Gg Sepakat No 24</t>
  </si>
  <si>
    <t>Dwikora</t>
  </si>
  <si>
    <t>KASMUNA HARAHAP</t>
  </si>
  <si>
    <t>198508282025212060</t>
  </si>
  <si>
    <t>SEKOLAH TINNGI ILMU EKONOMI AL-HIKMAH MEDAN</t>
  </si>
  <si>
    <t>kasmunaharahap30@gmail.com</t>
  </si>
  <si>
    <t>PADANG LAWAS UTARA,
28 AGUSTUS 1985</t>
  </si>
  <si>
    <t>Dusun IX JL.PANCASILA MULIA RECIDENT NO.26</t>
  </si>
  <si>
    <t>KHAIRU FAHRIE</t>
  </si>
  <si>
    <t>199407122025211073</t>
  </si>
  <si>
    <t>UNIVERSITAS POTENSI UTAMA</t>
  </si>
  <si>
    <t>khairufahrie7@gmail.com</t>
  </si>
  <si>
    <t>MEDAN,
12 JULI 1994</t>
  </si>
  <si>
    <t>JALAN DHARMAIS I NO. 53 DUSUN X</t>
  </si>
  <si>
    <t>LENNY ENDRIANY PURBA</t>
  </si>
  <si>
    <t>197905152025212048</t>
  </si>
  <si>
    <t>Sekretari</t>
  </si>
  <si>
    <t>AKADEMI SEKRETARI DAN MANAJEMEN LANCANG KUNING</t>
  </si>
  <si>
    <t>leniendrianypurba@gmail.com</t>
  </si>
  <si>
    <t>MEDAN,
15 MEI 1979</t>
  </si>
  <si>
    <t>JL NGALENGKO NO 2-A</t>
  </si>
  <si>
    <t>PERINTIS</t>
  </si>
  <si>
    <t>LUKMAN HAKIM</t>
  </si>
  <si>
    <t>196901212025211010</t>
  </si>
  <si>
    <t>SEKOLAH MENENGAH UMUM TINGKAT ATAS SWASTA AL- HIDAYAH</t>
  </si>
  <si>
    <t>lh9684206@gmail.com</t>
  </si>
  <si>
    <t>MEDAN,
21 JANUARI 1969</t>
  </si>
  <si>
    <t>Jalan P Harimau Gg Aneka no.45</t>
  </si>
  <si>
    <t>M RICKY SOFIAN HASIBUAN</t>
  </si>
  <si>
    <t>199207032025211067</t>
  </si>
  <si>
    <t>92rickyhsb@gmail.com</t>
  </si>
  <si>
    <t>MEDAN,
03 JULI 1992</t>
  </si>
  <si>
    <t>Jl. Prof. HM Yamin Gg. Kelambir No. 19</t>
  </si>
  <si>
    <t>MEILISA RITONGA</t>
  </si>
  <si>
    <t>199205082025212067</t>
  </si>
  <si>
    <t>ritongameilisa@gmail.com</t>
  </si>
  <si>
    <t>MEDAN,
08 MEI 1992</t>
  </si>
  <si>
    <t>JL M YAKUB GG NANGKA NO 12</t>
  </si>
  <si>
    <t>MOHAMMAD RIFASA</t>
  </si>
  <si>
    <t>198208092025211039</t>
  </si>
  <si>
    <t>Manajemen informatika dan komputer</t>
  </si>
  <si>
    <t>Akademi Manajemen Informatika Dan Komputer ( AMIK) LOGIKA</t>
  </si>
  <si>
    <t>mohdrifasa@gmail.com</t>
  </si>
  <si>
    <t>MEDAN,
09 AGUSTUS 1982</t>
  </si>
  <si>
    <t>Jl kalpataru Lk VII No 5</t>
  </si>
  <si>
    <t>Medan helvetia</t>
  </si>
  <si>
    <t>MUHAMMAD FADLI</t>
  </si>
  <si>
    <t>197604272025211028</t>
  </si>
  <si>
    <t>ILMU ILMU SOSIAL</t>
  </si>
  <si>
    <t>SMA SWASTA PRAYATNA</t>
  </si>
  <si>
    <t>muhammadfadli.dispenda@gmail.com</t>
  </si>
  <si>
    <t>MEDAN,
27 APRIL 1976</t>
  </si>
  <si>
    <t>Jalan Durung No.142 Medan</t>
  </si>
  <si>
    <t>MUHAMMAD FAUZAN DERMAWAN</t>
  </si>
  <si>
    <t>198412182025211038</t>
  </si>
  <si>
    <t>fd.fauzandermawan@gmail.com</t>
  </si>
  <si>
    <t>SUMENEP,
18 DESEMBER 1984</t>
  </si>
  <si>
    <t>Jl. Pendidikan No.141</t>
  </si>
  <si>
    <t>Indrakasih</t>
  </si>
  <si>
    <t>MUHAMMAD SALIM NASUTION</t>
  </si>
  <si>
    <t>198712072025211078</t>
  </si>
  <si>
    <t>mhdsalimnst1987@gmail.com</t>
  </si>
  <si>
    <t>MEDAN,
07 DESEMBER 1987</t>
  </si>
  <si>
    <t>JL GURU SINUMBA IV NO.13 MEDAN</t>
  </si>
  <si>
    <t>NINING SARI</t>
  </si>
  <si>
    <t>197909202025212037</t>
  </si>
  <si>
    <t>SMK Swasta Apipsu Medan</t>
  </si>
  <si>
    <t>niningsari2009@gmail.com</t>
  </si>
  <si>
    <t>MEDAN,
20 SEPTEMBER 1979</t>
  </si>
  <si>
    <t>Jalan Menteng II No 84 . Medan</t>
  </si>
  <si>
    <t>PARSAULIAN SITUMORANG</t>
  </si>
  <si>
    <t>199806092025212057</t>
  </si>
  <si>
    <t>uliparsa49@gmail.com</t>
  </si>
  <si>
    <t>MEDAN,
09 JUNI 1998</t>
  </si>
  <si>
    <t>JL. BALAI ADAT DUSUN IX SAMPALI</t>
  </si>
  <si>
    <t>SAMPALI</t>
  </si>
  <si>
    <t>PUTRI RULINA RAHMI HARAHAP</t>
  </si>
  <si>
    <t>199211292025212081</t>
  </si>
  <si>
    <t>Sarjana ekonomi</t>
  </si>
  <si>
    <t>rputrirulina@gmail.com</t>
  </si>
  <si>
    <t>MEDAN,
29 NOVEMBER 1992</t>
  </si>
  <si>
    <t>JL LETDA SUJONO GG PADI NO 08</t>
  </si>
  <si>
    <t>RAHMADIANI</t>
  </si>
  <si>
    <t>199306102025212074</t>
  </si>
  <si>
    <t>rahmadianirambe33@gmail.com</t>
  </si>
  <si>
    <t>MEDAN,
10 JUNI 1993</t>
  </si>
  <si>
    <t>Jalan Santun No 37</t>
  </si>
  <si>
    <t>Sudirejo I</t>
  </si>
  <si>
    <t>RATNA DIANA PANJAITAN</t>
  </si>
  <si>
    <t>197104302025212011</t>
  </si>
  <si>
    <t>Universitas Sisingamangaraja XII Medan</t>
  </si>
  <si>
    <t>panjaitanratnadiana@gmail.com</t>
  </si>
  <si>
    <t>TEBING TINGGI,
30 APRIL 1971</t>
  </si>
  <si>
    <t>Komp Menteng Indah Blok E 3 No 7</t>
  </si>
  <si>
    <t>RATU TRIANA DEWI</t>
  </si>
  <si>
    <t>199404272025212110</t>
  </si>
  <si>
    <t>rtddewi@gmailcom</t>
  </si>
  <si>
    <t>MEDAN,
27 APRIL 1994</t>
  </si>
  <si>
    <t>JL LETDA SUJONO GG M IDRIS NO 8 MEDAN</t>
  </si>
  <si>
    <t>RIRIS NATALIA MARPAUNG</t>
  </si>
  <si>
    <t>198611272025212059</t>
  </si>
  <si>
    <t>Sekolah Tinggi Ilmu Ekonomi Al-Hikmah Medan</t>
  </si>
  <si>
    <t>marpaungririsnatalia@gmail.com</t>
  </si>
  <si>
    <t>TOBA,
27 NOVEMBER 1986</t>
  </si>
  <si>
    <t>Jl Harapan Pasti No. 52-B</t>
  </si>
  <si>
    <t>SARY PUSPITA ANGGRAINI</t>
  </si>
  <si>
    <t>198509032025212049</t>
  </si>
  <si>
    <t>puspitasary065@gmail.com</t>
  </si>
  <si>
    <t>PEKANBARU,
03 SEPTEMBER 1985</t>
  </si>
  <si>
    <t>JL. JERMAL XIV NO. 12</t>
  </si>
  <si>
    <t>SEPTI HARIANJA</t>
  </si>
  <si>
    <t>198909152025212091</t>
  </si>
  <si>
    <t>Sekolah Tinggi Manajemen Informatika Dan Komputer Potensi Utama</t>
  </si>
  <si>
    <t>harianjasepti2021@gmail.com</t>
  </si>
  <si>
    <t>MEDAN,
15 SEPTEMBER 1989</t>
  </si>
  <si>
    <t>Jl. Setia Jadi No 75 Medan</t>
  </si>
  <si>
    <t>STEVEN BRIAN MARPAUNG</t>
  </si>
  <si>
    <t>199409092025211079</t>
  </si>
  <si>
    <t>Universitas Dharmawangsa</t>
  </si>
  <si>
    <t>stevenbrianmrp@gmail.com</t>
  </si>
  <si>
    <t>MEDAN,
09 SEPTEMBER 1994</t>
  </si>
  <si>
    <t>Jl Rakyat Pasar III Gg Balam 2 No 9</t>
  </si>
  <si>
    <t>SUKAMTO</t>
  </si>
  <si>
    <t>197102142025211024</t>
  </si>
  <si>
    <t>Sekolah Tinggi Ilmu Ekonomi Nusa Bangsa</t>
  </si>
  <si>
    <t>sukamto140271@gmail.com</t>
  </si>
  <si>
    <t>ASAHAN,
14 FEBRUARI 1971</t>
  </si>
  <si>
    <t>Menteng Indah VII, Blok D8 - 15</t>
  </si>
  <si>
    <t>Medan Tenggarai</t>
  </si>
  <si>
    <t>SUPRIADI ANGKAT</t>
  </si>
  <si>
    <t>198709022025211072</t>
  </si>
  <si>
    <t>supriadiangkat141@gmail.com</t>
  </si>
  <si>
    <t>MEDAN,
02 SEPTEMBER 1987</t>
  </si>
  <si>
    <t>JL. SEI KERA GG PADI NO 26-E</t>
  </si>
  <si>
    <t>SYAFRIL HARIYANTO SIPAHUTAR</t>
  </si>
  <si>
    <t>197204032025211032</t>
  </si>
  <si>
    <t>syafrilsipahutar33@gmail.com</t>
  </si>
  <si>
    <t>MEDAN,
03 APRIL 1972</t>
  </si>
  <si>
    <t>JL HM JONI GG CEMARA NO 40-A</t>
  </si>
  <si>
    <t>YUDITH INDRA MALON SIREGAR</t>
  </si>
  <si>
    <t>198107182025211047</t>
  </si>
  <si>
    <t>yudithsiregar04@gmail.com</t>
  </si>
  <si>
    <t>PADANG SIDEMPUAN,
18 JULI 1981</t>
  </si>
  <si>
    <t>JL ENGGANG VII NO 525</t>
  </si>
  <si>
    <t>UPT 3</t>
  </si>
  <si>
    <t>ANANDA DOLY PUTRA NASUTION, S.AP, M.M.</t>
  </si>
  <si>
    <t>197907112003121004</t>
  </si>
  <si>
    <t>KEPALA UPT PAJAK DAN RETRIBUSI WILAYAH III BADAN PENDAPATAN DAERAH KOTA MEDAN</t>
  </si>
  <si>
    <t>UPT PAJAK DAN RETRIBUSI WILAYAH III BADAN PENDAPATAN DAERAH KOTA MEDAN</t>
  </si>
  <si>
    <t>sibatak1979@gmail.com</t>
  </si>
  <si>
    <t>MEDAN, 11 JULI 1979</t>
  </si>
  <si>
    <t>JL. STM, SUKA RINDU NO.7</t>
  </si>
  <si>
    <t>ROSAWATI FORTUNA TANJUNG, ST</t>
  </si>
  <si>
    <t>198009222006042003</t>
  </si>
  <si>
    <t>215/KPTS/2015</t>
  </si>
  <si>
    <t>Pj. WALIKOTA PADANGSIDIMPUAN</t>
  </si>
  <si>
    <t>KEPALA SUB BAGIAN TATA USAHA UPT PAJAK DAN RETRIBUSI WILAYAH III BADAN PENDAPATAN DAERAH KOTA MEDAN</t>
  </si>
  <si>
    <t>SUB BAGIAN TATA USAHA UPT PAJAK DAN RETRIBUSI WILAYAH III BADAN PENDAPATAN DAERAH KOTA MEDAN</t>
  </si>
  <si>
    <t>Perencanaan Wilayah dan Kota</t>
  </si>
  <si>
    <t>10 Oktober 2004</t>
  </si>
  <si>
    <t>rosawati1980@gmail.com</t>
  </si>
  <si>
    <t>GUNUNG TUA, 22 SEPTEMBER 1980</t>
  </si>
  <si>
    <t>JL. KARYA KASIH KOMPLEK PALEM INDAH JOHOR BLOK.D NO.5</t>
  </si>
  <si>
    <t>DEWI LESTARI, S.E.</t>
  </si>
  <si>
    <t>197506132000032014</t>
  </si>
  <si>
    <t>823.1.2.3/0809.K</t>
  </si>
  <si>
    <t>11 Februari 2004</t>
  </si>
  <si>
    <t>dewimunan@gmail.com</t>
  </si>
  <si>
    <t>MULIOREJO, 13 JUNI 1975</t>
  </si>
  <si>
    <t>DUSUN III JL. PERSATUAN II NO.22</t>
  </si>
  <si>
    <t>Muliorejo</t>
  </si>
  <si>
    <t>IDA BERLIANA BR GINTING, S.E., M.M</t>
  </si>
  <si>
    <t>197908112006042005</t>
  </si>
  <si>
    <t>823.1.2.3/188.K</t>
  </si>
  <si>
    <t>berlianaida@yahoo.com</t>
  </si>
  <si>
    <t>TEBING TINGGI, 11 AGUSTUS 1979</t>
  </si>
  <si>
    <t>Jl. Jamin Ginting Gg. Jati 12</t>
  </si>
  <si>
    <t>Beringin</t>
  </si>
  <si>
    <t>HENDRA ALPIANSYAH PUTRA, S.E.</t>
  </si>
  <si>
    <t>198106282010011017</t>
  </si>
  <si>
    <t>hendraalpiansyah440@gmail.com</t>
  </si>
  <si>
    <t>TANJUNG LANGKAT, 28 JUNI 1981</t>
  </si>
  <si>
    <t>Jl. Sunggal Serba Setia No. 17</t>
  </si>
  <si>
    <t>ILHAM PRIHATIN, S.E.</t>
  </si>
  <si>
    <t>197004042008011003</t>
  </si>
  <si>
    <t>01 Oktober 2012</t>
  </si>
  <si>
    <t>ilhamprihatin70@gmail.com</t>
  </si>
  <si>
    <t>MEDAN, 04 APRIL 1970</t>
  </si>
  <si>
    <t>JL.SEROJA RAYA NO.210/13 LK.XX</t>
  </si>
  <si>
    <t>RINSAN RONALD ROGANDA SITANGGANG, A.MD.</t>
  </si>
  <si>
    <t>197608092008012005</t>
  </si>
  <si>
    <t>UNIV.KATOLOK ST.THOMAS</t>
  </si>
  <si>
    <t>rinsansitanggang96@gmail.com</t>
  </si>
  <si>
    <t>PARDOMUAN, 09 AGUSTUS 1976</t>
  </si>
  <si>
    <t>Jl. BUNGA RAMPE II GG KASIH</t>
  </si>
  <si>
    <t>SIMALINGKAR B</t>
  </si>
  <si>
    <t>SUHERYATI AGUSTINA, SE</t>
  </si>
  <si>
    <t>197608312010012011</t>
  </si>
  <si>
    <t>31 Desember 2013</t>
  </si>
  <si>
    <t>suheryati3108@gmail.com</t>
  </si>
  <si>
    <t>MEDAN, 31 AGUSTUS 1976</t>
  </si>
  <si>
    <t>JL. GARU III NO.97C MEDAN</t>
  </si>
  <si>
    <t>Lalang</t>
  </si>
  <si>
    <t>DEWI LAURA SIMANJUNTAK, S.AK</t>
  </si>
  <si>
    <t>198106032015052001</t>
  </si>
  <si>
    <t>800.1.3.1/535.K29-12-2025</t>
  </si>
  <si>
    <t>10 Oktober 2019</t>
  </si>
  <si>
    <t>dewilauras@gmail.com</t>
  </si>
  <si>
    <t>MEDAN, 03 JUNI 1981</t>
  </si>
  <si>
    <t>JL SEI SICANGGANG NO 4</t>
  </si>
  <si>
    <t>SEI KAMBING D</t>
  </si>
  <si>
    <t>M RIDHO CHASAZU NASUTION, A.MD.</t>
  </si>
  <si>
    <t>200002252025211014</t>
  </si>
  <si>
    <t>D-III Pariwisata</t>
  </si>
  <si>
    <t>ridhochasazu79@gmail.com</t>
  </si>
  <si>
    <t>Medan, 25 Februari 2000</t>
  </si>
  <si>
    <t>Jl palem 4 lk ix no 165</t>
  </si>
  <si>
    <t>MOHD ARDIANSYAH</t>
  </si>
  <si>
    <t>199408062025211010</t>
  </si>
  <si>
    <t>SMK Akuntansi</t>
  </si>
  <si>
    <t>SMK Swasta Harapan Babalan</t>
  </si>
  <si>
    <t>mohd.ardiansyah94@gmail.com</t>
  </si>
  <si>
    <t>LANGKAT,
06 AGUSTUS 1994</t>
  </si>
  <si>
    <t>Linkungan VII Tegal Rejo</t>
  </si>
  <si>
    <t>Stabat</t>
  </si>
  <si>
    <t>Kwala Bingai</t>
  </si>
  <si>
    <t>ADYTIA FERDIAN</t>
  </si>
  <si>
    <t>198911112025211112</t>
  </si>
  <si>
    <t>adityaferdian111@gmail.com</t>
  </si>
  <si>
    <t>MEDAN,
11 NOVEMBER 1989</t>
  </si>
  <si>
    <t>JL SD INPRES GG FAMILI NO 11 LK VIII MEDAN</t>
  </si>
  <si>
    <t>AGUSTIO ANGKASA WIBOWO</t>
  </si>
  <si>
    <t>198208052025211073</t>
  </si>
  <si>
    <t>agust.angkasa@gmail.com</t>
  </si>
  <si>
    <t>MEDAN,
05 AGUSTUS 1982</t>
  </si>
  <si>
    <t>JL. AMPERA VI NO. 16-31</t>
  </si>
  <si>
    <t>ANANDA RIZKY</t>
  </si>
  <si>
    <t>198509032025211073</t>
  </si>
  <si>
    <t>SEKOLAH TINGGI ILMU HUKUM AL HIKMAH MEDAN</t>
  </si>
  <si>
    <t>ikianarky@gmail.com</t>
  </si>
  <si>
    <t>MEDAN,
03 SEPTEMBER 1985</t>
  </si>
  <si>
    <t>Jl. Karya Darma No.21 LK XIII</t>
  </si>
  <si>
    <t>ANDREW AGUSTINUS SITEPU</t>
  </si>
  <si>
    <t>198608012025211110</t>
  </si>
  <si>
    <t>blackagustinus@gmail.com</t>
  </si>
  <si>
    <t>MEDAN,
01 AGUSTUS 1986</t>
  </si>
  <si>
    <t>Jalan letjen jamin Ginting no 629</t>
  </si>
  <si>
    <t>Medan baru</t>
  </si>
  <si>
    <t>Titi rante</t>
  </si>
  <si>
    <t>DENI SETIAWAN</t>
  </si>
  <si>
    <t>199002122025211096</t>
  </si>
  <si>
    <t>ILMU PENGETAHUAN SOSIAL (IPS)</t>
  </si>
  <si>
    <t>SMA NEGERI 1 SUNGGAL, KABUPATEN DELI SERDANG</t>
  </si>
  <si>
    <t>deniliza1990@gmail.com</t>
  </si>
  <si>
    <t>DELI SERDANG,
12 FEBRUARI 1990</t>
  </si>
  <si>
    <t>Perum Rorinata tahap 10 blok F1 no 10</t>
  </si>
  <si>
    <t>Suka maju</t>
  </si>
  <si>
    <t>DENNY SYAHPUTRA TARIGAN</t>
  </si>
  <si>
    <t>197910182025211032</t>
  </si>
  <si>
    <t>dennytarigan79@gmail.com</t>
  </si>
  <si>
    <t>KARO,
18 OKTOBER 1979</t>
  </si>
  <si>
    <t>Jalan Terompet Nomor 44</t>
  </si>
  <si>
    <t>DINA .A. TRIANA</t>
  </si>
  <si>
    <t>198710242025212055</t>
  </si>
  <si>
    <t>dinaadha15@gmail.com</t>
  </si>
  <si>
    <t>MEDAN,
24 OKTOBER 1987</t>
  </si>
  <si>
    <t>JL KAPTEN MUSLIM LK IV NO 114 A</t>
  </si>
  <si>
    <t>ESRA DANIEL PANGGABEAN</t>
  </si>
  <si>
    <t>198501192025211062</t>
  </si>
  <si>
    <t>danielgabe72@gmail.com</t>
  </si>
  <si>
    <t>MEDAN,
19 JANUARI 1985</t>
  </si>
  <si>
    <t>KOMP. PONDOK SURYA BLOK 2 NO 76</t>
  </si>
  <si>
    <t>FADLILLAH HUSNA SIHOMBING</t>
  </si>
  <si>
    <t>199410052025212093</t>
  </si>
  <si>
    <t>dilasihombing2@gmail.com</t>
  </si>
  <si>
    <t>MEDAN,
05 OKTOBER 1994</t>
  </si>
  <si>
    <t>JL. JAMALIAH 3 D 39 KOMPLEK ALAMANDA</t>
  </si>
  <si>
    <t>FITRI HANDRYANI</t>
  </si>
  <si>
    <t>198705312025212044</t>
  </si>
  <si>
    <t>fitri.handryani@gmail.com</t>
  </si>
  <si>
    <t>MEDAN,
31 MEI 1987</t>
  </si>
  <si>
    <t>JL PEMBANGUNAN KOMP PONDOK SURYA LK VI NO 210</t>
  </si>
  <si>
    <t>FITRI YANTI NASUTION</t>
  </si>
  <si>
    <t>198011212025212023</t>
  </si>
  <si>
    <t>yantiiftrii415@gmail.com</t>
  </si>
  <si>
    <t>MEDAN,
21 NOVEMBER 1980</t>
  </si>
  <si>
    <t>JL. H. ADAM MALIK GG. PERINGATAN NO. 13</t>
  </si>
  <si>
    <t>FRANKY MARSMAN SULAIMAN GULTOM</t>
  </si>
  <si>
    <t>197910232025211046</t>
  </si>
  <si>
    <t>SEKOLAH TINGGI ILMU EKONOMI DUTA NUSANTARA</t>
  </si>
  <si>
    <t>mikailichenko2379@gmail.com</t>
  </si>
  <si>
    <t>MEDAN,
23 OKTOBER 1979</t>
  </si>
  <si>
    <t>JALAN SUKAMULIA 19</t>
  </si>
  <si>
    <t>AUR</t>
  </si>
  <si>
    <t>FURQAAN MOEIN HARAHAP</t>
  </si>
  <si>
    <t>198611012025211071</t>
  </si>
  <si>
    <t>SekolahTinggi Ilmu Hukum Al-Hikmah Medan</t>
  </si>
  <si>
    <t>kanimoein86@gmail.com</t>
  </si>
  <si>
    <t>MEDAN,
01 NOVEMBER 1986</t>
  </si>
  <si>
    <t>Jl.Sidodame Komp.Pemda No.53</t>
  </si>
  <si>
    <t>GABEINA MEI SYAHPUTRI</t>
  </si>
  <si>
    <t>199005232025212060</t>
  </si>
  <si>
    <t>ADMINISTRASI PUBLIK</t>
  </si>
  <si>
    <t>gabeina23@gmail.com</t>
  </si>
  <si>
    <t>LABUHANBATU,
23 MEI 1990</t>
  </si>
  <si>
    <t>JALAN JAMIN GINTING KOMPLEK BUENAVISTA BLOK D NO 28</t>
  </si>
  <si>
    <t>HADLIQ LIBY</t>
  </si>
  <si>
    <t>198808262025211052</t>
  </si>
  <si>
    <t>SMA SWASTA PANCA BUDI MEDAN</t>
  </si>
  <si>
    <t>kevin.pijarbangsa@gmail.com</t>
  </si>
  <si>
    <t>MEDAN,
26 AGUSTUS 1988</t>
  </si>
  <si>
    <t>Sei Sikambing C II</t>
  </si>
  <si>
    <t>IDHAM ANGGA PRADITO</t>
  </si>
  <si>
    <t>199105042025211077</t>
  </si>
  <si>
    <t>Idhamangga.pradito@gmail.com</t>
  </si>
  <si>
    <t>MEDAN,
04 MEI 1991</t>
  </si>
  <si>
    <t>KOMP BUMI SEROJA PERMAI BLOK F NO. 7</t>
  </si>
  <si>
    <t>INDRIANA</t>
  </si>
  <si>
    <t>198112102025212031</t>
  </si>
  <si>
    <t>INDRIANA,ISLAMY@GMAIL.COM</t>
  </si>
  <si>
    <t>ASAHAN,
10 DESEMBER 1981</t>
  </si>
  <si>
    <t>JL. SM . RAJA KOMP. BUANA YUDHA RESIDENCE NO. 28</t>
  </si>
  <si>
    <t>BINJAI UTARA</t>
  </si>
  <si>
    <t>NANGKA</t>
  </si>
  <si>
    <t>IQBAL NOERMAN</t>
  </si>
  <si>
    <t>198602152025211056</t>
  </si>
  <si>
    <t>iqballnoerman@gmail.com</t>
  </si>
  <si>
    <t>MEDAN,
15 FEBRUARI 1986</t>
  </si>
  <si>
    <t>JL SEKIP GG PENGHULU NO 6</t>
  </si>
  <si>
    <t>PETISAH TENGAH</t>
  </si>
  <si>
    <t>IRMA DWI SYAHFITRI</t>
  </si>
  <si>
    <t>199503212025212049</t>
  </si>
  <si>
    <t>SWASTA TAMANSISWA BINJAI</t>
  </si>
  <si>
    <t>duwie2103@gmail.com</t>
  </si>
  <si>
    <t>DELI SERDANG,
21 MARET 1995</t>
  </si>
  <si>
    <t>DUSUN XIII PONDOK MIRI</t>
  </si>
  <si>
    <t>KLESI HANUM</t>
  </si>
  <si>
    <t>198103312025212032</t>
  </si>
  <si>
    <t>UNIVERSITAS AL WASHLIYAH (UNIVA) MEDAN</t>
  </si>
  <si>
    <t>klesihanum10@gmail.com</t>
  </si>
  <si>
    <t>DELI SERDANG,
31 MARET 1981</t>
  </si>
  <si>
    <t>JL. SUMBER RUKUN II NO. 284 LK. XII</t>
  </si>
  <si>
    <t>LIFSANI PUTRA BARUS</t>
  </si>
  <si>
    <t>199212062025211100</t>
  </si>
  <si>
    <t>Saniputrabarus@gmail.com</t>
  </si>
  <si>
    <t>MEDAN,
06 DESEMBER 1992</t>
  </si>
  <si>
    <t>Jl jaje 7 no 34 p simalingkar</t>
  </si>
  <si>
    <t>Tuntungan</t>
  </si>
  <si>
    <t>LINA BUDI HARTI HARAHAP</t>
  </si>
  <si>
    <t>199201152025212102</t>
  </si>
  <si>
    <t>pocutkhayla@gmail.com</t>
  </si>
  <si>
    <t>SERDANG BEDAGAI,
15 JANUARI 1992</t>
  </si>
  <si>
    <t>JL. GATOT SUBROTO GG. RUKUN ABADI NO. 3</t>
  </si>
  <si>
    <t>SEI SIKAMBING D</t>
  </si>
  <si>
    <t>WIDYA SRI ULINA</t>
  </si>
  <si>
    <t>198701312025212054</t>
  </si>
  <si>
    <t>Administrasi Perpajakan</t>
  </si>
  <si>
    <t>widyasriulina522@gmail.com</t>
  </si>
  <si>
    <t>MEDAN,
31 JANUARI 1987</t>
  </si>
  <si>
    <t>Jl. Setia Budi No. 463</t>
  </si>
  <si>
    <t>MAYA SARA HARAHAP</t>
  </si>
  <si>
    <t>197907302025212026</t>
  </si>
  <si>
    <t>mayasaraharahap@gmail.com</t>
  </si>
  <si>
    <t>MEDAN,
30 JULI 1979</t>
  </si>
  <si>
    <t>JL. PEMBINA NO. 1 LK. II</t>
  </si>
  <si>
    <t>BINJAI KOTA</t>
  </si>
  <si>
    <t>BERNGAM</t>
  </si>
  <si>
    <t>MEDAHENY GM</t>
  </si>
  <si>
    <t>199107192025212111</t>
  </si>
  <si>
    <t>meyheny37@gmail.com</t>
  </si>
  <si>
    <t>MEDAN,
19 JULI 1991</t>
  </si>
  <si>
    <t>JL. AMAL LUHUR GG MUSARAH LK II NO 2 A</t>
  </si>
  <si>
    <t>DWI KORA</t>
  </si>
  <si>
    <t>MINARTI AGUSTINI HASIBUAN</t>
  </si>
  <si>
    <t>198408032025212042</t>
  </si>
  <si>
    <t>STIE NUSA BANGSA</t>
  </si>
  <si>
    <t>titihasibuan67@gmail.com</t>
  </si>
  <si>
    <t>MEDAN,
03 AGUSTUS 1984</t>
  </si>
  <si>
    <t>JL. PERTIWI GANG SEHATI KOMP. H. MUSLIM NO. 4</t>
  </si>
  <si>
    <t>MUHAMMAD IBNU SYOFWAN</t>
  </si>
  <si>
    <t>199005112025211081</t>
  </si>
  <si>
    <t>ibnusofwan14@gmail.com</t>
  </si>
  <si>
    <t>MEDAN,
11 MEI 1990</t>
  </si>
  <si>
    <t>Jl. Sikambing No.3</t>
  </si>
  <si>
    <t>MUHAMMAD REZA AZHARI</t>
  </si>
  <si>
    <t>199008192025211068</t>
  </si>
  <si>
    <t>Manajemen pemasaran</t>
  </si>
  <si>
    <t>Sekolah tinggi ilmu manajemen sukma</t>
  </si>
  <si>
    <t>rezaazha1908@gmail.com</t>
  </si>
  <si>
    <t>MEDAN,
19 AGUSTUS 1990</t>
  </si>
  <si>
    <t>Jl kapten muslim GG jawa lr mami</t>
  </si>
  <si>
    <t>SEI skambing sc ll</t>
  </si>
  <si>
    <t>NOVA WAHYUNI SUSANTY</t>
  </si>
  <si>
    <t>197611202025212014</t>
  </si>
  <si>
    <t>UNIVERSITAS MUHAMMADIYAH SUMATRA UTARA</t>
  </si>
  <si>
    <t>novasanty9@gmail.com</t>
  </si>
  <si>
    <t>MEDAN,
20 NOVEMBER 1976</t>
  </si>
  <si>
    <t>jl. angsana 5 no 97</t>
  </si>
  <si>
    <t>sumatra utara</t>
  </si>
  <si>
    <t>kota medan</t>
  </si>
  <si>
    <t>medan helvetia</t>
  </si>
  <si>
    <t>helvetia tengah</t>
  </si>
  <si>
    <t>PUTRI ASTIKA SARI</t>
  </si>
  <si>
    <t>198909182025212081</t>
  </si>
  <si>
    <t>putriastikasari89@gmail.com</t>
  </si>
  <si>
    <t>MEDAN,
18 SEPTEMBER 1989</t>
  </si>
  <si>
    <t>RENDY ANANDA PUTRA</t>
  </si>
  <si>
    <t>199904042025211035</t>
  </si>
  <si>
    <t>REKAYASA PERANGKAT LUNAK (RPL)</t>
  </si>
  <si>
    <t>SMK NEGERI 9 MEDAN</t>
  </si>
  <si>
    <t>62 821-8566-7332</t>
  </si>
  <si>
    <t>rendyap0499@gmail.com</t>
  </si>
  <si>
    <t>MEDAN,
04 APRIL 1999</t>
  </si>
  <si>
    <t>JL. P BARIS GG JAWA NO 33-11 LK XII</t>
  </si>
  <si>
    <t>ROBERD HANDI TARIHORAN</t>
  </si>
  <si>
    <t>199212082025211070</t>
  </si>
  <si>
    <t>roberd.tarihoran@gmail.com</t>
  </si>
  <si>
    <t>DILI,
08 DESEMBER 1992</t>
  </si>
  <si>
    <t>JL. BAJAK V KOMP KEHUTANAN L-10</t>
  </si>
  <si>
    <t>SARIFAH ANUM SIREGAR</t>
  </si>
  <si>
    <t>199006212025212067</t>
  </si>
  <si>
    <t>SMK SWAKARYA TANJUNG LANGKAT</t>
  </si>
  <si>
    <t>sarifahanum1990@gmail.com</t>
  </si>
  <si>
    <t>LANGKAT,
21 JUNI 1990</t>
  </si>
  <si>
    <t>Jl. Sempu No. 4/8</t>
  </si>
  <si>
    <t>SRI HELMINA JAYA</t>
  </si>
  <si>
    <t>198809252025212063</t>
  </si>
  <si>
    <t>EKONOMI ISLAM</t>
  </si>
  <si>
    <t>INSTITUT AGAMA ISLAM NEGERI</t>
  </si>
  <si>
    <t>srihelminahrp@gmail.com</t>
  </si>
  <si>
    <t>JALAN TOMAT 23-6B</t>
  </si>
  <si>
    <t>DARAT</t>
  </si>
  <si>
    <t>SRI NURMAWANI</t>
  </si>
  <si>
    <t>197801072025212014</t>
  </si>
  <si>
    <t>srinurmawani29@gmail.com</t>
  </si>
  <si>
    <t>LANGKAT,
07 JANUARI 1978</t>
  </si>
  <si>
    <t>Jl. Bersama No.24 Medan</t>
  </si>
  <si>
    <t>SRI WULANDARI</t>
  </si>
  <si>
    <t>199305282025212076</t>
  </si>
  <si>
    <t>wulandilan2728@gmail.com</t>
  </si>
  <si>
    <t>ASAHAN,
28 MEI 1993</t>
  </si>
  <si>
    <t>DUSUN II TIMUR JLN. TANI ASLI GG. ASAL</t>
  </si>
  <si>
    <t>SULTAN RAHMAT SYAH YUSFI</t>
  </si>
  <si>
    <t>198707012025211120</t>
  </si>
  <si>
    <t>shultanrahmadsyah@gmail.com</t>
  </si>
  <si>
    <t>ACEH TAMIANG,
01 JULI 1987</t>
  </si>
  <si>
    <t>SUSANDI</t>
  </si>
  <si>
    <t>198112252025211052</t>
  </si>
  <si>
    <t>INSTITUT TEKNOLOGI MEDAN</t>
  </si>
  <si>
    <t>kendy1640@gmail.com</t>
  </si>
  <si>
    <t>MEDAN,
25 DESEMBER 1981</t>
  </si>
  <si>
    <t>Jl.Sembada XVII No 8 Komplek Koserna</t>
  </si>
  <si>
    <t>PB.Selayang ll</t>
  </si>
  <si>
    <t>YESSIMARA WARDHANI</t>
  </si>
  <si>
    <t>198009022025212024</t>
  </si>
  <si>
    <t>UNIVERSITAS PANCASILA JAKARTA</t>
  </si>
  <si>
    <t>yessimara78@gmail.com</t>
  </si>
  <si>
    <t>ACEH UTARA,
02 SEPTEMBER 1980</t>
  </si>
  <si>
    <t>JL. PALA NO. 3</t>
  </si>
  <si>
    <t>YOANITA ELYSABET HUTABARAT</t>
  </si>
  <si>
    <t>198409102025212059</t>
  </si>
  <si>
    <t>Sastra Indonesia</t>
  </si>
  <si>
    <t>yoanitahutabarat@gmail.com</t>
  </si>
  <si>
    <t>MEDAN,
10 SEPTEMBER 1984</t>
  </si>
  <si>
    <t>JL. Bunga kemuning no. 46</t>
  </si>
  <si>
    <t>Ladang Bambu</t>
  </si>
  <si>
    <t>YULHENDRA</t>
  </si>
  <si>
    <t>198001272025211021</t>
  </si>
  <si>
    <t>ILMU ADMINISTRASI</t>
  </si>
  <si>
    <t>80.chandraa@gmail.com</t>
  </si>
  <si>
    <t>MEDAN,
27 JANUARI 1980</t>
  </si>
  <si>
    <t>JL. KARYA DLM-GURU SINUMBA NO. 7-A LK. XI</t>
  </si>
  <si>
    <t>UPT 4</t>
  </si>
  <si>
    <t>MHA MUSTAQIIM SIREGAR, S.STP</t>
  </si>
  <si>
    <t>199209012015071003</t>
  </si>
  <si>
    <t>KEPALA UPT PAJAK DAN RETRIBUSI WILAYAH IV BADAN PENDAPATAN DAERAH KOTA MEDAN</t>
  </si>
  <si>
    <t>UPT PAJAK DAN RETRIBUSI WILAYAH IV BADAN PENDAPATAN DAERAH KOTA MEDAN</t>
  </si>
  <si>
    <t>INSTITUT PEMERINTAH DALAM NEGERI</t>
  </si>
  <si>
    <t>siregarfizi@gmail.com</t>
  </si>
  <si>
    <t>MEDAN, 01 SEPTEMBER 1992</t>
  </si>
  <si>
    <t>JALAN BERSAMA GG. RAHMATAN NO.02</t>
  </si>
  <si>
    <t>medan tembung</t>
  </si>
  <si>
    <t>bantan</t>
  </si>
  <si>
    <t>NINA RIZKINA, S.STP, M.SP</t>
  </si>
  <si>
    <t>198904052012062001</t>
  </si>
  <si>
    <t>KEPALA SUB BAGIAN TATA USAHA UPT PAJAK DAN RETRIBUSI WILAYAH IV BADAN PENDAPATAN DAERAH KOTA MEDAN</t>
  </si>
  <si>
    <t>SUB BAGIAN TATA USAHA UPT PAJAK DAN RETRIBUSI WILAYAH IV BADAN PENDAPATAN DAERAH KOTA MEDAN</t>
  </si>
  <si>
    <t>800.1.3.3/563.K31-05-2024</t>
  </si>
  <si>
    <t>12 Februari 2016</t>
  </si>
  <si>
    <t>ninarizkinanoeh@gmail.com</t>
  </si>
  <si>
    <t>MEDAN, 05 APRIL 1989</t>
  </si>
  <si>
    <t>Jl. Bangun Sari III No. 31 Medan</t>
  </si>
  <si>
    <t>RONALD PARULIAN SIRAIT, SP</t>
  </si>
  <si>
    <t>197112052000031006</t>
  </si>
  <si>
    <t>823/1436/BKD/2013</t>
  </si>
  <si>
    <t>Bupati Humbang Hasundutan</t>
  </si>
  <si>
    <t>Budidaya Pertanian/Perkebunan</t>
  </si>
  <si>
    <t>parulian05@gmail.com</t>
  </si>
  <si>
    <t>MEDAN, 05 DESEMBER 1971</t>
  </si>
  <si>
    <t>JALAN KOMISI NO. 11 KOMP DPRD TK.I</t>
  </si>
  <si>
    <t>pulu brayan bengkel baru</t>
  </si>
  <si>
    <t>SITI RAHMAH HASIBUAN, S.SOS</t>
  </si>
  <si>
    <t>197510202009022001</t>
  </si>
  <si>
    <t>Ilmu Adminsitrasi Negara</t>
  </si>
  <si>
    <t>17 Oktober 2000</t>
  </si>
  <si>
    <t>sitirahmahasibuan78@gmail.com</t>
  </si>
  <si>
    <t>JAKARTA, 20 OKTOBER 1975</t>
  </si>
  <si>
    <t>Jl. EKA SUKA 14 NO. 10A LINGK 13</t>
  </si>
  <si>
    <t>SURYA FAZAR NASUTION, S.E.</t>
  </si>
  <si>
    <t>196903092009031001</t>
  </si>
  <si>
    <t>suryafajar0903@gmail.com</t>
  </si>
  <si>
    <t>MEDAN, 09 MARET 1969</t>
  </si>
  <si>
    <t>JL. SENDOK  NO. 29 MEDAN PETISAH</t>
  </si>
  <si>
    <t>SEI PUTIH TENGAH</t>
  </si>
  <si>
    <t>FAJAR AMRAN KAMAL, S.H.</t>
  </si>
  <si>
    <t>197303102009031001</t>
  </si>
  <si>
    <t>fajarsiregar1973@gmail.com</t>
  </si>
  <si>
    <t>JAKARTA, 10 MARET 1973</t>
  </si>
  <si>
    <t>JL. KELAMBIR 5 GG ALBADAR 6 NO.9D</t>
  </si>
  <si>
    <t>FAISAL, S.E, M.M</t>
  </si>
  <si>
    <t>197304212009021002</t>
  </si>
  <si>
    <t>31 Mei 2018</t>
  </si>
  <si>
    <t>faisalkastelo@yahoo.com</t>
  </si>
  <si>
    <t>MEDAN , 21 APRIL 1973</t>
  </si>
  <si>
    <t>Jl. Asrama Komp. Bumi Asri Blok E Lk. VIII No. 109 Medan</t>
  </si>
  <si>
    <t>PUTRI AYU NINGSIH, A.MD.AK.</t>
  </si>
  <si>
    <t>199905162025212021</t>
  </si>
  <si>
    <t>putriayuningsi165@gmail.com</t>
  </si>
  <si>
    <t>Medan, 16 Mei 1999</t>
  </si>
  <si>
    <t>Jl. Sejahtera No 40 Lingkungan 10 Helvetia Timur</t>
  </si>
  <si>
    <t>RATNA SARI DEWI NASUTION</t>
  </si>
  <si>
    <t>198908222025212005</t>
  </si>
  <si>
    <t>SMA NEGERI 3 MEDAN</t>
  </si>
  <si>
    <t>dedewnasution@gmail.com</t>
  </si>
  <si>
    <t>MEDAN ,
22 AGUSTUS 1989</t>
  </si>
  <si>
    <t>ABDUL AZIS AMIN SITORUS</t>
  </si>
  <si>
    <t>198905292025211072</t>
  </si>
  <si>
    <t>azizkhancar@gmail.com</t>
  </si>
  <si>
    <t>ALWIJAYA BUNAIYA</t>
  </si>
  <si>
    <t>199811132025211034</t>
  </si>
  <si>
    <t>SEKOLAH TINGGI MANAJEMEN INFORMATIKA DAN KOMPUTER LOGIKA</t>
  </si>
  <si>
    <t>alwibunaiya@gmail.com</t>
  </si>
  <si>
    <t>MEDAN,
13 NOVEMBER 1998</t>
  </si>
  <si>
    <t>JL. PURWOSARI GG. DAME NO. 51</t>
  </si>
  <si>
    <t>PULO BRAYAN BENGKEL MEDAN</t>
  </si>
  <si>
    <t>ANHAR LUBIS</t>
  </si>
  <si>
    <t>199811042025211033</t>
  </si>
  <si>
    <t>anharlubis67@gmail.com</t>
  </si>
  <si>
    <t>MEDAN,
04 NOVEMBER 1998</t>
  </si>
  <si>
    <t>Jl Gatot Subroto Gg Sukasetia Lk I No 6</t>
  </si>
  <si>
    <t>ARWAN SYAHPUTRA SIREGAR</t>
  </si>
  <si>
    <t>197811242025211018</t>
  </si>
  <si>
    <t>arwan78srg@gmail.com</t>
  </si>
  <si>
    <t>BINJAI,
24 NOVEMBER 1978</t>
  </si>
  <si>
    <t>JL. SIDOMULIO GG BIDAN LK 24</t>
  </si>
  <si>
    <t>TANJUNG MULYA</t>
  </si>
  <si>
    <t>CHAIRINA SIREGAR</t>
  </si>
  <si>
    <t>198312222025212039</t>
  </si>
  <si>
    <t>chairinasiregar2@gmail.com</t>
  </si>
  <si>
    <t>MEDAN,
22 DESEMBER 1983</t>
  </si>
  <si>
    <t>Jln.Sekip Gang.agussalim no.17a</t>
  </si>
  <si>
    <t>Sei Putih Timur 1</t>
  </si>
  <si>
    <t>DALMY MUCHTAR HASIBUAN</t>
  </si>
  <si>
    <t>198606142025211067</t>
  </si>
  <si>
    <t>Ekonomi Manajamen</t>
  </si>
  <si>
    <t>Sekolah Tinggi Ilmu Ekonomi Al Hikmah</t>
  </si>
  <si>
    <t>dalmymuchtarhsb33@gmail.com</t>
  </si>
  <si>
    <t>MEDAN,
14 JUNI 1986</t>
  </si>
  <si>
    <t>Jl. Prof HM Yamin Gg. Kelambir No. 93</t>
  </si>
  <si>
    <t>DELIANA BR PURBA</t>
  </si>
  <si>
    <t>197204302025212009</t>
  </si>
  <si>
    <t>delianapurba9@gmail.com</t>
  </si>
  <si>
    <t>MEDAN,
30 APRIL 1972</t>
  </si>
  <si>
    <t>JL. BUDI PEMBANGUNAN II NO.7A</t>
  </si>
  <si>
    <t>PULO BRAYAN KOTA</t>
  </si>
  <si>
    <t>DEVI MARSELLA</t>
  </si>
  <si>
    <t>198911222025212111</t>
  </si>
  <si>
    <t>SMA SWASTA SINAR HUSNI MEDAN</t>
  </si>
  <si>
    <t>depiitarmidi22@gmail.com</t>
  </si>
  <si>
    <t>MEDAN,
22 NOVEMBER 1989</t>
  </si>
  <si>
    <t>JALAN BUDI KEMULIAAN NO. 3A</t>
  </si>
  <si>
    <t>DEWI AFRIANI</t>
  </si>
  <si>
    <t>198904122025212070</t>
  </si>
  <si>
    <t>dewiafrie89@gmail.com</t>
  </si>
  <si>
    <t>MEDAN,
12 APRIL 1989</t>
  </si>
  <si>
    <t>JL. GARU IIB GG PRIBADI LK XIV MEDAN</t>
  </si>
  <si>
    <t>DINA MAYSARI HARAHAP</t>
  </si>
  <si>
    <t>199005242025212073</t>
  </si>
  <si>
    <t>dinamaysari@ymail.com</t>
  </si>
  <si>
    <t>MEDAN,
24 MEI 1990</t>
  </si>
  <si>
    <t>Jl. Asrama komp. Bumi Asri blok. D no. 14</t>
  </si>
  <si>
    <t>Cinta Damai</t>
  </si>
  <si>
    <t>DWI RACHMADSYAH</t>
  </si>
  <si>
    <t>199401212025211056</t>
  </si>
  <si>
    <t>0813 6128 3921</t>
  </si>
  <si>
    <t>dwirachmadsyah21@gmail.com</t>
  </si>
  <si>
    <t>MEDAN,
21 JANUARI 1994</t>
  </si>
  <si>
    <t>JL. LETDA SUJONO GG. AMBON. NO. 5 MEDAN</t>
  </si>
  <si>
    <t>EKA PURNAMA</t>
  </si>
  <si>
    <t>198701242025212044</t>
  </si>
  <si>
    <t>echa.azip24@gmail.com</t>
  </si>
  <si>
    <t>LANGKAT,
24 JANUARI 1987</t>
  </si>
  <si>
    <t>JL. KAWAT IV GG SADAR LK XIII</t>
  </si>
  <si>
    <t>TANJUNG MULIA HILIR</t>
  </si>
  <si>
    <t>FARIDA HANUM RAMBE</t>
  </si>
  <si>
    <t>197904162025212021</t>
  </si>
  <si>
    <t>faridahr940@gmail.com</t>
  </si>
  <si>
    <t>LABUHANBATU,
16 APRIL 1979</t>
  </si>
  <si>
    <t>JL. BILAL UJUNG GG SUBADRA NO. 11-A KEL. PULO BRAYAN DARAT I KEC. MEDAN TIMUR KOTA MEDAN PROV SUMATE</t>
  </si>
  <si>
    <t>pulo brayan darat I</t>
  </si>
  <si>
    <t>FRANKY HAMONANGAN SITUMORANG</t>
  </si>
  <si>
    <t>198407092025211081</t>
  </si>
  <si>
    <t>Universitas Muslim Nusantara Al- Washliyah</t>
  </si>
  <si>
    <t>frankytuanringo4789@gmail.com</t>
  </si>
  <si>
    <t>MEDAN,
09 JULI 1984</t>
  </si>
  <si>
    <t>Aspol Jl HM Joni Blok K No. 6</t>
  </si>
  <si>
    <t>GITA MAYASARI</t>
  </si>
  <si>
    <t>199305012025212087</t>
  </si>
  <si>
    <t>DHARMAWANGSA MEDAN</t>
  </si>
  <si>
    <t>gitamayasari33@gmail.com</t>
  </si>
  <si>
    <t>PADANG LAWAS,
01 MEI 1993</t>
  </si>
  <si>
    <t>komp.emeral garden no.23 Medan</t>
  </si>
  <si>
    <t>HAIRUL AHMAD HARAHAP</t>
  </si>
  <si>
    <t>199201062025211061</t>
  </si>
  <si>
    <t>hairulahmadharahap@gmail.com</t>
  </si>
  <si>
    <t>MEDAN,
06 JANUARI 1992</t>
  </si>
  <si>
    <t>Jalan Gunung Martimbang No. 10</t>
  </si>
  <si>
    <t>Glugur Darat I</t>
  </si>
  <si>
    <t>HERLINA SARAGIH</t>
  </si>
  <si>
    <t>197801062025212020</t>
  </si>
  <si>
    <t>Departemen Pendidikan Nasional Universitas Sumatera Utara</t>
  </si>
  <si>
    <t>herlinasaragih7@gmail.com</t>
  </si>
  <si>
    <t>MEDAN,
06 JANUARI 1978</t>
  </si>
  <si>
    <t>Jl. Parang III Gg Senina No. 29 C</t>
  </si>
  <si>
    <t>HERU KUSNANDAR</t>
  </si>
  <si>
    <t>197912232025211039</t>
  </si>
  <si>
    <t>herukusnandar79@gmail.com</t>
  </si>
  <si>
    <t>MEDAN,
23 DESEMBER 1979</t>
  </si>
  <si>
    <t>JL.MADIOSANTOSO Gg.MARTO 70 A</t>
  </si>
  <si>
    <t>PULO BRAYAN DARAT 1</t>
  </si>
  <si>
    <t>IMRAN</t>
  </si>
  <si>
    <t>197710162025211026</t>
  </si>
  <si>
    <t>imranlubis256@gmail.com</t>
  </si>
  <si>
    <t>ASAHAN,
16 OKTOBER 1977</t>
  </si>
  <si>
    <t>DUSUN IV-A PERUM GRAND PERMATA</t>
  </si>
  <si>
    <t>DELIN SERDANG</t>
  </si>
  <si>
    <t>SEI MENCIRIM</t>
  </si>
  <si>
    <t>INDAH WULANDARI</t>
  </si>
  <si>
    <t>198301022025212037</t>
  </si>
  <si>
    <t>Universitas Al- Azhar Medan</t>
  </si>
  <si>
    <t>premwul@gmail.com</t>
  </si>
  <si>
    <t>PEMATANGSIANTAR,
02 JANUARI 1983</t>
  </si>
  <si>
    <t>Jl Pintu Air IV Gg Qubah - Pribadi No 14</t>
  </si>
  <si>
    <t>IWAN FADLI</t>
  </si>
  <si>
    <t>198210302025211050</t>
  </si>
  <si>
    <t>Sekolah Tinggi Ilmu Hukum AL-Hikmah Medan</t>
  </si>
  <si>
    <t>chibo.dj@gmail.com</t>
  </si>
  <si>
    <t>MEDAN,
30 OKTOBER 1982</t>
  </si>
  <si>
    <t>Jl Karya Gg Sukaria Medan</t>
  </si>
  <si>
    <t>Sei Agul</t>
  </si>
  <si>
    <t>KHAIRUNNISA</t>
  </si>
  <si>
    <t>199312262025212069</t>
  </si>
  <si>
    <t>khairunnisa.amd@gmail.com</t>
  </si>
  <si>
    <t>MEDAN,
26 DESEMBER 1993</t>
  </si>
  <si>
    <t>JL.USMAN SIDDIK NO.158 DUSUN XVII</t>
  </si>
  <si>
    <t>BANDAR KHALIPAH</t>
  </si>
  <si>
    <t>LAILA SYAHRA NASUTION</t>
  </si>
  <si>
    <t>199202042025212050</t>
  </si>
  <si>
    <t>syahralaila@gmail.com</t>
  </si>
  <si>
    <t>MEDAN,
04 FEBRUARI 1992</t>
  </si>
  <si>
    <t>JL. SETIA LUHUR LK. V NO. 66</t>
  </si>
  <si>
    <t>M. RINALDI SOFYAN HASIBUAN</t>
  </si>
  <si>
    <t>199809092025211062</t>
  </si>
  <si>
    <t>naldihsb98@gmail.com</t>
  </si>
  <si>
    <t>MEDAN,
09 SEPTEMBER 1998</t>
  </si>
  <si>
    <t>JL PROF H M YAMIN GG KELAMBIR NO 3</t>
  </si>
  <si>
    <t>MARISA RIZKY</t>
  </si>
  <si>
    <t>200103142025212026</t>
  </si>
  <si>
    <t>PEMINATAN ILMU PENGETAHUAN SOSIAL</t>
  </si>
  <si>
    <t>Sekolah Menengah Atas</t>
  </si>
  <si>
    <t>marisarizky14@gmail.com</t>
  </si>
  <si>
    <t>MEDAN,
14 MARET 2001</t>
  </si>
  <si>
    <t>Jl. Klambir V Gg. Nasional LK II No. 3-A</t>
  </si>
  <si>
    <t>Kelurahan Tanjung Gusta</t>
  </si>
  <si>
    <t>MAYA RINA BATUBARA</t>
  </si>
  <si>
    <t>198512172025212060</t>
  </si>
  <si>
    <t>NEGERI 8</t>
  </si>
  <si>
    <t>mayarina1712@gmail.com</t>
  </si>
  <si>
    <t>MEDAN,
17 DESEMBER 1985</t>
  </si>
  <si>
    <t>JL. MATAHARI RAYA GG SOLO NO. 02</t>
  </si>
  <si>
    <t>MIKO DEPARI</t>
  </si>
  <si>
    <t>197610282025211032</t>
  </si>
  <si>
    <t>mikodepari7@gmail.com</t>
  </si>
  <si>
    <t>MEDAN,
28 OKTOBER 1976</t>
  </si>
  <si>
    <t>JL. GT SUBROTO GG FAMILI LK I NO 2A</t>
  </si>
  <si>
    <t>MONICA URSULA HUTAURUK</t>
  </si>
  <si>
    <t>199701302025212051</t>
  </si>
  <si>
    <t>ursullamonica@gmail.com</t>
  </si>
  <si>
    <t>MEDAN,
30 JANUARI 1997</t>
  </si>
  <si>
    <t>Jalan Persatuan No. 69</t>
  </si>
  <si>
    <t>MUHAMMAD REZA WIJAYA</t>
  </si>
  <si>
    <t>199409302025211067</t>
  </si>
  <si>
    <t>muhammadreza300994@gmail.com</t>
  </si>
  <si>
    <t>MEDAN,
30 SEPTEMBER 1994</t>
  </si>
  <si>
    <t>NURHAZIZAH</t>
  </si>
  <si>
    <t>199102132025212068</t>
  </si>
  <si>
    <t>nurhazizah194@gmail.com</t>
  </si>
  <si>
    <t>MEDAN,
13 FEBRUARI 1991</t>
  </si>
  <si>
    <t>JL. MISTAR GG. MINANG NO 8 MEDAN</t>
  </si>
  <si>
    <t>NURLELA SARI NASUTION</t>
  </si>
  <si>
    <t>197710092025212014</t>
  </si>
  <si>
    <t>melatimawar1099@gmail.com</t>
  </si>
  <si>
    <t>MEDAN,
09 OKTOBER 1977</t>
  </si>
  <si>
    <t>Jalan Madio Utomo Gg Sogol No 12</t>
  </si>
  <si>
    <t>NURLIZA SAFITRI</t>
  </si>
  <si>
    <t>198010162025212027</t>
  </si>
  <si>
    <t>Ilmu Kesejahteraan Sosial</t>
  </si>
  <si>
    <t>nurlizasafitri123@gmail.com</t>
  </si>
  <si>
    <t>MEDAN,
16 OKTOBER 1980</t>
  </si>
  <si>
    <t>jl. Gaharu Asrama Singgasana III No.K161 Medan</t>
  </si>
  <si>
    <t>RAHMAWATI</t>
  </si>
  <si>
    <t>198708292025212079</t>
  </si>
  <si>
    <t>ramberahmawati29@gmail.com</t>
  </si>
  <si>
    <t>MEDAN,
29 AGUSTUS 1987</t>
  </si>
  <si>
    <t>JL KARANTINA II GG BUNTU III 69 A</t>
  </si>
  <si>
    <t>RAMIDAH NASUTION</t>
  </si>
  <si>
    <t>198804102025212075</t>
  </si>
  <si>
    <t>nasutionramidah@gmail.com</t>
  </si>
  <si>
    <t>MEDAN,
10 APRIL 1988</t>
  </si>
  <si>
    <t>Jl. Prof HM. Yamin Gg. Kelambir No. 93</t>
  </si>
  <si>
    <t>RICHARD LODEWYK PARIAMAN RUMAHORO</t>
  </si>
  <si>
    <t>197007122025211031</t>
  </si>
  <si>
    <t>Universitas HKBP Nommensen</t>
  </si>
  <si>
    <t>richardrumahorbo79@gmail.com</t>
  </si>
  <si>
    <t>PARIAMAN,
12 JULI 1970</t>
  </si>
  <si>
    <t>Jl Pelita IV No 9</t>
  </si>
  <si>
    <t>RIZKA SHAFITRI</t>
  </si>
  <si>
    <t>200001192025212027</t>
  </si>
  <si>
    <t>PERPAJAKAN</t>
  </si>
  <si>
    <t>rizkashafitrii19@gmail.com</t>
  </si>
  <si>
    <t>MEDAN,
19 JANUARI 2000</t>
  </si>
  <si>
    <t>JL. SEKATA NO.42A</t>
  </si>
  <si>
    <t>RIZKY AKBAR PERDANA</t>
  </si>
  <si>
    <t>199910182025211034</t>
  </si>
  <si>
    <t>SMA Negeri 1 Perbaungan</t>
  </si>
  <si>
    <t>akbarperdanarizky234@gmail.com</t>
  </si>
  <si>
    <t>ASAHAN,
18 OKTOBER 1999</t>
  </si>
  <si>
    <t>Jl Garu III Taman Harjosari B 3</t>
  </si>
  <si>
    <t>ROBBY KURNIAWAN TARIGAN</t>
  </si>
  <si>
    <t>198905232025211070</t>
  </si>
  <si>
    <t>UNIVERSITAS SUTOMO</t>
  </si>
  <si>
    <t>robbytarigan3@gmail.com</t>
  </si>
  <si>
    <t>PEMATANGSIANTAR,
23 MEI 1989</t>
  </si>
  <si>
    <t>JL STM NO 35 LK III</t>
  </si>
  <si>
    <t>ROSA FADILA SARI LUBIS</t>
  </si>
  <si>
    <t>198203272025212033</t>
  </si>
  <si>
    <t>ILMU HUKUM (PERDATA)</t>
  </si>
  <si>
    <t>rosalbs22@gmail.com</t>
  </si>
  <si>
    <t>SIBOLGA,
27 MARET 1982</t>
  </si>
  <si>
    <t>Komp. Tasbih, Blok. LL, NO 8</t>
  </si>
  <si>
    <t>SAID REZA</t>
  </si>
  <si>
    <t>199110092025211059</t>
  </si>
  <si>
    <t>SEKOLAH MENENGAH ATAS NEGERI 7 PADANGSIDIMPUAN</t>
  </si>
  <si>
    <t>saidreza690@gmail.com</t>
  </si>
  <si>
    <t>MEDAN,
09 OKTOBER 1991</t>
  </si>
  <si>
    <t>JL. ABU BAKAR PERUMAHAN INDAH LESTARI BLOK D NO.15</t>
  </si>
  <si>
    <t>PADANG SIDEMPUAN</t>
  </si>
  <si>
    <t>PADANG SIDEMPUAN TENGGARA</t>
  </si>
  <si>
    <t>PIJOR KOLING</t>
  </si>
  <si>
    <t>SEPTI ANGGA</t>
  </si>
  <si>
    <t>199109102025211070</t>
  </si>
  <si>
    <t>SEKOLAH TINGGI ILMU HUKUM AL-HIKMAH MEDAN</t>
  </si>
  <si>
    <t>septiangga10@gmail.com</t>
  </si>
  <si>
    <t>MEDAN,
10 SEPTEMBER 1991</t>
  </si>
  <si>
    <t>JL.BERSAMA NO.175 MEDAN</t>
  </si>
  <si>
    <t>SYAFARUDDIN ERLANGGA SARAGIH</t>
  </si>
  <si>
    <t>199009242025211055</t>
  </si>
  <si>
    <t>syafaruddinsaragih24@gmail.com</t>
  </si>
  <si>
    <t>MEDAN,
24 SEPTEMBER 1990</t>
  </si>
  <si>
    <t>JALAN BUDI KEADILAN NO.33-H MEDAN</t>
  </si>
  <si>
    <t>Pulo Brayan Kota</t>
  </si>
  <si>
    <t>SYAFIRA ZAHRAINY DAULAY</t>
  </si>
  <si>
    <t>199510162025212066</t>
  </si>
  <si>
    <t>SASTRA INGGRIS</t>
  </si>
  <si>
    <t>SEKOLAH TINGGI BAHASA ASING HARAPAN MEDAN</t>
  </si>
  <si>
    <t>firafira1610@gmail.com</t>
  </si>
  <si>
    <t>MEDAN,
16 OKTOBER 1995</t>
  </si>
  <si>
    <t>JL PAHLAWAN GG PERWIRA NO 5A</t>
  </si>
  <si>
    <t>SYAFRIZAL</t>
  </si>
  <si>
    <t>198704042025211101</t>
  </si>
  <si>
    <t>SEKOLAH TINGGI ILMU HUKUM AL-HIKMAH</t>
  </si>
  <si>
    <t>syafrizalr006@gmail.com</t>
  </si>
  <si>
    <t>ACEH TIMUR,
04 APRIL 1987</t>
  </si>
  <si>
    <t>JL KARYA GG MADRASAH NO 4</t>
  </si>
  <si>
    <t>ULFA JULIANTI</t>
  </si>
  <si>
    <t>198807242025212064</t>
  </si>
  <si>
    <t>ulfajulianti1@gmail.com</t>
  </si>
  <si>
    <t>MEDAN,
24 JULI 1988</t>
  </si>
  <si>
    <t>DUSUN VI PSR I LR III TIMUR</t>
  </si>
  <si>
    <t>WINDA RINIOKTAVIA REGINA SIMBOLON</t>
  </si>
  <si>
    <t>199410092025212068</t>
  </si>
  <si>
    <t>windarinisimbolon45@gmail.com</t>
  </si>
  <si>
    <t>MEDAN,
09 OKTOBER 1994</t>
  </si>
  <si>
    <t>JL.PINANG RAYA-IV NO.14 P.SIMALINGKAR</t>
  </si>
  <si>
    <t>YENI BATUBARA</t>
  </si>
  <si>
    <t>199003162025212069</t>
  </si>
  <si>
    <t>SMA SWASTA DHARMAWANGSA MEDAN</t>
  </si>
  <si>
    <t>yennybatubara243@gmail.com</t>
  </si>
  <si>
    <t>MEDAN,
16 MARET 1990</t>
  </si>
  <si>
    <t>KOMP EMERAL GARDEN 23-PP MEDAN</t>
  </si>
  <si>
    <t>ZULFAN</t>
  </si>
  <si>
    <t>197012152025211020</t>
  </si>
  <si>
    <t>BIOLOGI</t>
  </si>
  <si>
    <t>SEKOLAH MENENGAH UMUM TINGKAT ATAS NEGERI 6</t>
  </si>
  <si>
    <t>m.zulfanamri@gmail.com</t>
  </si>
  <si>
    <t>MEDAN,
15 DESEMBER 1970</t>
  </si>
  <si>
    <t>Jl. M. Yakub Gg. Sersan No. 11 Link. 05</t>
  </si>
  <si>
    <t>Sei Kera Hilir</t>
  </si>
  <si>
    <t>UPT 5</t>
  </si>
  <si>
    <t>MUHAMMAD RIZKY AKBAR HARAHAP, S.H., M.KN</t>
  </si>
  <si>
    <t>198410112010011014</t>
  </si>
  <si>
    <t>KEPALA UPT PAJAK DAN RETRIBUSI WILAYAH V BADAN PENDAPATAN DAERAH KOTA MEDAN</t>
  </si>
  <si>
    <t>UPT PAJAK DAN RETRIBUSI WILAYAH V BADAN PENDAPATAN DAERAH KOTA MEDAN</t>
  </si>
  <si>
    <t>MAGISTER KENOTARIATAN</t>
  </si>
  <si>
    <t>UNIVERSITAS GADJAH MADA</t>
  </si>
  <si>
    <t>27 Oktober 2010</t>
  </si>
  <si>
    <t>rizkyakbarhrp@rocketmail.com</t>
  </si>
  <si>
    <t>MEDAN, 11 OKTOBER 1984</t>
  </si>
  <si>
    <t>Jl. Pelopor No.5 Medan</t>
  </si>
  <si>
    <t>Pasar Merah Barat</t>
  </si>
  <si>
    <t>SYAFRIL HASAN HARAHAP</t>
  </si>
  <si>
    <t>197004211991031008</t>
  </si>
  <si>
    <t>KEPALA SUB BAGIAN TATA USAHA UPT PAJAK DAN RETRIBUSI WILAYAH V BADAN PENDAPATAN DAERAH KOTA MEDAN</t>
  </si>
  <si>
    <t>SUB BAGIAN TATA USAHA UPT PAJAK DAN RETRIBUSI WILAYAH V BADAN PENDAPATAN DAERAH KOTA MEDAN</t>
  </si>
  <si>
    <t>Sekolah Tinggi Ilmu Hukum Al-HiKmah Medan</t>
  </si>
  <si>
    <t>syaha0000@gmail.com</t>
  </si>
  <si>
    <t>P. SIDEMPUAN, 21 APRIL 1970</t>
  </si>
  <si>
    <t>Jl. Gorilla No. 48 Medan</t>
  </si>
  <si>
    <t>Medam Perjuangan</t>
  </si>
  <si>
    <t>T. CHAIRUL ZIKO, S.E.</t>
  </si>
  <si>
    <t>197802242009031001</t>
  </si>
  <si>
    <t>UISU MEDAN</t>
  </si>
  <si>
    <t>22 Mei 2001</t>
  </si>
  <si>
    <t>zikoto999@gmail.com</t>
  </si>
  <si>
    <t>MEDAN, 24 FEBRUARI 1978</t>
  </si>
  <si>
    <t>JL. KARYA DARMA GG. SETIA NO. 7 LK. XIII</t>
  </si>
  <si>
    <t>IRSAN SIREGAR</t>
  </si>
  <si>
    <t>198002032008011018</t>
  </si>
  <si>
    <t>Juru (I/c)</t>
  </si>
  <si>
    <t>I/C</t>
  </si>
  <si>
    <t>15 Agustus 2016</t>
  </si>
  <si>
    <t>ajjairsan@gmail.com</t>
  </si>
  <si>
    <t>PARAN GADUNG, 03 FEBRUARI 1980</t>
  </si>
  <si>
    <t>Jl. Pelita Gg. Paret No.46 B</t>
  </si>
  <si>
    <t>timbang deli</t>
  </si>
  <si>
    <t>LILIS ATIKA MANURUNG, S.E.</t>
  </si>
  <si>
    <t>199403192025052001</t>
  </si>
  <si>
    <t>18 Mei 2016</t>
  </si>
  <si>
    <t>Lilisyap4@gmail.com</t>
  </si>
  <si>
    <t>MEDAN, 19 MARET 1994</t>
  </si>
  <si>
    <t>JL DWIKORA NO 1 B</t>
  </si>
  <si>
    <t>TANJUNG REJ?</t>
  </si>
  <si>
    <t>MUHAMMAD ARIF HARAHAP</t>
  </si>
  <si>
    <t>199603312025211001</t>
  </si>
  <si>
    <t>Madrasah aliyah alwashliyah gedung johor</t>
  </si>
  <si>
    <t>ari86636@gmail.com</t>
  </si>
  <si>
    <t>MEDAN,
31 MARET 1996</t>
  </si>
  <si>
    <t>Jalan karya april gg wakaf lk II</t>
  </si>
  <si>
    <t>Medan polonia</t>
  </si>
  <si>
    <t>Sari rejo</t>
  </si>
  <si>
    <t>TRIS AGUSTINA, A.MD</t>
  </si>
  <si>
    <t>197508142025212002</t>
  </si>
  <si>
    <t>D-III Fisika Instrumentasi</t>
  </si>
  <si>
    <t>tris.zulkarnain@gmail.com</t>
  </si>
  <si>
    <t>DELI SERDANG,
14 AGUSTUS 1975</t>
  </si>
  <si>
    <t>Jalan Mahkamah Gang Keluarga No. 45</t>
  </si>
  <si>
    <t>Mesjid</t>
  </si>
  <si>
    <t>AGNES RUTHMEN LOUREN SIHOTANG</t>
  </si>
  <si>
    <t>198808032025212056</t>
  </si>
  <si>
    <t>STIE IBBI</t>
  </si>
  <si>
    <t>aynezruy@gmail.com</t>
  </si>
  <si>
    <t>MEDAN,
03 AGUSTUS 1988</t>
  </si>
  <si>
    <t>Jl. Menteng VII / Rahmat No. 5 B</t>
  </si>
  <si>
    <t>Menteng</t>
  </si>
  <si>
    <t>AGUNG RIDHALLAH</t>
  </si>
  <si>
    <t>199202262025211048</t>
  </si>
  <si>
    <t>SMA SWASTA AHMAD YANI BINJAI</t>
  </si>
  <si>
    <t>agungridhallah02@gmail.com</t>
  </si>
  <si>
    <t>DELI SERDANG,
26 FEBRUARI 1992</t>
  </si>
  <si>
    <t>DSN XIV SEI SEMAYANG NO 24</t>
  </si>
  <si>
    <t>ALI SYAPUTRA PRANATA BATUBARA</t>
  </si>
  <si>
    <t>198811212025211052</t>
  </si>
  <si>
    <t>Negeri 4 Medan</t>
  </si>
  <si>
    <t>alibatubara54@gmail.com</t>
  </si>
  <si>
    <t>TAPANULI SELATAN,
21 NOVEMBER 1988</t>
  </si>
  <si>
    <t>Jl.Benteng Hulu GG.Sukur No.2D</t>
  </si>
  <si>
    <t>ANGGEREINI DESMINAR</t>
  </si>
  <si>
    <t>198912172025212060</t>
  </si>
  <si>
    <t>ILMU EKONOMI MANAJEMEN</t>
  </si>
  <si>
    <t>UNIVERSITAS AL-AZHAR</t>
  </si>
  <si>
    <t>anggereinidesminar6@gmail.com</t>
  </si>
  <si>
    <t>TAPANULI UTARA,
17 DESEMBER 1989</t>
  </si>
  <si>
    <t>Jl. Jamin Ginting KM. 14 NO. 10</t>
  </si>
  <si>
    <t>Sidomulyo</t>
  </si>
  <si>
    <t>AYU WIRDA NINGSIH</t>
  </si>
  <si>
    <t>198901012025212133</t>
  </si>
  <si>
    <t>ayuwirdha89@gmail.com</t>
  </si>
  <si>
    <t>BANDA ACEH,
01 JANUARI 1989</t>
  </si>
  <si>
    <t>JL KELAPA 3 NO 7 KOMP RISPA IV LK I</t>
  </si>
  <si>
    <t>BALKIS FEBRY FONDA</t>
  </si>
  <si>
    <t>198802172025212057</t>
  </si>
  <si>
    <t>balkis.fonda@gmail.com</t>
  </si>
  <si>
    <t>MEDAN,
17 FEBRUARI 1988</t>
  </si>
  <si>
    <t>JL BANGUN SARI KOMP GRAND GADING MAS NO.11 M LK II</t>
  </si>
  <si>
    <t>KEDAI DURIAN</t>
  </si>
  <si>
    <t>BUDI IMMANUAL TARIGAN</t>
  </si>
  <si>
    <t>198601122025211079</t>
  </si>
  <si>
    <t>ILMU SOSIAL DAN ILMU POLITIK</t>
  </si>
  <si>
    <t>buditarigan12@gmail.com</t>
  </si>
  <si>
    <t>MEDAN,
12 JANUARI 1986</t>
  </si>
  <si>
    <t>JL BAJAK II NO.40H</t>
  </si>
  <si>
    <t>HARAJOSARI 2</t>
  </si>
  <si>
    <t>CHEFRYANUS GINTING</t>
  </si>
  <si>
    <t>198909292025211152</t>
  </si>
  <si>
    <t>SMK 1 SWASTA IMMANUEL MEDAN</t>
  </si>
  <si>
    <t>chefryanusg@gmail.com</t>
  </si>
  <si>
    <t>KARO,
29 SEPTEMBER 1989</t>
  </si>
  <si>
    <t>JL JAYA TANI NO 2 LK II</t>
  </si>
  <si>
    <t>DHIYA NORMA JUNITA NASUTION</t>
  </si>
  <si>
    <t>198406172025212056</t>
  </si>
  <si>
    <t>Ilmu Ekonomi dan Studi Pembangunan</t>
  </si>
  <si>
    <t>mitha.annajm@gmail.com</t>
  </si>
  <si>
    <t>PADANG SIDEMPUAN,
17 JUNI 1984</t>
  </si>
  <si>
    <t>JL GARU I NO 206 LK XIII</t>
  </si>
  <si>
    <t>DIAN ANGGRAINI NASUTION</t>
  </si>
  <si>
    <t>199210202025212070</t>
  </si>
  <si>
    <t>Manajamen</t>
  </si>
  <si>
    <t>anggraininasutionn@gmail.com</t>
  </si>
  <si>
    <t>MEDAN,
20 OKTOBER 1992</t>
  </si>
  <si>
    <t>Jl. Karya Bakti Komp. Bakti Indah Residence</t>
  </si>
  <si>
    <t>EDI GUNAWAN GINTING</t>
  </si>
  <si>
    <t>198205072025211081</t>
  </si>
  <si>
    <t>gintingsedi@gmail.com</t>
  </si>
  <si>
    <t>LANGKAT,
07 MEI 1982</t>
  </si>
  <si>
    <t>Jl Tritura K 591</t>
  </si>
  <si>
    <t>ERIVA NORTRI SIMANJUNTAK</t>
  </si>
  <si>
    <t>198709132025212062</t>
  </si>
  <si>
    <t>Sastra Inggris</t>
  </si>
  <si>
    <t>lauralaura7369@gmail.com</t>
  </si>
  <si>
    <t>TAPANULI UTARA,
13 SEPTEMBER 1987</t>
  </si>
  <si>
    <t>Jalan Bunga wijaya kesuma IV No. 7</t>
  </si>
  <si>
    <t>PB Selayang II</t>
  </si>
  <si>
    <t>EVI NOVITA BR GINTING</t>
  </si>
  <si>
    <t>198309242025212044</t>
  </si>
  <si>
    <t>UNIVERSITAS KATOLIK ST. THOMAS SUMATERA UTARA</t>
  </si>
  <si>
    <t>yeshazita0@gmail.com</t>
  </si>
  <si>
    <t>MEDAN,
24 SEPTEMBER 1983</t>
  </si>
  <si>
    <t>JL PINTU AIR I GG PERMAI II-22 B</t>
  </si>
  <si>
    <t>FRIZA LAZUARDI POETRA</t>
  </si>
  <si>
    <t>198803032025211138</t>
  </si>
  <si>
    <t>Swasta Nur Hasana Medan</t>
  </si>
  <si>
    <t>brandalanpb@gmail.com</t>
  </si>
  <si>
    <t>MEDAN,
03 MARET 1988</t>
  </si>
  <si>
    <t>Jl. Garu III Gg.Sembilan No.49e</t>
  </si>
  <si>
    <t>HABIB SUKANDA</t>
  </si>
  <si>
    <t>198708292025211055</t>
  </si>
  <si>
    <t>Sekolah tinggi ilmu ekonomi graha kirana</t>
  </si>
  <si>
    <t>abibsukanda@gmail.com</t>
  </si>
  <si>
    <t>Jl danau Poso no 62</t>
  </si>
  <si>
    <t>Binjai timur</t>
  </si>
  <si>
    <t>Sumber karya</t>
  </si>
  <si>
    <t>HERWINDRA SYAHPUTRA</t>
  </si>
  <si>
    <t>199005302025211065</t>
  </si>
  <si>
    <t>syah.erwin3005@gmail.com</t>
  </si>
  <si>
    <t>MEDAN,
30 MEI 1990</t>
  </si>
  <si>
    <t>JL.GARU II B NO.26-A LK XII</t>
  </si>
  <si>
    <t>IMAM MUNAWIR SIREGAR</t>
  </si>
  <si>
    <t>198511132025211060</t>
  </si>
  <si>
    <t>imamsiregar1985@gmail.com</t>
  </si>
  <si>
    <t>MEDAN,
13 NOVEMBER 1985</t>
  </si>
  <si>
    <t>JL. LAKSANA NO 44-A MEDAN</t>
  </si>
  <si>
    <t>KOTAMATSUM III</t>
  </si>
  <si>
    <t>IRMAWATI BR TARIGAN</t>
  </si>
  <si>
    <t>198109132025212028</t>
  </si>
  <si>
    <t>irmawati130981@gmail.com</t>
  </si>
  <si>
    <t>KARO,
13 SEPTEMBER 1981</t>
  </si>
  <si>
    <t>JL. PARANG III GG. SENINA NO. 27 F LK VI</t>
  </si>
  <si>
    <t>IRVANSAH PUTRA BARUS</t>
  </si>
  <si>
    <t>199411262025211099</t>
  </si>
  <si>
    <t>SMA SWASTA METHODIST PANCUR BATU</t>
  </si>
  <si>
    <t>irvanbarus97@gmail.com</t>
  </si>
  <si>
    <t>MEDAN,
26 NOVEMBER 1994</t>
  </si>
  <si>
    <t>DUSUN 1 TALUN KENAS</t>
  </si>
  <si>
    <t>STM HILIR</t>
  </si>
  <si>
    <t>TALUN KENAS</t>
  </si>
  <si>
    <t>ISWAN HARDIANSYAH</t>
  </si>
  <si>
    <t>198810102025211215</t>
  </si>
  <si>
    <t>INFORMATIKA KOMPUTER</t>
  </si>
  <si>
    <t>POLITEKNIK LP3I MEDAN</t>
  </si>
  <si>
    <t>hardiansyahiswan@gmail.com</t>
  </si>
  <si>
    <t>MEDAN,
10 OKTOBER 1988</t>
  </si>
  <si>
    <t>Komplek Givency one blok e18</t>
  </si>
  <si>
    <t>LENNI ATIKASARI HARAHAP</t>
  </si>
  <si>
    <t>199407252025212090</t>
  </si>
  <si>
    <t>Lennyatikasarihrp@gmail.com</t>
  </si>
  <si>
    <t>MEDAN,
25 JULI 1994</t>
  </si>
  <si>
    <t>JL PAHLAWAN GG PERWIRA NO. 16/11</t>
  </si>
  <si>
    <t>LULU APLIANI ARTY</t>
  </si>
  <si>
    <t>199104012025212120</t>
  </si>
  <si>
    <t>SMAS DHARMA PANCASILA MEDAN</t>
  </si>
  <si>
    <t>luluaflia1477@gmail.com</t>
  </si>
  <si>
    <t>MEDAN,
01 APRIL 1991</t>
  </si>
  <si>
    <t>Komplek Taman Setia Budi Indah Blok HH No. 32</t>
  </si>
  <si>
    <t>LULY SAPRINA</t>
  </si>
  <si>
    <t>198809232025212053</t>
  </si>
  <si>
    <t>nenengsuharni8@gmail.com</t>
  </si>
  <si>
    <t>MEDAN,
23 SEPTEMBER 1988</t>
  </si>
  <si>
    <t>Jl.Karya Jaya Gg.Eka makmur No.225B Medan</t>
  </si>
  <si>
    <t>--</t>
  </si>
  <si>
    <t>MHD ZAFRULLAH</t>
  </si>
  <si>
    <t>197711172025211037</t>
  </si>
  <si>
    <t>Swasta Cipta Karya</t>
  </si>
  <si>
    <t>zafrullah.mhd80@gmail.com</t>
  </si>
  <si>
    <t>MEDAN,
17 NOVEMBER 1977</t>
  </si>
  <si>
    <t>Dusun III prm Sejohor Asri blok 40 no. 2</t>
  </si>
  <si>
    <t>Pancur Batu</t>
  </si>
  <si>
    <t>Durin Tonggal</t>
  </si>
  <si>
    <t>MUHAMMAD HAKIM PARINDURI</t>
  </si>
  <si>
    <t>198409252025211066</t>
  </si>
  <si>
    <t>ILMU HUBUNGAN MASYARAKAT</t>
  </si>
  <si>
    <t>m.hakimparinduri@gmail.com</t>
  </si>
  <si>
    <t>MEDAN,
25 SEPTEMBER 1984</t>
  </si>
  <si>
    <t>JL. KLAMBIR V KOMPLEK AZ ZAHRA NO.4 LK.2</t>
  </si>
  <si>
    <t>MUHAMMAD PANGERAN HASIBUAN</t>
  </si>
  <si>
    <t>199106282025211082</t>
  </si>
  <si>
    <t>mhdpangeran8@gmail.com</t>
  </si>
  <si>
    <t>MEDAN,
28 JUNI 1991</t>
  </si>
  <si>
    <t>JL PANCASILA NO 71</t>
  </si>
  <si>
    <t>198706072025211096</t>
  </si>
  <si>
    <t>SISTEM INFORMATIKA</t>
  </si>
  <si>
    <t>muhammadysuf1987@gmail.com</t>
  </si>
  <si>
    <t>MEDAN,
07 JUNI 1987</t>
  </si>
  <si>
    <t>JALAN PASAR BARU DUSUN II</t>
  </si>
  <si>
    <t>NAUFAL NUGROHO</t>
  </si>
  <si>
    <t>199611282025211065</t>
  </si>
  <si>
    <t>SEKOLAH MENENGAH ATAS</t>
  </si>
  <si>
    <t>MA NEGERI 1 TAKENGON</t>
  </si>
  <si>
    <t>natural.nugroho@gmail.com</t>
  </si>
  <si>
    <t>ACEH TENGAH,
28 NOVEMBER 1996</t>
  </si>
  <si>
    <t>NOPRIADI CANDRA SIREGAR</t>
  </si>
  <si>
    <t>198911082025211071</t>
  </si>
  <si>
    <t>candrasiregar777@gmail.com</t>
  </si>
  <si>
    <t>BANDA ACEH,
08 NOVEMBER 1989</t>
  </si>
  <si>
    <t>JL LUKAH GG KELUARGA NO 35-R</t>
  </si>
  <si>
    <t>NOVELIANTY RUTH IVANNA SIMBOLON</t>
  </si>
  <si>
    <t>199211062025212067</t>
  </si>
  <si>
    <t>novel.miie@gmail.com</t>
  </si>
  <si>
    <t>MEDAN,
06 NOVEMBER 1992</t>
  </si>
  <si>
    <t>Jl.Purwosari Gg.Reformasi No.5</t>
  </si>
  <si>
    <t>Pulo Brayan Bengkel Baru</t>
  </si>
  <si>
    <t>NOVITA DONA SARTIKA</t>
  </si>
  <si>
    <t>198911282025212086</t>
  </si>
  <si>
    <t>novitadonasartika11@gmail.com</t>
  </si>
  <si>
    <t>PALEMBANG,
28 NOVEMBER 1989</t>
  </si>
  <si>
    <t>JL. BRIGJEN KATAMSO G. SAUDARA NO. 23</t>
  </si>
  <si>
    <t>PIPI JAYANTI</t>
  </si>
  <si>
    <t>199412192025212070</t>
  </si>
  <si>
    <t>Universitas Muslim Nusantara Al - Washliyah</t>
  </si>
  <si>
    <t>Jayantipipi19@gmail.com</t>
  </si>
  <si>
    <t>MEDAN,
19 DESEMBER 1994</t>
  </si>
  <si>
    <t>PUTRI FADILLAH HADI MIRSA</t>
  </si>
  <si>
    <t>199310252025212078</t>
  </si>
  <si>
    <t>putrifadillahhm@gmail.com</t>
  </si>
  <si>
    <t>MEDAN,
25 OKTOBER 1993</t>
  </si>
  <si>
    <t>KOMPLEK PERUMAHAN TURI MANSION JL. BUNGA TURI BLOK E 17</t>
  </si>
  <si>
    <t>RAMADHAN PADANG</t>
  </si>
  <si>
    <t>198906242025211064</t>
  </si>
  <si>
    <t>MADRASAH ALIYAH</t>
  </si>
  <si>
    <t>ramadhanpadangdhan@gmail.com</t>
  </si>
  <si>
    <t>ACEH SINGKIL,
24 JUNI 1989</t>
  </si>
  <si>
    <t>JL KARYA JAYA</t>
  </si>
  <si>
    <t>RIKA MAYASARI</t>
  </si>
  <si>
    <t>198705282025212060</t>
  </si>
  <si>
    <t>mayasaririka014@gmail.com</t>
  </si>
  <si>
    <t>MEDAN,
28 MEI 1987</t>
  </si>
  <si>
    <t>DUSUN I-B PERUM. BUMI TIRTA RECIDENT BLOK B.26</t>
  </si>
  <si>
    <t>RISKA KUMALA SARI</t>
  </si>
  <si>
    <t>199511092025212067</t>
  </si>
  <si>
    <t>SEKOLAH MENENGAH KEJURUAN PERBANKAN RIAU</t>
  </si>
  <si>
    <t>rizkakumala28@gmail.com</t>
  </si>
  <si>
    <t>PEKANBARU,
09 NOVEMBER 1995</t>
  </si>
  <si>
    <t>JL. MUARA TAKUS DALAM NO 187</t>
  </si>
  <si>
    <t>MADRAS HULU</t>
  </si>
  <si>
    <t>RIZAL MARTUA HALOMOAN</t>
  </si>
  <si>
    <t>198912212025211053</t>
  </si>
  <si>
    <t>S-1 pertanian</t>
  </si>
  <si>
    <t>Universitas IsIam Sumatera Utara</t>
  </si>
  <si>
    <t>ariapanca7484@gmail.com</t>
  </si>
  <si>
    <t>PADANGSIDIMPUAN,
21 DESEMBER 1989</t>
  </si>
  <si>
    <t>Jl. Karya wisata grand johor permai no 12 B</t>
  </si>
  <si>
    <t>RIZKY MIRANDA</t>
  </si>
  <si>
    <t>199412222025212075</t>
  </si>
  <si>
    <t>rizkymiranda94@gmail.com</t>
  </si>
  <si>
    <t>MEDAN,
22 DESEMBER 1994</t>
  </si>
  <si>
    <t>DUSUN I JL. SUKA BUMI LAMA</t>
  </si>
  <si>
    <t>PUJI MULYO</t>
  </si>
  <si>
    <t>RIZKY NOVITA SARI</t>
  </si>
  <si>
    <t>198811122025212072</t>
  </si>
  <si>
    <t>PKBM BINA TUNAS MUDA CAKRAWALA</t>
  </si>
  <si>
    <t>novitasarifei0321@gmail.com</t>
  </si>
  <si>
    <t>MEDAN,
12 NOVEMBER 1988</t>
  </si>
  <si>
    <t>Jalan Jangka No. 54A</t>
  </si>
  <si>
    <t>ROSISKA SIJABAT</t>
  </si>
  <si>
    <t>198410262025212035</t>
  </si>
  <si>
    <t>HUKUM PIDANA</t>
  </si>
  <si>
    <t>UNIVERSITAS JAMBI</t>
  </si>
  <si>
    <t>ikajabat25@gmail.com</t>
  </si>
  <si>
    <t>SIMALUNGUN,
26 OKTOBER 1984</t>
  </si>
  <si>
    <t>Jl. Eka Wali Pribadi No 21 A</t>
  </si>
  <si>
    <t>RYAN FAHREZA HARAHAP</t>
  </si>
  <si>
    <t>199609062025211043</t>
  </si>
  <si>
    <t>MEDAN,
06 SEPTEMBER 1996</t>
  </si>
  <si>
    <t>Jl. kapt m jamil lubis No. 37</t>
  </si>
  <si>
    <t>TIARA MASHITA</t>
  </si>
  <si>
    <t>199709222025212048</t>
  </si>
  <si>
    <t>MEDAN,
22 SEPTEMBER 1997</t>
  </si>
  <si>
    <t>Jl Pasar I Komplek Puri Tanjung Sari No 72</t>
  </si>
  <si>
    <t>VIVI IRIANTI</t>
  </si>
  <si>
    <t>198112172025212026</t>
  </si>
  <si>
    <t>UNIVERSITAS SAINS DAN TEKNOLOGI JAYAPURA</t>
  </si>
  <si>
    <t>viviirianti113@gmail.com</t>
  </si>
  <si>
    <t>JAYAPURA,
17 DESEMBER 1981</t>
  </si>
  <si>
    <t>JL. KARYAWAN LK. VIII</t>
  </si>
  <si>
    <t>WIRA PRATIWI WH</t>
  </si>
  <si>
    <t>199309032025212103</t>
  </si>
  <si>
    <t>wirapratiwiwh93@gmail.com</t>
  </si>
  <si>
    <t>MEDAN,
03 SEPTEMBER 1993</t>
  </si>
  <si>
    <t>Jalan Bunga Baldu No 17</t>
  </si>
  <si>
    <t>YEPI WISUDASARI SASMIKA</t>
  </si>
  <si>
    <t>198801142025212055</t>
  </si>
  <si>
    <t>yepiwisudasaris@gmail.com</t>
  </si>
  <si>
    <t>DELI SERDANG,
14 JANUARI 1988</t>
  </si>
  <si>
    <t>JL BERSAMA GG DAHLIA NO. 08</t>
  </si>
  <si>
    <t>YUDHA HENDRAWAN</t>
  </si>
  <si>
    <t>197705042025211044</t>
  </si>
  <si>
    <t>hyudha244@gmail.com</t>
  </si>
  <si>
    <t>DELI SERDANG,
04 MEI 1977</t>
  </si>
  <si>
    <t>Dusun III Tanjung Anom</t>
  </si>
  <si>
    <t>Tanjung Anom</t>
  </si>
  <si>
    <t>ZULFIKAR MATONDANG</t>
  </si>
  <si>
    <t>198402102025211063</t>
  </si>
  <si>
    <t>Hukum Pidana</t>
  </si>
  <si>
    <t>zulfikarmatondang11@gmail.com</t>
  </si>
  <si>
    <t>Jl B ZEIN HAMID no 14 LK V MEDAN</t>
  </si>
  <si>
    <t>Titi kuning</t>
  </si>
  <si>
    <t>UPT 6</t>
  </si>
  <si>
    <t>DARMAWI POHAN, S.H, M.M</t>
  </si>
  <si>
    <t>197703061998031002</t>
  </si>
  <si>
    <t>KEPALA UPT PAJAK DAN RETRIBUSI WILAYAH VI BADAN PENDAPATAN DAERAH KOTA MEDAN</t>
  </si>
  <si>
    <t>UPT PAJAK DAN RETRIBUSI WILAYAH VI BADAN PENDAPATAN DAERAH KOTA MEDAN</t>
  </si>
  <si>
    <t>darmawipohan9@gmail.com</t>
  </si>
  <si>
    <t>TAPSEL, 06 MARET 1977</t>
  </si>
  <si>
    <t>JL.P.DIPONEGORO NO.8 H LK.VIII</t>
  </si>
  <si>
    <t>ROBI TANZIL, S.H., M.M.</t>
  </si>
  <si>
    <t>198101022010011009</t>
  </si>
  <si>
    <t>KEPALA SUB BAGIAN TATA USAHA UPT PAJAK DAN RETRIBUSI WILAYAH VI BADAN PENDAPATAN DAERAH KOTA MEDAN</t>
  </si>
  <si>
    <t>SUB BAGIAN TATA USAHA UPT PAJAK DAN RETRIBUSI WILAYAH VI BADAN PENDAPATAN DAERAH KOTA MEDAN</t>
  </si>
  <si>
    <t>roxytan81@gmail.com</t>
  </si>
  <si>
    <t>MEDAN, 02 JANUARI 1981</t>
  </si>
  <si>
    <t>JL. KENARI RAYA NO. 575 P. MANDALA</t>
  </si>
  <si>
    <t>DARWIN PAHOTAN MARPAUNG, S.E.</t>
  </si>
  <si>
    <t>197608252009031001</t>
  </si>
  <si>
    <t>Teladan</t>
  </si>
  <si>
    <t>15 Oktober 2003</t>
  </si>
  <si>
    <t>darwinmarpaungupt6@gmail.com</t>
  </si>
  <si>
    <t>MEDAN, 25 AGUSTUS 1976</t>
  </si>
  <si>
    <t>Jl. D.I. Panjaitan No. 54 Medan</t>
  </si>
  <si>
    <t>medan baru</t>
  </si>
  <si>
    <t>babura</t>
  </si>
  <si>
    <t>ENDANG TRI LESTARI, S.T.</t>
  </si>
  <si>
    <t>197702022009032001</t>
  </si>
  <si>
    <t>823.1.2.3/531.K</t>
  </si>
  <si>
    <t>endanglestaripns@gmail.com</t>
  </si>
  <si>
    <t>JAKARTA, 02 FEBRUARI 1977</t>
  </si>
  <si>
    <t>Jl. Cempaka Raya No. 7</t>
  </si>
  <si>
    <t>Sempakata</t>
  </si>
  <si>
    <t>ERLINA MEGASARI HABEAHAN, SS</t>
  </si>
  <si>
    <t>197607182010012013</t>
  </si>
  <si>
    <t>823.1.2.3/114.K</t>
  </si>
  <si>
    <t>PELAKSANA</t>
  </si>
  <si>
    <t>Sastra</t>
  </si>
  <si>
    <t>Universitas kristen Indonesia</t>
  </si>
  <si>
    <t>16 Agustus 2006</t>
  </si>
  <si>
    <t>HILANG</t>
  </si>
  <si>
    <t>SIDIKALANG, 18 JULI 1976</t>
  </si>
  <si>
    <t>komp.Duta Bumi,Jl.Duta Indah 7 Blok IL No 12</t>
  </si>
  <si>
    <t>pangkalan mansyur</t>
  </si>
  <si>
    <t>HASTIKA RAHAYU HS, S.AP, M.A.P.</t>
  </si>
  <si>
    <t>198008282003122003</t>
  </si>
  <si>
    <t>03 Desember 2022</t>
  </si>
  <si>
    <t>hastikarahayu2@gmail.com</t>
  </si>
  <si>
    <t>SIBOLGA, 28 AGUSTUS 1980</t>
  </si>
  <si>
    <t>Jl. Eka Warni VI No. 5 Medan</t>
  </si>
  <si>
    <t>RAHMAD NUR H LUBIS, S.H.</t>
  </si>
  <si>
    <t>197701082011011005</t>
  </si>
  <si>
    <t>29 Desember 2001</t>
  </si>
  <si>
    <t>bukanhoax@gmail.com</t>
  </si>
  <si>
    <t>PADANGSIDIMPUAN, 08 JANUARI 1977</t>
  </si>
  <si>
    <t>Jalan Perintis Kemerdekaan No 48</t>
  </si>
  <si>
    <t>PB Selayang I</t>
  </si>
  <si>
    <t>JAKUB GINTING, S.E.</t>
  </si>
  <si>
    <t>198306032010011021</t>
  </si>
  <si>
    <t>05 Desember 2011</t>
  </si>
  <si>
    <t>jacupginting@gmail.com</t>
  </si>
  <si>
    <t>LAU GUNUNG, 03 JUNI 1983</t>
  </si>
  <si>
    <t>JL.BUNGA SAKURA NO.15 LK.III</t>
  </si>
  <si>
    <t>ADRIAN, SH</t>
  </si>
  <si>
    <t>198209272014011001</t>
  </si>
  <si>
    <t>Universitas medan area</t>
  </si>
  <si>
    <t>adrian2709@ymail.com</t>
  </si>
  <si>
    <t>MEDAN, 27 SEPTEMBER 1982</t>
  </si>
  <si>
    <t>JL. Pasar 2 Barat No.53 Tanjung Sari Medan</t>
  </si>
  <si>
    <t>Tanjung sari</t>
  </si>
  <si>
    <t>TINA MALINDA LUMBANTOBING, S.M</t>
  </si>
  <si>
    <t>198010272006042022</t>
  </si>
  <si>
    <t>UNIVERSITAS DARMA AGUNG</t>
  </si>
  <si>
    <t>tina.tobing27@gmail.com</t>
  </si>
  <si>
    <t>BANUAJI, 27 OKTOBER 1980</t>
  </si>
  <si>
    <t>Jl. Bunga Asoka Komp. Asoka Raya Residance No. 18 Medan</t>
  </si>
  <si>
    <t>LIZA NOVIANTI, S.AK.</t>
  </si>
  <si>
    <t>200011082025052001</t>
  </si>
  <si>
    <t>29 Januari 2024</t>
  </si>
  <si>
    <t>lizanov54@gmail.com</t>
  </si>
  <si>
    <t>ASAHAN, 08 NOVEMBER 2000</t>
  </si>
  <si>
    <t>DUSUN ASOKA</t>
  </si>
  <si>
    <t>BATUBARA</t>
  </si>
  <si>
    <t>AIR PUTIH</t>
  </si>
  <si>
    <t>SIPARE PARE</t>
  </si>
  <si>
    <t>HENDRA NASUTION, A.MD</t>
  </si>
  <si>
    <t>198104282025211003</t>
  </si>
  <si>
    <t>AMIK-KESATRIA MEDAN</t>
  </si>
  <si>
    <t>syifanst01@gmail.com</t>
  </si>
  <si>
    <t>MEDAN,
28 APRIL 1981</t>
  </si>
  <si>
    <t>JL. Marelan III Lingk. 14</t>
  </si>
  <si>
    <t>Rengas Pulau</t>
  </si>
  <si>
    <t>FHAZRINA MANDASARI SULVI NST</t>
  </si>
  <si>
    <t>198905212025212003</t>
  </si>
  <si>
    <t>Persamaan SLTA (Paket C)</t>
  </si>
  <si>
    <t>SKB MEDAN</t>
  </si>
  <si>
    <t>ina.nasution212@gmail.com</t>
  </si>
  <si>
    <t>ASAHAN,
21 MEI 1989</t>
  </si>
  <si>
    <t>DUSUN II B GG. AMAL</t>
  </si>
  <si>
    <t>ACHMAD RIZKI</t>
  </si>
  <si>
    <t>198702212025211052</t>
  </si>
  <si>
    <t>Achmad.rizki2187@gmail.com</t>
  </si>
  <si>
    <t>MEDAN,
21 FEBRUARI 1987</t>
  </si>
  <si>
    <t>Jl. Pembangunan Gg. Sitepu No.56</t>
  </si>
  <si>
    <t>P Bulan Selayang I</t>
  </si>
  <si>
    <t>ALIZA HALMOR HASIBUAN</t>
  </si>
  <si>
    <t>199310212025212098</t>
  </si>
  <si>
    <t>alizaha975@gmail.com</t>
  </si>
  <si>
    <t>PEMATANGSIANTAR,
21 OKTOBER 1993</t>
  </si>
  <si>
    <t>ANANDA</t>
  </si>
  <si>
    <t>199006252025212079</t>
  </si>
  <si>
    <t>ZYANYAANANDA@GMAIL.COM</t>
  </si>
  <si>
    <t>MEDAN,
25 JUNI 1990</t>
  </si>
  <si>
    <t>KOMPLEK GRAND GADING MAS NO 5MM</t>
  </si>
  <si>
    <t>ANANDA ABDINESIA SITEPU</t>
  </si>
  <si>
    <t>198502242025211056</t>
  </si>
  <si>
    <t>MEDAN,
24 FEBRUARI 1985</t>
  </si>
  <si>
    <t>ANGGA PERMANA PUTRA</t>
  </si>
  <si>
    <t>198907152025211093</t>
  </si>
  <si>
    <t>anggahardtop90@gmail.com</t>
  </si>
  <si>
    <t>MEDAN,
15 JULI 1989</t>
  </si>
  <si>
    <t>Dusun IX Gg Melon</t>
  </si>
  <si>
    <t>ATIKA AULIA SYAHFITRI</t>
  </si>
  <si>
    <t>199905302025212038</t>
  </si>
  <si>
    <t>atikaaulia083@gmail.com</t>
  </si>
  <si>
    <t>MEDAN,
30 MEI 1999</t>
  </si>
  <si>
    <t>JL FLAMBOYAN RAYA NO 77 LK II MEDAN</t>
  </si>
  <si>
    <t>AZHARI FERIMA LUBIS</t>
  </si>
  <si>
    <t>198401072025211057</t>
  </si>
  <si>
    <t>azhariflubis@gmail.com</t>
  </si>
  <si>
    <t>MEDAN,
07 JANUARI 1984</t>
  </si>
  <si>
    <t>JL SETIA BUDI UJUNG NO 7 A</t>
  </si>
  <si>
    <t>WIBAWA</t>
  </si>
  <si>
    <t>197701272025211034</t>
  </si>
  <si>
    <t>Kimia Industri</t>
  </si>
  <si>
    <t>STM Negeri Kimia Medan</t>
  </si>
  <si>
    <t>wkatmaja@gmail.com</t>
  </si>
  <si>
    <t>MEDAN,
27 JANUARI 1977</t>
  </si>
  <si>
    <t>Dusun II Jl. Kasih</t>
  </si>
  <si>
    <t>CITRA GOLDA SITOMPUL</t>
  </si>
  <si>
    <t>198201252025212042</t>
  </si>
  <si>
    <t>mhieymaeagle@gmail.com</t>
  </si>
  <si>
    <t>MEDAN,
25 JANUARI 1982</t>
  </si>
  <si>
    <t>Jl. Perwakilan No.3</t>
  </si>
  <si>
    <t>DEBBY ANGELITA</t>
  </si>
  <si>
    <t>199107182025212081</t>
  </si>
  <si>
    <t>debbyangelita@gmail.com</t>
  </si>
  <si>
    <t>MEDAN,
18 JULI 1991</t>
  </si>
  <si>
    <t>Jl. Jend. A. Haris Nasution Gg Permai No 11 Lk III</t>
  </si>
  <si>
    <t>DEDY RENES NABABAN</t>
  </si>
  <si>
    <t>198801042025211085</t>
  </si>
  <si>
    <t>SMA Swasta Dharma Bhakti Siborong-borong</t>
  </si>
  <si>
    <t>dedyrenes67@gmail.com</t>
  </si>
  <si>
    <t>TAPANULI UTARA,
04 JANUARI 1988</t>
  </si>
  <si>
    <t>Jl Bunga Cempaka No 56</t>
  </si>
  <si>
    <t>DEFI YANITHA</t>
  </si>
  <si>
    <t>197903292025212015</t>
  </si>
  <si>
    <t>defiyanitha1979@gmail.com</t>
  </si>
  <si>
    <t>JAKARTA,
29 MARET 1979</t>
  </si>
  <si>
    <t>JL.ANYELIR NO.2 KOMPLEK KEJAKSAAN</t>
  </si>
  <si>
    <t>DIVA YUS LENNY</t>
  </si>
  <si>
    <t>198703112025212080</t>
  </si>
  <si>
    <t>divaleni1987@gmail.com</t>
  </si>
  <si>
    <t>DELI SERDANG,
11 MARET 1987</t>
  </si>
  <si>
    <t>Jl Sei Belutu PS IX No 12</t>
  </si>
  <si>
    <t>FAHRUR ROZI LUBIS</t>
  </si>
  <si>
    <t>198207242025211054</t>
  </si>
  <si>
    <t>Agronomi</t>
  </si>
  <si>
    <t>Universitas Al Azhar Medan</t>
  </si>
  <si>
    <t>rozif0413@gmail.com</t>
  </si>
  <si>
    <t>MEDAN,
24 JULI 1982</t>
  </si>
  <si>
    <t>Jl. Melati Gg.Melati D Ujung</t>
  </si>
  <si>
    <t>FAHRURROZI LUBIS</t>
  </si>
  <si>
    <t>199611102025211085</t>
  </si>
  <si>
    <t>lubisfahrurrozi1@gmail.com</t>
  </si>
  <si>
    <t>ROKAN HILIR,
10 NOVEMBER 1996</t>
  </si>
  <si>
    <t>JL. KARYA WISATA KOMP. CITRA WISATA BLOK XII NO. 29</t>
  </si>
  <si>
    <t>FAISAL REZA</t>
  </si>
  <si>
    <t>198702032025211051</t>
  </si>
  <si>
    <t>batubara106@gmail.com</t>
  </si>
  <si>
    <t>LABUHANBATU UTARA,
03 FEBRUARI 1987</t>
  </si>
  <si>
    <t>JL. IBRAHIM UMAR GG MANTRI NO 26</t>
  </si>
  <si>
    <t>FERRY JANSEN PURBA</t>
  </si>
  <si>
    <t>198202102025211093</t>
  </si>
  <si>
    <t>SEKOLAH TINGGI ILMU EKONOMI INDONESIA</t>
  </si>
  <si>
    <t>jansenpurba1002@gmail.com</t>
  </si>
  <si>
    <t>MEDAN,
10 FEBRUARI 1982</t>
  </si>
  <si>
    <t>GARDEN MARHASIL</t>
  </si>
  <si>
    <t>198506022025211067</t>
  </si>
  <si>
    <t>tampubolongarden@gmail.com</t>
  </si>
  <si>
    <t>MEDAN,
02 JUNI 1985</t>
  </si>
  <si>
    <t>Jl. Karya Jaya No. 4B LK XII</t>
  </si>
  <si>
    <t>HALIZAH NOFI ARFIANTI GINTING</t>
  </si>
  <si>
    <t>198510012025212075</t>
  </si>
  <si>
    <t>PP.AR.Raudhatul Hasanah</t>
  </si>
  <si>
    <t>nofiarfianti5@gmail.com</t>
  </si>
  <si>
    <t>MEDAN,
01 OKTOBER 1985</t>
  </si>
  <si>
    <t>Jl. KH. Wahid Hasyim No.3i</t>
  </si>
  <si>
    <t>HENDRIKO MARTIN</t>
  </si>
  <si>
    <t>199405312025211055</t>
  </si>
  <si>
    <t>Pariwisata</t>
  </si>
  <si>
    <t>HenrichoMarthin@Gmail.com</t>
  </si>
  <si>
    <t>LABUHANBATU,
31 MEI 1994</t>
  </si>
  <si>
    <t>Jl Karya Sembada No 198 Lk XI</t>
  </si>
  <si>
    <t>JHIKI VIDA AULIA</t>
  </si>
  <si>
    <t>198905112025212068</t>
  </si>
  <si>
    <t>JHIKIVIDAAULIA89@GMAIL.COM</t>
  </si>
  <si>
    <t>MEDAN,
11 MEI 1989</t>
  </si>
  <si>
    <t>JL SAYUM NO 2</t>
  </si>
  <si>
    <t>PASAR MERAH BARAT</t>
  </si>
  <si>
    <t>KARTIKA JULIA BR SEMBIRING</t>
  </si>
  <si>
    <t>198807212025212074</t>
  </si>
  <si>
    <t>kartikajuliasembiring@gmail.com</t>
  </si>
  <si>
    <t>MEDAN,
21 JULI 1988</t>
  </si>
  <si>
    <t>JL BUNGA RAYA NO 115 LK VIII ASAM KUMBANG</t>
  </si>
  <si>
    <t>KEMUDY SILVINUS GINTING</t>
  </si>
  <si>
    <t>198304042025211096</t>
  </si>
  <si>
    <t>MANAJEMEN INFORMATIKA KOMPUTER</t>
  </si>
  <si>
    <t>AKADEMI MANAJEMEN INFORMATIKA KOMPUTER TRIGUNA DHARMA</t>
  </si>
  <si>
    <t>kemudyginting@gmail.com</t>
  </si>
  <si>
    <t>MEDAN,
04 APRIL 1983</t>
  </si>
  <si>
    <t>JL. B. KANTIL XXV GG KANTIL - 10</t>
  </si>
  <si>
    <t>LORENSI NAINGGOLAN</t>
  </si>
  <si>
    <t>198104222025212032</t>
  </si>
  <si>
    <t>SMA Negeri 1 Onan Ganjang</t>
  </si>
  <si>
    <t>nainggolanlorensi@gmail.com</t>
  </si>
  <si>
    <t>HUMBANG HASUNDUTAN,
22 APRIL 1981</t>
  </si>
  <si>
    <t>Jl.Bunga Mawar No.6 Medan</t>
  </si>
  <si>
    <t>PB.Selayang II</t>
  </si>
  <si>
    <t>LUKMAN PRATAMA HARAHAP</t>
  </si>
  <si>
    <t>199005122025211101</t>
  </si>
  <si>
    <t>SMK Negeri 2 Padang sidimpuan</t>
  </si>
  <si>
    <t>lukmanpratamaharahap@gmail.com</t>
  </si>
  <si>
    <t>PADANG LAWAS UTARA,
12 MEI 1990</t>
  </si>
  <si>
    <t>Jl Bersama No 278</t>
  </si>
  <si>
    <t>MASRIA CAROLINA TAMPUBOLON</t>
  </si>
  <si>
    <t>198509062025212071</t>
  </si>
  <si>
    <t>masriacarolina06@gmail.com</t>
  </si>
  <si>
    <t>TAPANULI UTARA,
06 SEPTEMBER 1985</t>
  </si>
  <si>
    <t>Jln Berdikari GG Family no 16</t>
  </si>
  <si>
    <t>Padang Bulan Selayang I</t>
  </si>
  <si>
    <t>MEILINDA SURBAKTI</t>
  </si>
  <si>
    <t>197905052025212084</t>
  </si>
  <si>
    <t>PSIKOLOGI</t>
  </si>
  <si>
    <t>linda.mei79@gmail.com</t>
  </si>
  <si>
    <t>MEDAN,
05 MEI 1979</t>
  </si>
  <si>
    <t>KOMP. SUMARSONO CITY BLOK B NO 5</t>
  </si>
  <si>
    <t>MHD SYAHRIAL</t>
  </si>
  <si>
    <t>198410232025211062</t>
  </si>
  <si>
    <t>riallspongbob@gmail.com</t>
  </si>
  <si>
    <t>MEDAN,
23 OKTOBER 1984</t>
  </si>
  <si>
    <t>Jl PAM Tirtanadi Gg Wali No 40</t>
  </si>
  <si>
    <t>MUHAMMAD FAHMI</t>
  </si>
  <si>
    <t>198904012025211090</t>
  </si>
  <si>
    <t>SEKOLAH TINGGI ILMU EKONOMI ITMI</t>
  </si>
  <si>
    <t>muhammad0104fahmi@gmail.com</t>
  </si>
  <si>
    <t>MEDAN,
01 APRIL 1989</t>
  </si>
  <si>
    <t>JL.PADUAN TENAGA NO.2/B-3</t>
  </si>
  <si>
    <t>MUHAMMAD NURWANSYAH</t>
  </si>
  <si>
    <t>198504062025211064</t>
  </si>
  <si>
    <t>muhammadnurwansyah06@gmail.com</t>
  </si>
  <si>
    <t>LABUHANBATU UTARA,
06 APRIL 1985</t>
  </si>
  <si>
    <t>Jl Halat Gg Makmur No 1 B</t>
  </si>
  <si>
    <t>MUHARZAMI</t>
  </si>
  <si>
    <t>199008022025211071</t>
  </si>
  <si>
    <t>Sekolah Tinggi Teknik Poliprofesi</t>
  </si>
  <si>
    <t>muharzami@yahoo.com</t>
  </si>
  <si>
    <t>LANGKAT,
02 AGUSTUS 1990</t>
  </si>
  <si>
    <t>Lingkungan-II Namo Gajah</t>
  </si>
  <si>
    <t>Namo Gajah</t>
  </si>
  <si>
    <t>MUTIA PEBRINA</t>
  </si>
  <si>
    <t>199502162025212060</t>
  </si>
  <si>
    <t>mutiafebrina16@gmail.com</t>
  </si>
  <si>
    <t>DUMAI,
16 FEBRUARI 1995</t>
  </si>
  <si>
    <t>JL. Garuda GG.Melati No.66C</t>
  </si>
  <si>
    <t>NANDA PRIYATNO</t>
  </si>
  <si>
    <t>199502042025211054</t>
  </si>
  <si>
    <t>Sains &amp; Teknologi</t>
  </si>
  <si>
    <t>Universitas Panca Budi</t>
  </si>
  <si>
    <t>Jacqueline4295@gmail.com</t>
  </si>
  <si>
    <t>MEDAN,
04 FEBRUARI 1995</t>
  </si>
  <si>
    <t>Jl Sei Belutu Pasar IX No 12</t>
  </si>
  <si>
    <t>NOVITA GINTING</t>
  </si>
  <si>
    <t>197511292025212011</t>
  </si>
  <si>
    <t>chorah2018@gmail.com</t>
  </si>
  <si>
    <t>MEDAN,
29 NOVEMBER 1975</t>
  </si>
  <si>
    <t>JL BUNGA KANTIL NO 134</t>
  </si>
  <si>
    <t>NURSIYAH</t>
  </si>
  <si>
    <t>199012122025212121</t>
  </si>
  <si>
    <t>Sekolah Tinggi Manajemen Informatika dan Komputer TRIGUNA DHARMA</t>
  </si>
  <si>
    <t>siyahnur306@gmail.com</t>
  </si>
  <si>
    <t>MEDAN,
12 DESEMBER 1990</t>
  </si>
  <si>
    <t>Jl. Flamboyan VIII No. 1 Lk II</t>
  </si>
  <si>
    <t>RAHAYU</t>
  </si>
  <si>
    <t>198501072025212040</t>
  </si>
  <si>
    <t>rginbreka@gmail.com</t>
  </si>
  <si>
    <t>LANGKAT,
07 JANUARI 1985</t>
  </si>
  <si>
    <t>Jl PETUNIA RAYA LK II</t>
  </si>
  <si>
    <t>SRI MONIKA S</t>
  </si>
  <si>
    <t>199005192025212060</t>
  </si>
  <si>
    <t>Pendidikan Jasmani Kesehatan dan Rekreasi</t>
  </si>
  <si>
    <t>Sekolah Tinggi Olahraga dan Kesehatan (STOK) Binaguna</t>
  </si>
  <si>
    <t>sriimonica456@gmail.com</t>
  </si>
  <si>
    <t>MEDAN,
19 MEI 1990</t>
  </si>
  <si>
    <t>Jl Petunia Raya Lk II</t>
  </si>
  <si>
    <t>RIDHA SIHOTANG</t>
  </si>
  <si>
    <t>199207172025212144</t>
  </si>
  <si>
    <t>rdhshtg@gmail.com</t>
  </si>
  <si>
    <t>MEDAN,
17 JULI 1992</t>
  </si>
  <si>
    <t>Jln bunga raya no 253</t>
  </si>
  <si>
    <t>Asamkumbang</t>
  </si>
  <si>
    <t>RIZKY ERWANSYAH</t>
  </si>
  <si>
    <t>199012082025211070</t>
  </si>
  <si>
    <t>SEKOLAH TINGGI ILMU EKONOMI HARAPAN MEDAN (UNIVERSITAS HARAPAN MEDAN)</t>
  </si>
  <si>
    <t>rizkykino420@gmail.com</t>
  </si>
  <si>
    <t>MEDAN,
08 DESEMBER 1990</t>
  </si>
  <si>
    <t>KOMPLEK JIP BLOK VII NO.30 LK. IX MEDAN</t>
  </si>
  <si>
    <t>RUDY SAHPUTRA SEMBIRING</t>
  </si>
  <si>
    <t>198510102025211146</t>
  </si>
  <si>
    <t>SMA SW Gotong Royong</t>
  </si>
  <si>
    <t>rudydepari2@gmail.com</t>
  </si>
  <si>
    <t>LANGKAT,
10 OKTOBER 1985</t>
  </si>
  <si>
    <t>Jln. Mesjid Dusun 1 Aman Damai</t>
  </si>
  <si>
    <t>Sungal</t>
  </si>
  <si>
    <t>Sei semayang</t>
  </si>
  <si>
    <t>SARI SALSALINA BR TARIGAN</t>
  </si>
  <si>
    <t>199409252025212091</t>
  </si>
  <si>
    <t>Akuntansi Keuangan</t>
  </si>
  <si>
    <t>sarisalsalina@gmail.com</t>
  </si>
  <si>
    <t>MEDAN,
25 SEPTEMBER 1994</t>
  </si>
  <si>
    <t>Jl.Pinus 11 No.8 Perumnas Simalingkar</t>
  </si>
  <si>
    <t>SARIPUL AHMAD</t>
  </si>
  <si>
    <t>198509202025211058</t>
  </si>
  <si>
    <t>saripulahmad85@gmail.com</t>
  </si>
  <si>
    <t>TAPANULI SELATAN,
20 SEPTEMBER 1985</t>
  </si>
  <si>
    <t>Jln.Suka Indah No.2</t>
  </si>
  <si>
    <t>SERLIPRASILIA SURBAKTI</t>
  </si>
  <si>
    <t>199410092025212069</t>
  </si>
  <si>
    <t>serlyprasilya@yahoo.co.id</t>
  </si>
  <si>
    <t>SITI SHIRLIA VERA A.R</t>
  </si>
  <si>
    <t>199409282025212065</t>
  </si>
  <si>
    <t>shirliavera@yahoo.com</t>
  </si>
  <si>
    <t>MEDAN,
28 SEPTEMBER 1994</t>
  </si>
  <si>
    <t>SITTI ASIMA DALIMUNTHE</t>
  </si>
  <si>
    <t>198405272025212041</t>
  </si>
  <si>
    <t>MEDAN,
27 MEI 1984</t>
  </si>
  <si>
    <t>SULAIMAN NASUTION</t>
  </si>
  <si>
    <t>198510072025211080</t>
  </si>
  <si>
    <t>lemanmedan04@gmail.com</t>
  </si>
  <si>
    <t>MEDAN,
07 OKTOBER 1985</t>
  </si>
  <si>
    <t>Jl Tuar I No 21 M</t>
  </si>
  <si>
    <t>TOMMY OCTAVIANUS TARIGAN</t>
  </si>
  <si>
    <t>198710112025211071</t>
  </si>
  <si>
    <t>AKUNTASI</t>
  </si>
  <si>
    <t>tommyoctavianustarigan@gmail.com</t>
  </si>
  <si>
    <t>PALEMBANG,
11 OKTOBER 1987</t>
  </si>
  <si>
    <t>PASAR VII KANTIL XXII NO.2</t>
  </si>
  <si>
    <t>VEBYANI DALIMUNTHE</t>
  </si>
  <si>
    <t>198407122025212083</t>
  </si>
  <si>
    <t>vebyifan@gmail.com</t>
  </si>
  <si>
    <t>MEDAN,
12 JULI 1984</t>
  </si>
  <si>
    <t>Jl. Lizardi Putra Komp. Setia Budi Vista Blok H-9 Medan</t>
  </si>
  <si>
    <t>VIVIOLETTA</t>
  </si>
  <si>
    <t>199005012025212116</t>
  </si>
  <si>
    <t>sitepuvivioletta01@gmail.com</t>
  </si>
  <si>
    <t>MEDAN,
01 MEI 1990</t>
  </si>
  <si>
    <t>WAHYUNI</t>
  </si>
  <si>
    <t>199309232025212111</t>
  </si>
  <si>
    <t>STMIK TRIGUNA DHARMA</t>
  </si>
  <si>
    <t>DELI SERDANG,
23 SEPTEMBER 1993</t>
  </si>
  <si>
    <t xml:space="preserve">UPT 7 </t>
  </si>
  <si>
    <t>YANCE IRAWAN NASUTION, S.SOS, M.M.</t>
  </si>
  <si>
    <t>198101312007011002</t>
  </si>
  <si>
    <t>KEPALA UPT PAJAK DAN RETRIBUSI WILAYAH VII BADAN PENDAPATAN DAERAH KOTA MEDAN</t>
  </si>
  <si>
    <t>UPT PAJAK DAN RETRIBUSI WILAYAH VII BADAN PENDAPATAN DAERAH KOTA MEDAN</t>
  </si>
  <si>
    <t>yanceirawan310181@ gmail.com</t>
  </si>
  <si>
    <t>MEDAN, 31 JANUARI 1981</t>
  </si>
  <si>
    <t>KOMP GRAHA TANJUNG SARI BLOK K NO 8</t>
  </si>
  <si>
    <t>ERWIN PARULIAN PANGGABEAN, S.E.</t>
  </si>
  <si>
    <t>197606122008011006</t>
  </si>
  <si>
    <t>KEPALA SUB BAGIAN TATA USAHA UPT PAJAK DAN RETRIBUSI WILAYAH VII BADAN PENDAPATAN DAERAH KOTA MEDAN</t>
  </si>
  <si>
    <t>SUB BAGIAN TATA USAHA UPT PAJAK DAN RETRIBUSI WILAYAH VII BADAN PENDAPATAN DAERAH KOTA MEDAN</t>
  </si>
  <si>
    <t>ulixh_panggabean@yahoo.com</t>
  </si>
  <si>
    <t>P.SIANTAR, 12 JUNI 1976</t>
  </si>
  <si>
    <t>JL. Klambir 5 Gg. Kalpataru NO. 18 Medan</t>
  </si>
  <si>
    <t>HERIDJON TUMPAL MARGANDA SIHOMBING, S.SOS, M.SI</t>
  </si>
  <si>
    <t>197110161997031005</t>
  </si>
  <si>
    <t>823.4/3236/2012</t>
  </si>
  <si>
    <t>15 Oktober 2011</t>
  </si>
  <si>
    <t>MEDAN, 16 OKTOBER 1971</t>
  </si>
  <si>
    <t>Jl. Buku No.33 Ayahanda</t>
  </si>
  <si>
    <t>Sei Putih Barat</t>
  </si>
  <si>
    <t>HAIRANI, A.MD.</t>
  </si>
  <si>
    <t>197901222010012008</t>
  </si>
  <si>
    <t>Keuangan Perbankan</t>
  </si>
  <si>
    <t>Swadaya</t>
  </si>
  <si>
    <t>24 Februari 2001</t>
  </si>
  <si>
    <t>hairani_anju@yahoo.com</t>
  </si>
  <si>
    <t>MEDAN, 22 JANUARI 1979</t>
  </si>
  <si>
    <t>Jl setia budi comp puri indah No 47 Medan</t>
  </si>
  <si>
    <t>JULIANA SAFITRI, S.E</t>
  </si>
  <si>
    <t>198307082010012031</t>
  </si>
  <si>
    <t>28 Agustus 2021</t>
  </si>
  <si>
    <t>dirgantarasurbakti83@gmail.com</t>
  </si>
  <si>
    <t>MEDAN, 08 JULI 1983</t>
  </si>
  <si>
    <t>Perum Puri Anom Asri Blok BB/ 33</t>
  </si>
  <si>
    <t>ZUL FAHRI</t>
  </si>
  <si>
    <t>197005252008011003</t>
  </si>
  <si>
    <t>SMA Negeri Sipupus</t>
  </si>
  <si>
    <t>zulfahri857@gmail.com</t>
  </si>
  <si>
    <t>BATU GANA, 25 MEI 1970</t>
  </si>
  <si>
    <t>Dusun V Blok G No 16</t>
  </si>
  <si>
    <t>Kelambir</t>
  </si>
  <si>
    <t>SURIYATI, S.SOS, M.A.P.</t>
  </si>
  <si>
    <t>197909232010012016</t>
  </si>
  <si>
    <t>800.1.3.3/772.K17-07-2023</t>
  </si>
  <si>
    <t>27 Maret 2021</t>
  </si>
  <si>
    <t>suriyati.s.o.s1@gmail.com</t>
  </si>
  <si>
    <t>TARUTUNG, 23 SEPTEMBER 1979</t>
  </si>
  <si>
    <t>Jl. Sunggal Gg. Pendidikan No. 13 Medan</t>
  </si>
  <si>
    <t>MUAMMAR KADAFI HARAHAP, A.MD.KOM</t>
  </si>
  <si>
    <t>198811182025211006</t>
  </si>
  <si>
    <t>AKADEMI MANAJEMEN INFORMATIKA DAN KOMPUTER LOGIKA</t>
  </si>
  <si>
    <t>kadafihrp1188@gmail.com</t>
  </si>
  <si>
    <t>MEDAN,
18 NOVEMBER 1988</t>
  </si>
  <si>
    <t>Dusun IV Gang Pisang No. 14</t>
  </si>
  <si>
    <t>MUHAMMAD SYAHBANA</t>
  </si>
  <si>
    <t>198604272025211002</t>
  </si>
  <si>
    <t>SMA PAB-6</t>
  </si>
  <si>
    <t>msyahbana37@gmail.com</t>
  </si>
  <si>
    <t>MEDAN,
27 APRIL 1986</t>
  </si>
  <si>
    <t>JL. TITI PAPAN GG. PERTAHANAN NO.45</t>
  </si>
  <si>
    <t>ABDULLAH MUTALIF TARIGAN</t>
  </si>
  <si>
    <t>198606222025211088</t>
  </si>
  <si>
    <t>SMA Swasta Karya Pembangunan Delitua</t>
  </si>
  <si>
    <t>0822 6037 6375</t>
  </si>
  <si>
    <t>ameliaabdullah17@gmail.com</t>
  </si>
  <si>
    <t>DELI SERDANG,
22 JUNI 1986</t>
  </si>
  <si>
    <t>DUSUN IV SEMEME BATU</t>
  </si>
  <si>
    <t>BIRU-BIRU</t>
  </si>
  <si>
    <t>AFFANDI GINTING</t>
  </si>
  <si>
    <t>198406282025211045</t>
  </si>
  <si>
    <t>PERDATA</t>
  </si>
  <si>
    <t>UNIVERSITAS QUALITY</t>
  </si>
  <si>
    <t>affandiginting449@gmail.com</t>
  </si>
  <si>
    <t>KARO,
28 JUNI 1984</t>
  </si>
  <si>
    <t>JL. BUNGA NCOLE XXII KOMPLEK LIZARDI PUTRA NO. 92</t>
  </si>
  <si>
    <t>AHMAD REZA</t>
  </si>
  <si>
    <t>199507252025211038</t>
  </si>
  <si>
    <t>SMA SWASTA SUTOMO 2 MEDAN</t>
  </si>
  <si>
    <t>Rezahrp2507@gmail.com</t>
  </si>
  <si>
    <t>MEDAN,
25 JULI 1995</t>
  </si>
  <si>
    <t>JL BAUT NO 8 LK IX</t>
  </si>
  <si>
    <t>ANITASARI</t>
  </si>
  <si>
    <t>198505142025212049</t>
  </si>
  <si>
    <t>nitas8501@gmail.com</t>
  </si>
  <si>
    <t>MEDAN,
14 MEI 1985</t>
  </si>
  <si>
    <t>JL. PSR III GG.IKLAS NO.09</t>
  </si>
  <si>
    <t>ARIEF HIDAYAT</t>
  </si>
  <si>
    <t>199007142025211088</t>
  </si>
  <si>
    <t>SMA SWASTA SRI LANGKAT TANJUNG PURA</t>
  </si>
  <si>
    <t>babanghidayat147@gmail.com</t>
  </si>
  <si>
    <t>LANGKAT,
14 JULI 1990</t>
  </si>
  <si>
    <t>JLN.SYEKH USMAN GTG</t>
  </si>
  <si>
    <t>TANJUNG PURA</t>
  </si>
  <si>
    <t>PEKAN TANJUNG PURA</t>
  </si>
  <si>
    <t>ATIKHA LESTARI DAMANIK</t>
  </si>
  <si>
    <t>199004082025212076</t>
  </si>
  <si>
    <t>Pend. Ekonomi Akuntansi</t>
  </si>
  <si>
    <t>atikha080490@gmail.com</t>
  </si>
  <si>
    <t>MEDAN,
08 APRIL 1990</t>
  </si>
  <si>
    <t>Jalan Pancing 1 No 10A Lk IV</t>
  </si>
  <si>
    <t>AYU FITRIASARI</t>
  </si>
  <si>
    <t>199104172025212067</t>
  </si>
  <si>
    <t>SMA NEGERI 1 BINJAI</t>
  </si>
  <si>
    <t>0823 6207 3805</t>
  </si>
  <si>
    <t>fitriasariayu525@gmail.com</t>
  </si>
  <si>
    <t>MEDAN,
17 APRIL 1991</t>
  </si>
  <si>
    <t>JL. PASUNDAN GG. DELIMA NO 8</t>
  </si>
  <si>
    <t>Sei Putih Timur II</t>
  </si>
  <si>
    <t>BENNY AFANSYAH</t>
  </si>
  <si>
    <t>198601162025211064</t>
  </si>
  <si>
    <t>TEKNIK LISTRIK</t>
  </si>
  <si>
    <t>SMK KEJURUAN SWABINA KARYA</t>
  </si>
  <si>
    <t>afansyahbenny@gmail.com</t>
  </si>
  <si>
    <t>MEDAN,
16 JANUARI 1986</t>
  </si>
  <si>
    <t>JL. K.L.Y SUDARSO LINGK 20</t>
  </si>
  <si>
    <t>PEKAN LABUHAN</t>
  </si>
  <si>
    <t>BIMA DWI FORTUNA</t>
  </si>
  <si>
    <t>199512172025211058</t>
  </si>
  <si>
    <t>AGRIBISNIS</t>
  </si>
  <si>
    <t>bimadwifortuna@gmail.com</t>
  </si>
  <si>
    <t>ASAHAN,
17 DESEMBER 1995</t>
  </si>
  <si>
    <t>JL GULAMA SIMP. JL SELAR NO 74</t>
  </si>
  <si>
    <t>MEDAN BELAWAN</t>
  </si>
  <si>
    <t>BELAWAN BAHAGIA</t>
  </si>
  <si>
    <t>DEDEK VERIYAN</t>
  </si>
  <si>
    <t>197911102025211070</t>
  </si>
  <si>
    <t>TEKNIK ELEKTRO</t>
  </si>
  <si>
    <t>veriyandedek@gmail.com</t>
  </si>
  <si>
    <t>LANGKAT,
10 NOVEMBER 1979</t>
  </si>
  <si>
    <t>Jl. Udang 1 Blok CC No.449 GRIYA 3 Martubung</t>
  </si>
  <si>
    <t>Tangkahan</t>
  </si>
  <si>
    <t>DESY NATALIA PUTRI</t>
  </si>
  <si>
    <t>198512282025212043</t>
  </si>
  <si>
    <t>Bahasa Dan Sastra Indonesia</t>
  </si>
  <si>
    <t>desy.lumbanbatu@gmail.com</t>
  </si>
  <si>
    <t>MEDAN,
28 DESEMBER 1985</t>
  </si>
  <si>
    <t>Jln. Tempirai lestari 18 no 447 blok V griya martubung</t>
  </si>
  <si>
    <t>EVI SUSANTI HUTAPEA</t>
  </si>
  <si>
    <t>199006132025212072</t>
  </si>
  <si>
    <t>evisusanti_htp@yahoo.com</t>
  </si>
  <si>
    <t>MEDAN,
13 JUNI 1990</t>
  </si>
  <si>
    <t>JL KUALI GG SAURDOT NO 10</t>
  </si>
  <si>
    <t>FAISAL RAIS</t>
  </si>
  <si>
    <t>198306052025211120</t>
  </si>
  <si>
    <t>raisf305@gmail.com</t>
  </si>
  <si>
    <t>BIREUEN,
05 JUNI 1983</t>
  </si>
  <si>
    <t>PERUMAHAN PURI BESTARI LKVI</t>
  </si>
  <si>
    <t>SUMUT</t>
  </si>
  <si>
    <t>FANNY FATULLAH</t>
  </si>
  <si>
    <t>198602082025211064</t>
  </si>
  <si>
    <t>HANGTUAH</t>
  </si>
  <si>
    <t>fatullahjohari86@gmail.com</t>
  </si>
  <si>
    <t>MEDAN,
08 FEBRUARI 1986</t>
  </si>
  <si>
    <t>Jl P Madura B -16 LK 27</t>
  </si>
  <si>
    <t>Pekan Labuhan</t>
  </si>
  <si>
    <t>GERHANA PURNAMA PUTRI</t>
  </si>
  <si>
    <t>198708182025212076</t>
  </si>
  <si>
    <t>gerhanaputri18@gmail.com</t>
  </si>
  <si>
    <t>MEDAN,
18 AGUSTUS 1987</t>
  </si>
  <si>
    <t>Jln platina 7 komplek deli indah no 1E titipapan</t>
  </si>
  <si>
    <t>Medan deli</t>
  </si>
  <si>
    <t>Titipapan</t>
  </si>
  <si>
    <t>HALID AMRA</t>
  </si>
  <si>
    <t>198310182025211051</t>
  </si>
  <si>
    <t>haliddamr@gmail.com</t>
  </si>
  <si>
    <t>MEDAN,
18 OKTOBER 1983</t>
  </si>
  <si>
    <t>JL. SIKAMBING, GG. PATIMURA, NO. 7</t>
  </si>
  <si>
    <t>SEI PUTIH TIMUR I</t>
  </si>
  <si>
    <t>HAZIR HARITS</t>
  </si>
  <si>
    <t>199112012025211066</t>
  </si>
  <si>
    <t>TEKNOLOGI DAN REKAYASA</t>
  </si>
  <si>
    <t>SMK SWASTA SINAR HUSNI</t>
  </si>
  <si>
    <t>hazirharits518@gmail.com</t>
  </si>
  <si>
    <t>LANGSA,
01 DESEMBER 1991</t>
  </si>
  <si>
    <t>JL. YOUNG PANAH HIJAU LK 07</t>
  </si>
  <si>
    <t>LABUHAN DELI</t>
  </si>
  <si>
    <t>HERMANTO PANJAITAN</t>
  </si>
  <si>
    <t>198607052025211081</t>
  </si>
  <si>
    <t>Amik medicom</t>
  </si>
  <si>
    <t>h.panjaitan5786@gmail.com</t>
  </si>
  <si>
    <t>LABUHANBATU UTARA,
05 JULI 1986</t>
  </si>
  <si>
    <t>Jl. Bromo gg sedar no 11</t>
  </si>
  <si>
    <t>Medan denai</t>
  </si>
  <si>
    <t>HERU PRADIPTA</t>
  </si>
  <si>
    <t>198709302025211058</t>
  </si>
  <si>
    <t>harutakuya65@gmail.com</t>
  </si>
  <si>
    <t>MEDAN,
30 SEPTEMBER 1987</t>
  </si>
  <si>
    <t>JL. SRIKANDI GG SWADAYA NO. 8</t>
  </si>
  <si>
    <t>JULISTINA SARI SIREGAR</t>
  </si>
  <si>
    <t>198407182025212041</t>
  </si>
  <si>
    <t>sitiregar84@gmail.com</t>
  </si>
  <si>
    <t>MEDAN,
18 JULI 1984</t>
  </si>
  <si>
    <t>JL PERSATUAN NO 4</t>
  </si>
  <si>
    <t>KIFLI DONGORAN</t>
  </si>
  <si>
    <t>198302262025211040</t>
  </si>
  <si>
    <t>Pendidikan Pra Sekolah Dan Sekolah Dasar</t>
  </si>
  <si>
    <t>kifdong@gmail.com</t>
  </si>
  <si>
    <t>MEDAN,
26 FEBRUARI 1983</t>
  </si>
  <si>
    <t>Jl Tangguk Utama 11 No 374 Blok 4</t>
  </si>
  <si>
    <t>Kelurahan Besar</t>
  </si>
  <si>
    <t>MAHYUDI AKBAR</t>
  </si>
  <si>
    <t>199506262025211097</t>
  </si>
  <si>
    <t>mahyudi.akbar26@gmail.com</t>
  </si>
  <si>
    <t>MEDAN,
26 JUNI 1995</t>
  </si>
  <si>
    <t>JL PLATINA NO 94 LK III</t>
  </si>
  <si>
    <t>MELY AFVUANI HALIM</t>
  </si>
  <si>
    <t>199201112025212062</t>
  </si>
  <si>
    <t>Mellyhalim959@gmail.com</t>
  </si>
  <si>
    <t>MEDAN,
11 JANUARI 1992</t>
  </si>
  <si>
    <t>Jl marelan Ix LK111</t>
  </si>
  <si>
    <t>Medan marelan</t>
  </si>
  <si>
    <t>Tanah enam ratus</t>
  </si>
  <si>
    <t>MERYLANY</t>
  </si>
  <si>
    <t>199305132025212071</t>
  </si>
  <si>
    <t>merylany77@gmail.com</t>
  </si>
  <si>
    <t>MEDAN,
13 MEI 1993</t>
  </si>
  <si>
    <t>JL MANGAAN IV GG AMAL LK XIV</t>
  </si>
  <si>
    <t>MABAR</t>
  </si>
  <si>
    <t>NIKKI ARTASARI</t>
  </si>
  <si>
    <t>198203262025212030</t>
  </si>
  <si>
    <t>MANAJEMEN PABRIK</t>
  </si>
  <si>
    <t>nikk987654@gmail.com</t>
  </si>
  <si>
    <t>MEDAN,
26 MARET 1982</t>
  </si>
  <si>
    <t>JL PASAR I REL KOMP GRAHA MARELAN BLOK F6</t>
  </si>
  <si>
    <t>TERJUN</t>
  </si>
  <si>
    <t>REYVAND</t>
  </si>
  <si>
    <t>198809172025211067</t>
  </si>
  <si>
    <t>Hukum Internasional</t>
  </si>
  <si>
    <t>reyvand1788@gmail.com</t>
  </si>
  <si>
    <t>MEDAN,
17 SEPTEMBER 1988</t>
  </si>
  <si>
    <t>Jl.Deposito kD Raya LK1 No 3 Titipapan</t>
  </si>
  <si>
    <t>medan deli</t>
  </si>
  <si>
    <t>titipapan</t>
  </si>
  <si>
    <t>RICHARD SILITONGA</t>
  </si>
  <si>
    <t>198112022025211046</t>
  </si>
  <si>
    <t>Administrasi Bisnis</t>
  </si>
  <si>
    <t>swettyboys2017@gmail.com</t>
  </si>
  <si>
    <t>MEDAN,
02 DESEMBER 1981</t>
  </si>
  <si>
    <t>JL BUNGA STELLA-1 No 40 LK-V</t>
  </si>
  <si>
    <t>RIO STEVEN SITORUS</t>
  </si>
  <si>
    <t>199509282025211059</t>
  </si>
  <si>
    <t>sitorusriosteven@gmail.com</t>
  </si>
  <si>
    <t>MEDAN,
28 SEPTEMBER 1995</t>
  </si>
  <si>
    <t>JL. TEMPLESTARI 7-308 BLOK V</t>
  </si>
  <si>
    <t>ROSMENNY SIPAYUNG</t>
  </si>
  <si>
    <t>197502252025212012</t>
  </si>
  <si>
    <t>KEUANGAN DAN PERBANKAN</t>
  </si>
  <si>
    <t>SEKOLAH TINGGI ILMU EKONOMI TRI KARYA MEDAN</t>
  </si>
  <si>
    <t>rosmennysipayung25@gmail.com</t>
  </si>
  <si>
    <t>MEDAN,
25 FEBRUARI 1975</t>
  </si>
  <si>
    <t>JL PASAR III GG KENANGA NO 18</t>
  </si>
  <si>
    <t>TEGALREJO</t>
  </si>
  <si>
    <t>SANTRI BUANA PERSADA</t>
  </si>
  <si>
    <t>199008232025212077</t>
  </si>
  <si>
    <t>STBA HARAPAN</t>
  </si>
  <si>
    <t>buanasantri3@gmail.com</t>
  </si>
  <si>
    <t>MEDAN,
23 AGUSTUS 1990</t>
  </si>
  <si>
    <t>JL CILACAP BARAT NO 41 BELAWAN</t>
  </si>
  <si>
    <t>BELAWAN II</t>
  </si>
  <si>
    <t>SHILTON GURUSINGA</t>
  </si>
  <si>
    <t>198606012025211100</t>
  </si>
  <si>
    <t>Umiversitas sutomo</t>
  </si>
  <si>
    <t>shilton.upt@gmail.com</t>
  </si>
  <si>
    <t>DELI SERDANG,
01 JUNI 1986</t>
  </si>
  <si>
    <t>Jl. Jamin Ginting no. 67</t>
  </si>
  <si>
    <t>Pancurbatu</t>
  </si>
  <si>
    <t>Baru</t>
  </si>
  <si>
    <t>SITI TASYA AISAH KASLI</t>
  </si>
  <si>
    <t>199912042025212039</t>
  </si>
  <si>
    <t>tasyakasli14@gmail.com</t>
  </si>
  <si>
    <t>MEDAN,
04 DESEMBER 1999</t>
  </si>
  <si>
    <t>JL. PASAR I TENGAH NO 10 LINGK 05</t>
  </si>
  <si>
    <t>SUHARI RAPIANDI</t>
  </si>
  <si>
    <t>199011102025211165</t>
  </si>
  <si>
    <t>PKBM PUSPA</t>
  </si>
  <si>
    <t>arie74520@gmail.com</t>
  </si>
  <si>
    <t>MEDAN,
10 NOVEMBER 1990</t>
  </si>
  <si>
    <t>DUSUN III JL BLOK GADING</t>
  </si>
  <si>
    <t>TAUFIK</t>
  </si>
  <si>
    <t>197905012025211083</t>
  </si>
  <si>
    <t>taufiqimut56@gmail.com</t>
  </si>
  <si>
    <t>MEDAN,
01 MEI 1979</t>
  </si>
  <si>
    <t>JALAN GB.JOSUA GANG PAMILI NO. 137</t>
  </si>
  <si>
    <t>SIDODADI</t>
  </si>
  <si>
    <t>TRI MUHARYANI</t>
  </si>
  <si>
    <t>198011112025212034</t>
  </si>
  <si>
    <t>Swasta Hang Tuah</t>
  </si>
  <si>
    <t>0822 8166 6022</t>
  </si>
  <si>
    <t>muharyanitrii334@gmail.com</t>
  </si>
  <si>
    <t>BINJAI,
11 NOVEMBER 1980</t>
  </si>
  <si>
    <t>JL Marelan V, Gg Mufakat No 39 Marelan</t>
  </si>
  <si>
    <t>Marelan</t>
  </si>
  <si>
    <t>Terjun</t>
  </si>
  <si>
    <t>WINDA ARDILA POHAN</t>
  </si>
  <si>
    <t>199012252025212101</t>
  </si>
  <si>
    <t>ILMU Pengetahuan alam</t>
  </si>
  <si>
    <t>SMA NEGERI 2PADANG BOLAK JULU</t>
  </si>
  <si>
    <t>zailani.mf23@gmail.com</t>
  </si>
  <si>
    <t>MEDAN,
25 DESEMBER 1990</t>
  </si>
  <si>
    <t>Jl M Nawi hrp Gg suka No56</t>
  </si>
  <si>
    <t>ko</t>
  </si>
  <si>
    <t>Tabel 1.1. Jumlah ASN Sesuai Unor</t>
  </si>
  <si>
    <t>NO</t>
  </si>
  <si>
    <t>NAMA UNOR</t>
  </si>
  <si>
    <t>PPPK PENUH WAKTU</t>
  </si>
  <si>
    <t>PPPK PARUH WAKTU</t>
  </si>
  <si>
    <t>ASN</t>
  </si>
  <si>
    <t>OUTSOURCING</t>
  </si>
  <si>
    <t>SEKRETARIAT</t>
  </si>
  <si>
    <t>BIDANG 3</t>
  </si>
  <si>
    <t>UPT 7</t>
  </si>
  <si>
    <t>TOTAL</t>
  </si>
  <si>
    <t>Tabel 1.2. Jumlah ASN Badan Pendapatan Daerah Kota Medan Menurut Jabatan</t>
  </si>
  <si>
    <t>JUMLAH</t>
  </si>
  <si>
    <t>LAKI-LAKI</t>
  </si>
  <si>
    <t>PEREMPUAN</t>
  </si>
  <si>
    <t>Eselon II</t>
  </si>
  <si>
    <t>Kepala Badan</t>
  </si>
  <si>
    <t>Eselon III</t>
  </si>
  <si>
    <t>Sekretaris ( 1 Org ), Kepala Bidang ( 3 Org )</t>
  </si>
  <si>
    <t>Eselon IV</t>
  </si>
  <si>
    <t>Kasubag ( 1 Org ), Kasubbid ( 8 Org ), Ka.UPT ( 7 Org ), Kasubbag TU UPT ( 7 Org)</t>
  </si>
  <si>
    <t>Fungsional</t>
  </si>
  <si>
    <t>Analis Keuangan Pusat dan Daerah Ahli Muda  ( 1 Org), Perencana Ahli Muda (1 Org), Analis Sumber Daya Manusia Aparatur Ahli Pertama ( 1Org)</t>
  </si>
  <si>
    <t>Staf</t>
  </si>
  <si>
    <t>Meliputi Staf yang ada di Kantor BAPENDA dan UPT</t>
  </si>
  <si>
    <t>Jumlah Keseluruhan</t>
  </si>
  <si>
    <t>Tabel 1.3. Jumlah ASN Badan Pendapatan Daerah Kota Medan Menurut Golongan</t>
  </si>
  <si>
    <t>GOLONGAN</t>
  </si>
  <si>
    <t>IV/c</t>
  </si>
  <si>
    <t>XV</t>
  </si>
  <si>
    <t>IV/b</t>
  </si>
  <si>
    <t>XIV</t>
  </si>
  <si>
    <t>IV/a</t>
  </si>
  <si>
    <t>XIII</t>
  </si>
  <si>
    <t>III/d</t>
  </si>
  <si>
    <t>XII</t>
  </si>
  <si>
    <t>III/c</t>
  </si>
  <si>
    <t>XI</t>
  </si>
  <si>
    <t>III/b</t>
  </si>
  <si>
    <t>X</t>
  </si>
  <si>
    <t>III/a</t>
  </si>
  <si>
    <t>II/d</t>
  </si>
  <si>
    <t>VIII</t>
  </si>
  <si>
    <t>II/c</t>
  </si>
  <si>
    <t>II/b</t>
  </si>
  <si>
    <t>VI</t>
  </si>
  <si>
    <t>II/a</t>
  </si>
  <si>
    <t>I/d</t>
  </si>
  <si>
    <t>I/c</t>
  </si>
  <si>
    <t>III</t>
  </si>
  <si>
    <t>I/b</t>
  </si>
  <si>
    <t>II</t>
  </si>
  <si>
    <t>I/a</t>
  </si>
  <si>
    <t>I</t>
  </si>
  <si>
    <t>Tabel 1.4. Jumlah ASN Badan Pendapatan Daerah Kota Medan Menurut Pendidikan</t>
  </si>
  <si>
    <t>PENDIDIKAN</t>
  </si>
  <si>
    <t>Strata - 3</t>
  </si>
  <si>
    <t>Strata - 2</t>
  </si>
  <si>
    <t>Strata - 1</t>
  </si>
  <si>
    <t>Diploma I - IV</t>
  </si>
  <si>
    <t>SLTA/AMK/STM</t>
  </si>
  <si>
    <t>SLTP/MTS</t>
  </si>
  <si>
    <t xml:space="preserve">DAFTAR NAMA PPPK PENUH WAKTU BADAN PENDAPATAN DAERAH KOTA MEDAN SESUAI UNIT KERJA </t>
  </si>
  <si>
    <r>
      <rPr>
        <rFont val="Calibri"/>
        <color theme="1"/>
        <sz val="9.0"/>
      </rPr>
      <t xml:space="preserve">YACOBUS JANSEN, </t>
    </r>
    <r>
      <rPr>
        <rFont val="Calibri"/>
        <color rgb="FF000000"/>
        <sz val="9.0"/>
      </rPr>
      <t>A.MD</t>
    </r>
    <r>
      <rPr>
        <rFont val="Calibri"/>
        <color theme="1"/>
        <sz val="9.0"/>
      </rPr>
      <t xml:space="preserve"> KOM</t>
    </r>
  </si>
  <si>
    <t xml:space="preserve">DAFTAR NAMA PPPK PARUH WAKTU BADAN PENDAPATAN DAERAH KOTA MEDAN SESUAI UNIT KERJA </t>
  </si>
  <si>
    <t>Masa Kerja</t>
  </si>
  <si>
    <t>800.1.2.5/1530.K</t>
  </si>
  <si>
    <t xml:space="preserve">1 Oktober 2025 </t>
  </si>
  <si>
    <t>30 Septermber 2026</t>
  </si>
  <si>
    <t>No</t>
  </si>
  <si>
    <t>Nama</t>
  </si>
  <si>
    <t>NIK</t>
  </si>
  <si>
    <t>Tempat lahir</t>
  </si>
  <si>
    <t>Tanggal Lahir</t>
  </si>
  <si>
    <t>Jenis Kelamin</t>
  </si>
  <si>
    <t>Tingkat Pendidikan/
Jurusan Terakhir</t>
  </si>
  <si>
    <t>Alamat</t>
  </si>
  <si>
    <t>No. Telepon</t>
  </si>
  <si>
    <t>E-Mail</t>
  </si>
  <si>
    <t>TMT
Pengangkatan</t>
  </si>
  <si>
    <t>Muhammad Raenaldi Akbar</t>
  </si>
  <si>
    <t>1207260201020016</t>
  </si>
  <si>
    <t>02 Januari 2002</t>
  </si>
  <si>
    <t>Pria</t>
  </si>
  <si>
    <t>S-1</t>
  </si>
  <si>
    <t>Jl. Vetpur Blok C No. 59, Desa. Medan Estate, Kec. Percut Sei Tuan, Kb. Deli Serdang, Prov. Sumatera Utara</t>
  </si>
  <si>
    <t>085264359219</t>
  </si>
  <si>
    <t>raenaldi621@gmail.com</t>
  </si>
  <si>
    <t>Venny Onny Via</t>
  </si>
  <si>
    <t>1271056212870003</t>
  </si>
  <si>
    <t>22 Desember 1987</t>
  </si>
  <si>
    <t>Jl. Amaliun Gg. Sulung No. 18</t>
  </si>
  <si>
    <t>085296188831</t>
  </si>
  <si>
    <t>vennyvia88@gmail.com</t>
  </si>
  <si>
    <t>01 Februari 2024</t>
  </si>
  <si>
    <t>Muhammad Santana</t>
  </si>
  <si>
    <t>1207022605910004</t>
  </si>
  <si>
    <t>26 Mei 1991</t>
  </si>
  <si>
    <t>Dusun VI, Kel. Limau Manis, Kec. Tanjung Morawa</t>
  </si>
  <si>
    <t>085297117777</t>
  </si>
  <si>
    <t>santana.manutd@gmail.com</t>
  </si>
  <si>
    <t>02 Mei 2024</t>
  </si>
  <si>
    <t>Nadya Sarah Amalia</t>
  </si>
  <si>
    <t>1271204707020006</t>
  </si>
  <si>
    <t>07 Juli 2002</t>
  </si>
  <si>
    <t>Jl. Bambu V No. 13</t>
  </si>
  <si>
    <t>081262880509</t>
  </si>
  <si>
    <t>nadyasarah552@gmail.com</t>
  </si>
  <si>
    <t>06 Agustus 2024</t>
  </si>
  <si>
    <t>Ahmad Nur Hafidzhi</t>
  </si>
  <si>
    <t>1271062804970003</t>
  </si>
  <si>
    <t>16 Agustus 2024</t>
  </si>
  <si>
    <t>Indah Devita Yanti</t>
  </si>
  <si>
    <t>1207266702040008</t>
  </si>
  <si>
    <t>27 Februari 2004</t>
  </si>
  <si>
    <t>indahdeviitaa@gmail.com</t>
  </si>
  <si>
    <t>02 Januari 2025</t>
  </si>
  <si>
    <t xml:space="preserve">SEKRETARIAT </t>
  </si>
  <si>
    <t>Dian Dara Dahlan</t>
  </si>
  <si>
    <t>1271090903030001</t>
  </si>
  <si>
    <t>09 Maret 2003</t>
  </si>
  <si>
    <t>Asrama Widuri, Blok Johar No. 18, Medan Amplas</t>
  </si>
  <si>
    <t>089601250600</t>
  </si>
  <si>
    <t>daradahlan6@gmail.com</t>
  </si>
  <si>
    <t>Tyas Clara Harvira</t>
  </si>
  <si>
    <t>1207236609970001</t>
  </si>
  <si>
    <t>Jl. Setia Lubur No. 138</t>
  </si>
  <si>
    <t>083160277846</t>
  </si>
  <si>
    <t>tyasclr@gmail.com</t>
  </si>
  <si>
    <t>01 Januari 2025</t>
  </si>
  <si>
    <t>Humala Muda Daulay</t>
  </si>
  <si>
    <t>1220042410980005</t>
  </si>
  <si>
    <t>Padangsidimpuan</t>
  </si>
  <si>
    <t>24 Oktober 1998</t>
  </si>
  <si>
    <t>Lk. V Pasar Gunung Tua</t>
  </si>
  <si>
    <t>082273018752</t>
  </si>
  <si>
    <t xml:space="preserve"> humalamudadly9@gmail.com</t>
  </si>
  <si>
    <t>Anggi Rahma Pulungan</t>
  </si>
  <si>
    <t>1207266503900005</t>
  </si>
  <si>
    <t>25 Maret 1990</t>
  </si>
  <si>
    <t>Jl. Baru No. 17 Medan Kel. Tembung Kec. Medan Tembung</t>
  </si>
  <si>
    <t>081299187817</t>
  </si>
  <si>
    <t>anggirahmapulungan@gmail.com</t>
  </si>
  <si>
    <t>Aprilia Agisya Wulandari</t>
  </si>
  <si>
    <t>1271035504990002</t>
  </si>
  <si>
    <t>Jl. Banten, Komp. Gaperta City Blok C 11, Medan Helvetia, Tj. Gusta Sumatera Utara</t>
  </si>
  <si>
    <t>082237351496</t>
  </si>
  <si>
    <t>apriliwulan@gmail.com</t>
  </si>
  <si>
    <t>Syawaliyah Fitri</t>
  </si>
  <si>
    <t>1207274711050003</t>
  </si>
  <si>
    <t>Tj. Pura</t>
  </si>
  <si>
    <t>Jl. Pandu Raya Blok A No. 33</t>
  </si>
  <si>
    <t>0895808355855</t>
  </si>
  <si>
    <t>syawaliyahfitri217@gmail.com</t>
  </si>
  <si>
    <t>Andi Susanto</t>
  </si>
  <si>
    <t>1205050208750001</t>
  </si>
  <si>
    <t>Sambi Rejo</t>
  </si>
  <si>
    <t>02 Agustus 1979</t>
  </si>
  <si>
    <t>085261586864</t>
  </si>
  <si>
    <t>08 Oktober 2013</t>
  </si>
  <si>
    <t>SECURITY UPT 2</t>
  </si>
  <si>
    <t>Yufli Putra Andriarsyah</t>
  </si>
  <si>
    <t>1271101202050002</t>
  </si>
  <si>
    <t>12 Februari 2005</t>
  </si>
  <si>
    <t>Jalan Sunggal Komplek Sunggal Indah Blok D3 No. 280 Medan</t>
  </si>
  <si>
    <t>082362303005</t>
  </si>
  <si>
    <t>yufliputraandriarsyah1@gmail.com</t>
  </si>
  <si>
    <t>26 Januari 2024</t>
  </si>
  <si>
    <t>Dodi Paraduan</t>
  </si>
  <si>
    <t>1271020308910002</t>
  </si>
  <si>
    <t>03 Agustus 1991</t>
  </si>
  <si>
    <t>Jl. Pinang Baris, Gg. Wakaf II Lk. VI</t>
  </si>
  <si>
    <t>081229852666</t>
  </si>
  <si>
    <t>dodiparaduanp@gmail.com</t>
  </si>
  <si>
    <t>03 Oktober 2024</t>
  </si>
  <si>
    <t>Zulfahmi</t>
  </si>
  <si>
    <t>1271182301930001</t>
  </si>
  <si>
    <t>23 Januari 1993</t>
  </si>
  <si>
    <t>Jl. Kelambir V Gang Kalpataru No 8 Medan – Sumatera Utara</t>
  </si>
  <si>
    <t>081214986625</t>
  </si>
  <si>
    <t>zulfahmitanjung93@gmail.com</t>
  </si>
  <si>
    <t>Wivvy Nala Prapat Mutia</t>
  </si>
  <si>
    <t>1271201406910001</t>
  </si>
  <si>
    <t>Pematang Siantar</t>
  </si>
  <si>
    <t>14 Juni 1991</t>
  </si>
  <si>
    <t>Jl. Rawa Cangkuk III No. 23 B Medan Denai</t>
  </si>
  <si>
    <t>081396984113</t>
  </si>
  <si>
    <t>wivvyxrules@gmail.com</t>
  </si>
  <si>
    <t>03 Januari 2022</t>
  </si>
  <si>
    <t>M.Riyan Fauzan</t>
  </si>
  <si>
    <t>1207230301010006</t>
  </si>
  <si>
    <t>03 Januari 2001</t>
  </si>
  <si>
    <t>Jl. Tanjung Permai V No.79 Medan – Sumatera Utara</t>
  </si>
  <si>
    <t>082363882324 &amp; 087770429133</t>
  </si>
  <si>
    <t>mhdriyann@gmail.com</t>
  </si>
  <si>
    <t>Pakhri Maulana Rambe</t>
  </si>
  <si>
    <t>1271131405010001</t>
  </si>
  <si>
    <t>14 Mei 2001</t>
  </si>
  <si>
    <t>Jl. T. Sentosa 20 No. 205
Kel. Besar, Kec. Medan Labuhan</t>
  </si>
  <si>
    <t>081217490424</t>
  </si>
  <si>
    <t>fahrimaulanarambe@gmail.com</t>
  </si>
  <si>
    <t>04 Juli 2023</t>
  </si>
  <si>
    <t>Julianda</t>
  </si>
  <si>
    <t>1275013007950003</t>
  </si>
  <si>
    <t>30 Juli 1995</t>
  </si>
  <si>
    <t>JL.T.AMIR HAMZAH GG.SULAIMAN LK1.
KEL.JATI MAKMUR. KEC. BINJAI UTARA. PROV.SUMUT</t>
  </si>
  <si>
    <t>085763455870 &amp; 085175207922</t>
  </si>
  <si>
    <t>julianda.juli123@gmail.com</t>
  </si>
  <si>
    <t>Rivan Arianda Harahap</t>
  </si>
  <si>
    <t>1271042003040004</t>
  </si>
  <si>
    <t>20 Maret 2004</t>
  </si>
  <si>
    <t>Jl. Padi Raya No. 1 Pasar 5 Tembung, Denai Ujung, Medan Denai</t>
  </si>
  <si>
    <t>089606682121</t>
  </si>
  <si>
    <t>rivanariandaharahap@gmail.com</t>
  </si>
  <si>
    <t>02 Oktober 2023</t>
  </si>
  <si>
    <t>SECURITY UPT 3</t>
  </si>
  <si>
    <t>Rahmad Iswandi Batubara</t>
  </si>
  <si>
    <t>1207021001920005</t>
  </si>
  <si>
    <t>10 Januari 1992</t>
  </si>
  <si>
    <t>Jl. Piring 20 A Kec. Medan Petisah</t>
  </si>
  <si>
    <t>081917462926</t>
  </si>
  <si>
    <t>andibatubara76725@gmail.com</t>
  </si>
  <si>
    <t>Juliandy Edika Putra Sembiring</t>
  </si>
  <si>
    <t>1271071407000002</t>
  </si>
  <si>
    <t>30 Juli 2000</t>
  </si>
  <si>
    <t>Jl. Bawang 4 No. 02 P. Simalingkar, Medan</t>
  </si>
  <si>
    <t>081397773743</t>
  </si>
  <si>
    <t>juliandysemb@gmail.com</t>
  </si>
  <si>
    <t>02 Juni 2025</t>
  </si>
  <si>
    <t>Muhammad Daniel Nasution</t>
  </si>
  <si>
    <t>1271141206000004</t>
  </si>
  <si>
    <t>12 Juni 2000</t>
  </si>
  <si>
    <t>Jl. Meteorologi III No. 9B, Kel Indra Kasih, Kec. Medan Tembung</t>
  </si>
  <si>
    <t>082363065197</t>
  </si>
  <si>
    <t>danelnasution@gmail.com</t>
  </si>
  <si>
    <t>10 Juni 2024</t>
  </si>
  <si>
    <t>Candra Wiguna Herman</t>
  </si>
  <si>
    <t>1271111811850002</t>
  </si>
  <si>
    <t>Komp. Johor Indah Permai I Blok VI No. 7 Lk. IX</t>
  </si>
  <si>
    <t>082277000094</t>
  </si>
  <si>
    <t>candrannoq18@gmail.com</t>
  </si>
  <si>
    <t>Hotasi Arga Doli Lubis</t>
  </si>
  <si>
    <t>1271012303900005</t>
  </si>
  <si>
    <t>23 Maret 1990</t>
  </si>
  <si>
    <t>JL. Sisingamangaraja Gg.Kasih No.20</t>
  </si>
  <si>
    <t>082171917416</t>
  </si>
  <si>
    <t>hotasiargadoli@gmail.com</t>
  </si>
  <si>
    <t>20 Januari 2025</t>
  </si>
  <si>
    <t>Nuriaman Br Hutagalung</t>
  </si>
  <si>
    <t>1271095907700004</t>
  </si>
  <si>
    <t>Sibolga</t>
  </si>
  <si>
    <t>19 Juli 1970</t>
  </si>
  <si>
    <t>Jl. Garu II A Gg. Dahlia No. 75 B Medan Amplas</t>
  </si>
  <si>
    <t>082161632434</t>
  </si>
  <si>
    <t>01 Februari 2014</t>
  </si>
  <si>
    <t>Widya Putri Utami Lubis</t>
  </si>
  <si>
    <t>1271036407010005</t>
  </si>
  <si>
    <t>24 Juli 2001</t>
  </si>
  <si>
    <t>Jl. Nusa Indah 1 No. 83, Perumnas Helvetia
Medan – Sumatera Utara</t>
  </si>
  <si>
    <t>082183064450 &amp; 082273950752</t>
  </si>
  <si>
    <t>widyaputriutami19@gmail.com</t>
  </si>
  <si>
    <t>Faradila Hazar</t>
  </si>
  <si>
    <t>1271025006970004</t>
  </si>
  <si>
    <t>10 Juni 1997</t>
  </si>
  <si>
    <t>Jl. Setiabudi Tanjung Sari Gg. Mawar No. 12 A Medan Selayang</t>
  </si>
  <si>
    <t>081361476556</t>
  </si>
  <si>
    <t>dilafarah812@gmail.com</t>
  </si>
  <si>
    <t>01 Januari 2024</t>
  </si>
  <si>
    <t>Yera Ryzki Ananda Sd</t>
  </si>
  <si>
    <t>1271104507930008</t>
  </si>
  <si>
    <t>05 Juli 1993</t>
  </si>
  <si>
    <t>Jl. Karya Wisata Komplek Graha Johor Blok A 11
Medan – Sumatera Utara</t>
  </si>
  <si>
    <t>082162653279</t>
  </si>
  <si>
    <t>anandayeraryzki@yahoo.com</t>
  </si>
  <si>
    <t>Aswin Aprian Nasution</t>
  </si>
  <si>
    <t>1271012604800002</t>
  </si>
  <si>
    <t>STM</t>
  </si>
  <si>
    <t>J1.Teratai Ujung LK V Medan</t>
  </si>
  <si>
    <t>085363176113</t>
  </si>
  <si>
    <t>aswinaprian@gmail.com</t>
  </si>
  <si>
    <t>Irma Afriyesi Siregar</t>
  </si>
  <si>
    <t>1207264304910002</t>
  </si>
  <si>
    <t>Jl. SM Raja Perum Oma Deli Blok A 15</t>
  </si>
  <si>
    <t>082365174355</t>
  </si>
  <si>
    <t>irmarizkyhsb0816@gmail.com</t>
  </si>
  <si>
    <t>Mia Lestari Br Sitepu</t>
  </si>
  <si>
    <t>1205225003000001</t>
  </si>
  <si>
    <t>Maryke</t>
  </si>
  <si>
    <t>10 Maret 2000</t>
  </si>
  <si>
    <t>Dusun Halban Desa. Kutambaru Kec. Kutambaru</t>
  </si>
  <si>
    <t>082186336955</t>
  </si>
  <si>
    <t>mialestarisitepu41@gmail.com</t>
  </si>
  <si>
    <t>Yesi Eka Putri</t>
  </si>
  <si>
    <t>1312085610990001</t>
  </si>
  <si>
    <t>Air Jernih</t>
  </si>
  <si>
    <t>16 Oktober 1999</t>
  </si>
  <si>
    <t>Air Jernih, Kecamatan Koto Balingka, Kabupaten Pasaman Barat</t>
  </si>
  <si>
    <t>081363424</t>
  </si>
  <si>
    <t>yesiekaputri34@gmail.com</t>
  </si>
  <si>
    <t>Nadila Rahmadani Harahap</t>
  </si>
  <si>
    <t>1271144811040001</t>
  </si>
  <si>
    <t>JL. Suluh Gg Mulio No.17E</t>
  </si>
  <si>
    <t>082267560334</t>
  </si>
  <si>
    <t>nadilarahmadani0804@gmail.com</t>
  </si>
  <si>
    <t>28 Juni 2024</t>
  </si>
  <si>
    <t>Elvira Inggrid Rodearni Saragih</t>
  </si>
  <si>
    <t>1272036811010003</t>
  </si>
  <si>
    <t>Rantau Parapat</t>
  </si>
  <si>
    <t>Jl. Bintang Maratur Kel. Bane, Kec. Siantar Utara</t>
  </si>
  <si>
    <t>081927377879</t>
  </si>
  <si>
    <t>inggridsaragih27s@gmail.com</t>
  </si>
  <si>
    <t>01 Agustus 2024</t>
  </si>
  <si>
    <t>Wan Irham Asriandy</t>
  </si>
  <si>
    <t>1271010510040001</t>
  </si>
  <si>
    <t>05 Oktober 2004</t>
  </si>
  <si>
    <t>JL air bersih No 156 LK1X</t>
  </si>
  <si>
    <t>082274162690</t>
  </si>
  <si>
    <t>irhamasriandy7@gmail.com</t>
  </si>
  <si>
    <t>Seni Rupawan</t>
  </si>
  <si>
    <t>1210015803770005</t>
  </si>
  <si>
    <t>16 Maret 1977</t>
  </si>
  <si>
    <t>Jl. PAM Tirtanadi Gang Mesjid Lingk. 12</t>
  </si>
  <si>
    <t>082287543932</t>
  </si>
  <si>
    <t>senirupawan22@gmail.com</t>
  </si>
  <si>
    <t>CLEANING SERVICE BIDANG 2</t>
  </si>
  <si>
    <t>Jabatan Terakhir</t>
  </si>
  <si>
    <t>Jumlah</t>
  </si>
  <si>
    <t>Diklat</t>
  </si>
  <si>
    <t>Pendidikan</t>
  </si>
  <si>
    <t>Jurusan Terakhir</t>
  </si>
  <si>
    <t>Golongan</t>
  </si>
  <si>
    <t>Kedudukan</t>
  </si>
  <si>
    <t>1) DR. M. AGHA NOVRIAN, S.STP, M.SI</t>
  </si>
  <si>
    <t>(1. PIM III / SPAMA / SPADYA / PKA
2. Prajabatan / LATSAR
3. PIM IV / ADUM / ADUMLA / SEPALA / PKP)</t>
  </si>
  <si>
    <t>1) T ROBY CHAIRI, S.IP, M.SI</t>
  </si>
  <si>
    <t>(1. Prajabatan / LATSAR
2. PIM IV / ADUM / ADUMLA / SEPALA / PKP
3. PIM III / SPAMA / SPADYA / PKA)</t>
  </si>
  <si>
    <t>KEPALA BIDANG TEKNIS HOTEL, RESTORAN, DAN HIBURAN BADAN PENDAPATAN DAERAH KOTA MEDAN</t>
  </si>
  <si>
    <t>1) SUTAN PARTAHI PANGIHUTAN SIAHAAN, S.H., MM</t>
  </si>
  <si>
    <t>(1. PIM IV / ADUM / ADUMLA / SEPALA / PKP
2. Prajabatan / LATSAR
3. Prajabatan / LATSAR)</t>
  </si>
  <si>
    <t>1) MUHAMMAD AIDIEL PUTRA PRATAMA, S.STP, M.AP</t>
  </si>
  <si>
    <t>(1. Prajabatan / LATSAR
2. PIM IV / ADUM / ADUMLA / SEPALA / PKP)</t>
  </si>
  <si>
    <t>Keuangan Daerah</t>
  </si>
  <si>
    <t>1) POPY MAYA SYAFIRA, SP, MM</t>
  </si>
  <si>
    <t>(1. PIM IV / ADUM / ADUMLA / SEPALA / PKP
2. Prajabatan / LATSAR)</t>
  </si>
  <si>
    <t>1) RONALD FANNY IRAWAN TARIGAN, S.E.</t>
  </si>
  <si>
    <t>()</t>
  </si>
  <si>
    <t>1) ANANDA DOLY PUTRA NASUTION, S.AP, M.M.</t>
  </si>
  <si>
    <t>(1. Prajabatan / LATSAR)</t>
  </si>
  <si>
    <t>1) M.TAUPIK HILMI LUBIS, S.H.</t>
  </si>
  <si>
    <t>1) SETTA VERO TS, S.H.</t>
  </si>
  <si>
    <t>1) MUHAMMAD RIZKY AKBAR HARAHAP, S.H., M.KN</t>
  </si>
  <si>
    <t>1) DARMAWI POHAN, S.H, M.M</t>
  </si>
  <si>
    <t>1) YANCE IRAWAN NASUTION, S.SOS, M.M.</t>
  </si>
  <si>
    <t>1) ELFRIDA JULISNAR HASIBUAN, S.E,.M.A.P</t>
  </si>
  <si>
    <t>1) PARLINDUNGAN SYAH LUBIS, S.H.</t>
  </si>
  <si>
    <t>(1. Prajabatan / LATSAR
2. Prajabatan / LATSAR)</t>
  </si>
  <si>
    <t>1) ROSAWATI FORTUNA TANJUNG, ST</t>
  </si>
  <si>
    <t>1) NINA RIZKINA, S.STP, M.SP</t>
  </si>
  <si>
    <t>(1. PIM IV / ADUM / ADUMLA / SEPALA / PKP)</t>
  </si>
  <si>
    <t>1) DENNY WAHYUDI NASUTION, S.E.</t>
  </si>
  <si>
    <t>1) ROBI TANZIL, S.H., M.M.</t>
  </si>
  <si>
    <t>1) ERWIN PARULIAN PANGGABEAN, S.E.</t>
  </si>
  <si>
    <t>1) MUHAMMAD ZULADHARI, S.STP</t>
  </si>
  <si>
    <t>1) ZIA RIDHO IKHWA, S.STP</t>
  </si>
  <si>
    <t>1) HAZNUL IRMAWAN AZMY, SE, MM</t>
  </si>
  <si>
    <t>1) DEDY WAHYU UTAMA, SH, M.H.</t>
  </si>
  <si>
    <t>1) DELISAH, S.SOS, M.A.P.</t>
  </si>
  <si>
    <t>1) MUHAMMAD ADRIAN HARAHAP, S.E.</t>
  </si>
  <si>
    <t>1) AHMAD SOFWAN, S.T., M.A.P.</t>
  </si>
  <si>
    <t>1) HARDY FAISAL SIREGAR, S.SOS, MM</t>
  </si>
  <si>
    <t>MANAJEMEN PEMBANGUNAN DAERAH</t>
  </si>
  <si>
    <t>1) IBRAHIM MANGARA LAUT BATUBARA, S.H, M.H.</t>
  </si>
  <si>
    <t>1) DRA FITRIATI HASIBUAN, M.M</t>
  </si>
  <si>
    <t>(1. PIM IV / ADUM / ADUMLA / SEPALA / PKP
2. PIM III / SPAMA / SPADYA / PKA
3. Prajabatan / LATSAR
4. Prajabatan / LATSAR)</t>
  </si>
  <si>
    <t>1) WIDYA SARASWATI PARIMORA, S.STP</t>
  </si>
  <si>
    <t>1) T RINI SRI MEKA, S.I.P, M.H</t>
  </si>
  <si>
    <t>1) ABDUL JABBAR ZARKASYI</t>
  </si>
  <si>
    <t>2) ABDULLAH MUTALIF TARIGAN</t>
  </si>
  <si>
    <t>3) ADRI FACHRIANSYAH</t>
  </si>
  <si>
    <t>4) AGUNG RIDHALLAH</t>
  </si>
  <si>
    <t>5) AHMAD REZA</t>
  </si>
  <si>
    <t>6) AKHDAN MARTUA DAULAY</t>
  </si>
  <si>
    <t>7) ALI SYAPUTRA PRANATA BATUBARA</t>
  </si>
  <si>
    <t>8) AMRU SIREGAR</t>
  </si>
  <si>
    <t>9) ANGGA FAHRIZAL ASMI</t>
  </si>
  <si>
    <t>10) ARIEF HIDAYAT</t>
  </si>
  <si>
    <t>11) ARIF HANDRIAN</t>
  </si>
  <si>
    <t>12) ASMAN</t>
  </si>
  <si>
    <t>13) ASRUL LATIF RANGKUTI</t>
  </si>
  <si>
    <t>14) ASWAN</t>
  </si>
  <si>
    <t>15) AWALIA PANCA PERMATA SARI</t>
  </si>
  <si>
    <t>16) AYU FITRIASARI</t>
  </si>
  <si>
    <t>17) AZHARI PULUNGAN</t>
  </si>
  <si>
    <t>18) AZRIEL ILYAS HARAHAP</t>
  </si>
  <si>
    <t>19) BAHRUM</t>
  </si>
  <si>
    <t>20) BENNY AFANSYAH</t>
  </si>
  <si>
    <t>21) CHEFRYANUS GINTING</t>
  </si>
  <si>
    <t>22) DANIEL RIZKI TEVIN</t>
  </si>
  <si>
    <t>23) DARMAWAN SAHPUTRA</t>
  </si>
  <si>
    <t>24) DEDY RENES NABABAN</t>
  </si>
  <si>
    <t>25) DENI SETIAWAN</t>
  </si>
  <si>
    <t>26) DEVI MARSELLA</t>
  </si>
  <si>
    <t>27) DEWI SEKAR SARI</t>
  </si>
  <si>
    <t>28) DIANA ELFIANI MANIK</t>
  </si>
  <si>
    <t>29) DIMAS NUGRAHA ADIN PRATAMA</t>
  </si>
  <si>
    <t>30) EDI GUNAWAN</t>
  </si>
  <si>
    <t>31) ENDA SWANDANA</t>
  </si>
  <si>
    <t>32) ERWIN HARIADI PANE</t>
  </si>
  <si>
    <t>33) FANNY FATULLAH</t>
  </si>
  <si>
    <t>34) FATMAWATI</t>
  </si>
  <si>
    <t>35) FERI HIDAYATI LUBIS</t>
  </si>
  <si>
    <t>36) FHAZRINA MANDASARI SULVI NST</t>
  </si>
  <si>
    <t>37) FITRA DARMAWAN</t>
  </si>
  <si>
    <t>38) FITRIANDA</t>
  </si>
  <si>
    <t>39) FRANSISKA AGUSTINA BR MUNTHE</t>
  </si>
  <si>
    <t>40) FRIZA LAZUARDI POETRA</t>
  </si>
  <si>
    <t>41) GIHON KUSY MARPAUNG</t>
  </si>
  <si>
    <t>42) GITA MAYASARI</t>
  </si>
  <si>
    <t>43) HADLIQ LIBY</t>
  </si>
  <si>
    <t>44) HAZIR HARITS</t>
  </si>
  <si>
    <t>45) HENDRI WALUYO</t>
  </si>
  <si>
    <t>46) HIRWANSYAH PUTRA HASIBUAN</t>
  </si>
  <si>
    <t>47) HUSNI AMZAD</t>
  </si>
  <si>
    <t>48) IRMA DWI SYAHFITRI</t>
  </si>
  <si>
    <t>49) IRVANSAH PUTRA BARUS</t>
  </si>
  <si>
    <t>50) IRWAN SYAH PUTRA</t>
  </si>
  <si>
    <t>51) IVAN SABARUDDIN HASIBUAN</t>
  </si>
  <si>
    <t>Ilmu pengetahuan alam</t>
  </si>
  <si>
    <t>52) JAMAL KLANA</t>
  </si>
  <si>
    <t>53) JUNI FERNANDO SIJABAT</t>
  </si>
  <si>
    <t>54) KUKUH RISTIYONO</t>
  </si>
  <si>
    <t>55) LORENSI NAINGGOLAN</t>
  </si>
  <si>
    <t>56) LUKMAN HAKIM</t>
  </si>
  <si>
    <t>57) LUKMAN PRATAMA HARAHAP</t>
  </si>
  <si>
    <t>58) LULU APLIANI ARTY</t>
  </si>
  <si>
    <t>59) M SYAIFUL BAHRI</t>
  </si>
  <si>
    <t>60) M.TAUFIK</t>
  </si>
  <si>
    <t>61) MARISA RIZKY</t>
  </si>
  <si>
    <t>62) MARNO</t>
  </si>
  <si>
    <t>63) MAYA RINA BATUBARA</t>
  </si>
  <si>
    <t>64) MHD ZAFRULLAH</t>
  </si>
  <si>
    <t>65) MHD. RAMADHAN LUBIS</t>
  </si>
  <si>
    <t>66) MHD.FAHRIZAL</t>
  </si>
  <si>
    <t>67) MHD.HAZLIANSYAH</t>
  </si>
  <si>
    <t>68) MOHD ARDIANSYAH</t>
  </si>
  <si>
    <t>69) MUHAMAD ADITYA FAHREVI LUBIS</t>
  </si>
  <si>
    <t>70) MUHAMMAD AIDIL FITRA LUBIS</t>
  </si>
  <si>
    <t>71) MUHAMMAD ALFIYANDI</t>
  </si>
  <si>
    <t>72) MUHAMMAD ARIF HARAHAP</t>
  </si>
  <si>
    <t>Ips</t>
  </si>
  <si>
    <t>73) MUHAMMAD FADLI</t>
  </si>
  <si>
    <t>74) MUHAMMAD INDRA HARAHAP</t>
  </si>
  <si>
    <t>75) MUHAMMAD IRSAN AULIA</t>
  </si>
  <si>
    <t>76) MUHAMMAD MISWAR NASUTION</t>
  </si>
  <si>
    <t>77) MUHAMMAD REZI FADILLAH</t>
  </si>
  <si>
    <t>78) MUHAMMAD RORI PRATAMA</t>
  </si>
  <si>
    <t>79) MUHAMMAD SYAHBANA</t>
  </si>
  <si>
    <t>80) MUKSIN</t>
  </si>
  <si>
    <t>81) NAUFAL NUGROHO</t>
  </si>
  <si>
    <t>82) NENGMAWATY LUBIS</t>
  </si>
  <si>
    <t>83) NINING SARI</t>
  </si>
  <si>
    <t>84) NOVI PRATIWI</t>
  </si>
  <si>
    <t>85) NURHAWANI</t>
  </si>
  <si>
    <t>86) NURLINA SARI LUBIS</t>
  </si>
  <si>
    <t>87) NURRIYADI</t>
  </si>
  <si>
    <t>88) PRAMANA PUTRA</t>
  </si>
  <si>
    <t>89) PUJI HARRY SANDI</t>
  </si>
  <si>
    <t>90) PURNAMA SIREGAR</t>
  </si>
  <si>
    <t>91) RACHMAWATI BR TARIGAN</t>
  </si>
  <si>
    <t>92) RADINDA AZZAHRA</t>
  </si>
  <si>
    <t>93) RAHMAD BUDI</t>
  </si>
  <si>
    <t>94) RAHMAN SALEH SIREGAR</t>
  </si>
  <si>
    <t>95) RAJA USTY SIREGAR</t>
  </si>
  <si>
    <t>96) RAMADHAN PADANG</t>
  </si>
  <si>
    <t>97) RAMADHANI</t>
  </si>
  <si>
    <t>98) RANNES PANERANGAN HASIBUAN</t>
  </si>
  <si>
    <t>99) RATNA SARI DEWI NASUTION</t>
  </si>
  <si>
    <t>100) REMINDA SURYANI TARIGAN</t>
  </si>
  <si>
    <t>101) RENDY ANANDA PUTRA</t>
  </si>
  <si>
    <t>102) RENGGANIA BR PERANGIN ANGIN</t>
  </si>
  <si>
    <t>103) REVI FADILLAH</t>
  </si>
  <si>
    <t>104) RIJAL SIREGAR</t>
  </si>
  <si>
    <t>105) RISKA KUMALA SARI</t>
  </si>
  <si>
    <t>106) RIZKY AKBAR PERDANA</t>
  </si>
  <si>
    <t>107) RIZKY NOVITA SARI</t>
  </si>
  <si>
    <t>108) RONAL MULIADY</t>
  </si>
  <si>
    <t>109) RONI TANAKA</t>
  </si>
  <si>
    <t>SMU IPA</t>
  </si>
  <si>
    <t>110) RUDI EDWARD DAMANIK</t>
  </si>
  <si>
    <t>111) RUDI HARTONO</t>
  </si>
  <si>
    <t>112) RUDY SAHPUTRA SEMBIRING</t>
  </si>
  <si>
    <t>113) RULY MARDIAN</t>
  </si>
  <si>
    <t>114) RUSLIADI</t>
  </si>
  <si>
    <t>115) SAID REZA</t>
  </si>
  <si>
    <t>116) SAPARUDDIN HARAHAP</t>
  </si>
  <si>
    <t>117) SARIFAH ANUM SIREGAR</t>
  </si>
  <si>
    <t>118) SEHAT SIDABUTAR</t>
  </si>
  <si>
    <t>119) SITI SAHARA PASARIBU</t>
  </si>
  <si>
    <t>120) SUHARI RAPIANDI</t>
  </si>
  <si>
    <t>121) SULAIMAN ALAMSYAH NASUTION</t>
  </si>
  <si>
    <t>122) SUNARDI</t>
  </si>
  <si>
    <t>123) T. IRWANSYAH</t>
  </si>
  <si>
    <t>124) TAUFIK</t>
  </si>
  <si>
    <t>125) TODO MUARA MARINUS SIHOTANG</t>
  </si>
  <si>
    <t>126) TONI PROBOSUNARDI</t>
  </si>
  <si>
    <t>127) TRI MUHARYANI</t>
  </si>
  <si>
    <t>128) VANESSHA RIMADANY BR SITEPU</t>
  </si>
  <si>
    <t>129) VICKRIE AL IKHSAN</t>
  </si>
  <si>
    <t>130) VITTI NINGSI SIHOTANG</t>
  </si>
  <si>
    <t>REKAYASA PERANGKAT LUNAK</t>
  </si>
  <si>
    <t>131) WIBAWA</t>
  </si>
  <si>
    <t>132) WINDA ARDILA POHAN</t>
  </si>
  <si>
    <t>133) WINDA LESTARI NAWANG WULAN</t>
  </si>
  <si>
    <t>134) YENI BATUBARA</t>
  </si>
  <si>
    <t>135) YUDHA HENDRAWAN</t>
  </si>
  <si>
    <t>136) YUDHA PUTRA RISDIANTO</t>
  </si>
  <si>
    <t>137) ZAL KAIRI</t>
  </si>
  <si>
    <t>138) ZULFAN</t>
  </si>
  <si>
    <t>1) ERLINA MEGASARI HABEAHAN, SS</t>
  </si>
  <si>
    <t>1) ABDUL AZIS AMIN SITORUS</t>
  </si>
  <si>
    <t>2) ABDUL RAHIM POHAN</t>
  </si>
  <si>
    <t>3) ABDUL RAUF</t>
  </si>
  <si>
    <t>4) ACHMAD RIZKI</t>
  </si>
  <si>
    <t>5) ADE JAN SURYA SIHALOHO</t>
  </si>
  <si>
    <t>6) ADE RIZKI ANANDA</t>
  </si>
  <si>
    <t>7) ADEKSTY RAMADHANI</t>
  </si>
  <si>
    <t>8) ADELLA LUBIS</t>
  </si>
  <si>
    <t>9) ADYTIA FERDIAN</t>
  </si>
  <si>
    <t>10) AFFANDI GINTING</t>
  </si>
  <si>
    <t>11) AFRODITA ARIKA ARNISYA HARAHAP S.SOS</t>
  </si>
  <si>
    <t>12) AGNES RUTHMEN LOUREN SIHOTANG</t>
  </si>
  <si>
    <t>13) AGUNG SUHENDAR DINATA</t>
  </si>
  <si>
    <t>14) AGUSTIO ANGKASA WIBOWO</t>
  </si>
  <si>
    <t>15) AHMAD AL FAZHAR TANJUNG</t>
  </si>
  <si>
    <t>16) AHMAD AL HIDAYAH SIREGAR</t>
  </si>
  <si>
    <t>17) AHMAD MUNAWIR SE</t>
  </si>
  <si>
    <t>18) AHMAD RASYIDI NASUTION</t>
  </si>
  <si>
    <t>19) AKHYAR AFFANDI</t>
  </si>
  <si>
    <t>20) ALAMSYAH YWR</t>
  </si>
  <si>
    <t>21) ALDRY BOB INAL SIREGAR</t>
  </si>
  <si>
    <t>22) ALFIANSYAH ILYAS HARAHAP</t>
  </si>
  <si>
    <t>23) ALFONS OKTO SIREGAR</t>
  </si>
  <si>
    <t>24) ALI BOSAR SIREGAR</t>
  </si>
  <si>
    <t>25) ALI NASARUDDIN HARAHAP</t>
  </si>
  <si>
    <t>26) ALIZA HALMOR HASIBUAN</t>
  </si>
  <si>
    <t>27) ALWIJAYA BUNAIYA</t>
  </si>
  <si>
    <t>28) ANA ZURIKA PANGARIBUAN</t>
  </si>
  <si>
    <t>29) ANANDA</t>
  </si>
  <si>
    <t>30) ANANDA ABDINESIA SITEPU</t>
  </si>
  <si>
    <t>31) ANANDA RIZKY</t>
  </si>
  <si>
    <t>32) ANDIKA RAMA YANTO</t>
  </si>
  <si>
    <t>33) ANDREW AGUSTINUS SITEPU</t>
  </si>
  <si>
    <t>34) ANDY</t>
  </si>
  <si>
    <t>35) ANGGA HAKIM LUBIS</t>
  </si>
  <si>
    <t>36) ANGGA PERMANA PUTRA</t>
  </si>
  <si>
    <t>37) ANGGEREINI DESMINAR</t>
  </si>
  <si>
    <t>38) ANGGUN ROSELINE RUMIRI HUTAGALUNG, S.T.</t>
  </si>
  <si>
    <t>39) ANHAR LUBIS</t>
  </si>
  <si>
    <t>40) ANITASARI</t>
  </si>
  <si>
    <t>41) ANNISA MAYANG SARI</t>
  </si>
  <si>
    <t>42) ARDIKA PERLAYA SINAGA</t>
  </si>
  <si>
    <t>43) ARIEF MADEZA</t>
  </si>
  <si>
    <t>44) ARMAN SYAHPUTRA</t>
  </si>
  <si>
    <t>45) ARWAN SYAHPUTRA SIREGAR</t>
  </si>
  <si>
    <t>46) ASTRI RESYITA NOPANI</t>
  </si>
  <si>
    <t>47) ATIKA AULIA SYAHFITRI</t>
  </si>
  <si>
    <t>48) ATIKHA LESTARI DAMANIK</t>
  </si>
  <si>
    <t>49) AYU WIDYA</t>
  </si>
  <si>
    <t>50) AYU WIRDA NINGSIH</t>
  </si>
  <si>
    <t>51) AZHARI FERIMA LUBIS</t>
  </si>
  <si>
    <t>52) BAHARUDDIN DALIMUNTHE</t>
  </si>
  <si>
    <t>53) BALKIS FEBRY FONDA</t>
  </si>
  <si>
    <t>54) BAMBANG HERI PRATAMA S, S.H.</t>
  </si>
  <si>
    <t>55) BELLA AZHARI LUBIS</t>
  </si>
  <si>
    <t>56) BIMA DWI FORTUNA</t>
  </si>
  <si>
    <t>57) BOY ISKANDAR</t>
  </si>
  <si>
    <t>58) BUDI IMMANUAL TARIGAN</t>
  </si>
  <si>
    <t>59) BUDI IRAWAN HARAHAP</t>
  </si>
  <si>
    <t>60) BUDI SETIAWAN GINTING</t>
  </si>
  <si>
    <t>61) CHAIRI YUSBAH</t>
  </si>
  <si>
    <t>62) CHAIRINA SIREGAR</t>
  </si>
  <si>
    <t>63) CHAIRUL IKHSAN LUBIS</t>
  </si>
  <si>
    <t>64) CINDY TIFFANY ANDALASIA</t>
  </si>
  <si>
    <t>65) CITRA GOLDA SITOMPUL</t>
  </si>
  <si>
    <t>66) DALMY MUCHTAR HASIBUAN</t>
  </si>
  <si>
    <t>67) DEBBY ANGELITA</t>
  </si>
  <si>
    <t>68) DEDEK VERIYAN</t>
  </si>
  <si>
    <t>69) DEDI HANDOKO SIREGAR</t>
  </si>
  <si>
    <t>70) DEDY IRWAN</t>
  </si>
  <si>
    <t>71) DEFI YANITHA</t>
  </si>
  <si>
    <t>72) DELIANA BR PURBA</t>
  </si>
  <si>
    <t>73) DENI SYAFRYADY</t>
  </si>
  <si>
    <t>74) DENNY SYAHPUTRA TARIGAN</t>
  </si>
  <si>
    <t>75) DESI JUNITA SIMANJUNTAK</t>
  </si>
  <si>
    <t>Sastra Daerah Untuk Sastra Batak</t>
  </si>
  <si>
    <t>76) DESSY ANA</t>
  </si>
  <si>
    <t>77) DESSY SUSAN ANGGREINI SE</t>
  </si>
  <si>
    <t>78) DESY NATALIA PUTRI</t>
  </si>
  <si>
    <t>79) DESY SARTIKA LUBIS</t>
  </si>
  <si>
    <t>80) DEVY IRYANTHY HASIBUAN</t>
  </si>
  <si>
    <t>81) DEWI AFRIANI</t>
  </si>
  <si>
    <t>82) DHIYA NORMA JUNITA NASUTION</t>
  </si>
  <si>
    <t>83) DIAN ANGGRAINI NASUTION</t>
  </si>
  <si>
    <t>84) DIAN MENTARI HARAHAP</t>
  </si>
  <si>
    <t>85) DIAN UTAMI</t>
  </si>
  <si>
    <t>86) DINA .A. TRIANA</t>
  </si>
  <si>
    <t>87) DINA MAYSARI HARAHAP</t>
  </si>
  <si>
    <t>88) DINA SARTIKA</t>
  </si>
  <si>
    <t>89) DIVA YUS LENNY</t>
  </si>
  <si>
    <t>90) DWI ARIMBI</t>
  </si>
  <si>
    <t>91) DWI PUSPITA SARI SYAHNAN</t>
  </si>
  <si>
    <t>92) DWI RACHMADSYAH</t>
  </si>
  <si>
    <t>93) EDI GUNAWAN GINTING</t>
  </si>
  <si>
    <t>94) EDI PARUNTUNGAN SITOMPUL</t>
  </si>
  <si>
    <t>95) EDY FADLAN</t>
  </si>
  <si>
    <t>96) EKA INDRA WATI</t>
  </si>
  <si>
    <t>97) EKA PURNAMA</t>
  </si>
  <si>
    <t>98) ELIDA HAFNI</t>
  </si>
  <si>
    <t>99) ELVI ZAHARA NASUTION</t>
  </si>
  <si>
    <t>100) ELYFER PANGIHUTAN SITUMORANG</t>
  </si>
  <si>
    <t>101) EMIR NATALIANSYAH</t>
  </si>
  <si>
    <t>102) EN EKO PRASTOWO</t>
  </si>
  <si>
    <t>103) ENNY SERIANI HARAHAP SE</t>
  </si>
  <si>
    <t>104) ERIVA NORTRI SIMANJUNTAK</t>
  </si>
  <si>
    <t>105) ERMAN EFENDI NASUTION</t>
  </si>
  <si>
    <t>106) ESRA DANIEL PANGGABEAN</t>
  </si>
  <si>
    <t>107) ESRA HUTABARAT</t>
  </si>
  <si>
    <t>108) EVI SUSANTI HUTAPEA</t>
  </si>
  <si>
    <t>109) FACHRY HANDANI HARAHAP</t>
  </si>
  <si>
    <t>110) FADIL HANAFIAH LUBIS</t>
  </si>
  <si>
    <t>111) FADLILLAH HUSNA SIHOMBING</t>
  </si>
  <si>
    <t>112) FAHRUR ROZI LUBIS</t>
  </si>
  <si>
    <t>113) FAHRURROZI LUBIS</t>
  </si>
  <si>
    <t>114) FAISAL RAIS</t>
  </si>
  <si>
    <t>115) FAISAL REZA</t>
  </si>
  <si>
    <t>116) FANDI TIRTA NUGRAHA, S.H.</t>
  </si>
  <si>
    <t>117) FANNY ROSHADI NASUTION</t>
  </si>
  <si>
    <t>118) FARIDA</t>
  </si>
  <si>
    <t>119) FARIDA HANUM RAMBE</t>
  </si>
  <si>
    <t>120) FATIMAH SYAHPUTRI</t>
  </si>
  <si>
    <t>121) FAUZAN AFMIRZAL SILALAHI</t>
  </si>
  <si>
    <t>122) FAUZAN SHAUFI</t>
  </si>
  <si>
    <t>123) FAUZIAH NASUTION</t>
  </si>
  <si>
    <t>124) FEBRY FAKHRURRAZY</t>
  </si>
  <si>
    <t>125) FEBTIA NUR WULANDARI</t>
  </si>
  <si>
    <t>126) FERDY HARUN S GADING HASIBUAN</t>
  </si>
  <si>
    <t>127) FERRY JANSEN PURBA</t>
  </si>
  <si>
    <t>128) FISER OKTAVIANUS</t>
  </si>
  <si>
    <t>129) FITRI APRILLIANI</t>
  </si>
  <si>
    <t>130) FITRI ERVINA</t>
  </si>
  <si>
    <t>131) FITRI HANDRYANI</t>
  </si>
  <si>
    <t>132) FITRI REBTYNA HARAHAP</t>
  </si>
  <si>
    <t>133) FITRI YANTI NASUTION</t>
  </si>
  <si>
    <t>134) FRANKY HAMONANGAN SITUMORANG</t>
  </si>
  <si>
    <t>135) FRANKY MARSMAN SULAIMAN GULTOM</t>
  </si>
  <si>
    <t>136) FUAD RASMAWAN</t>
  </si>
  <si>
    <t>137) FURQAAN MOEIN HARAHAP</t>
  </si>
  <si>
    <t>138) GABEINA MEI SYAHPUTRI</t>
  </si>
  <si>
    <t>139) GERHANA PURNAMA PUTRI</t>
  </si>
  <si>
    <t>140) HABIB SUKANDA</t>
  </si>
  <si>
    <t>141) HAIRUL AHMAD HARAHAP</t>
  </si>
  <si>
    <t>142) HALIZAH NOFI ARFIANTI GINTING</t>
  </si>
  <si>
    <t>143) HANAFI</t>
  </si>
  <si>
    <t>144) HARDY WIGUNA NABABAN</t>
  </si>
  <si>
    <t>145) HARI ADRIANSAH PUTRA AMANDA</t>
  </si>
  <si>
    <t>Ilmu Hubungan Internasional</t>
  </si>
  <si>
    <t>146) HARIMBI HAGRESI KASMARA</t>
  </si>
  <si>
    <t>147) HARRY CHRYSTIE FRANCIS COLLY</t>
  </si>
  <si>
    <t>Hukum Tata Negara</t>
  </si>
  <si>
    <t>148) HARUNSYAH GURUH LUBIS</t>
  </si>
  <si>
    <t>149) HARYADI WISUANDA SIREGAR, S.H</t>
  </si>
  <si>
    <t>150) HENNI HERLINA</t>
  </si>
  <si>
    <t>151) HERLINA SARAGIH</t>
  </si>
  <si>
    <t>152) HERMAN SAPUTRA HARAHAP</t>
  </si>
  <si>
    <t>153) HERU DWI PUTRA</t>
  </si>
  <si>
    <t>154) HERU KUSNANDAR</t>
  </si>
  <si>
    <t>155) HERU PRADIPTA</t>
  </si>
  <si>
    <t>156) HERWINDRA SYAHPUTRA</t>
  </si>
  <si>
    <t>157) IDHAM ANGGA PRADITO</t>
  </si>
  <si>
    <t>158) IMAM MUNAWIR SIREGAR</t>
  </si>
  <si>
    <t>159) IMANUDDIN SIREGAR</t>
  </si>
  <si>
    <t>160) IMRAN</t>
  </si>
  <si>
    <t>161) INDAH WAHYU ASHARY</t>
  </si>
  <si>
    <t>162) INDAH WULANDARI</t>
  </si>
  <si>
    <t>163) INDRA YANI</t>
  </si>
  <si>
    <t>164) INDRIANA</t>
  </si>
  <si>
    <t>165) IQBAL NOERMAN</t>
  </si>
  <si>
    <t>166) IRMAWATI BR TARIGAN</t>
  </si>
  <si>
    <t>167) IRNA RUSLAINI LUBIS</t>
  </si>
  <si>
    <t>168) ISNAN HADI SYAHPUTRA</t>
  </si>
  <si>
    <t>169) IWAN FADLI</t>
  </si>
  <si>
    <t>170) JAMILAH NASUTION</t>
  </si>
  <si>
    <t>171) JHIKI VIDA AULIA</t>
  </si>
  <si>
    <t>172) JOKO MACHDY BATUBARA</t>
  </si>
  <si>
    <t>173) JUARI SITORUS</t>
  </si>
  <si>
    <t>174) JULIA NATALIA GULTOM</t>
  </si>
  <si>
    <t>175) JULIANTY MATONDANG</t>
  </si>
  <si>
    <t>176) JULISTINA SARI SIREGAR</t>
  </si>
  <si>
    <t>177) JULITA EVELIANI SIREGAR</t>
  </si>
  <si>
    <t>178) KARTIKA JULIA BR SEMBIRING</t>
  </si>
  <si>
    <t>179) KASMUNA HARAHAP</t>
  </si>
  <si>
    <t>180) KHADRILAH ALRUMANA LUBIS</t>
  </si>
  <si>
    <t>181) KHAIDIR ALI</t>
  </si>
  <si>
    <t>182) KHAIR ILHAM</t>
  </si>
  <si>
    <t>183) KHAIRU FAHRIE</t>
  </si>
  <si>
    <t>184) KHAIRUNNISA</t>
  </si>
  <si>
    <t>185) KHAIRUNNISA NASUTION</t>
  </si>
  <si>
    <t>186) KIFLI DONGORAN</t>
  </si>
  <si>
    <t>187) KLESI HANUM</t>
  </si>
  <si>
    <t>188) LAILA SYAHRA NASUTION</t>
  </si>
  <si>
    <t>189) LAMHORAS FREDY NATANAEL SIPAHUTAR</t>
  </si>
  <si>
    <t>190) LENNI ATIKASARI HARAHAP</t>
  </si>
  <si>
    <t>191) LIDYA AFRIANI RITONGA</t>
  </si>
  <si>
    <t>192) LIFSANI PUTRA BARUS</t>
  </si>
  <si>
    <t>193) LILY TRISNA, S.T.P, MM</t>
  </si>
  <si>
    <t>194) LINA BUDI HARTI HARAHAP</t>
  </si>
  <si>
    <t>195) LISA AMELIA EKA PUTRI</t>
  </si>
  <si>
    <t>196) LISA INDRIANI</t>
  </si>
  <si>
    <t>197) LIZA SEPTIANA SEMBIRING K</t>
  </si>
  <si>
    <t>198) LULY SAPRINA</t>
  </si>
  <si>
    <t>199) LUSI YANA</t>
  </si>
  <si>
    <t>200) M ANDRIANSYAH PRANATA</t>
  </si>
  <si>
    <t>201) M IRWANSYAH</t>
  </si>
  <si>
    <t>202) M RICKY SOFIAN HASIBUAN</t>
  </si>
  <si>
    <t>203) M RIZADRI FADLI AULIA RITONGA</t>
  </si>
  <si>
    <t>204) M. ARIF NANDA SARAGIH</t>
  </si>
  <si>
    <t>205) M. IKHSAN LUBIS</t>
  </si>
  <si>
    <t>206) M. RINALDI SOFYAN HASIBUAN</t>
  </si>
  <si>
    <t>207) M.RIVAN SYAHPUTRA</t>
  </si>
  <si>
    <t>208) MAHYUDI AKBAR</t>
  </si>
  <si>
    <t>209) MARY ASNITA</t>
  </si>
  <si>
    <t>210) MASRIA CAROLINA TAMPUBOLON</t>
  </si>
  <si>
    <t>211) MAYA INDHI RAYANTHI</t>
  </si>
  <si>
    <t>212) MAYA SARA HARAHAP</t>
  </si>
  <si>
    <t>213) MAZLIA ULFA RANGKUTI</t>
  </si>
  <si>
    <t>214) MEDAHENY GM</t>
  </si>
  <si>
    <t>215) MEGGY AGUSTINA LUBIS</t>
  </si>
  <si>
    <t>216) MEIKE AMALIA</t>
  </si>
  <si>
    <t>217) MEILINDA SURBAKTI</t>
  </si>
  <si>
    <t>218) MEILISA RITONGA</t>
  </si>
  <si>
    <t>219) MELISSA FEBIOLA, SP</t>
  </si>
  <si>
    <t>Sosial Ekonomi Pertanian</t>
  </si>
  <si>
    <t>220) MELY AFVUANI HALIM</t>
  </si>
  <si>
    <t>221) MERYLANY</t>
  </si>
  <si>
    <t>222) MHD HAFEZ AL ASAD LUBIS</t>
  </si>
  <si>
    <t>223) MHD SYAHRIAL</t>
  </si>
  <si>
    <t>224) MHD WIBI PRASATYA</t>
  </si>
  <si>
    <t>225) MIFTAHUR RIZKY RANGKUTI, S.E.</t>
  </si>
  <si>
    <t>226) MIKO DEPARI</t>
  </si>
  <si>
    <t>227) MIMI NOVIDA YANTI HARAHAP</t>
  </si>
  <si>
    <t>228) MINARTI AGUSTINI HASIBUAN</t>
  </si>
  <si>
    <t>229) MISNAWATI</t>
  </si>
  <si>
    <t>230) MONICA URSULA HUTAURUK</t>
  </si>
  <si>
    <t>231) MORINA RUGUN TP.BOLON</t>
  </si>
  <si>
    <t>232) MUHAMMAD ARDY</t>
  </si>
  <si>
    <t>233) MUHAMMAD DENNY SYAHPUTRA</t>
  </si>
  <si>
    <t>234) MUHAMMAD ERSYAD NASUTION</t>
  </si>
  <si>
    <t>235) MUHAMMAD FAHMI</t>
  </si>
  <si>
    <t>236) MUHAMMAD FAHRUR ROZI SIREGAR</t>
  </si>
  <si>
    <t>237) MUHAMMAD FAKHRO ROZI</t>
  </si>
  <si>
    <t>238) MUHAMMAD FAUZAN DERMAWAN</t>
  </si>
  <si>
    <t>239) MUHAMMAD HADI SYAHPUTRA</t>
  </si>
  <si>
    <t>240) MUHAMMAD HAKIM PARINDURI</t>
  </si>
  <si>
    <t>241) MUHAMMAD IBNU SYOFWAN</t>
  </si>
  <si>
    <t>242) MUHAMMAD IQBAL NASUTION</t>
  </si>
  <si>
    <t>243) MUHAMMAD IQBAL SIREGAR</t>
  </si>
  <si>
    <t>244) MUHAMMAD NURWANSYAH</t>
  </si>
  <si>
    <t>245) MUHAMMAD PANGERAN HASIBUAN</t>
  </si>
  <si>
    <t>246) MUHAMMAD RAENDI PUTRA JUSTISI</t>
  </si>
  <si>
    <t>247) MUHAMMAD RENU</t>
  </si>
  <si>
    <t>248) MUHAMMAD REZA AZHARI</t>
  </si>
  <si>
    <t>249) MUHAMMAD REZA WIJAYA</t>
  </si>
  <si>
    <t>250) MUHAMMAD SALIM NASUTION</t>
  </si>
  <si>
    <t>251) MUHAMMAD SURATNO, SE</t>
  </si>
  <si>
    <t>252) MUHAMMAD YUNUS RITONGA</t>
  </si>
  <si>
    <t>253) MUHAMMAD YUSUF</t>
  </si>
  <si>
    <t>254) MUHARZAMI</t>
  </si>
  <si>
    <t>255) MUKTI RIZAL</t>
  </si>
  <si>
    <t>256) MULIA SYAHPUTRA PANE</t>
  </si>
  <si>
    <t>257) MUNASSAR MUBARAK SALIM</t>
  </si>
  <si>
    <t>258) MUTIA PEBRINA</t>
  </si>
  <si>
    <t>259) NADA SAFARINA</t>
  </si>
  <si>
    <t>260) NAJRI FARISI</t>
  </si>
  <si>
    <t>261) NAZLISYAH RAMBE</t>
  </si>
  <si>
    <t>262) NIKKI ARTASARI</t>
  </si>
  <si>
    <t>263) NOPRIADI CANDRA SIREGAR</t>
  </si>
  <si>
    <t>264) NOVA WAHYUNI SUSANTY</t>
  </si>
  <si>
    <t>265) NOVELIANTY RUTH IVANNA SIMBOLON</t>
  </si>
  <si>
    <t>266) NOVIAR YUDHISTIRA RINANDA</t>
  </si>
  <si>
    <t>267) NOVITA DONA SARTIKA</t>
  </si>
  <si>
    <t>268) NUGRAHA SAPUTRA</t>
  </si>
  <si>
    <t>269) NUR AFIFAH BATUBARA</t>
  </si>
  <si>
    <t>270) NURHAZIZAH</t>
  </si>
  <si>
    <t>271) NURLELA SARI NASUTION</t>
  </si>
  <si>
    <t>272) NURLIZA SAFITRI</t>
  </si>
  <si>
    <t>273) NURMALA SIREGAR</t>
  </si>
  <si>
    <t>274) NURUL RAUDA PILIANG</t>
  </si>
  <si>
    <t>275) NUZULA AHMAD</t>
  </si>
  <si>
    <t>276) OSHIN ISABELLA ANNA SIHOTANG</t>
  </si>
  <si>
    <t>277) PARSAULIAN SITUMORANG</t>
  </si>
  <si>
    <t>278) PIPI JAYANTI</t>
  </si>
  <si>
    <t>279) PUTRA ANANDA</t>
  </si>
  <si>
    <t>280) PUTRI ASTIKA SARI</t>
  </si>
  <si>
    <t>281) PUTRI FADILLAH HADI MIRSA</t>
  </si>
  <si>
    <t>282) PUTRI LESTARI</t>
  </si>
  <si>
    <t>283) PUTRI RAMADANI</t>
  </si>
  <si>
    <t>284) PUTRI RULINA RAHMI HARAHAP</t>
  </si>
  <si>
    <t>285) RABIATUL ADAWIYAH LUBIS</t>
  </si>
  <si>
    <t>286) RAFITA ATTIA</t>
  </si>
  <si>
    <t>287) RAHAYU</t>
  </si>
  <si>
    <t>288) RAHMADANI PUTRA SINULINGGA</t>
  </si>
  <si>
    <t>289) RAHMADIANI</t>
  </si>
  <si>
    <t>290) RAHMAT ZULHAM</t>
  </si>
  <si>
    <t>291) RAHMAWATI</t>
  </si>
  <si>
    <t>292) RAMIDAH NASUTION</t>
  </si>
  <si>
    <t>293) RANTO LIBREK BOLIVER SINURAT</t>
  </si>
  <si>
    <t>294) RATNA DIANA PANJAITAN</t>
  </si>
  <si>
    <t>295) RATU TRIANA DEWI</t>
  </si>
  <si>
    <t>296) RESTU EMILIA NASUTION</t>
  </si>
  <si>
    <t>297) REYHAN MUSTIKA HAQIQI NASUTION</t>
  </si>
  <si>
    <t>PENDIDIKAN EKONOMI</t>
  </si>
  <si>
    <t>298) REYVAND</t>
  </si>
  <si>
    <t>299) REZA KURNIAWAN</t>
  </si>
  <si>
    <t>300) RICHARD LODEWYK PARIAMAN RUMAHORO</t>
  </si>
  <si>
    <t>301) RICKY ANDRIE</t>
  </si>
  <si>
    <t>Teknik mesin</t>
  </si>
  <si>
    <t>302) RICKY ZOEL FADLY HASIBUAN</t>
  </si>
  <si>
    <t>303) RIDHA SIHOTANG</t>
  </si>
  <si>
    <t>304) RIKA MAYASARI</t>
  </si>
  <si>
    <t>305) RIO AZHARI SIPAHUTAR</t>
  </si>
  <si>
    <t>ILMU JURNALISME</t>
  </si>
  <si>
    <t>306) RIO STEVEN SITORUS</t>
  </si>
  <si>
    <t>307) RIRI KAMELA</t>
  </si>
  <si>
    <t>Teknik Sipil</t>
  </si>
  <si>
    <t>308) RIRIS NATALIA MARPAUNG</t>
  </si>
  <si>
    <t>309) RITA PURNAMASARI</t>
  </si>
  <si>
    <t>310) RITA ZAHARA HASIBUAN</t>
  </si>
  <si>
    <t>311) RIZAL MARTUA HALOMOAN</t>
  </si>
  <si>
    <t>312) RIZKI HAFIZ</t>
  </si>
  <si>
    <t>313) RIZKY ERWANSYAH</t>
  </si>
  <si>
    <t>314) RIZQI FAUZI LIMBONG</t>
  </si>
  <si>
    <t>315) ROBBY DIANATA</t>
  </si>
  <si>
    <t>316) ROBBY KURNIAWAN TARIGAN</t>
  </si>
  <si>
    <t>317) ROBERD HANDI TARIHORAN</t>
  </si>
  <si>
    <t>318) ROSA FADILA SARI LUBIS</t>
  </si>
  <si>
    <t>319) ROSISKA SIJABAT</t>
  </si>
  <si>
    <t>320) ROVI SUTANZA PUTRA HARAHAP</t>
  </si>
  <si>
    <t>321) RUTH MEI LYN</t>
  </si>
  <si>
    <t>322) RYAN BASTARI</t>
  </si>
  <si>
    <t>323) RYAN FAHREZA HARAHAP</t>
  </si>
  <si>
    <t>324) SAMUEL JIFKY ANDERSON HUTAGAOL</t>
  </si>
  <si>
    <t>325) SANDY KARDO SIBARANI</t>
  </si>
  <si>
    <t>326) SANTRI BUANA PERSADA</t>
  </si>
  <si>
    <t>327) SARI ROMAITO SIREGAR</t>
  </si>
  <si>
    <t>328) SARI SALSALINA BR TARIGAN</t>
  </si>
  <si>
    <t>329) SARIPUL AHMAD</t>
  </si>
  <si>
    <t>330) SARTIKA</t>
  </si>
  <si>
    <t>331) SARY PUSPITA ANGGRAINI</t>
  </si>
  <si>
    <t>332) SATRYA WARLYON SITOMPUL</t>
  </si>
  <si>
    <t>333) SEPTI ANGGA</t>
  </si>
  <si>
    <t>334) SEPTI HARIANJA</t>
  </si>
  <si>
    <t>335) SERLIPRASILIA SURBAKTI</t>
  </si>
  <si>
    <t>336) SHILTON GURUSINGA</t>
  </si>
  <si>
    <t>337) SILVANI NASUTION</t>
  </si>
  <si>
    <t>338) SINDY ASRIKA PUTRI, S.E</t>
  </si>
  <si>
    <t>339) SITI ADABIAH PUTRI SIANTURI</t>
  </si>
  <si>
    <t>340) SITI AISYAH SIANTURI</t>
  </si>
  <si>
    <t>341) SITI AMINAH NST</t>
  </si>
  <si>
    <t>342) SITI DINA MALIKAH</t>
  </si>
  <si>
    <t>343) SITI MAISYAROH</t>
  </si>
  <si>
    <t>344) SITI PUTRI LUTHFIYYAH</t>
  </si>
  <si>
    <t>345) SITI SALLY ROSSA</t>
  </si>
  <si>
    <t>346) SITI SARAH YOHANA MANIK</t>
  </si>
  <si>
    <t>347) SITI SHIRLIA VERA A.R</t>
  </si>
  <si>
    <t>Kesehatan Masyarakat</t>
  </si>
  <si>
    <t>348) SITI TASYA AISAH KASLI</t>
  </si>
  <si>
    <t>349) SITTI ASIMA DALIMUNTHE</t>
  </si>
  <si>
    <t>PENDIDIKAN KIMIA</t>
  </si>
  <si>
    <t>350) SONYA SEISARIA LUBIS</t>
  </si>
  <si>
    <t>351) SRI HELMINA JAYA</t>
  </si>
  <si>
    <t>352) SRI MONIKA S</t>
  </si>
  <si>
    <t>353) SRI NURMAWANI</t>
  </si>
  <si>
    <t>354) SRI WULANDARI</t>
  </si>
  <si>
    <t>355) STEVEN BRIAN MARPAUNG</t>
  </si>
  <si>
    <t>356) SUCI ISTIA SARI</t>
  </si>
  <si>
    <t>357) SUKAMTO</t>
  </si>
  <si>
    <t>358) SULAIMAN</t>
  </si>
  <si>
    <t>359) SULAIMAN NASUTION</t>
  </si>
  <si>
    <t>360) SULTAN RAHMAT SYAH YUSFI</t>
  </si>
  <si>
    <t>361) SUPRIADI ANGKAT</t>
  </si>
  <si>
    <t>362) SUSANDI</t>
  </si>
  <si>
    <t>363) SYAFARUDDIN ERLANGGA SARAGIH</t>
  </si>
  <si>
    <t>364) SYAFIRA ZAHRAINY DAULAY</t>
  </si>
  <si>
    <t>365) SYAFRIL HARIYANTO SIPAHUTAR</t>
  </si>
  <si>
    <t>366) SYAFRIZAL</t>
  </si>
  <si>
    <t>367) SYAHWALI ARIE PUTRA PINEM</t>
  </si>
  <si>
    <t>368) SYARAH DHIBA LUBIS</t>
  </si>
  <si>
    <t>369) T M RAHMAT HALIM MULI</t>
  </si>
  <si>
    <t>370) TENGKU MIRDA ANGGI MUTIA</t>
  </si>
  <si>
    <t>371) TENGKU SYAHREANDA</t>
  </si>
  <si>
    <t>372) TENGKU TASYA</t>
  </si>
  <si>
    <t>373) TIARA MASHITA</t>
  </si>
  <si>
    <t>374) TIARMAIDA SIBURIAN</t>
  </si>
  <si>
    <t>375) TIMBUL HENRY YANTO</t>
  </si>
  <si>
    <t>376) TYANI SIREGAR</t>
  </si>
  <si>
    <t>377) ULFA HUDAYAH</t>
  </si>
  <si>
    <t>378) ULFA JULIANTI</t>
  </si>
  <si>
    <t>379) VANDICA VIRELLY Z</t>
  </si>
  <si>
    <t>380) VEBYANI DALIMUNTHE</t>
  </si>
  <si>
    <t>381) VHARA DIVA WIJAYA</t>
  </si>
  <si>
    <t>382) VINARIA MARBUN</t>
  </si>
  <si>
    <t>383) VIVIOLETTA</t>
  </si>
  <si>
    <t>384) WAHYUNI</t>
  </si>
  <si>
    <t>385) WELDY MAULANA</t>
  </si>
  <si>
    <t>386) WENI PRATIWI GINTING</t>
  </si>
  <si>
    <t>387) WINDA RINIOKTAVIA REGINA SIMBOLON</t>
  </si>
  <si>
    <t>388) WIRA PRATIWI WH</t>
  </si>
  <si>
    <t>389) YARA NAZHIRA LUBIS</t>
  </si>
  <si>
    <t>390) YEPI WISUDASARI SASMIKA</t>
  </si>
  <si>
    <t>391) YESSIMARA WARDHANI</t>
  </si>
  <si>
    <t>392) YETTI GUSMIRANDA</t>
  </si>
  <si>
    <t>393) YOANITA ELYSABET HUTABARAT</t>
  </si>
  <si>
    <t>394) YUDITH INDRA MALON SIREGAR</t>
  </si>
  <si>
    <t>395) YUKI MARSELLA DAMANIK</t>
  </si>
  <si>
    <t>396) YULHENDRA</t>
  </si>
  <si>
    <t>397) YULI SUHARRY</t>
  </si>
  <si>
    <t>398) ZAENAB FARHANA</t>
  </si>
  <si>
    <t>399) ZUANSYAHDANA HASIBUAN</t>
  </si>
  <si>
    <t>Studi kepemerintahan</t>
  </si>
  <si>
    <t>400) ZULFIKAR MATONDANG</t>
  </si>
  <si>
    <t>401) ZULTONI MATONDANG</t>
  </si>
  <si>
    <t>1) ABDUL RAHMAN, S.I.KOM</t>
  </si>
  <si>
    <t>2) ADNIN MAUDUDY LUBIS, S.E.</t>
  </si>
  <si>
    <t>3) ALVHANT SYAFRI</t>
  </si>
  <si>
    <t>4) AMRIL SYAHPUTRA TANJUNG, S.SOS</t>
  </si>
  <si>
    <t>(1. Prajabatan / LATSAR
2. )</t>
  </si>
  <si>
    <t>5) ANGGI ANGGRIANI , S.E, M.SC, M.A</t>
  </si>
  <si>
    <t>6) ANWAR YUSANDI NASUTION, S.E.</t>
  </si>
  <si>
    <t>7) ARDINA MALANNY LUBIS</t>
  </si>
  <si>
    <t>8) BEBY AGUSTINA SIREGAR, S.AK</t>
  </si>
  <si>
    <t>9) BERTAHULINA BR PELAWI, S.M.</t>
  </si>
  <si>
    <t>10) CHALID FAHMI, S.E.</t>
  </si>
  <si>
    <t>11) CHINDY MEIRANI, S.E., M.M.</t>
  </si>
  <si>
    <t>12) CHRISTIAN GINTING, S.E.</t>
  </si>
  <si>
    <t>13) DANIEL MARPAUNG, S.E.</t>
  </si>
  <si>
    <t>14) DEDI DARMADI, S.T</t>
  </si>
  <si>
    <t>15) DEDY SUHENDRA</t>
  </si>
  <si>
    <t>16) DEWI LAURA SIMANJUNTAK, S.AK</t>
  </si>
  <si>
    <t>17) DEWI LESTARI, S.E.</t>
  </si>
  <si>
    <t>18) DIMPOS YUSTINUS SORMIN , M.PD</t>
  </si>
  <si>
    <t>19) DINDA SHAFIRA RASULY, S.TR.IP</t>
  </si>
  <si>
    <t>20) DONA ANDRIYANI HASIBUAN, SE</t>
  </si>
  <si>
    <t>21) ELISABET RITA KAROLINA SIMBOLON, S.E., M.M.</t>
  </si>
  <si>
    <t>22) ELVINA SARI, S.E.</t>
  </si>
  <si>
    <t>23) ENDANG SISWATI</t>
  </si>
  <si>
    <t>24) FAISAL, S.E, M.M</t>
  </si>
  <si>
    <t>25) FATIMAH ZURIA, S.E., M.SI.</t>
  </si>
  <si>
    <t>26) FITRI ARUNA SIREGAR, S.SI, M.SI</t>
  </si>
  <si>
    <t>27) GAMAL, S.E.</t>
  </si>
  <si>
    <t>28) HASTIKA RAHAYU HS, S.AP, M.A.P.</t>
  </si>
  <si>
    <t>29) HENDRA ALPIANSYAH PUTRA, S.E.</t>
  </si>
  <si>
    <t>30) HERIDJON TUMPAL MARGANDA SIHOMBING, S.SOS, M.SI</t>
  </si>
  <si>
    <t>(1. PIM III / SPAMA / SPADYA / PKA
2. PIM IV / ADUM / ADUMLA / SEPALA / PKP
3. Prajabatan / LATSAR
4. Prajabatan / LATSAR)</t>
  </si>
  <si>
    <t>31) HERMAWARNI, S.E., M.M</t>
  </si>
  <si>
    <t>32) HIKMAH NAZLI HASIBUAN, S.E.</t>
  </si>
  <si>
    <t>33) IDA BERLIANA BR GINTING, S.E., M.M</t>
  </si>
  <si>
    <t>34) ILHAM NUR, S.E, MM</t>
  </si>
  <si>
    <t>35) INDAH HAYATI TANJUNG, SE</t>
  </si>
  <si>
    <t>36) IRSAN SIREGAR</t>
  </si>
  <si>
    <t>37) ISNA ELFIRA TARIGAN, SE</t>
  </si>
  <si>
    <t>38) JAKUB GINTING, S.E.</t>
  </si>
  <si>
    <t>39) JAMALUDDIN, S.H.</t>
  </si>
  <si>
    <t>40) JULIANA SAFITRI, S.E</t>
  </si>
  <si>
    <t>41) KHAIRLINA FIRST SARI CHAN, S.E.</t>
  </si>
  <si>
    <t>42) KOKO MAGRISA FAISAL SIREGAR, S.E.</t>
  </si>
  <si>
    <t>43) LUCYANNA ANDRIANITA BR TARIGAN, S.SOS</t>
  </si>
  <si>
    <t>44) LUTHFIYAH, S.SOS.</t>
  </si>
  <si>
    <t>45) M. LUTHFI S, S.E.</t>
  </si>
  <si>
    <t>46) MAHBUB BATUBARA, S.KOM.</t>
  </si>
  <si>
    <t>47) MARADONA HERDIN SIREGAR, S.M</t>
  </si>
  <si>
    <t>48) MASLINA FITRIYANTI SIREGAR, S.E.</t>
  </si>
  <si>
    <t>49) MEITA BOINA NAPITUPULU, S.PI</t>
  </si>
  <si>
    <t>50) MUHAMMAD ICHSAN, S.H.</t>
  </si>
  <si>
    <t>51) MUHAMMAD SORIMUDA PANE, S.TR.IP</t>
  </si>
  <si>
    <t>52) MUHAMMAD YUSUF DAULAY, S.E</t>
  </si>
  <si>
    <t>53) NATA LIZA DINATA, S.E.</t>
  </si>
  <si>
    <t>54) NAZWA MUIS, S.H.,M.KN</t>
  </si>
  <si>
    <t>55) NIKMAL FAUZI LUBIS, S.T.</t>
  </si>
  <si>
    <t>56) NILAWATI</t>
  </si>
  <si>
    <t>57) NOVA DWIYANA, S.MN., M.SI</t>
  </si>
  <si>
    <t>58) NOVITA ANGGRAINI NASUTION, S.E.</t>
  </si>
  <si>
    <t>59) NUR ARIFIN, S.H. M.M.</t>
  </si>
  <si>
    <t>60) NURINTAN HASIBUAN, S.E.</t>
  </si>
  <si>
    <t>61) NURJANI HARAHAP</t>
  </si>
  <si>
    <t>62) RAHADIAN EDWIN, S.E.</t>
  </si>
  <si>
    <t>63) RAHMAD PANUSUNAN SIREGAR, S.E</t>
  </si>
  <si>
    <t>64) RAJA HUMANY SIREGAR, SE, M.SI</t>
  </si>
  <si>
    <t>65) RATIH UTAMI NINGSIH, S.SOS</t>
  </si>
  <si>
    <t>66) REZA FAHMI, S.A.P.</t>
  </si>
  <si>
    <t>67) RIA MELATI, S.E.</t>
  </si>
  <si>
    <t>68) RIANI YANTY HARIANJA, S.E.</t>
  </si>
  <si>
    <t>69) RICKY NUZIRWAN, A.MD. S.AK</t>
  </si>
  <si>
    <t>70) RIKA MEILIA TARIGAN, S.E.</t>
  </si>
  <si>
    <t>71) ROSANA FODESTA SIMANJUNTAK, SE, MM</t>
  </si>
  <si>
    <t>72) RUDI KURNIAWAN, S.E.</t>
  </si>
  <si>
    <t>73) RUSHENDRI, S.SOS, M.SI</t>
  </si>
  <si>
    <t>74) SARMILA BR. SEMBIRING, S.E.</t>
  </si>
  <si>
    <t>75) SRI NURMALA SURBAKTI, SHI</t>
  </si>
  <si>
    <t>76) SRI WARDHANY, S.E.</t>
  </si>
  <si>
    <t>77) SRI YUNINGSIH, S.AG, MM</t>
  </si>
  <si>
    <t>78) SUKANDAR</t>
  </si>
  <si>
    <t>79) SUMASNI SINURAT, S.SOS</t>
  </si>
  <si>
    <t>80) SUMIATI SIREGAR, S.SOS, M.SI</t>
  </si>
  <si>
    <t>81) SUSILOWATI, S.P, M.M.</t>
  </si>
  <si>
    <t>82) SYAFRIL HASAN HARAHAP</t>
  </si>
  <si>
    <t>83) SYAHRAN HARAHAP, S.T.</t>
  </si>
  <si>
    <t>84) SYAHRI DENNY LUBIS, S.E.</t>
  </si>
  <si>
    <t>85) T. HARUN AL-RASYID, SE</t>
  </si>
  <si>
    <t>86) UMI UMAMI LUBIS, S.E.</t>
  </si>
  <si>
    <t>87) WILDA MEDANI, S.KOM</t>
  </si>
  <si>
    <t>88) WIWIEK DESY ANDRIANY, S.H.</t>
  </si>
  <si>
    <t>89) YANTI ZULHAFNY S, S.E., M.M.</t>
  </si>
  <si>
    <t>90) YEMKI SATRIA, S.SOS, M.M.</t>
  </si>
  <si>
    <t>91) YURIKA AVRILIA SIREGAR, S.STP</t>
  </si>
  <si>
    <t>92) ZUL FAHRI</t>
  </si>
  <si>
    <t>1) ADITAWARMAN DAMANIK</t>
  </si>
  <si>
    <t>2) AFRINAWATI PANE</t>
  </si>
  <si>
    <t>3) ALI FAZRI HARAHAP</t>
  </si>
  <si>
    <t>4) ARSAD HUSIN</t>
  </si>
  <si>
    <t>5) DINA AWAD ABDAT</t>
  </si>
  <si>
    <t>6) HETTY SOLIN, S.E</t>
  </si>
  <si>
    <t>7) IRA PUSPASARI NATALIA, S.E.</t>
  </si>
  <si>
    <t>8) IRPAN HENDRIK</t>
  </si>
  <si>
    <t>9) MARA PANDE HASIBUAN</t>
  </si>
  <si>
    <t>10) MARTIVEN SITANGGANG, A.MD</t>
  </si>
  <si>
    <t>11) MAWARDI</t>
  </si>
  <si>
    <t>12) MAYA SUHERA</t>
  </si>
  <si>
    <t>13) MUHAMMAD MUNIR</t>
  </si>
  <si>
    <t>14) MUHAMMAD NUR AZADDIN</t>
  </si>
  <si>
    <t>15) MUHAMMAD ZULKARNAEN</t>
  </si>
  <si>
    <t>16) MULIANI ULFA</t>
  </si>
  <si>
    <t>17) NONI ARYATI DEWI SYAFITRI</t>
  </si>
  <si>
    <t>18) RAHMAINI</t>
  </si>
  <si>
    <t>19) RISDIANTO</t>
  </si>
  <si>
    <t>20) RISMAWATI, S.E.</t>
  </si>
  <si>
    <t>21) RONALD PARULIAN SIRAIT, SP</t>
  </si>
  <si>
    <t>22) ROSIANNA SENTARIA TAMPUBOLON, A.MD</t>
  </si>
  <si>
    <t>23) TENGKU FAUZIAH</t>
  </si>
  <si>
    <t>24) TENGKU YUNITA RULINA</t>
  </si>
  <si>
    <t>1) ARBI VIDINTA TARIGAN</t>
  </si>
  <si>
    <t>2) ARIFAH SELTIA LUBIS</t>
  </si>
  <si>
    <t>3) CHANDRA PARNINGOTAN SIHOMBING, A.MD.PAR</t>
  </si>
  <si>
    <t>Manajemen Perencanaan dan Pemasaran Pariwisata</t>
  </si>
  <si>
    <t>4) DENNY SYAHPUTRA</t>
  </si>
  <si>
    <t>5) DIVA FITRIA ASKARI, A.MD</t>
  </si>
  <si>
    <t>Bahasa Jepang</t>
  </si>
  <si>
    <t>6) EFRIANA STEPHANY, A.MD</t>
  </si>
  <si>
    <t>7) EGIA SURANTA KEMBAREN, A.MD</t>
  </si>
  <si>
    <t>8) EVEIS RUMITA SARTIKA PASARIBU, A.MD.</t>
  </si>
  <si>
    <t>9) EVI NOVITA BR GINTING</t>
  </si>
  <si>
    <t>10) GARDEN MARHASIL</t>
  </si>
  <si>
    <t>11) GUDO HARIONO</t>
  </si>
  <si>
    <t>12) HALID AMRA</t>
  </si>
  <si>
    <t>13) HALIMAH NASUTION</t>
  </si>
  <si>
    <t>14) HENDRA NASUTION, A.MD</t>
  </si>
  <si>
    <t>Manajemen Informatika Dan Komputer</t>
  </si>
  <si>
    <t>15) HENDRIKO MARTIN</t>
  </si>
  <si>
    <t>16) HERMANTO PANJAITAN</t>
  </si>
  <si>
    <t>17) IRHAM ASMAR</t>
  </si>
  <si>
    <t>18) IRMA</t>
  </si>
  <si>
    <t>19) ISWAN HARDIANSYAH</t>
  </si>
  <si>
    <t>20) JIMI WALTER SITUMORANG</t>
  </si>
  <si>
    <t>21) JULIAWAN KESUMA</t>
  </si>
  <si>
    <t>22) KEMUDY SILVINUS GINTING</t>
  </si>
  <si>
    <t>23) LENNY ENDRIANY PURBA</t>
  </si>
  <si>
    <t>24) M RIDHO CHASAZU NASUTION, A.MD.</t>
  </si>
  <si>
    <t>PERJALANAN WISATA</t>
  </si>
  <si>
    <t>25) MEHDHIKA RUZI, A.MD</t>
  </si>
  <si>
    <t>Teknik Komputer</t>
  </si>
  <si>
    <t>26) MOHAMMAD RIFASA</t>
  </si>
  <si>
    <t>27) MONALISA REBINA BR GINTING</t>
  </si>
  <si>
    <t>28) MUAMMAR KADAFI HARAHAP, A.MD.KOM</t>
  </si>
  <si>
    <t>29) NANDA PRIYATNO</t>
  </si>
  <si>
    <t>30) NIA SYAHRINA BATUBARA A.MD</t>
  </si>
  <si>
    <t>31) NOVITA GINTING</t>
  </si>
  <si>
    <t>32) NURMAIDA MOLVO HUTAURUK, A.MD</t>
  </si>
  <si>
    <t>33) NURSIYAH</t>
  </si>
  <si>
    <t>34) PARULIAN SILITONGA</t>
  </si>
  <si>
    <t>ILMU GIZI</t>
  </si>
  <si>
    <t>35) PUTRI AYU NINGSIH, A.MD.AK.</t>
  </si>
  <si>
    <t>36) RETTA KELIAT, A.MD</t>
  </si>
  <si>
    <t>37) RICHARD SILITONGA</t>
  </si>
  <si>
    <t>38) RICKY MAHENDA SEMBIRING, A.MD.</t>
  </si>
  <si>
    <t>Perhotelan</t>
  </si>
  <si>
    <t>39) RIZKA SHAFITRI</t>
  </si>
  <si>
    <t>40) RIZKY MIRANDA</t>
  </si>
  <si>
    <t>41) ROSMENNY SIPAYUNG</t>
  </si>
  <si>
    <t>42) SOFIANSYAH RITONGA, A.MD.</t>
  </si>
  <si>
    <t>43) TOMMY OCTAVIANUS TARIGAN</t>
  </si>
  <si>
    <t>44) TRIS AGUSTINA, A.MD</t>
  </si>
  <si>
    <t>Fisika Instrumentasi</t>
  </si>
  <si>
    <t>45) VIVI IRIANTI</t>
  </si>
  <si>
    <t>46) WIDYA SRI ULINA</t>
  </si>
  <si>
    <t>47) YACOBUS JANSEN, AMD.KOM</t>
  </si>
  <si>
    <t>48) ZULFIKAR ALDY, A.MD</t>
  </si>
  <si>
    <t>Perbankan dan Keuangan</t>
  </si>
  <si>
    <t>1) AMIR SUDIANTO HAMID</t>
  </si>
  <si>
    <t>2) INDRA</t>
  </si>
  <si>
    <t>3) MIFTACHULLOH</t>
  </si>
  <si>
    <t>4) MUHAMMAD YUSUF</t>
  </si>
  <si>
    <t>1) ABDULLAH HAKIM DONGORAN, ST, M.SI</t>
  </si>
  <si>
    <t>2) ABEL GURUSINGA, S.SOS</t>
  </si>
  <si>
    <t>3) ADRIAN, SH</t>
  </si>
  <si>
    <t>4) AHMAD SAI SAMOSIR, S.SOS, M.SI</t>
  </si>
  <si>
    <t>5) ALDRIANSYAH SIREGAR , S.PD</t>
  </si>
  <si>
    <t>6) ALI AKBAR, S.E.</t>
  </si>
  <si>
    <t>7) ALPIAN HADI SIREGAR, S.E., M.SP</t>
  </si>
  <si>
    <t>8) ANDRY HASAN NASUTION, S.E.</t>
  </si>
  <si>
    <t>9) ANNA SARI HASIBUAN, S.E.</t>
  </si>
  <si>
    <t>10) ARWENDA SARDI MALAU, A.MD.</t>
  </si>
  <si>
    <t>11) AULIA DARWAN, S.KOM.</t>
  </si>
  <si>
    <t>12) BAMBANG HENDRATMO, SE, M.M</t>
  </si>
  <si>
    <t>13) BHAKTI MUSLIM, SE</t>
  </si>
  <si>
    <t>14) DARWIN PAHOTAN MARPAUNG, S.E.</t>
  </si>
  <si>
    <t>15) DEDY RUSTAM ALAMSYAH NASUTION, S.STP, M.SP</t>
  </si>
  <si>
    <t>16) DELISMAN, S.E.</t>
  </si>
  <si>
    <t>17) DETA MUSTARA, S.E.</t>
  </si>
  <si>
    <t>18) EDDUWIN SYAHPUTRA, S.E.</t>
  </si>
  <si>
    <t>19) ELSANA GINTING, S.E., M.A.P</t>
  </si>
  <si>
    <t>20) ENDANG TRI LESTARI, S.T.</t>
  </si>
  <si>
    <t>21) ERMIDA SIREGAR</t>
  </si>
  <si>
    <t>22) EVI INDRIANI, A.MD.</t>
  </si>
  <si>
    <t>23) FAHRI ISKANDAR SYAH, S.E, MM</t>
  </si>
  <si>
    <t>24) FAJAR AMRAN KAMAL, S.H.</t>
  </si>
  <si>
    <t>25) GAZALI SORMIN</t>
  </si>
  <si>
    <t>26) GLORIA NATALITA, A.MD.</t>
  </si>
  <si>
    <t>27) GUGUS PRASTIYO, S.E.</t>
  </si>
  <si>
    <t>28) HAIRANI, A.MD.</t>
  </si>
  <si>
    <t>29) HASAN MUHAMMAD, S.E</t>
  </si>
  <si>
    <t>30) HELENA RANGKUTI, S.E.</t>
  </si>
  <si>
    <t>31) HENDRA ASMILAN, S.IP., M.A.P.</t>
  </si>
  <si>
    <t>(1. PIM IV / ADUM / ADUMLA / SEPALA / PKP
2. PIM III / SPAMA / SPADYA / PKA)</t>
  </si>
  <si>
    <t>32) HERI RIFAI S</t>
  </si>
  <si>
    <t>33) HERI SUPARJAN PASARIBU, S.SOS</t>
  </si>
  <si>
    <t>34) HERMAWAN, S.SOS</t>
  </si>
  <si>
    <t>35) ILHAM PRIHATIN, S.E.</t>
  </si>
  <si>
    <t>36) IMMANUEL CARLY LUMBAN TOBING, S.E</t>
  </si>
  <si>
    <t>37) IRDA FAIROUZ, S.SOS, MSP</t>
  </si>
  <si>
    <t>(1. Prajabatan / LATSAR
2. Prajabatan / LATSAR
3. PIM IV / ADUM / ADUMLA / SEPALA / PKP)</t>
  </si>
  <si>
    <t>38) IRMA NURHASANAH RANGKUTI, SE</t>
  </si>
  <si>
    <t>39) ISKANDAR PRAJA</t>
  </si>
  <si>
    <t>40) ISMA BRINA BR. BUKIT, S.E.</t>
  </si>
  <si>
    <t>41) IVAN WINARTA, S.SOS, M.A.P.</t>
  </si>
  <si>
    <t>42) JENNI IRAWATI TANJUNG, S.E.</t>
  </si>
  <si>
    <t>43) JULIANDI</t>
  </si>
  <si>
    <t>44) JUNITA FAUZIAH NASUTION, S.H.</t>
  </si>
  <si>
    <t>45) KHAIRIZA HAFNY HASIBUAN, S.E.</t>
  </si>
  <si>
    <t>46) KHOIRUL EFFENDY SIREGAR, S.T.</t>
  </si>
  <si>
    <t>47) LAILATUL HUSNA, S.E., M.M.</t>
  </si>
  <si>
    <t>48) LINKON SITEPU</t>
  </si>
  <si>
    <t>49) LISBET TARIHORAN, A.MD.</t>
  </si>
  <si>
    <t>50) M. SYAFARUDDIN RITONGA, S.H.</t>
  </si>
  <si>
    <t>51) MAHADI SYAHPUTRA, S.E.</t>
  </si>
  <si>
    <t>52) MALIM, S.E.</t>
  </si>
  <si>
    <t>53) MANANTI PANE, S.H, M.H</t>
  </si>
  <si>
    <t>54) MARLON DAMA HASIHOLAN, SH, M.H</t>
  </si>
  <si>
    <t>55) MASKUD SUASONO, S.SI</t>
  </si>
  <si>
    <t>56) MAYA WIJAYA</t>
  </si>
  <si>
    <t>57) MEDIAN RAMADHIN, S.H.</t>
  </si>
  <si>
    <t>58) MIRA SILVIA, A.MD.</t>
  </si>
  <si>
    <t>59) MIRANDA</t>
  </si>
  <si>
    <t>60) MOH. ARI SAKTRIYANTO. P, S.E.</t>
  </si>
  <si>
    <t>61) MUHAMMAD ARISY, S.E.</t>
  </si>
  <si>
    <t>62) MUHAMMAD FAHMI LUBIS, A.MD.</t>
  </si>
  <si>
    <t>63) MUHAMMAD NANDA HARAPAN SIREGAR, S.STP</t>
  </si>
  <si>
    <t>64) MUHAMMAD NURHAKIM, S.H.</t>
  </si>
  <si>
    <t>65) NAUDUR SIMANJUNTAK, S.SOS</t>
  </si>
  <si>
    <t>66) PARUHUMAN SIREGAR, S.T.</t>
  </si>
  <si>
    <t>67) POLTAK CHRISIE TUMANGGOR, S.E.</t>
  </si>
  <si>
    <t>68) RACHMADSYAH, S.H.</t>
  </si>
  <si>
    <t>69) RAHMAD NUR H LUBIS, S.H.</t>
  </si>
  <si>
    <t>70) RIA SRI ASTUTI, S.TR.GZ.</t>
  </si>
  <si>
    <t>71) RICO REVADA PERDANA, S.E.</t>
  </si>
  <si>
    <t>72) RIDHA AFANI HASIBUAN, S.E.</t>
  </si>
  <si>
    <t>73) RIKKI ZULHARI, S.T., M.M.</t>
  </si>
  <si>
    <t>74) RINSAN RONALD ROGANDA SITANGGANG, A.MD.</t>
  </si>
  <si>
    <t>75) RIZAM ANANDA HARAHAP, SP. MM</t>
  </si>
  <si>
    <t>76) ROSMANIAR, S.SOS</t>
  </si>
  <si>
    <t>77) RUSLAN EFFENDI, S.E</t>
  </si>
  <si>
    <t>78) SARNO, S.E.</t>
  </si>
  <si>
    <t>79) SITI RAHMAH HASIBUAN, S.SOS</t>
  </si>
  <si>
    <t>80) SRI DINA SIREGAR, A.MD.</t>
  </si>
  <si>
    <t>81) SRI MARINI, S.E.</t>
  </si>
  <si>
    <t>82) SRI MEILIYANTI RANGKUTY, S.H.</t>
  </si>
  <si>
    <t>83) SRI REZEKI, S.SOS, M.M.</t>
  </si>
  <si>
    <t>84) SUHERYATI AGUSTINA, SE</t>
  </si>
  <si>
    <t>85) SURAJADI, S.E.</t>
  </si>
  <si>
    <t>86) SURIYATI, S.SOS, M.A.P.</t>
  </si>
  <si>
    <t>87) SURYA FAZAR NASUTION, S.E.</t>
  </si>
  <si>
    <t>88) SYAHRUDDIN SIREGAR, S.E., MM</t>
  </si>
  <si>
    <t>89) SYOPHIA NELY, S.H.</t>
  </si>
  <si>
    <t>90) T. CHAIRUL ZIKO, S.E.</t>
  </si>
  <si>
    <t>91) T. FAUZAN FIKRI, S.T.</t>
  </si>
  <si>
    <t>92) TARNAMA KHARTA MARINUS SIHOTANG, S.E., MM</t>
  </si>
  <si>
    <t>93) TEDDY ARMAYA, S.T.</t>
  </si>
  <si>
    <t>94) TETTY MARYANINGRUM, S.H.</t>
  </si>
  <si>
    <t>95) TINA MALINDA LUMBANTOBING, S.M</t>
  </si>
  <si>
    <t>96) WINDA HASTRINI HARAHAP, S.M.</t>
  </si>
  <si>
    <t>97) YUDHI HERIANTO, S.T.,M.M.</t>
  </si>
  <si>
    <t>98) YULIA RIZKA, S.SOS</t>
  </si>
  <si>
    <t>99) YULVIDA MULFA, S.KOM, M.M</t>
  </si>
  <si>
    <t>100) YUNIZAR, S.E., M.M</t>
  </si>
  <si>
    <t>101) ZULFAKHRI AHMADI, S.SOS</t>
  </si>
  <si>
    <t>1) RICKY NELSON BUDIMAN SIHITE, SE, MSE</t>
  </si>
  <si>
    <t>(1. 
2. )</t>
  </si>
  <si>
    <t>CALON PEGAWAI NEGERI SIPIL</t>
  </si>
  <si>
    <t>1) ALIF RIZKY PURWANTO, S.KOM</t>
  </si>
  <si>
    <t>2) FOLKEN BERG SETIAWAN ARUAN, S.AK.</t>
  </si>
  <si>
    <t>3) GOMGOM TRIMINAR SIRINGORINGO, S.PN.</t>
  </si>
  <si>
    <t>4) LILIS ATIKA MANURUNG, S.E.</t>
  </si>
  <si>
    <t>5) LIZA NOVIANTI, S.AK.</t>
  </si>
  <si>
    <t>6) MHD WAWIN ALBANI, S.AK.</t>
  </si>
  <si>
    <t>7) NUR ANNISA NASUTION, S.KOM</t>
  </si>
  <si>
    <t>8) TIUR NORITA SARI MANURUNG, S.H.</t>
  </si>
  <si>
    <t>9) YUNINGSIH, S.H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</si>
</sst>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\-mm\-yyyy"/>
    <numFmt numFmtId="165" formatCode="d\ mmmm\ yyyy"/>
    <numFmt numFmtId="166" formatCode="yyyy\-mm\-dd"/>
    <numFmt numFmtId="167" formatCode="mm-dd-yyyy"/>
    <numFmt numFmtId="168" formatCode="yyyy-mm-dd"/>
    <numFmt numFmtId="169" formatCode="d mmmm yyyy"/>
    <numFmt numFmtId="170" formatCode="dd\ mmmm\ yyyy"/>
    <numFmt numFmtId="171" formatCode="_-* #,##0.00_-;\-* #,##0.00_-;_-* &quot;-&quot;??_-;_-@"/>
    <numFmt numFmtId="172" formatCode="dd mmmm yyyy"/>
  </numFmts>
  <fonts count="3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9.0"/>
      <color theme="1"/>
      <name val="Calibri"/>
    </font>
    <font/>
    <font>
      <i/>
      <sz val="9.0"/>
      <color theme="1"/>
      <name val="Calibri"/>
    </font>
    <font>
      <b/>
      <i/>
      <sz val="9.0"/>
      <color theme="1"/>
      <name val="Calibri"/>
    </font>
    <font>
      <sz val="9.0"/>
      <color rgb="FF000000"/>
      <name val="Calibri"/>
    </font>
    <font>
      <b/>
      <sz val="9.0"/>
      <color rgb="FF000000"/>
      <name val="Calibri"/>
    </font>
    <font>
      <sz val="9.0"/>
      <color theme="1"/>
      <name val="Calibri"/>
    </font>
    <font>
      <u/>
      <sz val="9.0"/>
      <color rgb="FF000000"/>
      <name val="Calibri"/>
    </font>
    <font>
      <sz val="9.0"/>
      <color rgb="FFFF0000"/>
      <name val="Calibri"/>
    </font>
    <font>
      <sz val="10.0"/>
      <color rgb="FF000000"/>
      <name val="Arial"/>
    </font>
    <font>
      <u/>
      <sz val="9.0"/>
      <color rgb="FF000000"/>
      <name val="Calibri"/>
    </font>
    <font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b/>
      <sz val="12.0"/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9.0"/>
      <color theme="1"/>
      <name val="Arial"/>
    </font>
    <font>
      <u/>
      <sz val="9.0"/>
      <color rgb="FF000000"/>
      <name val="Calibri"/>
    </font>
    <font>
      <sz val="11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</font>
    <font>
      <sz val="11.0"/>
      <color rgb="FF271D20"/>
      <name val="Arial"/>
      <scheme val="minor"/>
    </font>
    <font>
      <color rgb="FF000000"/>
      <name val="Arial"/>
      <scheme val="minor"/>
    </font>
    <font>
      <sz val="11.0"/>
      <color rgb="FF1A1A1A"/>
      <name val="Arial"/>
      <scheme val="minor"/>
    </font>
    <font>
      <sz val="11.0"/>
      <color rgb="FF0000FF"/>
      <name val="Arial"/>
      <scheme val="minor"/>
    </font>
    <font>
      <sz val="11.0"/>
      <color rgb="FF000008"/>
      <name val="Arial"/>
      <scheme val="minor"/>
    </font>
    <font>
      <sz val="11.0"/>
      <color rgb="FF2F2932"/>
      <name val="Arial"/>
      <scheme val="minor"/>
    </font>
    <font>
      <b/>
      <sz val="16.0"/>
      <color rgb="FF000000"/>
      <name val="Calibri"/>
    </font>
    <font>
      <sz val="16.0"/>
      <color theme="1"/>
      <name val="Arial"/>
      <scheme val="minor"/>
    </font>
    <font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D9E6FC"/>
        <bgColor rgb="FFD9E6FC"/>
      </patternFill>
    </fill>
    <fill>
      <patternFill patternType="solid">
        <fgColor rgb="FFFAD9D6"/>
        <bgColor rgb="FFFAD9D6"/>
      </patternFill>
    </fill>
    <fill>
      <patternFill patternType="solid">
        <fgColor theme="0"/>
        <bgColor theme="0"/>
      </patternFill>
    </fill>
    <fill>
      <patternFill patternType="solid">
        <fgColor rgb="FFD0E0E3"/>
        <bgColor rgb="FFD0E0E3"/>
      </patternFill>
    </fill>
    <fill>
      <patternFill patternType="solid">
        <fgColor rgb="FF4A86E8"/>
        <bgColor rgb="FF4A86E8"/>
      </patternFill>
    </fill>
    <fill>
      <patternFill patternType="solid">
        <fgColor rgb="FFF2F2F2"/>
        <bgColor rgb="FFF2F2F2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0"/>
    </xf>
    <xf borderId="0" fillId="0" fontId="2" numFmtId="49" xfId="0" applyAlignment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49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0"/>
    </xf>
    <xf borderId="6" fillId="0" fontId="4" numFmtId="0" xfId="0" applyBorder="1" applyFont="1"/>
    <xf borderId="7" fillId="0" fontId="4" numFmtId="0" xfId="0" applyBorder="1" applyFont="1"/>
    <xf borderId="5" fillId="0" fontId="5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5" fillId="0" fontId="6" numFmtId="49" xfId="0" applyAlignment="1" applyBorder="1" applyFont="1" applyNumberFormat="1">
      <alignment horizontal="center" vertical="center"/>
    </xf>
    <xf borderId="5" fillId="0" fontId="6" numFmtId="0" xfId="0" applyAlignment="1" applyBorder="1" applyFont="1">
      <alignment horizontal="center" shrinkToFit="0" vertical="center" wrapText="0"/>
    </xf>
    <xf borderId="5" fillId="2" fontId="7" numFmtId="0" xfId="0" applyAlignment="1" applyBorder="1" applyFill="1" applyFont="1">
      <alignment horizontal="left" readingOrder="0" shrinkToFit="0" vertical="center" wrapText="0"/>
    </xf>
    <xf quotePrefix="1" borderId="5" fillId="2" fontId="7" numFmtId="49" xfId="0" applyAlignment="1" applyBorder="1" applyFont="1" applyNumberFormat="1">
      <alignment horizontal="left" readingOrder="0" shrinkToFit="0" vertical="center" wrapText="0"/>
    </xf>
    <xf borderId="5" fillId="2" fontId="8" numFmtId="0" xfId="0" applyAlignment="1" applyBorder="1" applyFont="1">
      <alignment horizontal="left" readingOrder="0" shrinkToFit="0" vertical="center" wrapText="0"/>
    </xf>
    <xf borderId="5" fillId="2" fontId="8" numFmtId="164" xfId="0" applyAlignment="1" applyBorder="1" applyFont="1" applyNumberFormat="1">
      <alignment horizontal="left" readingOrder="0" shrinkToFit="0" vertical="center" wrapText="0"/>
    </xf>
    <xf borderId="5" fillId="2" fontId="7" numFmtId="164" xfId="0" applyAlignment="1" applyBorder="1" applyFont="1" applyNumberFormat="1">
      <alignment horizontal="left" readingOrder="0" shrinkToFit="0" vertical="center" wrapText="0"/>
    </xf>
    <xf borderId="5" fillId="2" fontId="8" numFmtId="164" xfId="0" applyAlignment="1" applyBorder="1" applyFont="1" applyNumberFormat="1">
      <alignment horizontal="left" shrinkToFit="0" vertical="center" wrapText="0"/>
    </xf>
    <xf borderId="5" fillId="2" fontId="7" numFmtId="165" xfId="0" applyAlignment="1" applyBorder="1" applyFont="1" applyNumberFormat="1">
      <alignment horizontal="left" readingOrder="0" shrinkToFit="0" vertical="center" wrapText="0"/>
    </xf>
    <xf borderId="5" fillId="2" fontId="8" numFmtId="166" xfId="0" applyAlignment="1" applyBorder="1" applyFont="1" applyNumberFormat="1">
      <alignment horizontal="left" readingOrder="0" shrinkToFit="0" vertical="center" wrapText="0"/>
    </xf>
    <xf borderId="5" fillId="2" fontId="8" numFmtId="166" xfId="0" applyAlignment="1" applyBorder="1" applyFont="1" applyNumberFormat="1">
      <alignment horizontal="left" shrinkToFit="0" vertical="center" wrapText="0"/>
    </xf>
    <xf borderId="5" fillId="2" fontId="7" numFmtId="0" xfId="0" applyAlignment="1" applyBorder="1" applyFont="1">
      <alignment horizontal="left" shrinkToFit="0" vertical="center" wrapText="0"/>
    </xf>
    <xf quotePrefix="1" borderId="5" fillId="2" fontId="8" numFmtId="0" xfId="0" applyAlignment="1" applyBorder="1" applyFont="1">
      <alignment horizontal="left" readingOrder="0" shrinkToFit="0" vertical="center" wrapText="0"/>
    </xf>
    <xf borderId="5" fillId="2" fontId="8" numFmtId="167" xfId="0" applyAlignment="1" applyBorder="1" applyFont="1" applyNumberFormat="1">
      <alignment horizontal="left" readingOrder="0" shrinkToFit="0" vertical="center" wrapText="0"/>
    </xf>
    <xf borderId="5" fillId="2" fontId="7" numFmtId="167" xfId="0" applyAlignment="1" applyBorder="1" applyFont="1" applyNumberFormat="1">
      <alignment horizontal="left" readingOrder="0" shrinkToFit="0" vertical="center" wrapText="0"/>
    </xf>
    <xf borderId="5" fillId="2" fontId="8" numFmtId="168" xfId="0" applyAlignment="1" applyBorder="1" applyFont="1" applyNumberFormat="1">
      <alignment horizontal="left" readingOrder="0" shrinkToFit="0" vertical="center" wrapText="0"/>
    </xf>
    <xf borderId="5" fillId="2" fontId="8" numFmtId="0" xfId="0" applyAlignment="1" applyBorder="1" applyFont="1">
      <alignment horizontal="left" shrinkToFit="0" vertical="center" wrapText="0"/>
    </xf>
    <xf borderId="5" fillId="2" fontId="7" numFmtId="169" xfId="0" applyAlignment="1" applyBorder="1" applyFont="1" applyNumberFormat="1">
      <alignment horizontal="left" readingOrder="0" shrinkToFit="0" vertical="center" wrapText="0"/>
    </xf>
    <xf borderId="5" fillId="2" fontId="7" numFmtId="0" xfId="0" applyAlignment="1" applyBorder="1" applyFont="1">
      <alignment horizontal="left" shrinkToFit="0" vertical="center" wrapText="0"/>
    </xf>
    <xf quotePrefix="1" borderId="5" fillId="2" fontId="8" numFmtId="49" xfId="0" applyAlignment="1" applyBorder="1" applyFont="1" applyNumberFormat="1">
      <alignment horizontal="left" readingOrder="0" shrinkToFit="0" vertical="center" wrapText="0"/>
    </xf>
    <xf borderId="5" fillId="0" fontId="7" numFmtId="0" xfId="0" applyAlignment="1" applyBorder="1" applyFont="1">
      <alignment horizontal="left" readingOrder="0" shrinkToFit="0" vertical="center" wrapText="0"/>
    </xf>
    <xf quotePrefix="1" borderId="5" fillId="3" fontId="7" numFmtId="49" xfId="0" applyAlignment="1" applyBorder="1" applyFill="1" applyFont="1" applyNumberFormat="1">
      <alignment horizontal="left" readingOrder="0" shrinkToFit="0" vertical="center" wrapText="0"/>
    </xf>
    <xf borderId="5" fillId="3" fontId="7" numFmtId="0" xfId="0" applyAlignment="1" applyBorder="1" applyFont="1">
      <alignment horizontal="left" readingOrder="0" shrinkToFit="0" vertical="center" wrapText="0"/>
    </xf>
    <xf borderId="5" fillId="0" fontId="7" numFmtId="164" xfId="0" applyAlignment="1" applyBorder="1" applyFont="1" applyNumberFormat="1">
      <alignment horizontal="left" readingOrder="0" shrinkToFit="0" vertical="center" wrapText="0"/>
    </xf>
    <xf borderId="5" fillId="0" fontId="7" numFmtId="0" xfId="0" applyAlignment="1" applyBorder="1" applyFont="1">
      <alignment horizontal="left" shrinkToFit="0" vertical="center" wrapText="0"/>
    </xf>
    <xf borderId="5" fillId="0" fontId="7" numFmtId="164" xfId="0" applyAlignment="1" applyBorder="1" applyFont="1" applyNumberFormat="1">
      <alignment horizontal="left" shrinkToFit="0" vertical="center" wrapText="0"/>
    </xf>
    <xf borderId="5" fillId="0" fontId="7" numFmtId="166" xfId="0" applyAlignment="1" applyBorder="1" applyFont="1" applyNumberFormat="1">
      <alignment horizontal="left" readingOrder="0" shrinkToFit="0" vertical="center" wrapText="0"/>
    </xf>
    <xf borderId="5" fillId="0" fontId="7" numFmtId="166" xfId="0" applyAlignment="1" applyBorder="1" applyFont="1" applyNumberFormat="1">
      <alignment horizontal="left" shrinkToFit="0" vertical="center" wrapText="0"/>
    </xf>
    <xf borderId="5" fillId="0" fontId="7" numFmtId="165" xfId="0" applyAlignment="1" applyBorder="1" applyFont="1" applyNumberFormat="1">
      <alignment horizontal="left" readingOrder="0" shrinkToFit="0" vertical="center" wrapText="0"/>
    </xf>
    <xf quotePrefix="1" borderId="5" fillId="0" fontId="7" numFmtId="49" xfId="0" applyAlignment="1" applyBorder="1" applyFont="1" applyNumberFormat="1">
      <alignment horizontal="left" readingOrder="0" vertical="center"/>
    </xf>
    <xf borderId="5" fillId="4" fontId="7" numFmtId="0" xfId="0" applyAlignment="1" applyBorder="1" applyFill="1" applyFont="1">
      <alignment horizontal="left" readingOrder="0" shrinkToFit="0" vertical="center" wrapText="0"/>
    </xf>
    <xf quotePrefix="1" borderId="5" fillId="4" fontId="7" numFmtId="49" xfId="0" applyAlignment="1" applyBorder="1" applyFont="1" applyNumberFormat="1">
      <alignment horizontal="left" readingOrder="0" shrinkToFit="0" vertical="center" wrapText="0"/>
    </xf>
    <xf borderId="5" fillId="4" fontId="7" numFmtId="164" xfId="0" applyAlignment="1" applyBorder="1" applyFont="1" applyNumberFormat="1">
      <alignment horizontal="left" readingOrder="0" shrinkToFit="0" vertical="center" wrapText="0"/>
    </xf>
    <xf borderId="5" fillId="4" fontId="7" numFmtId="0" xfId="0" applyAlignment="1" applyBorder="1" applyFont="1">
      <alignment horizontal="left" shrinkToFit="0" vertical="center" wrapText="0"/>
    </xf>
    <xf borderId="5" fillId="4" fontId="7" numFmtId="164" xfId="0" applyAlignment="1" applyBorder="1" applyFont="1" applyNumberFormat="1">
      <alignment horizontal="left" shrinkToFit="0" vertical="center" wrapText="0"/>
    </xf>
    <xf borderId="5" fillId="4" fontId="7" numFmtId="166" xfId="0" applyAlignment="1" applyBorder="1" applyFont="1" applyNumberFormat="1">
      <alignment horizontal="left" readingOrder="0" shrinkToFit="0" vertical="center" wrapText="0"/>
    </xf>
    <xf borderId="5" fillId="4" fontId="7" numFmtId="166" xfId="0" applyAlignment="1" applyBorder="1" applyFont="1" applyNumberFormat="1">
      <alignment horizontal="left" shrinkToFit="0" vertical="center" wrapText="0"/>
    </xf>
    <xf borderId="5" fillId="2" fontId="8" numFmtId="0" xfId="0" applyAlignment="1" applyBorder="1" applyFont="1">
      <alignment horizontal="left" shrinkToFit="0" vertical="center" wrapText="0"/>
    </xf>
    <xf quotePrefix="1" borderId="5" fillId="0" fontId="7" numFmtId="49" xfId="0" applyAlignment="1" applyBorder="1" applyFont="1" applyNumberFormat="1">
      <alignment horizontal="left" readingOrder="0" shrinkToFit="0" vertical="center" wrapText="0"/>
    </xf>
    <xf borderId="5" fillId="3" fontId="7" numFmtId="164" xfId="0" applyAlignment="1" applyBorder="1" applyFont="1" applyNumberFormat="1">
      <alignment horizontal="left" readingOrder="0" shrinkToFit="0" vertical="center" wrapText="0"/>
    </xf>
    <xf borderId="5" fillId="3" fontId="7" numFmtId="0" xfId="0" applyAlignment="1" applyBorder="1" applyFont="1">
      <alignment horizontal="left" shrinkToFit="0" vertical="center" wrapText="0"/>
    </xf>
    <xf borderId="5" fillId="3" fontId="7" numFmtId="164" xfId="0" applyAlignment="1" applyBorder="1" applyFont="1" applyNumberFormat="1">
      <alignment horizontal="left" shrinkToFit="0" vertical="center" wrapText="0"/>
    </xf>
    <xf borderId="5" fillId="3" fontId="7" numFmtId="166" xfId="0" applyAlignment="1" applyBorder="1" applyFont="1" applyNumberFormat="1">
      <alignment horizontal="left" readingOrder="0" shrinkToFit="0" vertical="center" wrapText="0"/>
    </xf>
    <xf quotePrefix="1" borderId="5" fillId="0" fontId="7" numFmtId="0" xfId="0" applyAlignment="1" applyBorder="1" applyFont="1">
      <alignment horizontal="left" readingOrder="0" shrinkToFit="0" vertical="center" wrapText="0"/>
    </xf>
    <xf borderId="5" fillId="0" fontId="7" numFmtId="167" xfId="0" applyAlignment="1" applyBorder="1" applyFont="1" applyNumberFormat="1">
      <alignment horizontal="left" readingOrder="0" shrinkToFit="0" vertical="center" wrapText="0"/>
    </xf>
    <xf borderId="5" fillId="0" fontId="7" numFmtId="0" xfId="0" applyAlignment="1" applyBorder="1" applyFont="1">
      <alignment horizontal="left" shrinkToFit="0" vertical="center" wrapText="0"/>
    </xf>
    <xf borderId="5" fillId="0" fontId="7" numFmtId="0" xfId="0" applyAlignment="1" applyBorder="1" applyFont="1">
      <alignment horizontal="left" shrinkToFit="0" vertical="center" wrapText="0"/>
    </xf>
    <xf borderId="5" fillId="0" fontId="7" numFmtId="168" xfId="0" applyAlignment="1" applyBorder="1" applyFont="1" applyNumberFormat="1">
      <alignment horizontal="left" readingOrder="0" shrinkToFit="0" vertical="center" wrapText="0"/>
    </xf>
    <xf borderId="5" fillId="0" fontId="7" numFmtId="170" xfId="0" applyAlignment="1" applyBorder="1" applyFont="1" applyNumberFormat="1">
      <alignment horizontal="left" readingOrder="0" shrinkToFit="0" vertical="center" wrapText="0"/>
    </xf>
    <xf borderId="5" fillId="2" fontId="7" numFmtId="166" xfId="0" applyAlignment="1" applyBorder="1" applyFont="1" applyNumberFormat="1">
      <alignment horizontal="left" shrinkToFit="0" vertical="center" wrapText="0"/>
    </xf>
    <xf borderId="5" fillId="2" fontId="7" numFmtId="166" xfId="0" applyAlignment="1" applyBorder="1" applyFont="1" applyNumberFormat="1">
      <alignment horizontal="left" readingOrder="0" shrinkToFit="0" vertical="center" wrapText="0"/>
    </xf>
    <xf borderId="5" fillId="3" fontId="7" numFmtId="166" xfId="0" applyAlignment="1" applyBorder="1" applyFont="1" applyNumberFormat="1">
      <alignment horizontal="left" shrinkToFit="0" vertical="center" wrapText="0"/>
    </xf>
    <xf borderId="5" fillId="2" fontId="9" numFmtId="0" xfId="0" applyAlignment="1" applyBorder="1" applyFont="1">
      <alignment horizontal="center" vertical="center"/>
    </xf>
    <xf borderId="5" fillId="5" fontId="9" numFmtId="0" xfId="0" applyAlignment="1" applyBorder="1" applyFill="1" applyFont="1">
      <alignment vertical="center"/>
    </xf>
    <xf borderId="5" fillId="5" fontId="7" numFmtId="0" xfId="0" applyAlignment="1" applyBorder="1" applyFont="1">
      <alignment horizontal="center" vertical="center"/>
    </xf>
    <xf borderId="5" fillId="5" fontId="2" numFmtId="0" xfId="0" applyAlignment="1" applyBorder="1" applyFont="1">
      <alignment horizontal="center" vertical="center"/>
    </xf>
    <xf borderId="5" fillId="5" fontId="9" numFmtId="0" xfId="0" applyAlignment="1" applyBorder="1" applyFont="1">
      <alignment horizontal="center" vertical="center"/>
    </xf>
    <xf borderId="5" fillId="5" fontId="9" numFmtId="164" xfId="0" applyAlignment="1" applyBorder="1" applyFont="1" applyNumberFormat="1">
      <alignment horizontal="center" vertical="center"/>
    </xf>
    <xf borderId="5" fillId="5" fontId="2" numFmtId="0" xfId="0" applyAlignment="1" applyBorder="1" applyFont="1">
      <alignment vertical="center"/>
    </xf>
    <xf borderId="5" fillId="5" fontId="9" numFmtId="166" xfId="0" applyAlignment="1" applyBorder="1" applyFont="1" applyNumberFormat="1">
      <alignment horizontal="center" vertical="center"/>
    </xf>
    <xf borderId="5" fillId="5" fontId="9" numFmtId="170" xfId="0" applyAlignment="1" applyBorder="1" applyFont="1" applyNumberFormat="1">
      <alignment horizontal="left" vertical="center"/>
    </xf>
    <xf borderId="5" fillId="5" fontId="2" numFmtId="166" xfId="0" applyAlignment="1" applyBorder="1" applyFont="1" applyNumberFormat="1">
      <alignment vertical="center"/>
    </xf>
    <xf borderId="5" fillId="2" fontId="8" numFmtId="0" xfId="0" applyAlignment="1" applyBorder="1" applyFont="1">
      <alignment horizontal="left" vertical="center"/>
    </xf>
    <xf borderId="5" fillId="5" fontId="9" numFmtId="166" xfId="0" applyAlignment="1" applyBorder="1" applyFont="1" applyNumberFormat="1">
      <alignment vertical="center"/>
    </xf>
    <xf borderId="5" fillId="5" fontId="9" numFmtId="166" xfId="0" applyAlignment="1" applyBorder="1" applyFont="1" applyNumberFormat="1">
      <alignment shrinkToFit="0" vertical="center" wrapText="0"/>
    </xf>
    <xf borderId="5" fillId="5" fontId="9" numFmtId="165" xfId="0" applyAlignment="1" applyBorder="1" applyFont="1" applyNumberFormat="1">
      <alignment horizontal="left" vertical="center"/>
    </xf>
    <xf borderId="5" fillId="5" fontId="9" numFmtId="0" xfId="0" applyAlignment="1" applyBorder="1" applyFont="1">
      <alignment shrinkToFit="0" vertical="center" wrapText="0"/>
    </xf>
    <xf borderId="5" fillId="5" fontId="2" numFmtId="165" xfId="0" applyAlignment="1" applyBorder="1" applyFont="1" applyNumberFormat="1">
      <alignment horizontal="left" vertical="center"/>
    </xf>
    <xf borderId="5" fillId="6" fontId="7" numFmtId="0" xfId="0" applyAlignment="1" applyBorder="1" applyFill="1" applyFont="1">
      <alignment vertical="center"/>
    </xf>
    <xf borderId="5" fillId="6" fontId="7" numFmtId="0" xfId="0" applyAlignment="1" applyBorder="1" applyFont="1">
      <alignment horizontal="center" vertical="center"/>
    </xf>
    <xf borderId="5" fillId="6" fontId="9" numFmtId="0" xfId="0" applyAlignment="1" applyBorder="1" applyFont="1">
      <alignment horizontal="center" vertical="center"/>
    </xf>
    <xf borderId="5" fillId="6" fontId="9" numFmtId="0" xfId="0" applyAlignment="1" applyBorder="1" applyFont="1">
      <alignment vertical="center"/>
    </xf>
    <xf borderId="5" fillId="6" fontId="9" numFmtId="164" xfId="0" applyAlignment="1" applyBorder="1" applyFont="1" applyNumberFormat="1">
      <alignment horizontal="center" vertical="center"/>
    </xf>
    <xf borderId="5" fillId="6" fontId="9" numFmtId="0" xfId="0" applyAlignment="1" applyBorder="1" applyFont="1">
      <alignment horizontal="left" vertical="center"/>
    </xf>
    <xf borderId="5" fillId="6" fontId="9" numFmtId="166" xfId="0" applyAlignment="1" applyBorder="1" applyFont="1" applyNumberFormat="1">
      <alignment horizontal="center" vertical="center"/>
    </xf>
    <xf borderId="5" fillId="6" fontId="7" numFmtId="165" xfId="0" applyAlignment="1" applyBorder="1" applyFont="1" applyNumberFormat="1">
      <alignment horizontal="left" vertical="center"/>
    </xf>
    <xf borderId="5" fillId="6" fontId="9" numFmtId="166" xfId="0" applyAlignment="1" applyBorder="1" applyFont="1" applyNumberFormat="1">
      <alignment vertical="center"/>
    </xf>
    <xf borderId="5" fillId="6" fontId="7" numFmtId="0" xfId="0" applyAlignment="1" applyBorder="1" applyFont="1">
      <alignment horizontal="right" vertical="center"/>
    </xf>
    <xf borderId="5" fillId="6" fontId="7" numFmtId="0" xfId="0" applyAlignment="1" applyBorder="1" applyFont="1">
      <alignment shrinkToFit="0" vertical="center" wrapText="0"/>
    </xf>
    <xf borderId="5" fillId="6" fontId="9" numFmtId="171" xfId="0" applyAlignment="1" applyBorder="1" applyFont="1" applyNumberFormat="1">
      <alignment horizontal="left" vertical="center"/>
    </xf>
    <xf borderId="5" fillId="6" fontId="7" numFmtId="170" xfId="0" applyAlignment="1" applyBorder="1" applyFont="1" applyNumberFormat="1">
      <alignment horizontal="left" vertical="center"/>
    </xf>
    <xf borderId="5" fillId="6" fontId="7" numFmtId="0" xfId="0" applyAlignment="1" applyBorder="1" applyFont="1">
      <alignment horizontal="left" vertical="center"/>
    </xf>
    <xf borderId="5" fillId="7" fontId="3" numFmtId="0" xfId="0" applyAlignment="1" applyBorder="1" applyFill="1" applyFont="1">
      <alignment horizontal="center" vertical="center"/>
    </xf>
    <xf borderId="5" fillId="7" fontId="3" numFmtId="0" xfId="0" applyAlignment="1" applyBorder="1" applyFont="1">
      <alignment horizontal="left" vertical="center"/>
    </xf>
    <xf borderId="5" fillId="3" fontId="8" numFmtId="166" xfId="0" applyAlignment="1" applyBorder="1" applyFont="1" applyNumberFormat="1">
      <alignment horizontal="left" vertical="center"/>
    </xf>
    <xf borderId="5" fillId="3" fontId="8" numFmtId="166" xfId="0" applyAlignment="1" applyBorder="1" applyFont="1" applyNumberFormat="1">
      <alignment horizontal="left" shrinkToFit="0" vertical="center" wrapText="0"/>
    </xf>
    <xf quotePrefix="1" borderId="5" fillId="2" fontId="7" numFmtId="0" xfId="0" applyAlignment="1" applyBorder="1" applyFont="1">
      <alignment horizontal="left" readingOrder="0" shrinkToFit="0" vertical="center" wrapText="0"/>
    </xf>
    <xf borderId="5" fillId="2" fontId="7" numFmtId="168" xfId="0" applyAlignment="1" applyBorder="1" applyFont="1" applyNumberFormat="1">
      <alignment horizontal="left" readingOrder="0" shrinkToFit="0" vertical="center" wrapText="0"/>
    </xf>
    <xf borderId="8" fillId="5" fontId="2" numFmtId="0" xfId="0" applyAlignment="1" applyBorder="1" applyFont="1">
      <alignment horizontal="center" vertical="center"/>
    </xf>
    <xf borderId="5" fillId="3" fontId="9" numFmtId="0" xfId="0" applyAlignment="1" applyBorder="1" applyFont="1">
      <alignment horizontal="center" vertical="center"/>
    </xf>
    <xf borderId="5" fillId="3" fontId="9" numFmtId="0" xfId="0" applyAlignment="1" applyBorder="1" applyFont="1">
      <alignment vertical="center"/>
    </xf>
    <xf borderId="5" fillId="0" fontId="7" numFmtId="0" xfId="0" applyAlignment="1" applyBorder="1" applyFont="1">
      <alignment horizontal="center" vertical="center"/>
    </xf>
    <xf borderId="5" fillId="3" fontId="9" numFmtId="164" xfId="0" applyAlignment="1" applyBorder="1" applyFont="1" applyNumberFormat="1">
      <alignment horizontal="center" vertical="center"/>
    </xf>
    <xf borderId="5" fillId="3" fontId="9" numFmtId="166" xfId="0" applyAlignment="1" applyBorder="1" applyFont="1" applyNumberFormat="1">
      <alignment horizontal="center" vertical="center"/>
    </xf>
    <xf borderId="5" fillId="3" fontId="9" numFmtId="165" xfId="0" applyAlignment="1" applyBorder="1" applyFont="1" applyNumberFormat="1">
      <alignment horizontal="left" vertical="center"/>
    </xf>
    <xf borderId="5" fillId="3" fontId="9" numFmtId="166" xfId="0" applyAlignment="1" applyBorder="1" applyFont="1" applyNumberFormat="1">
      <alignment vertical="center"/>
    </xf>
    <xf borderId="5" fillId="3" fontId="9" numFmtId="0" xfId="0" applyAlignment="1" applyBorder="1" applyFont="1">
      <alignment shrinkToFit="0" vertical="center" wrapText="0"/>
    </xf>
    <xf borderId="5" fillId="0" fontId="9" numFmtId="0" xfId="0" applyAlignment="1" applyBorder="1" applyFont="1">
      <alignment horizontal="left" vertical="center"/>
    </xf>
    <xf borderId="5" fillId="0" fontId="9" numFmtId="49" xfId="0" applyAlignment="1" applyBorder="1" applyFont="1" applyNumberFormat="1">
      <alignment horizontal="center" vertical="center"/>
    </xf>
    <xf borderId="5" fillId="0" fontId="9" numFmtId="0" xfId="0" applyAlignment="1" applyBorder="1" applyFont="1">
      <alignment horizontal="center" vertical="center"/>
    </xf>
    <xf borderId="5" fillId="2" fontId="8" numFmtId="166" xfId="0" applyAlignment="1" applyBorder="1" applyFont="1" applyNumberFormat="1">
      <alignment horizontal="left" vertical="center"/>
    </xf>
    <xf borderId="5" fillId="0" fontId="10" numFmtId="0" xfId="0" applyAlignment="1" applyBorder="1" applyFont="1">
      <alignment horizontal="left" readingOrder="0" shrinkToFit="0" vertical="center" wrapText="0"/>
    </xf>
    <xf borderId="5" fillId="3" fontId="11" numFmtId="0" xfId="0" applyAlignment="1" applyBorder="1" applyFont="1">
      <alignment horizontal="left" shrinkToFit="0" vertical="center" wrapText="0"/>
    </xf>
    <xf borderId="5" fillId="3" fontId="11" numFmtId="166" xfId="0" applyAlignment="1" applyBorder="1" applyFont="1" applyNumberFormat="1">
      <alignment horizontal="left" readingOrder="0" shrinkToFit="0" vertical="center" wrapText="0"/>
    </xf>
    <xf borderId="5" fillId="5" fontId="2" numFmtId="170" xfId="0" applyAlignment="1" applyBorder="1" applyFont="1" applyNumberFormat="1">
      <alignment horizontal="left" vertical="center"/>
    </xf>
    <xf borderId="5" fillId="7" fontId="9" numFmtId="0" xfId="0" applyAlignment="1" applyBorder="1" applyFont="1">
      <alignment horizontal="center" vertical="center"/>
    </xf>
    <xf borderId="5" fillId="0" fontId="7" numFmtId="0" xfId="0" applyAlignment="1" applyBorder="1" applyFont="1">
      <alignment vertical="center"/>
    </xf>
    <xf borderId="5" fillId="0" fontId="9" numFmtId="164" xfId="0" applyAlignment="1" applyBorder="1" applyFont="1" applyNumberFormat="1">
      <alignment horizontal="center" vertical="center"/>
    </xf>
    <xf borderId="5" fillId="0" fontId="7" numFmtId="0" xfId="0" applyAlignment="1" applyBorder="1" applyFont="1">
      <alignment horizontal="left" vertical="center"/>
    </xf>
    <xf borderId="5" fillId="0" fontId="7" numFmtId="164" xfId="0" applyAlignment="1" applyBorder="1" applyFont="1" applyNumberFormat="1">
      <alignment horizontal="center" vertical="center"/>
    </xf>
    <xf borderId="5" fillId="0" fontId="9" numFmtId="166" xfId="0" applyAlignment="1" applyBorder="1" applyFont="1" applyNumberFormat="1">
      <alignment horizontal="center" vertical="center"/>
    </xf>
    <xf borderId="5" fillId="0" fontId="7" numFmtId="165" xfId="0" applyAlignment="1" applyBorder="1" applyFont="1" applyNumberFormat="1">
      <alignment horizontal="left" vertical="center"/>
    </xf>
    <xf borderId="5" fillId="0" fontId="9" numFmtId="166" xfId="0" applyAlignment="1" applyBorder="1" applyFont="1" applyNumberFormat="1">
      <alignment horizontal="left" vertical="center"/>
    </xf>
    <xf borderId="5" fillId="0" fontId="7" numFmtId="169" xfId="0" applyAlignment="1" applyBorder="1" applyFont="1" applyNumberFormat="1">
      <alignment horizontal="left" readingOrder="0" shrinkToFit="0" vertical="center" wrapText="0"/>
    </xf>
    <xf borderId="8" fillId="5" fontId="2" numFmtId="0" xfId="0" applyAlignment="1" applyBorder="1" applyFont="1">
      <alignment vertical="center"/>
    </xf>
    <xf borderId="5" fillId="5" fontId="2" numFmtId="0" xfId="0" applyAlignment="1" applyBorder="1" applyFont="1">
      <alignment shrinkToFit="0" vertical="center" wrapText="0"/>
    </xf>
    <xf borderId="5" fillId="7" fontId="7" numFmtId="0" xfId="0" applyAlignment="1" applyBorder="1" applyFont="1">
      <alignment vertical="center"/>
    </xf>
    <xf borderId="5" fillId="7" fontId="9" numFmtId="49" xfId="0" applyAlignment="1" applyBorder="1" applyFont="1" applyNumberFormat="1">
      <alignment horizontal="center" vertical="center"/>
    </xf>
    <xf borderId="5" fillId="7" fontId="9" numFmtId="164" xfId="0" applyAlignment="1" applyBorder="1" applyFont="1" applyNumberFormat="1">
      <alignment horizontal="center" vertical="center"/>
    </xf>
    <xf borderId="5" fillId="7" fontId="7" numFmtId="0" xfId="0" applyAlignment="1" applyBorder="1" applyFont="1">
      <alignment horizontal="center" vertical="center"/>
    </xf>
    <xf borderId="5" fillId="7" fontId="7" numFmtId="0" xfId="0" applyAlignment="1" applyBorder="1" applyFont="1">
      <alignment horizontal="left" vertical="center"/>
    </xf>
    <xf borderId="5" fillId="7" fontId="7" numFmtId="164" xfId="0" applyAlignment="1" applyBorder="1" applyFont="1" applyNumberFormat="1">
      <alignment horizontal="center" vertical="center"/>
    </xf>
    <xf borderId="5" fillId="7" fontId="9" numFmtId="0" xfId="0" applyAlignment="1" applyBorder="1" applyFont="1">
      <alignment horizontal="left" vertical="center"/>
    </xf>
    <xf borderId="5" fillId="7" fontId="9" numFmtId="166" xfId="0" applyAlignment="1" applyBorder="1" applyFont="1" applyNumberFormat="1">
      <alignment horizontal="center" vertical="center"/>
    </xf>
    <xf borderId="5" fillId="7" fontId="7" numFmtId="165" xfId="0" applyAlignment="1" applyBorder="1" applyFont="1" applyNumberFormat="1">
      <alignment horizontal="left" vertical="center"/>
    </xf>
    <xf borderId="5" fillId="7" fontId="9" numFmtId="166" xfId="0" applyAlignment="1" applyBorder="1" applyFont="1" applyNumberFormat="1">
      <alignment horizontal="left" vertical="center"/>
    </xf>
    <xf borderId="5" fillId="7" fontId="7" numFmtId="0" xfId="0" applyAlignment="1" applyBorder="1" applyFont="1">
      <alignment horizontal="left" shrinkToFit="0" vertical="center" wrapText="0"/>
    </xf>
    <xf borderId="5" fillId="4" fontId="7" numFmtId="167" xfId="0" applyAlignment="1" applyBorder="1" applyFont="1" applyNumberFormat="1">
      <alignment horizontal="left" readingOrder="0" shrinkToFit="0" vertical="center" wrapText="0"/>
    </xf>
    <xf borderId="5" fillId="4" fontId="7" numFmtId="170" xfId="0" applyAlignment="1" applyBorder="1" applyFont="1" applyNumberFormat="1">
      <alignment horizontal="left" readingOrder="0" shrinkToFit="0" vertical="center" wrapText="0"/>
    </xf>
    <xf borderId="9" fillId="5" fontId="9" numFmtId="0" xfId="0" applyAlignment="1" applyBorder="1" applyFont="1">
      <alignment vertical="center"/>
    </xf>
    <xf borderId="9" fillId="5" fontId="7" numFmtId="0" xfId="0" applyAlignment="1" applyBorder="1" applyFont="1">
      <alignment horizontal="center" vertical="center"/>
    </xf>
    <xf borderId="9" fillId="5" fontId="2" numFmtId="0" xfId="0" applyAlignment="1" applyBorder="1" applyFont="1">
      <alignment horizontal="center" vertical="center"/>
    </xf>
    <xf borderId="9" fillId="5" fontId="9" numFmtId="0" xfId="0" applyAlignment="1" applyBorder="1" applyFont="1">
      <alignment horizontal="center" vertical="center"/>
    </xf>
    <xf borderId="9" fillId="5" fontId="9" numFmtId="164" xfId="0" applyAlignment="1" applyBorder="1" applyFont="1" applyNumberFormat="1">
      <alignment horizontal="center" vertical="center"/>
    </xf>
    <xf borderId="9" fillId="5" fontId="2" numFmtId="0" xfId="0" applyAlignment="1" applyBorder="1" applyFont="1">
      <alignment vertical="center"/>
    </xf>
    <xf borderId="9" fillId="5" fontId="9" numFmtId="166" xfId="0" applyAlignment="1" applyBorder="1" applyFont="1" applyNumberFormat="1">
      <alignment horizontal="center" vertical="center"/>
    </xf>
    <xf borderId="9" fillId="5" fontId="9" numFmtId="165" xfId="0" applyAlignment="1" applyBorder="1" applyFont="1" applyNumberFormat="1">
      <alignment horizontal="left" vertical="center"/>
    </xf>
    <xf borderId="9" fillId="5" fontId="2" numFmtId="166" xfId="0" applyAlignment="1" applyBorder="1" applyFont="1" applyNumberFormat="1">
      <alignment vertical="center"/>
    </xf>
    <xf borderId="9" fillId="5" fontId="9" numFmtId="1" xfId="0" applyAlignment="1" applyBorder="1" applyFont="1" applyNumberFormat="1">
      <alignment vertical="center"/>
    </xf>
    <xf borderId="9" fillId="5" fontId="9" numFmtId="166" xfId="0" applyAlignment="1" applyBorder="1" applyFont="1" applyNumberFormat="1">
      <alignment vertical="center"/>
    </xf>
    <xf borderId="9" fillId="5" fontId="9" numFmtId="0" xfId="0" applyAlignment="1" applyBorder="1" applyFont="1">
      <alignment shrinkToFit="0" vertical="center" wrapText="0"/>
    </xf>
    <xf borderId="5" fillId="7" fontId="7" numFmtId="0" xfId="0" applyAlignment="1" applyBorder="1" applyFont="1">
      <alignment shrinkToFit="0" vertical="center" wrapText="0"/>
    </xf>
    <xf borderId="5" fillId="6" fontId="2" numFmtId="0" xfId="0" applyAlignment="1" applyBorder="1" applyFont="1">
      <alignment horizontal="center" vertical="center"/>
    </xf>
    <xf borderId="5" fillId="6" fontId="2" numFmtId="0" xfId="0" applyAlignment="1" applyBorder="1" applyFont="1">
      <alignment vertical="center"/>
    </xf>
    <xf borderId="5" fillId="6" fontId="2" numFmtId="166" xfId="0" applyAlignment="1" applyBorder="1" applyFont="1" applyNumberFormat="1">
      <alignment vertical="center"/>
    </xf>
    <xf borderId="10" fillId="6" fontId="2" numFmtId="0" xfId="0" applyAlignment="1" applyBorder="1" applyFont="1">
      <alignment horizontal="center" vertical="center"/>
    </xf>
    <xf borderId="5" fillId="6" fontId="12" numFmtId="0" xfId="0" applyAlignment="1" applyBorder="1" applyFont="1">
      <alignment vertical="center"/>
    </xf>
    <xf borderId="5" fillId="6" fontId="12" numFmtId="0" xfId="0" applyAlignment="1" applyBorder="1" applyFont="1">
      <alignment horizontal="center" vertical="center"/>
    </xf>
    <xf borderId="11" fillId="6" fontId="7" numFmtId="0" xfId="0" applyAlignment="1" applyBorder="1" applyFont="1">
      <alignment vertical="center"/>
    </xf>
    <xf borderId="10" fillId="6" fontId="9" numFmtId="0" xfId="0" applyAlignment="1" applyBorder="1" applyFont="1">
      <alignment horizontal="center" vertical="center"/>
    </xf>
    <xf borderId="10" fillId="6" fontId="7" numFmtId="170" xfId="0" applyAlignment="1" applyBorder="1" applyFont="1" applyNumberFormat="1">
      <alignment horizontal="left" vertical="center"/>
    </xf>
    <xf borderId="12" fillId="6" fontId="9" numFmtId="0" xfId="0" applyAlignment="1" applyBorder="1" applyFont="1">
      <alignment vertical="center"/>
    </xf>
    <xf borderId="10" fillId="6" fontId="7" numFmtId="165" xfId="0" applyAlignment="1" applyBorder="1" applyFont="1" applyNumberFormat="1">
      <alignment horizontal="left" vertical="center"/>
    </xf>
    <xf borderId="12" fillId="6" fontId="2" numFmtId="0" xfId="0" applyAlignment="1" applyBorder="1" applyFont="1">
      <alignment horizontal="left" vertical="center"/>
    </xf>
    <xf borderId="5" fillId="6" fontId="2" numFmtId="0" xfId="0" applyAlignment="1" applyBorder="1" applyFont="1">
      <alignment horizontal="left" vertical="center"/>
    </xf>
    <xf borderId="5" fillId="6" fontId="13" numFmtId="0" xfId="0" applyAlignment="1" applyBorder="1" applyFont="1">
      <alignment vertical="center"/>
    </xf>
    <xf borderId="10" fillId="6" fontId="7" numFmtId="0" xfId="0" applyAlignment="1" applyBorder="1" applyFont="1">
      <alignment horizontal="left" vertical="center"/>
    </xf>
    <xf borderId="5" fillId="6" fontId="7" numFmtId="49" xfId="0" applyAlignment="1" applyBorder="1" applyFont="1" applyNumberFormat="1">
      <alignment horizontal="center" vertical="center"/>
    </xf>
    <xf borderId="13" fillId="7" fontId="7" numFmtId="0" xfId="0" applyAlignment="1" applyBorder="1" applyFont="1">
      <alignment horizontal="left" vertical="center"/>
    </xf>
    <xf borderId="13" fillId="7" fontId="7" numFmtId="164" xfId="0" applyAlignment="1" applyBorder="1" applyFont="1" applyNumberFormat="1">
      <alignment horizontal="center" vertical="center"/>
    </xf>
    <xf borderId="13" fillId="7" fontId="9" numFmtId="0" xfId="0" applyAlignment="1" applyBorder="1" applyFont="1">
      <alignment horizontal="center" vertical="center"/>
    </xf>
    <xf borderId="13" fillId="7" fontId="9" numFmtId="0" xfId="0" applyAlignment="1" applyBorder="1" applyFont="1">
      <alignment horizontal="left" vertical="center"/>
    </xf>
    <xf borderId="13" fillId="7" fontId="9" numFmtId="164" xfId="0" applyAlignment="1" applyBorder="1" applyFont="1" applyNumberFormat="1">
      <alignment horizontal="center" vertical="center"/>
    </xf>
    <xf borderId="5" fillId="5" fontId="2" numFmtId="164" xfId="0" applyAlignment="1" applyBorder="1" applyFont="1" applyNumberFormat="1">
      <alignment horizontal="center" vertical="center"/>
    </xf>
    <xf borderId="8" fillId="5" fontId="9" numFmtId="0" xfId="0" applyAlignment="1" applyBorder="1" applyFont="1">
      <alignment vertical="center"/>
    </xf>
    <xf borderId="5" fillId="5" fontId="2" numFmtId="166" xfId="0" applyAlignment="1" applyBorder="1" applyFont="1" applyNumberFormat="1">
      <alignment horizontal="center" vertical="center"/>
    </xf>
    <xf borderId="8" fillId="5" fontId="9" numFmtId="170" xfId="0" applyAlignment="1" applyBorder="1" applyFont="1" applyNumberFormat="1">
      <alignment horizontal="left" vertical="center"/>
    </xf>
    <xf borderId="8" fillId="5" fontId="9" numFmtId="0" xfId="0" applyAlignment="1" applyBorder="1" applyFont="1">
      <alignment horizontal="right" vertical="center"/>
    </xf>
    <xf borderId="5" fillId="2" fontId="7" numFmtId="0" xfId="0" applyAlignment="1" applyBorder="1" applyFont="1">
      <alignment horizontal="left" shrinkToFit="0" vertical="center" wrapText="0"/>
    </xf>
    <xf borderId="5" fillId="5" fontId="9" numFmtId="0" xfId="0" applyAlignment="1" applyBorder="1" applyFont="1">
      <alignment horizontal="right" vertical="center"/>
    </xf>
    <xf borderId="13" fillId="6" fontId="9" numFmtId="0" xfId="0" applyAlignment="1" applyBorder="1" applyFont="1">
      <alignment horizontal="center" vertical="center"/>
    </xf>
    <xf borderId="13" fillId="6" fontId="7" numFmtId="0" xfId="0" applyAlignment="1" applyBorder="1" applyFont="1">
      <alignment vertical="center"/>
    </xf>
    <xf borderId="13" fillId="6" fontId="7" numFmtId="0" xfId="0" applyAlignment="1" applyBorder="1" applyFont="1">
      <alignment horizontal="center" vertical="center"/>
    </xf>
    <xf borderId="13" fillId="6" fontId="2" numFmtId="0" xfId="0" applyAlignment="1" applyBorder="1" applyFont="1">
      <alignment horizontal="center" vertical="center"/>
    </xf>
    <xf borderId="13" fillId="6" fontId="2" numFmtId="0" xfId="0" applyAlignment="1" applyBorder="1" applyFont="1">
      <alignment vertical="center"/>
    </xf>
    <xf borderId="13" fillId="6" fontId="9" numFmtId="0" xfId="0" applyAlignment="1" applyBorder="1" applyFont="1">
      <alignment vertical="center"/>
    </xf>
    <xf borderId="13" fillId="6" fontId="9" numFmtId="164" xfId="0" applyAlignment="1" applyBorder="1" applyFont="1" applyNumberFormat="1">
      <alignment horizontal="center" vertical="center"/>
    </xf>
    <xf borderId="13" fillId="6" fontId="9" numFmtId="166" xfId="0" applyAlignment="1" applyBorder="1" applyFont="1" applyNumberFormat="1">
      <alignment horizontal="center" vertical="center"/>
    </xf>
    <xf borderId="13" fillId="6" fontId="7" numFmtId="170" xfId="0" applyAlignment="1" applyBorder="1" applyFont="1" applyNumberFormat="1">
      <alignment horizontal="left" vertical="center"/>
    </xf>
    <xf borderId="13" fillId="6" fontId="2" numFmtId="166" xfId="0" applyAlignment="1" applyBorder="1" applyFont="1" applyNumberFormat="1">
      <alignment vertical="center"/>
    </xf>
    <xf borderId="13" fillId="6" fontId="7" numFmtId="0" xfId="0" applyAlignment="1" applyBorder="1" applyFont="1">
      <alignment shrinkToFit="0" vertical="center" wrapText="0"/>
    </xf>
    <xf borderId="5" fillId="0" fontId="7" numFmtId="172" xfId="0" applyAlignment="1" applyBorder="1" applyFont="1" applyNumberFormat="1">
      <alignment horizontal="left" readingOrder="0" shrinkToFit="0" vertical="center" wrapText="0"/>
    </xf>
    <xf borderId="5" fillId="5" fontId="9" numFmtId="0" xfId="0" applyAlignment="1" applyBorder="1" applyFont="1">
      <alignment horizontal="center" readingOrder="0" vertical="center"/>
    </xf>
    <xf borderId="8" fillId="5" fontId="9" numFmtId="165" xfId="0" applyAlignment="1" applyBorder="1" applyFont="1" applyNumberFormat="1">
      <alignment horizontal="left" vertical="center"/>
    </xf>
    <xf borderId="5" fillId="6" fontId="9" numFmtId="0" xfId="0" applyAlignment="1" applyBorder="1" applyFont="1">
      <alignment horizontal="center" readingOrder="0" vertical="center"/>
    </xf>
    <xf borderId="5" fillId="6" fontId="7" numFmtId="0" xfId="0" applyAlignment="1" applyBorder="1" applyFont="1">
      <alignment readingOrder="0"/>
    </xf>
    <xf borderId="5" fillId="6" fontId="7" numFmtId="0" xfId="0" applyAlignment="1" applyBorder="1" applyFont="1">
      <alignment horizontal="center" readingOrder="0"/>
    </xf>
    <xf borderId="5" fillId="6" fontId="2" numFmtId="0" xfId="0" applyBorder="1" applyFont="1"/>
    <xf borderId="5" fillId="6" fontId="7" numFmtId="0" xfId="0" applyBorder="1" applyFont="1"/>
    <xf borderId="5" fillId="6" fontId="7" numFmtId="170" xfId="0" applyBorder="1" applyFont="1" applyNumberFormat="1"/>
    <xf borderId="5" fillId="6" fontId="2" numFmtId="166" xfId="0" applyBorder="1" applyFont="1" applyNumberFormat="1"/>
    <xf borderId="5" fillId="2" fontId="8" numFmtId="0" xfId="0" applyAlignment="1" applyBorder="1" applyFont="1">
      <alignment horizontal="left" shrinkToFit="0" vertical="center" wrapText="0"/>
    </xf>
    <xf quotePrefix="1" borderId="5" fillId="4" fontId="7" numFmtId="0" xfId="0" applyAlignment="1" applyBorder="1" applyFont="1">
      <alignment horizontal="left" readingOrder="0" shrinkToFit="0" vertical="center" wrapText="0"/>
    </xf>
    <xf borderId="5" fillId="4" fontId="7" numFmtId="0" xfId="0" applyAlignment="1" applyBorder="1" applyFont="1">
      <alignment horizontal="left" shrinkToFit="0" vertical="center" wrapText="0"/>
    </xf>
    <xf borderId="5" fillId="6" fontId="2" numFmtId="164" xfId="0" applyAlignment="1" applyBorder="1" applyFont="1" applyNumberFormat="1">
      <alignment horizontal="center" vertical="center"/>
    </xf>
    <xf borderId="5" fillId="0" fontId="9" numFmtId="0" xfId="0" applyAlignment="1" applyBorder="1" applyFont="1">
      <alignment vertical="center"/>
    </xf>
    <xf borderId="5" fillId="0" fontId="9" numFmtId="0" xfId="0" applyAlignment="1" applyBorder="1" applyFont="1">
      <alignment shrinkToFit="0" vertical="center" wrapText="0"/>
    </xf>
    <xf borderId="5" fillId="8" fontId="7" numFmtId="0" xfId="0" applyAlignment="1" applyBorder="1" applyFill="1" applyFont="1">
      <alignment horizontal="left" readingOrder="0" shrinkToFit="0" vertical="center" wrapText="0"/>
    </xf>
    <xf quotePrefix="1" borderId="5" fillId="8" fontId="11" numFmtId="0" xfId="0" applyAlignment="1" applyBorder="1" applyFont="1">
      <alignment horizontal="left" readingOrder="0" shrinkToFit="0" vertical="center" wrapText="0"/>
    </xf>
    <xf borderId="5" fillId="8" fontId="11" numFmtId="0" xfId="0" applyAlignment="1" applyBorder="1" applyFont="1">
      <alignment horizontal="left" readingOrder="0" shrinkToFit="0" vertical="center" wrapText="0"/>
    </xf>
    <xf borderId="5" fillId="8" fontId="11" numFmtId="168" xfId="0" applyAlignment="1" applyBorder="1" applyFont="1" applyNumberFormat="1">
      <alignment horizontal="left" readingOrder="0" shrinkToFit="0" vertical="center" wrapText="0"/>
    </xf>
    <xf borderId="5" fillId="8" fontId="7" numFmtId="168" xfId="0" applyAlignment="1" applyBorder="1" applyFont="1" applyNumberFormat="1">
      <alignment horizontal="left" readingOrder="0" shrinkToFit="0" vertical="center" wrapText="0"/>
    </xf>
    <xf borderId="5" fillId="8" fontId="11" numFmtId="0" xfId="0" applyAlignment="1" applyBorder="1" applyFont="1">
      <alignment horizontal="left" shrinkToFit="0" vertical="center" wrapText="0"/>
    </xf>
    <xf borderId="5" fillId="8" fontId="11" numFmtId="167" xfId="0" applyAlignment="1" applyBorder="1" applyFont="1" applyNumberFormat="1">
      <alignment horizontal="left" readingOrder="0" shrinkToFit="0" vertical="center" wrapText="0"/>
    </xf>
    <xf borderId="5" fillId="8" fontId="7" numFmtId="0" xfId="0" applyAlignment="1" applyBorder="1" applyFont="1">
      <alignment horizontal="left" shrinkToFit="0" vertical="center" wrapText="0"/>
    </xf>
    <xf borderId="5" fillId="4" fontId="7" numFmtId="168" xfId="0" applyAlignment="1" applyBorder="1" applyFont="1" applyNumberFormat="1">
      <alignment horizontal="left" readingOrder="0" shrinkToFit="0" vertical="center" wrapText="0"/>
    </xf>
    <xf borderId="5" fillId="6" fontId="2" numFmtId="166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center"/>
    </xf>
    <xf borderId="5" fillId="0" fontId="2" numFmtId="0" xfId="0" applyAlignment="1" applyBorder="1" applyFont="1">
      <alignment horizontal="left" vertical="center"/>
    </xf>
    <xf borderId="5" fillId="0" fontId="7" numFmtId="170" xfId="0" applyAlignment="1" applyBorder="1" applyFont="1" applyNumberFormat="1">
      <alignment horizontal="left" vertical="center"/>
    </xf>
    <xf borderId="5" fillId="0" fontId="7" numFmtId="0" xfId="0" applyAlignment="1" applyBorder="1" applyFont="1">
      <alignment shrinkToFit="0" vertical="center" wrapText="0"/>
    </xf>
    <xf borderId="5" fillId="2" fontId="7" numFmtId="172" xfId="0" applyAlignment="1" applyBorder="1" applyFont="1" applyNumberFormat="1">
      <alignment horizontal="left" readingOrder="0" shrinkToFit="0" vertical="center" wrapText="0"/>
    </xf>
    <xf borderId="9" fillId="6" fontId="9" numFmtId="0" xfId="0" applyAlignment="1" applyBorder="1" applyFont="1">
      <alignment horizontal="center" vertical="center"/>
    </xf>
    <xf borderId="9" fillId="6" fontId="7" numFmtId="0" xfId="0" applyAlignment="1" applyBorder="1" applyFont="1">
      <alignment vertical="center"/>
    </xf>
    <xf borderId="9" fillId="6" fontId="7" numFmtId="0" xfId="0" applyAlignment="1" applyBorder="1" applyFont="1">
      <alignment horizontal="center" vertical="center"/>
    </xf>
    <xf borderId="9" fillId="6" fontId="2" numFmtId="0" xfId="0" applyAlignment="1" applyBorder="1" applyFont="1">
      <alignment horizontal="center" vertical="center"/>
    </xf>
    <xf borderId="9" fillId="6" fontId="2" numFmtId="0" xfId="0" applyAlignment="1" applyBorder="1" applyFont="1">
      <alignment vertical="center"/>
    </xf>
    <xf borderId="9" fillId="6" fontId="2" numFmtId="0" xfId="0" applyAlignment="1" applyBorder="1" applyFont="1">
      <alignment horizontal="left" vertical="center"/>
    </xf>
    <xf borderId="9" fillId="6" fontId="7" numFmtId="0" xfId="0" applyAlignment="1" applyBorder="1" applyFont="1">
      <alignment horizontal="left" vertical="center"/>
    </xf>
    <xf borderId="9" fillId="6" fontId="7" numFmtId="0" xfId="0" applyAlignment="1" applyBorder="1" applyFont="1">
      <alignment shrinkToFit="0" vertical="center" wrapText="0"/>
    </xf>
    <xf borderId="5" fillId="0" fontId="12" numFmtId="0" xfId="0" applyAlignment="1" applyBorder="1" applyFont="1">
      <alignment horizontal="center" vertical="center"/>
    </xf>
    <xf borderId="5" fillId="0" fontId="12" numFmtId="0" xfId="0" applyAlignment="1" applyBorder="1" applyFont="1">
      <alignment vertical="center"/>
    </xf>
    <xf borderId="5" fillId="0" fontId="12" numFmtId="0" xfId="0" applyAlignment="1" applyBorder="1" applyFont="1">
      <alignment horizontal="left" vertical="center"/>
    </xf>
    <xf borderId="5" fillId="0" fontId="12" numFmtId="0" xfId="0" applyAlignment="1" applyBorder="1" applyFont="1">
      <alignment shrinkToFit="0" vertical="center" wrapText="0"/>
    </xf>
    <xf borderId="0" fillId="0" fontId="1" numFmtId="0" xfId="0" applyAlignment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1" fillId="0" fontId="3" numFmtId="49" xfId="0" applyAlignment="1" applyBorder="1" applyFont="1" applyNumberFormat="1">
      <alignment horizontal="left" vertical="center"/>
    </xf>
    <xf borderId="2" fillId="0" fontId="3" numFmtId="0" xfId="0" applyAlignment="1" applyBorder="1" applyFont="1">
      <alignment horizontal="left" vertical="center"/>
    </xf>
    <xf borderId="5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left" vertical="center"/>
    </xf>
    <xf borderId="5" fillId="0" fontId="6" numFmtId="49" xfId="0" applyAlignment="1" applyBorder="1" applyFont="1" applyNumberFormat="1">
      <alignment horizontal="left" vertical="center"/>
    </xf>
    <xf borderId="2" fillId="7" fontId="3" numFmtId="0" xfId="0" applyAlignment="1" applyBorder="1" applyFont="1">
      <alignment horizontal="left" vertical="center"/>
    </xf>
    <xf borderId="5" fillId="0" fontId="9" numFmtId="49" xfId="0" applyAlignment="1" applyBorder="1" applyFont="1" applyNumberFormat="1">
      <alignment horizontal="left" vertical="center"/>
    </xf>
    <xf borderId="5" fillId="3" fontId="8" numFmtId="0" xfId="0" applyAlignment="1" applyBorder="1" applyFont="1">
      <alignment horizontal="left" vertical="center"/>
    </xf>
    <xf borderId="0" fillId="0" fontId="14" numFmtId="0" xfId="0" applyAlignment="1" applyFont="1">
      <alignment vertical="center"/>
    </xf>
    <xf borderId="0" fillId="0" fontId="14" numFmtId="0" xfId="0" applyAlignment="1" applyFont="1">
      <alignment horizontal="center" vertical="center"/>
    </xf>
    <xf borderId="0" fillId="0" fontId="15" numFmtId="0" xfId="0" applyAlignment="1" applyFont="1">
      <alignment horizontal="left"/>
    </xf>
    <xf borderId="0" fillId="0" fontId="16" numFmtId="0" xfId="0" applyFont="1"/>
    <xf borderId="0" fillId="0" fontId="12" numFmtId="0" xfId="0" applyFont="1"/>
    <xf borderId="0" fillId="0" fontId="2" numFmtId="0" xfId="0" applyAlignment="1" applyFont="1">
      <alignment horizontal="center"/>
    </xf>
    <xf borderId="0" fillId="0" fontId="15" numFmtId="0" xfId="0" applyAlignment="1" applyFont="1">
      <alignment horizontal="center"/>
    </xf>
    <xf borderId="5" fillId="0" fontId="15" numFmtId="0" xfId="0" applyAlignment="1" applyBorder="1" applyFont="1">
      <alignment horizontal="center"/>
    </xf>
    <xf borderId="5" fillId="0" fontId="15" numFmtId="0" xfId="0" applyAlignment="1" applyBorder="1" applyFont="1">
      <alignment horizontal="center" readingOrder="0" vertical="center"/>
    </xf>
    <xf borderId="5" fillId="0" fontId="16" numFmtId="0" xfId="0" applyAlignment="1" applyBorder="1" applyFont="1">
      <alignment horizontal="center"/>
    </xf>
    <xf borderId="5" fillId="0" fontId="16" numFmtId="0" xfId="0" applyBorder="1" applyFont="1"/>
    <xf borderId="5" fillId="0" fontId="16" numFmtId="0" xfId="0" applyAlignment="1" applyBorder="1" applyFont="1">
      <alignment horizontal="center" readingOrder="0"/>
    </xf>
    <xf borderId="5" fillId="0" fontId="17" numFmtId="0" xfId="0" applyAlignment="1" applyBorder="1" applyFont="1">
      <alignment horizontal="center" readingOrder="0"/>
    </xf>
    <xf borderId="2" fillId="0" fontId="15" numFmtId="0" xfId="0" applyAlignment="1" applyBorder="1" applyFont="1">
      <alignment horizontal="center"/>
    </xf>
    <xf borderId="5" fillId="0" fontId="18" numFmtId="0" xfId="0" applyAlignment="1" applyBorder="1" applyFont="1">
      <alignment horizontal="center" readingOrder="0" vertical="center"/>
    </xf>
    <xf borderId="0" fillId="0" fontId="15" numFmtId="0" xfId="0" applyFont="1"/>
    <xf borderId="5" fillId="0" fontId="15" numFmtId="0" xfId="0" applyAlignment="1" applyBorder="1" applyFont="1">
      <alignment horizontal="center" vertical="top"/>
    </xf>
    <xf borderId="3" fillId="0" fontId="15" numFmtId="0" xfId="0" applyAlignment="1" applyBorder="1" applyFont="1">
      <alignment horizontal="center" vertical="top"/>
    </xf>
    <xf borderId="7" fillId="0" fontId="16" numFmtId="0" xfId="0" applyAlignment="1" applyBorder="1" applyFont="1">
      <alignment horizontal="center" vertical="center"/>
    </xf>
    <xf borderId="14" fillId="0" fontId="16" numFmtId="0" xfId="0" applyAlignment="1" applyBorder="1" applyFont="1">
      <alignment horizontal="center" vertical="center"/>
    </xf>
    <xf borderId="14" fillId="0" fontId="16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1" numFmtId="0" xfId="0" applyFont="1"/>
    <xf borderId="15" fillId="0" fontId="15" numFmtId="0" xfId="0" applyAlignment="1" applyBorder="1" applyFont="1">
      <alignment horizontal="center" vertical="center"/>
    </xf>
    <xf borderId="14" fillId="0" fontId="4" numFmtId="0" xfId="0" applyBorder="1" applyFont="1"/>
    <xf borderId="14" fillId="0" fontId="15" numFmtId="0" xfId="0" applyAlignment="1" applyBorder="1" applyFont="1">
      <alignment horizontal="center" vertical="center"/>
    </xf>
    <xf borderId="0" fillId="0" fontId="2" numFmtId="0" xfId="0" applyFont="1"/>
    <xf borderId="7" fillId="0" fontId="16" numFmtId="0" xfId="0" applyAlignment="1" applyBorder="1" applyFont="1">
      <alignment horizontal="center" vertical="top"/>
    </xf>
    <xf borderId="14" fillId="0" fontId="16" numFmtId="0" xfId="0" applyAlignment="1" applyBorder="1" applyFont="1">
      <alignment horizontal="center" vertical="top"/>
    </xf>
    <xf borderId="14" fillId="0" fontId="2" numFmtId="0" xfId="0" applyAlignment="1" applyBorder="1" applyFont="1">
      <alignment horizontal="center" vertical="top"/>
    </xf>
    <xf borderId="15" fillId="0" fontId="15" numFmtId="0" xfId="0" applyAlignment="1" applyBorder="1" applyFont="1">
      <alignment horizontal="center" vertical="top"/>
    </xf>
    <xf borderId="14" fillId="0" fontId="15" numFmtId="0" xfId="0" applyAlignment="1" applyBorder="1" applyFont="1">
      <alignment horizontal="center" vertical="top"/>
    </xf>
    <xf borderId="14" fillId="0" fontId="16" numFmtId="0" xfId="0" applyAlignment="1" applyBorder="1" applyFont="1">
      <alignment vertical="top"/>
    </xf>
    <xf borderId="0" fillId="0" fontId="19" numFmtId="0" xfId="0" applyFont="1"/>
    <xf borderId="0" fillId="0" fontId="2" numFmtId="49" xfId="0" applyAlignment="1" applyFont="1" applyNumberFormat="1">
      <alignment vertical="center"/>
    </xf>
    <xf borderId="1" fillId="3" fontId="20" numFmtId="0" xfId="0" applyAlignment="1" applyBorder="1" applyFont="1">
      <alignment horizontal="center" vertical="center"/>
    </xf>
    <xf borderId="1" fillId="3" fontId="20" numFmtId="49" xfId="0" applyAlignment="1" applyBorder="1" applyFont="1" applyNumberFormat="1">
      <alignment horizontal="center" vertical="center"/>
    </xf>
    <xf borderId="16" fillId="3" fontId="20" numFmtId="0" xfId="0" applyAlignment="1" applyBorder="1" applyFont="1">
      <alignment horizontal="center" vertical="center"/>
    </xf>
    <xf borderId="1" fillId="3" fontId="20" numFmtId="0" xfId="0" applyAlignment="1" applyBorder="1" applyFont="1">
      <alignment horizontal="center" shrinkToFit="0" vertical="center" wrapText="1"/>
    </xf>
    <xf borderId="1" fillId="3" fontId="20" numFmtId="0" xfId="0" applyAlignment="1" applyBorder="1" applyFont="1">
      <alignment shrinkToFit="0" vertical="center" wrapText="1"/>
    </xf>
    <xf borderId="17" fillId="3" fontId="20" numFmtId="0" xfId="0" applyAlignment="1" applyBorder="1" applyFont="1">
      <alignment horizontal="center" shrinkToFit="0" vertical="center" wrapText="1"/>
    </xf>
    <xf borderId="17" fillId="3" fontId="20" numFmtId="0" xfId="0" applyAlignment="1" applyBorder="1" applyFont="1">
      <alignment horizontal="center" vertical="center"/>
    </xf>
    <xf borderId="13" fillId="3" fontId="6" numFmtId="0" xfId="0" applyAlignment="1" applyBorder="1" applyFont="1">
      <alignment horizontal="center" vertical="center"/>
    </xf>
    <xf borderId="18" fillId="3" fontId="6" numFmtId="0" xfId="0" applyAlignment="1" applyBorder="1" applyFont="1">
      <alignment horizontal="center" vertical="center"/>
    </xf>
    <xf borderId="18" fillId="3" fontId="6" numFmtId="49" xfId="0" applyAlignment="1" applyBorder="1" applyFont="1" applyNumberFormat="1">
      <alignment horizontal="center" vertical="center"/>
    </xf>
    <xf borderId="5" fillId="3" fontId="6" numFmtId="0" xfId="0" applyAlignment="1" applyBorder="1" applyFont="1">
      <alignment horizontal="center" vertical="center"/>
    </xf>
    <xf borderId="5" fillId="3" fontId="9" numFmtId="170" xfId="0" applyAlignment="1" applyBorder="1" applyFont="1" applyNumberFormat="1">
      <alignment horizontal="center" vertical="center"/>
    </xf>
    <xf borderId="5" fillId="3" fontId="3" numFmtId="0" xfId="0" applyAlignment="1" applyBorder="1" applyFont="1">
      <alignment horizontal="center" vertical="center"/>
    </xf>
    <xf borderId="5" fillId="3" fontId="2" numFmtId="166" xfId="0" applyAlignment="1" applyBorder="1" applyFont="1" applyNumberFormat="1">
      <alignment horizontal="center" vertical="center"/>
    </xf>
    <xf borderId="5" fillId="3" fontId="9" numFmtId="165" xfId="0" applyAlignment="1" applyBorder="1" applyFont="1" applyNumberFormat="1">
      <alignment horizontal="center" vertical="center"/>
    </xf>
    <xf borderId="5" fillId="3" fontId="2" numFmtId="0" xfId="0" applyAlignment="1" applyBorder="1" applyFont="1">
      <alignment horizontal="center" vertical="center"/>
    </xf>
    <xf borderId="5" fillId="3" fontId="2" numFmtId="0" xfId="0" applyAlignment="1" applyBorder="1" applyFont="1">
      <alignment vertical="center"/>
    </xf>
    <xf borderId="5" fillId="3" fontId="2" numFmtId="165" xfId="0" applyAlignment="1" applyBorder="1" applyFont="1" applyNumberFormat="1">
      <alignment horizontal="center" vertical="center"/>
    </xf>
    <xf borderId="5" fillId="3" fontId="21" numFmtId="0" xfId="0" applyAlignment="1" applyBorder="1" applyFont="1">
      <alignment vertical="center"/>
    </xf>
    <xf borderId="5" fillId="3" fontId="2" numFmtId="164" xfId="0" applyAlignment="1" applyBorder="1" applyFont="1" applyNumberFormat="1">
      <alignment horizontal="center" vertical="center"/>
    </xf>
    <xf borderId="5" fillId="3" fontId="2" numFmtId="164" xfId="0" applyAlignment="1" applyBorder="1" applyFont="1" applyNumberFormat="1">
      <alignment vertical="center"/>
    </xf>
    <xf borderId="5" fillId="3" fontId="2" numFmtId="166" xfId="0" applyAlignment="1" applyBorder="1" applyFont="1" applyNumberFormat="1">
      <alignment vertical="center"/>
    </xf>
    <xf borderId="5" fillId="3" fontId="2" numFmtId="170" xfId="0" applyAlignment="1" applyBorder="1" applyFont="1" applyNumberFormat="1">
      <alignment horizontal="center" vertical="center"/>
    </xf>
    <xf borderId="8" fillId="3" fontId="2" numFmtId="0" xfId="0" applyAlignment="1" applyBorder="1" applyFont="1">
      <alignment vertical="center"/>
    </xf>
    <xf borderId="5" fillId="3" fontId="2" numFmtId="49" xfId="0" applyAlignment="1" applyBorder="1" applyFont="1" applyNumberFormat="1">
      <alignment vertical="center"/>
    </xf>
    <xf borderId="8" fillId="3" fontId="9" numFmtId="0" xfId="0" applyAlignment="1" applyBorder="1" applyFont="1">
      <alignment vertical="center"/>
    </xf>
    <xf borderId="8" fillId="3" fontId="9" numFmtId="170" xfId="0" applyAlignment="1" applyBorder="1" applyFont="1" applyNumberFormat="1">
      <alignment horizontal="center" vertical="center"/>
    </xf>
    <xf borderId="8" fillId="3" fontId="9" numFmtId="0" xfId="0" applyAlignment="1" applyBorder="1" applyFont="1">
      <alignment horizontal="center" vertical="center"/>
    </xf>
    <xf borderId="8" fillId="3" fontId="9" numFmtId="0" xfId="0" applyAlignment="1" applyBorder="1" applyFont="1">
      <alignment horizontal="right" vertical="center"/>
    </xf>
    <xf borderId="8" fillId="3" fontId="9" numFmtId="165" xfId="0" applyAlignment="1" applyBorder="1" applyFont="1" applyNumberFormat="1">
      <alignment horizontal="center" vertical="center"/>
    </xf>
    <xf borderId="5" fillId="3" fontId="3" numFmtId="0" xfId="0" applyAlignment="1" applyBorder="1" applyFont="1">
      <alignment vertical="center"/>
    </xf>
    <xf borderId="8" fillId="3" fontId="2" numFmtId="49" xfId="0" applyAlignment="1" applyBorder="1" applyFont="1" applyNumberFormat="1">
      <alignment vertical="center"/>
    </xf>
    <xf borderId="8" fillId="3" fontId="2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1" fillId="7" fontId="3" numFmtId="49" xfId="0" applyAlignment="1" applyBorder="1" applyFont="1" applyNumberFormat="1">
      <alignment horizontal="center" vertical="center"/>
    </xf>
    <xf borderId="2" fillId="7" fontId="3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shrinkToFit="0" vertical="center" wrapText="1"/>
    </xf>
    <xf borderId="1" fillId="7" fontId="3" numFmtId="0" xfId="0" applyAlignment="1" applyBorder="1" applyFont="1">
      <alignment horizontal="center" readingOrder="0" vertical="center"/>
    </xf>
    <xf borderId="5" fillId="7" fontId="5" numFmtId="0" xfId="0" applyAlignment="1" applyBorder="1" applyFont="1">
      <alignment horizontal="center" vertical="center"/>
    </xf>
    <xf borderId="5" fillId="7" fontId="6" numFmtId="0" xfId="0" applyAlignment="1" applyBorder="1" applyFont="1">
      <alignment horizontal="center" vertical="center"/>
    </xf>
    <xf borderId="5" fillId="7" fontId="6" numFmtId="49" xfId="0" applyAlignment="1" applyBorder="1" applyFont="1" applyNumberFormat="1">
      <alignment horizontal="center" vertical="center"/>
    </xf>
    <xf borderId="5" fillId="7" fontId="9" numFmtId="0" xfId="0" applyAlignment="1" applyBorder="1" applyFont="1">
      <alignment horizontal="center" readingOrder="0" vertical="center"/>
    </xf>
    <xf borderId="5" fillId="7" fontId="7" numFmtId="165" xfId="0" applyAlignment="1" applyBorder="1" applyFont="1" applyNumberFormat="1">
      <alignment horizontal="center" vertical="center"/>
    </xf>
    <xf borderId="5" fillId="7" fontId="9" numFmtId="171" xfId="0" applyAlignment="1" applyBorder="1" applyFont="1" applyNumberFormat="1">
      <alignment horizontal="left" vertical="center"/>
    </xf>
    <xf borderId="5" fillId="7" fontId="7" numFmtId="170" xfId="0" applyAlignment="1" applyBorder="1" applyFont="1" applyNumberFormat="1">
      <alignment horizontal="center" vertical="center"/>
    </xf>
    <xf borderId="5" fillId="7" fontId="7" numFmtId="0" xfId="0" applyAlignment="1" applyBorder="1" applyFont="1">
      <alignment readingOrder="0" vertical="center"/>
    </xf>
    <xf borderId="5" fillId="9" fontId="3" numFmtId="0" xfId="0" applyAlignment="1" applyBorder="1" applyFill="1" applyFont="1">
      <alignment horizontal="center" vertical="center"/>
    </xf>
    <xf borderId="5" fillId="9" fontId="3" numFmtId="0" xfId="0" applyAlignment="1" applyBorder="1" applyFont="1">
      <alignment horizontal="left" vertical="center"/>
    </xf>
    <xf borderId="5" fillId="9" fontId="8" numFmtId="166" xfId="0" applyAlignment="1" applyBorder="1" applyFont="1" applyNumberFormat="1">
      <alignment horizontal="center" vertical="center"/>
    </xf>
    <xf borderId="5" fillId="9" fontId="8" numFmtId="166" xfId="0" applyAlignment="1" applyBorder="1" applyFont="1" applyNumberFormat="1">
      <alignment horizontal="left" vertical="center"/>
    </xf>
    <xf borderId="5" fillId="9" fontId="9" numFmtId="0" xfId="0" applyAlignment="1" applyBorder="1" applyFont="1">
      <alignment horizontal="left" vertical="center"/>
    </xf>
    <xf borderId="5" fillId="9" fontId="9" numFmtId="49" xfId="0" applyAlignment="1" applyBorder="1" applyFont="1" applyNumberFormat="1">
      <alignment horizontal="left" vertical="center"/>
    </xf>
    <xf borderId="5" fillId="9" fontId="9" numFmtId="0" xfId="0" applyAlignment="1" applyBorder="1" applyFont="1">
      <alignment horizontal="center" vertical="center"/>
    </xf>
    <xf borderId="9" fillId="7" fontId="9" numFmtId="0" xfId="0" applyAlignment="1" applyBorder="1" applyFont="1">
      <alignment horizontal="center" readingOrder="0" vertical="center"/>
    </xf>
    <xf borderId="5" fillId="7" fontId="9" numFmtId="49" xfId="0" applyAlignment="1" applyBorder="1" applyFont="1" applyNumberFormat="1">
      <alignment horizontal="left" vertical="center"/>
    </xf>
    <xf borderId="5" fillId="7" fontId="8" numFmtId="166" xfId="0" applyAlignment="1" applyBorder="1" applyFont="1" applyNumberFormat="1">
      <alignment horizontal="center" vertical="center"/>
    </xf>
    <xf borderId="5" fillId="7" fontId="8" numFmtId="166" xfId="0" applyAlignment="1" applyBorder="1" applyFont="1" applyNumberFormat="1">
      <alignment horizontal="left" vertical="center"/>
    </xf>
    <xf borderId="5" fillId="7" fontId="2" numFmtId="0" xfId="0" applyAlignment="1" applyBorder="1" applyFont="1">
      <alignment horizontal="center" vertical="center"/>
    </xf>
    <xf borderId="11" fillId="7" fontId="7" numFmtId="0" xfId="0" applyAlignment="1" applyBorder="1" applyFont="1">
      <alignment vertical="center"/>
    </xf>
    <xf borderId="5" fillId="7" fontId="12" numFmtId="0" xfId="0" applyAlignment="1" applyBorder="1" applyFont="1">
      <alignment vertical="center"/>
    </xf>
    <xf borderId="10" fillId="7" fontId="7" numFmtId="170" xfId="0" applyAlignment="1" applyBorder="1" applyFont="1" applyNumberFormat="1">
      <alignment horizontal="center" vertical="center"/>
    </xf>
    <xf borderId="11" fillId="7" fontId="7" numFmtId="0" xfId="0" applyAlignment="1" applyBorder="1" applyFont="1">
      <alignment horizontal="center" vertical="center"/>
    </xf>
    <xf borderId="10" fillId="7" fontId="7" numFmtId="165" xfId="0" applyAlignment="1" applyBorder="1" applyFont="1" applyNumberFormat="1">
      <alignment horizontal="center" vertical="center"/>
    </xf>
    <xf borderId="5" fillId="7" fontId="22" numFmtId="0" xfId="0" applyAlignment="1" applyBorder="1" applyFont="1">
      <alignment vertical="center"/>
    </xf>
    <xf borderId="10" fillId="7" fontId="7" numFmtId="0" xfId="0" applyAlignment="1" applyBorder="1" applyFont="1">
      <alignment horizontal="center" vertical="center"/>
    </xf>
    <xf borderId="5" fillId="7" fontId="7" numFmtId="49" xfId="0" applyAlignment="1" applyBorder="1" applyFont="1" applyNumberFormat="1">
      <alignment vertical="center"/>
    </xf>
    <xf borderId="5" fillId="7" fontId="2" numFmtId="166" xfId="0" applyAlignment="1" applyBorder="1" applyFont="1" applyNumberFormat="1">
      <alignment horizontal="center" vertical="center"/>
    </xf>
    <xf borderId="13" fillId="7" fontId="9" numFmtId="0" xfId="0" applyAlignment="1" applyBorder="1" applyFont="1">
      <alignment horizontal="center" readingOrder="0" vertical="center"/>
    </xf>
    <xf borderId="13" fillId="7" fontId="7" numFmtId="0" xfId="0" applyAlignment="1" applyBorder="1" applyFont="1">
      <alignment vertical="center"/>
    </xf>
    <xf borderId="13" fillId="7" fontId="7" numFmtId="170" xfId="0" applyAlignment="1" applyBorder="1" applyFont="1" applyNumberFormat="1">
      <alignment horizontal="center" vertical="center"/>
    </xf>
    <xf borderId="13" fillId="7" fontId="7" numFmtId="0" xfId="0" applyAlignment="1" applyBorder="1" applyFont="1">
      <alignment horizontal="center" vertical="center"/>
    </xf>
    <xf borderId="5" fillId="7" fontId="7" numFmtId="0" xfId="0" applyAlignment="1" applyBorder="1" applyFont="1">
      <alignment horizontal="center" readingOrder="0" vertical="center"/>
    </xf>
    <xf borderId="9" fillId="7" fontId="7" numFmtId="0" xfId="0" applyAlignment="1" applyBorder="1" applyFont="1">
      <alignment vertical="center"/>
    </xf>
    <xf borderId="9" fillId="7" fontId="7" numFmtId="0" xfId="0" applyAlignment="1" applyBorder="1" applyFont="1">
      <alignment horizontal="center" vertical="center"/>
    </xf>
    <xf borderId="9" fillId="7" fontId="2" numFmtId="0" xfId="0" applyAlignment="1" applyBorder="1" applyFont="1">
      <alignment horizontal="center" vertical="center"/>
    </xf>
    <xf borderId="5" fillId="10" fontId="23" numFmtId="0" xfId="0" applyAlignment="1" applyBorder="1" applyFill="1" applyFont="1">
      <alignment horizontal="center" readingOrder="0" shrinkToFit="0" vertical="center" wrapText="0"/>
    </xf>
    <xf borderId="5" fillId="10" fontId="23" numFmtId="0" xfId="0" applyAlignment="1" applyBorder="1" applyFont="1">
      <alignment horizontal="center" readingOrder="0" vertical="center"/>
    </xf>
    <xf borderId="5" fillId="10" fontId="23" numFmtId="0" xfId="0" applyAlignment="1" applyBorder="1" applyFont="1">
      <alignment horizontal="center" readingOrder="0" shrinkToFit="0" vertical="center" wrapText="1"/>
    </xf>
    <xf borderId="5" fillId="0" fontId="23" numFmtId="0" xfId="0" applyAlignment="1" applyBorder="1" applyFont="1">
      <alignment horizontal="left" readingOrder="0" shrinkToFit="0" vertical="center" wrapText="0"/>
    </xf>
    <xf borderId="5" fillId="0" fontId="23" numFmtId="0" xfId="0" applyAlignment="1" applyBorder="1" applyFont="1">
      <alignment horizontal="left" readingOrder="0" vertical="center"/>
    </xf>
    <xf borderId="5" fillId="0" fontId="24" numFmtId="0" xfId="0" applyAlignment="1" applyBorder="1" applyFont="1">
      <alignment horizontal="left" readingOrder="0" shrinkToFit="0" vertical="center" wrapText="1"/>
    </xf>
    <xf quotePrefix="1" borderId="5" fillId="0" fontId="23" numFmtId="0" xfId="0" applyAlignment="1" applyBorder="1" applyFont="1">
      <alignment horizontal="left" readingOrder="0" shrinkToFit="0" vertical="center" wrapText="0"/>
    </xf>
    <xf borderId="5" fillId="0" fontId="23" numFmtId="172" xfId="0" applyAlignment="1" applyBorder="1" applyFont="1" applyNumberFormat="1">
      <alignment horizontal="left" readingOrder="0" shrinkToFit="0" vertical="center" wrapText="0"/>
    </xf>
    <xf borderId="5" fillId="0" fontId="24" numFmtId="0" xfId="0" applyAlignment="1" applyBorder="1" applyFont="1">
      <alignment horizontal="left" vertical="center"/>
    </xf>
    <xf borderId="0" fillId="0" fontId="25" numFmtId="0" xfId="0" applyAlignment="1" applyFont="1">
      <alignment vertical="bottom"/>
    </xf>
    <xf borderId="5" fillId="0" fontId="23" numFmtId="0" xfId="0" applyAlignment="1" applyBorder="1" applyFont="1">
      <alignment horizontal="left" readingOrder="0" shrinkToFit="0" vertical="center" wrapText="1"/>
    </xf>
    <xf borderId="5" fillId="0" fontId="24" numFmtId="0" xfId="0" applyAlignment="1" applyBorder="1" applyFont="1">
      <alignment horizontal="left" readingOrder="0" vertical="center"/>
    </xf>
    <xf borderId="5" fillId="0" fontId="23" numFmtId="0" xfId="0" applyAlignment="1" applyBorder="1" applyFont="1">
      <alignment readingOrder="0" vertical="center"/>
    </xf>
    <xf borderId="5" fillId="6" fontId="23" numFmtId="0" xfId="0" applyAlignment="1" applyBorder="1" applyFont="1">
      <alignment horizontal="left" readingOrder="0" shrinkToFit="0" vertical="center" wrapText="0"/>
    </xf>
    <xf borderId="5" fillId="6" fontId="23" numFmtId="169" xfId="0" applyAlignment="1" applyBorder="1" applyFont="1" applyNumberFormat="1">
      <alignment horizontal="left" readingOrder="0" shrinkToFit="0" vertical="center" wrapText="0"/>
    </xf>
    <xf borderId="5" fillId="6" fontId="23" numFmtId="0" xfId="0" applyAlignment="1" applyBorder="1" applyFont="1">
      <alignment horizontal="left" readingOrder="0" shrinkToFit="0" vertical="center" wrapText="1"/>
    </xf>
    <xf borderId="5" fillId="6" fontId="24" numFmtId="0" xfId="0" applyAlignment="1" applyBorder="1" applyFont="1">
      <alignment horizontal="left" readingOrder="0" vertical="center"/>
    </xf>
    <xf borderId="5" fillId="0" fontId="23" numFmtId="169" xfId="0" applyAlignment="1" applyBorder="1" applyFont="1" applyNumberFormat="1">
      <alignment horizontal="left" readingOrder="0" shrinkToFit="0" vertical="center" wrapText="0"/>
    </xf>
    <xf borderId="5" fillId="0" fontId="26" numFmtId="0" xfId="0" applyAlignment="1" applyBorder="1" applyFont="1">
      <alignment readingOrder="0" vertical="center"/>
    </xf>
    <xf borderId="0" fillId="0" fontId="27" numFmtId="0" xfId="0" applyFont="1"/>
    <xf borderId="5" fillId="0" fontId="24" numFmtId="0" xfId="0" applyAlignment="1" applyBorder="1" applyFont="1">
      <alignment readingOrder="0"/>
    </xf>
    <xf quotePrefix="1" borderId="5" fillId="0" fontId="24" numFmtId="0" xfId="0" applyAlignment="1" applyBorder="1" applyFont="1">
      <alignment horizontal="left" readingOrder="0" vertical="center"/>
    </xf>
    <xf borderId="5" fillId="0" fontId="23" numFmtId="0" xfId="0" applyAlignment="1" applyBorder="1" applyFont="1">
      <alignment readingOrder="0"/>
    </xf>
    <xf quotePrefix="1" borderId="5" fillId="0" fontId="23" numFmtId="0" xfId="0" applyAlignment="1" applyBorder="1" applyFont="1">
      <alignment horizontal="left" readingOrder="0" vertical="center"/>
    </xf>
    <xf quotePrefix="1" borderId="5" fillId="0" fontId="23" numFmtId="0" xfId="0" applyAlignment="1" applyBorder="1" applyFont="1">
      <alignment readingOrder="0" vertical="center"/>
    </xf>
    <xf borderId="5" fillId="0" fontId="28" numFmtId="0" xfId="0" applyAlignment="1" applyBorder="1" applyFont="1">
      <alignment readingOrder="0" vertical="center"/>
    </xf>
    <xf borderId="5" fillId="0" fontId="29" numFmtId="0" xfId="0" applyAlignment="1" applyBorder="1" applyFont="1">
      <alignment horizontal="left" readingOrder="0" vertical="center"/>
    </xf>
    <xf borderId="5" fillId="0" fontId="24" numFmtId="0" xfId="0" applyAlignment="1" applyBorder="1" applyFont="1">
      <alignment readingOrder="0" vertical="center"/>
    </xf>
    <xf borderId="5" fillId="0" fontId="30" numFmtId="0" xfId="0" applyAlignment="1" applyBorder="1" applyFont="1">
      <alignment readingOrder="0" vertical="center"/>
    </xf>
    <xf quotePrefix="1" borderId="5" fillId="0" fontId="30" numFmtId="0" xfId="0" applyAlignment="1" applyBorder="1" applyFont="1">
      <alignment readingOrder="0" vertical="center"/>
    </xf>
    <xf borderId="5" fillId="0" fontId="29" numFmtId="0" xfId="0" applyAlignment="1" applyBorder="1" applyFont="1">
      <alignment readingOrder="0" vertical="center"/>
    </xf>
    <xf quotePrefix="1" borderId="5" fillId="0" fontId="24" numFmtId="0" xfId="0" applyAlignment="1" applyBorder="1" applyFont="1">
      <alignment readingOrder="0" vertical="center"/>
    </xf>
    <xf borderId="5" fillId="6" fontId="23" numFmtId="0" xfId="0" applyAlignment="1" applyBorder="1" applyFont="1">
      <alignment horizontal="left" readingOrder="0" vertical="center"/>
    </xf>
    <xf quotePrefix="1" borderId="5" fillId="6" fontId="23" numFmtId="0" xfId="0" applyAlignment="1" applyBorder="1" applyFont="1">
      <alignment horizontal="left" readingOrder="0" vertical="center"/>
    </xf>
    <xf borderId="5" fillId="6" fontId="24" numFmtId="0" xfId="0" applyAlignment="1" applyBorder="1" applyFont="1">
      <alignment horizontal="left" vertical="center"/>
    </xf>
    <xf borderId="5" fillId="0" fontId="31" numFmtId="0" xfId="0" applyAlignment="1" applyBorder="1" applyFont="1">
      <alignment readingOrder="0" vertical="center"/>
    </xf>
    <xf borderId="0" fillId="0" fontId="14" numFmtId="0" xfId="0" applyAlignment="1" applyFont="1">
      <alignment shrinkToFit="0" wrapText="1"/>
    </xf>
    <xf borderId="19" fillId="0" fontId="32" numFmtId="0" xfId="0" applyAlignment="1" applyBorder="1" applyFont="1">
      <alignment horizontal="center" readingOrder="0" shrinkToFit="0" vertical="center" wrapText="0"/>
    </xf>
    <xf borderId="19" fillId="0" fontId="32" numFmtId="0" xfId="0" applyAlignment="1" applyBorder="1" applyFont="1">
      <alignment horizontal="left" readingOrder="0" shrinkToFit="0" vertical="center" wrapText="0"/>
    </xf>
    <xf borderId="0" fillId="0" fontId="33" numFmtId="0" xfId="0" applyAlignment="1" applyFont="1">
      <alignment readingOrder="0" vertical="center"/>
    </xf>
    <xf borderId="0" fillId="0" fontId="33" numFmtId="0" xfId="0" applyAlignment="1" applyFont="1">
      <alignment vertical="center"/>
    </xf>
    <xf borderId="19" fillId="0" fontId="34" numFmtId="0" xfId="0" applyAlignment="1" applyBorder="1" applyFont="1">
      <alignment horizontal="right" readingOrder="0" shrinkToFit="0" vertical="center" wrapText="0"/>
    </xf>
    <xf borderId="19" fillId="0" fontId="34" numFmtId="0" xfId="0" applyAlignment="1" applyBorder="1" applyFont="1">
      <alignment readingOrder="0" shrinkToFit="0" vertical="center" wrapText="0"/>
    </xf>
    <xf borderId="19" fillId="0" fontId="34" numFmtId="0" xfId="0" applyAlignment="1" applyBorder="1" applyFont="1">
      <alignment horizontal="center" readingOrder="0" shrinkToFit="0" vertical="center" wrapText="0"/>
    </xf>
    <xf borderId="19" fillId="0" fontId="34" numFmtId="0" xfId="0" applyAlignment="1" applyBorder="1" applyFont="1">
      <alignment horizontal="left" readingOrder="0" vertical="center"/>
    </xf>
    <xf borderId="0" fillId="0" fontId="14" numFmtId="0" xfId="0" applyAlignment="1" applyFont="1">
      <alignment readingOrder="0" vertical="center"/>
    </xf>
    <xf borderId="19" fillId="0" fontId="34" numFmtId="0" xfId="0" applyAlignment="1" applyBorder="1" applyFont="1">
      <alignment shrinkToFit="0" vertical="center" wrapText="0"/>
    </xf>
    <xf borderId="19" fillId="0" fontId="34" numFmtId="0" xfId="0" applyAlignment="1" applyBorder="1" applyFont="1">
      <alignment shrinkToFit="0" vertical="center" wrapText="0"/>
    </xf>
    <xf borderId="19" fillId="0" fontId="34" numFmtId="0" xfId="0" applyAlignment="1" applyBorder="1" applyFont="1">
      <alignment horizontal="center" shrinkToFit="0" vertical="center" wrapText="0"/>
    </xf>
    <xf borderId="19" fillId="0" fontId="34" numFmtId="0" xfId="0" applyAlignment="1" applyBorder="1" applyFont="1">
      <alignment horizontal="center" shrinkToFit="0" vertical="center" wrapText="0"/>
    </xf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900.1.13.1.sa/4708-01-2025" TargetMode="External"/><Relationship Id="rId2" Type="http://schemas.openxmlformats.org/officeDocument/2006/relationships/hyperlink" Target="http://900.1.13.1.sa/4708-01-2025" TargetMode="External"/><Relationship Id="rId3" Type="http://schemas.openxmlformats.org/officeDocument/2006/relationships/hyperlink" Target="http://hafezlubis452gmail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900.1.13.1.sa/4708-01-2025" TargetMode="External"/><Relationship Id="rId2" Type="http://schemas.openxmlformats.org/officeDocument/2006/relationships/hyperlink" Target="http://900.1.13.1.sa/4708-01-2025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hafezlubis452gmail.com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4.38"/>
    <col customWidth="1" min="2" max="2" width="40.63"/>
    <col customWidth="1" min="3" max="3" width="17.25"/>
    <col customWidth="1" min="4" max="4" width="7.88"/>
    <col customWidth="1" min="5" max="5" width="8.13"/>
    <col customWidth="1" min="6" max="6" width="16.0"/>
    <col customWidth="1" min="7" max="7" width="9.25"/>
    <col customWidth="1" min="9" max="9" width="16.25"/>
    <col customWidth="1" min="10" max="10" width="8.38"/>
    <col customWidth="1" min="12" max="12" width="26.38"/>
    <col customWidth="1" min="14" max="14" width="25.25"/>
    <col customWidth="1" min="15" max="15" width="46.63"/>
    <col customWidth="1" min="16" max="16" width="9.0"/>
    <col customWidth="1" min="17" max="17" width="79.13"/>
    <col customWidth="1" min="18" max="18" width="9.38"/>
    <col customWidth="1" min="19" max="19" width="12.25"/>
    <col customWidth="1" min="20" max="20" width="9.88"/>
    <col customWidth="1" min="21" max="21" width="15.25"/>
    <col customWidth="1" min="22" max="22" width="11.13"/>
    <col customWidth="1" min="23" max="23" width="38.75"/>
    <col customWidth="1" min="24" max="24" width="49.75"/>
    <col customWidth="1" min="25" max="25" width="16.13"/>
    <col customWidth="1" min="26" max="26" width="33.13"/>
    <col customWidth="1" min="27" max="27" width="9.38"/>
    <col customWidth="1" min="28" max="28" width="14.38"/>
    <col customWidth="1" min="29" max="29" width="6.75"/>
    <col customWidth="1" min="30" max="30" width="12.38"/>
    <col customWidth="1" min="31" max="31" width="13.75"/>
    <col customWidth="1" min="32" max="32" width="12.63"/>
    <col customWidth="1" min="33" max="33" width="12.38"/>
    <col customWidth="1" min="34" max="34" width="10.13"/>
    <col customWidth="1" min="35" max="35" width="13.0"/>
    <col customWidth="1" min="36" max="36" width="26.0"/>
    <col customWidth="1" min="37" max="37" width="30.88"/>
    <col customWidth="1" min="38" max="38" width="72.63"/>
    <col customWidth="1" min="39" max="40" width="15.0"/>
    <col customWidth="1" min="41" max="41" width="18.0"/>
    <col customWidth="1" min="42" max="42" width="19.88"/>
    <col customWidth="1" min="43" max="43" width="6.88"/>
    <col customWidth="1" min="44" max="44" width="3.63"/>
  </cols>
  <sheetData>
    <row r="1">
      <c r="A1" s="1" t="s">
        <v>0</v>
      </c>
      <c r="G1" s="2"/>
      <c r="H1" s="2"/>
      <c r="I1" s="3"/>
      <c r="J1" s="2"/>
      <c r="K1" s="2"/>
      <c r="L1" s="3"/>
      <c r="M1" s="2"/>
      <c r="N1" s="2"/>
      <c r="O1" s="3"/>
      <c r="P1" s="2"/>
      <c r="Q1" s="3"/>
      <c r="R1" s="2"/>
      <c r="S1" s="4"/>
      <c r="T1" s="2"/>
      <c r="U1" s="4"/>
      <c r="V1" s="3"/>
      <c r="W1" s="4"/>
      <c r="X1" s="3"/>
      <c r="Y1" s="4"/>
      <c r="Z1" s="3"/>
      <c r="AA1" s="3"/>
      <c r="AB1" s="4"/>
      <c r="AC1" s="4"/>
      <c r="AD1" s="4"/>
      <c r="AE1" s="4"/>
      <c r="AF1" s="4"/>
      <c r="AG1" s="4"/>
      <c r="AH1" s="4"/>
      <c r="AI1" s="4"/>
      <c r="AJ1" s="4"/>
      <c r="AK1" s="5"/>
      <c r="AL1" s="4"/>
      <c r="AM1" s="4"/>
      <c r="AN1" s="4"/>
      <c r="AO1" s="4"/>
      <c r="AP1" s="4"/>
      <c r="AQ1" s="4"/>
      <c r="AR1" s="4"/>
    </row>
    <row r="2">
      <c r="A2" s="2"/>
      <c r="B2" s="3"/>
      <c r="C2" s="6"/>
      <c r="D2" s="2"/>
      <c r="E2" s="2"/>
      <c r="F2" s="2"/>
      <c r="G2" s="2"/>
      <c r="H2" s="2"/>
      <c r="I2" s="3"/>
      <c r="J2" s="2"/>
      <c r="K2" s="2"/>
      <c r="L2" s="3"/>
      <c r="M2" s="2"/>
      <c r="N2" s="2"/>
      <c r="O2" s="3"/>
      <c r="P2" s="2"/>
      <c r="Q2" s="3"/>
      <c r="R2" s="2"/>
      <c r="S2" s="4"/>
      <c r="T2" s="2"/>
      <c r="U2" s="4"/>
      <c r="V2" s="3"/>
      <c r="W2" s="4"/>
      <c r="X2" s="3"/>
      <c r="Y2" s="4"/>
      <c r="Z2" s="3"/>
      <c r="AA2" s="3"/>
      <c r="AB2" s="4"/>
      <c r="AC2" s="4"/>
      <c r="AD2" s="4"/>
      <c r="AE2" s="4"/>
      <c r="AF2" s="4"/>
      <c r="AG2" s="4"/>
      <c r="AH2" s="4"/>
      <c r="AI2" s="4"/>
      <c r="AJ2" s="4"/>
      <c r="AK2" s="5"/>
      <c r="AL2" s="4"/>
      <c r="AM2" s="4"/>
      <c r="AN2" s="4"/>
      <c r="AO2" s="4"/>
      <c r="AP2" s="4"/>
      <c r="AQ2" s="4"/>
      <c r="AR2" s="4"/>
    </row>
    <row r="3">
      <c r="A3" s="7" t="s">
        <v>1</v>
      </c>
      <c r="B3" s="7" t="s">
        <v>2</v>
      </c>
      <c r="C3" s="8" t="s">
        <v>3</v>
      </c>
      <c r="D3" s="9" t="s">
        <v>4</v>
      </c>
      <c r="E3" s="10"/>
      <c r="F3" s="9" t="s">
        <v>5</v>
      </c>
      <c r="G3" s="11"/>
      <c r="H3" s="10"/>
      <c r="I3" s="9" t="s">
        <v>6</v>
      </c>
      <c r="J3" s="11"/>
      <c r="K3" s="11"/>
      <c r="L3" s="11"/>
      <c r="M3" s="10"/>
      <c r="N3" s="9" t="s">
        <v>7</v>
      </c>
      <c r="O3" s="11"/>
      <c r="P3" s="11"/>
      <c r="Q3" s="11"/>
      <c r="R3" s="11"/>
      <c r="S3" s="11"/>
      <c r="T3" s="11"/>
      <c r="U3" s="10"/>
      <c r="V3" s="9" t="s">
        <v>8</v>
      </c>
      <c r="W3" s="11"/>
      <c r="X3" s="11"/>
      <c r="Y3" s="10"/>
      <c r="Z3" s="12" t="s">
        <v>9</v>
      </c>
      <c r="AA3" s="7" t="s">
        <v>10</v>
      </c>
      <c r="AB3" s="13" t="s">
        <v>11</v>
      </c>
      <c r="AC3" s="13" t="s">
        <v>12</v>
      </c>
      <c r="AD3" s="13" t="s">
        <v>13</v>
      </c>
      <c r="AE3" s="13" t="s">
        <v>14</v>
      </c>
      <c r="AF3" s="13" t="s">
        <v>15</v>
      </c>
      <c r="AG3" s="13" t="s">
        <v>16</v>
      </c>
      <c r="AH3" s="13" t="s">
        <v>17</v>
      </c>
      <c r="AI3" s="13" t="s">
        <v>18</v>
      </c>
      <c r="AJ3" s="13" t="s">
        <v>19</v>
      </c>
      <c r="AK3" s="14" t="s">
        <v>20</v>
      </c>
      <c r="AL3" s="13" t="s">
        <v>21</v>
      </c>
      <c r="AM3" s="13" t="s">
        <v>22</v>
      </c>
      <c r="AN3" s="13" t="s">
        <v>23</v>
      </c>
      <c r="AO3" s="13" t="s">
        <v>24</v>
      </c>
      <c r="AP3" s="13" t="s">
        <v>25</v>
      </c>
      <c r="AQ3" s="13" t="s">
        <v>26</v>
      </c>
      <c r="AR3" s="13" t="s">
        <v>27</v>
      </c>
    </row>
    <row r="4">
      <c r="A4" s="15"/>
      <c r="B4" s="15"/>
      <c r="C4" s="15"/>
      <c r="D4" s="12" t="s">
        <v>28</v>
      </c>
      <c r="E4" s="12" t="s">
        <v>29</v>
      </c>
      <c r="F4" s="7" t="s">
        <v>30</v>
      </c>
      <c r="G4" s="13" t="s">
        <v>31</v>
      </c>
      <c r="H4" s="7" t="s">
        <v>32</v>
      </c>
      <c r="I4" s="7" t="s">
        <v>30</v>
      </c>
      <c r="J4" s="13" t="s">
        <v>31</v>
      </c>
      <c r="K4" s="7" t="s">
        <v>33</v>
      </c>
      <c r="L4" s="7" t="s">
        <v>34</v>
      </c>
      <c r="M4" s="7" t="s">
        <v>32</v>
      </c>
      <c r="N4" s="7" t="s">
        <v>35</v>
      </c>
      <c r="O4" s="7" t="s">
        <v>36</v>
      </c>
      <c r="P4" s="7" t="s">
        <v>37</v>
      </c>
      <c r="Q4" s="7" t="s">
        <v>38</v>
      </c>
      <c r="R4" s="7" t="s">
        <v>39</v>
      </c>
      <c r="S4" s="7" t="s">
        <v>33</v>
      </c>
      <c r="T4" s="7" t="s">
        <v>40</v>
      </c>
      <c r="U4" s="13" t="s">
        <v>34</v>
      </c>
      <c r="V4" s="13" t="s">
        <v>41</v>
      </c>
      <c r="W4" s="7" t="s">
        <v>42</v>
      </c>
      <c r="X4" s="7" t="s">
        <v>43</v>
      </c>
      <c r="Y4" s="7" t="s">
        <v>44</v>
      </c>
      <c r="Z4" s="7" t="s">
        <v>45</v>
      </c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</row>
    <row r="5">
      <c r="A5" s="16"/>
      <c r="B5" s="16"/>
      <c r="C5" s="16"/>
      <c r="D5" s="9" t="s">
        <v>46</v>
      </c>
      <c r="E5" s="10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</row>
    <row r="6" ht="17.25" customHeight="1">
      <c r="A6" s="17">
        <v>1.0</v>
      </c>
      <c r="B6" s="18">
        <v>2.0</v>
      </c>
      <c r="C6" s="19" t="s">
        <v>47</v>
      </c>
      <c r="D6" s="18">
        <v>4.0</v>
      </c>
      <c r="E6" s="18">
        <v>5.0</v>
      </c>
      <c r="F6" s="18">
        <v>6.0</v>
      </c>
      <c r="G6" s="18">
        <v>7.0</v>
      </c>
      <c r="H6" s="18">
        <v>8.0</v>
      </c>
      <c r="I6" s="18">
        <v>9.0</v>
      </c>
      <c r="J6" s="18">
        <v>10.0</v>
      </c>
      <c r="K6" s="18">
        <v>11.0</v>
      </c>
      <c r="L6" s="18">
        <v>12.0</v>
      </c>
      <c r="M6" s="18">
        <v>13.0</v>
      </c>
      <c r="N6" s="18">
        <v>14.0</v>
      </c>
      <c r="O6" s="18">
        <v>15.0</v>
      </c>
      <c r="P6" s="18">
        <v>16.0</v>
      </c>
      <c r="Q6" s="18">
        <v>17.0</v>
      </c>
      <c r="R6" s="18">
        <v>18.0</v>
      </c>
      <c r="S6" s="18">
        <v>19.0</v>
      </c>
      <c r="T6" s="18">
        <v>20.0</v>
      </c>
      <c r="U6" s="18">
        <v>21.0</v>
      </c>
      <c r="V6" s="18">
        <v>22.0</v>
      </c>
      <c r="W6" s="18">
        <v>23.0</v>
      </c>
      <c r="X6" s="18">
        <v>24.0</v>
      </c>
      <c r="Y6" s="18">
        <v>25.0</v>
      </c>
      <c r="Z6" s="18">
        <v>26.0</v>
      </c>
      <c r="AA6" s="18">
        <v>27.0</v>
      </c>
      <c r="AB6" s="18">
        <v>28.0</v>
      </c>
      <c r="AC6" s="18">
        <v>29.0</v>
      </c>
      <c r="AD6" s="18">
        <v>30.0</v>
      </c>
      <c r="AE6" s="18">
        <v>31.0</v>
      </c>
      <c r="AF6" s="18">
        <v>32.0</v>
      </c>
      <c r="AG6" s="18">
        <v>33.0</v>
      </c>
      <c r="AH6" s="18">
        <v>34.0</v>
      </c>
      <c r="AI6" s="18">
        <v>35.0</v>
      </c>
      <c r="AJ6" s="18">
        <v>36.0</v>
      </c>
      <c r="AK6" s="20">
        <v>37.0</v>
      </c>
      <c r="AL6" s="18">
        <v>38.0</v>
      </c>
      <c r="AM6" s="18">
        <v>39.0</v>
      </c>
      <c r="AN6" s="18">
        <v>40.0</v>
      </c>
      <c r="AO6" s="18">
        <v>41.0</v>
      </c>
      <c r="AP6" s="18">
        <v>42.0</v>
      </c>
      <c r="AQ6" s="18">
        <v>43.0</v>
      </c>
      <c r="AR6" s="18">
        <v>44.0</v>
      </c>
    </row>
    <row r="7">
      <c r="A7" s="21">
        <v>1.0</v>
      </c>
      <c r="B7" s="21" t="s">
        <v>48</v>
      </c>
      <c r="C7" s="22" t="s">
        <v>49</v>
      </c>
      <c r="D7" s="23">
        <v>17.0</v>
      </c>
      <c r="E7" s="23">
        <v>0.0</v>
      </c>
      <c r="F7" s="23" t="s">
        <v>50</v>
      </c>
      <c r="G7" s="23" t="s">
        <v>51</v>
      </c>
      <c r="H7" s="24">
        <v>38261.0</v>
      </c>
      <c r="I7" s="21" t="s">
        <v>52</v>
      </c>
      <c r="J7" s="21" t="s">
        <v>53</v>
      </c>
      <c r="K7" s="21" t="s">
        <v>54</v>
      </c>
      <c r="L7" s="21" t="s">
        <v>55</v>
      </c>
      <c r="M7" s="25">
        <v>45200.0</v>
      </c>
      <c r="N7" s="23" t="s">
        <v>56</v>
      </c>
      <c r="O7" s="21" t="s">
        <v>57</v>
      </c>
      <c r="P7" s="23" t="s">
        <v>58</v>
      </c>
      <c r="Q7" s="21" t="s">
        <v>59</v>
      </c>
      <c r="R7" s="24">
        <v>44511.0</v>
      </c>
      <c r="S7" s="23" t="s">
        <v>60</v>
      </c>
      <c r="T7" s="26"/>
      <c r="U7" s="23" t="s">
        <v>61</v>
      </c>
      <c r="V7" s="21" t="s">
        <v>62</v>
      </c>
      <c r="W7" s="21" t="s">
        <v>63</v>
      </c>
      <c r="X7" s="21" t="s">
        <v>64</v>
      </c>
      <c r="Y7" s="27">
        <v>44825.0</v>
      </c>
      <c r="Z7" s="23" t="s">
        <v>65</v>
      </c>
      <c r="AA7" s="28">
        <v>52608.0</v>
      </c>
      <c r="AB7" s="29"/>
      <c r="AC7" s="23">
        <v>1.0</v>
      </c>
      <c r="AD7" s="21" t="s">
        <v>66</v>
      </c>
      <c r="AE7" s="21" t="s">
        <v>67</v>
      </c>
      <c r="AF7" s="30"/>
      <c r="AG7" s="21" t="s">
        <v>68</v>
      </c>
      <c r="AH7" s="21" t="s">
        <v>69</v>
      </c>
      <c r="AI7" s="21">
        <v>8.11655502E8</v>
      </c>
      <c r="AJ7" s="21" t="s">
        <v>70</v>
      </c>
      <c r="AK7" s="21" t="s">
        <v>71</v>
      </c>
      <c r="AL7" s="21" t="s">
        <v>72</v>
      </c>
      <c r="AM7" s="21" t="s">
        <v>73</v>
      </c>
      <c r="AN7" s="21" t="s">
        <v>74</v>
      </c>
      <c r="AO7" s="21" t="s">
        <v>75</v>
      </c>
      <c r="AP7" s="21" t="s">
        <v>76</v>
      </c>
      <c r="AQ7" s="21" t="s">
        <v>77</v>
      </c>
      <c r="AR7" s="21" t="s">
        <v>77</v>
      </c>
    </row>
    <row r="8">
      <c r="A8" s="21">
        <f t="shared" ref="A8:A47" si="1">SUM(A7+1)</f>
        <v>2</v>
      </c>
      <c r="B8" s="21" t="s">
        <v>78</v>
      </c>
      <c r="C8" s="31" t="s">
        <v>79</v>
      </c>
      <c r="D8" s="23">
        <v>12.0</v>
      </c>
      <c r="E8" s="23">
        <v>4.0</v>
      </c>
      <c r="F8" s="23" t="s">
        <v>80</v>
      </c>
      <c r="G8" s="23" t="s">
        <v>81</v>
      </c>
      <c r="H8" s="32">
        <v>37987.0</v>
      </c>
      <c r="I8" s="21" t="s">
        <v>82</v>
      </c>
      <c r="J8" s="21" t="s">
        <v>83</v>
      </c>
      <c r="K8" s="21" t="s">
        <v>84</v>
      </c>
      <c r="L8" s="21" t="s">
        <v>61</v>
      </c>
      <c r="M8" s="33">
        <v>42095.0</v>
      </c>
      <c r="N8" s="23" t="s">
        <v>56</v>
      </c>
      <c r="O8" s="21" t="s">
        <v>85</v>
      </c>
      <c r="P8" s="23" t="s">
        <v>58</v>
      </c>
      <c r="Q8" s="21" t="s">
        <v>86</v>
      </c>
      <c r="R8" s="34">
        <v>46076.0</v>
      </c>
      <c r="S8" s="23" t="s">
        <v>87</v>
      </c>
      <c r="T8" s="35"/>
      <c r="U8" s="23" t="s">
        <v>88</v>
      </c>
      <c r="V8" s="21" t="s">
        <v>89</v>
      </c>
      <c r="W8" s="21" t="s">
        <v>90</v>
      </c>
      <c r="X8" s="21" t="s">
        <v>91</v>
      </c>
      <c r="Y8" s="36">
        <v>37221.0</v>
      </c>
      <c r="Z8" s="35"/>
      <c r="AA8" s="32">
        <v>50050.0</v>
      </c>
      <c r="AB8" s="35"/>
      <c r="AC8" s="23">
        <v>2.0</v>
      </c>
      <c r="AD8" s="21" t="s">
        <v>66</v>
      </c>
      <c r="AE8" s="21" t="s">
        <v>67</v>
      </c>
      <c r="AF8" s="21" t="s">
        <v>92</v>
      </c>
      <c r="AG8" s="21" t="s">
        <v>68</v>
      </c>
      <c r="AH8" s="37"/>
      <c r="AI8" s="21">
        <v>8.116161977E9</v>
      </c>
      <c r="AJ8" s="21" t="s">
        <v>93</v>
      </c>
      <c r="AK8" s="21" t="s">
        <v>94</v>
      </c>
      <c r="AL8" s="21" t="s">
        <v>95</v>
      </c>
      <c r="AM8" s="21" t="s">
        <v>96</v>
      </c>
      <c r="AN8" s="21" t="s">
        <v>97</v>
      </c>
      <c r="AO8" s="21" t="s">
        <v>98</v>
      </c>
      <c r="AP8" s="21" t="s">
        <v>99</v>
      </c>
      <c r="AQ8" s="37"/>
      <c r="AR8" s="37"/>
    </row>
    <row r="9">
      <c r="A9" s="21">
        <f t="shared" si="1"/>
        <v>3</v>
      </c>
      <c r="B9" s="21" t="s">
        <v>100</v>
      </c>
      <c r="C9" s="38" t="s">
        <v>101</v>
      </c>
      <c r="D9" s="23">
        <v>8.0</v>
      </c>
      <c r="E9" s="23">
        <v>10.0</v>
      </c>
      <c r="F9" s="23" t="s">
        <v>80</v>
      </c>
      <c r="G9" s="23" t="s">
        <v>81</v>
      </c>
      <c r="H9" s="24">
        <v>41791.0</v>
      </c>
      <c r="I9" s="21" t="s">
        <v>102</v>
      </c>
      <c r="J9" s="21" t="s">
        <v>103</v>
      </c>
      <c r="K9" s="21" t="s">
        <v>104</v>
      </c>
      <c r="L9" s="21" t="s">
        <v>105</v>
      </c>
      <c r="M9" s="25">
        <v>45017.0</v>
      </c>
      <c r="N9" s="23" t="s">
        <v>56</v>
      </c>
      <c r="O9" s="21" t="s">
        <v>106</v>
      </c>
      <c r="P9" s="23" t="s">
        <v>107</v>
      </c>
      <c r="Q9" s="21" t="s">
        <v>108</v>
      </c>
      <c r="R9" s="24">
        <v>45628.0</v>
      </c>
      <c r="S9" s="23" t="s">
        <v>109</v>
      </c>
      <c r="T9" s="26"/>
      <c r="U9" s="23" t="s">
        <v>105</v>
      </c>
      <c r="V9" s="21" t="s">
        <v>110</v>
      </c>
      <c r="W9" s="21" t="s">
        <v>111</v>
      </c>
      <c r="X9" s="21" t="s">
        <v>112</v>
      </c>
      <c r="Y9" s="21" t="s">
        <v>113</v>
      </c>
      <c r="Z9" s="23" t="s">
        <v>114</v>
      </c>
      <c r="AA9" s="28">
        <v>54795.0</v>
      </c>
      <c r="AB9" s="29"/>
      <c r="AC9" s="23">
        <v>3.0</v>
      </c>
      <c r="AD9" s="21" t="s">
        <v>66</v>
      </c>
      <c r="AE9" s="21" t="s">
        <v>67</v>
      </c>
      <c r="AF9" s="30"/>
      <c r="AG9" s="21" t="s">
        <v>68</v>
      </c>
      <c r="AH9" s="21" t="s">
        <v>69</v>
      </c>
      <c r="AI9" s="21">
        <v>8.2168289466E10</v>
      </c>
      <c r="AJ9" s="21" t="s">
        <v>115</v>
      </c>
      <c r="AK9" s="21" t="s">
        <v>116</v>
      </c>
      <c r="AL9" s="21" t="s">
        <v>117</v>
      </c>
      <c r="AM9" s="21" t="s">
        <v>96</v>
      </c>
      <c r="AN9" s="30"/>
      <c r="AO9" s="21" t="s">
        <v>118</v>
      </c>
      <c r="AP9" s="21" t="s">
        <v>119</v>
      </c>
      <c r="AQ9" s="21">
        <v>1.0</v>
      </c>
      <c r="AR9" s="21">
        <v>9.0</v>
      </c>
    </row>
    <row r="10">
      <c r="A10" s="21">
        <f t="shared" si="1"/>
        <v>4</v>
      </c>
      <c r="B10" s="39" t="s">
        <v>120</v>
      </c>
      <c r="C10" s="40" t="s">
        <v>121</v>
      </c>
      <c r="D10" s="41">
        <v>8.0</v>
      </c>
      <c r="E10" s="41">
        <v>5.0</v>
      </c>
      <c r="F10" s="39" t="s">
        <v>80</v>
      </c>
      <c r="G10" s="39" t="s">
        <v>81</v>
      </c>
      <c r="H10" s="42">
        <v>43313.0</v>
      </c>
      <c r="I10" s="39" t="s">
        <v>102</v>
      </c>
      <c r="J10" s="39" t="s">
        <v>103</v>
      </c>
      <c r="K10" s="39" t="s">
        <v>122</v>
      </c>
      <c r="L10" s="39" t="s">
        <v>105</v>
      </c>
      <c r="M10" s="42">
        <v>46023.0</v>
      </c>
      <c r="N10" s="39" t="s">
        <v>123</v>
      </c>
      <c r="O10" s="39" t="s">
        <v>124</v>
      </c>
      <c r="P10" s="43"/>
      <c r="Q10" s="39" t="s">
        <v>59</v>
      </c>
      <c r="R10" s="42">
        <v>44936.0</v>
      </c>
      <c r="S10" s="39" t="s">
        <v>125</v>
      </c>
      <c r="T10" s="44"/>
      <c r="U10" s="39" t="s">
        <v>105</v>
      </c>
      <c r="V10" s="39" t="s">
        <v>110</v>
      </c>
      <c r="W10" s="39" t="s">
        <v>126</v>
      </c>
      <c r="X10" s="39" t="s">
        <v>127</v>
      </c>
      <c r="Y10" s="39" t="s">
        <v>128</v>
      </c>
      <c r="Z10" s="39" t="s">
        <v>114</v>
      </c>
      <c r="AA10" s="45">
        <v>55164.0</v>
      </c>
      <c r="AB10" s="46"/>
      <c r="AC10" s="23">
        <v>4.0</v>
      </c>
      <c r="AD10" s="39" t="s">
        <v>66</v>
      </c>
      <c r="AE10" s="39" t="s">
        <v>67</v>
      </c>
      <c r="AF10" s="39" t="s">
        <v>129</v>
      </c>
      <c r="AG10" s="39" t="s">
        <v>130</v>
      </c>
      <c r="AH10" s="39" t="s">
        <v>131</v>
      </c>
      <c r="AI10" s="39">
        <v>8.2321477445E10</v>
      </c>
      <c r="AJ10" s="39" t="s">
        <v>132</v>
      </c>
      <c r="AK10" s="39" t="s">
        <v>133</v>
      </c>
      <c r="AL10" s="39" t="s">
        <v>134</v>
      </c>
      <c r="AM10" s="39" t="s">
        <v>96</v>
      </c>
      <c r="AN10" s="39" t="s">
        <v>135</v>
      </c>
      <c r="AO10" s="39" t="s">
        <v>136</v>
      </c>
      <c r="AP10" s="39" t="s">
        <v>137</v>
      </c>
      <c r="AQ10" s="39" t="s">
        <v>77</v>
      </c>
      <c r="AR10" s="39" t="s">
        <v>77</v>
      </c>
    </row>
    <row r="11">
      <c r="A11" s="21">
        <f t="shared" si="1"/>
        <v>5</v>
      </c>
      <c r="B11" s="39" t="s">
        <v>138</v>
      </c>
      <c r="C11" s="40" t="s">
        <v>139</v>
      </c>
      <c r="D11" s="41">
        <v>22.0</v>
      </c>
      <c r="E11" s="41">
        <v>3.0</v>
      </c>
      <c r="F11" s="39" t="s">
        <v>50</v>
      </c>
      <c r="G11" s="39" t="s">
        <v>51</v>
      </c>
      <c r="H11" s="42">
        <v>40452.0</v>
      </c>
      <c r="I11" s="39" t="s">
        <v>82</v>
      </c>
      <c r="J11" s="39" t="s">
        <v>83</v>
      </c>
      <c r="K11" s="39" t="s">
        <v>140</v>
      </c>
      <c r="L11" s="39" t="s">
        <v>105</v>
      </c>
      <c r="M11" s="42">
        <v>45809.0</v>
      </c>
      <c r="N11" s="39" t="s">
        <v>141</v>
      </c>
      <c r="O11" s="39" t="s">
        <v>142</v>
      </c>
      <c r="P11" s="43"/>
      <c r="Q11" s="39" t="s">
        <v>108</v>
      </c>
      <c r="R11" s="42">
        <v>45292.0</v>
      </c>
      <c r="S11" s="39" t="s">
        <v>143</v>
      </c>
      <c r="T11" s="44"/>
      <c r="U11" s="39" t="s">
        <v>144</v>
      </c>
      <c r="V11" s="39" t="s">
        <v>89</v>
      </c>
      <c r="W11" s="39" t="s">
        <v>90</v>
      </c>
      <c r="X11" s="39" t="s">
        <v>145</v>
      </c>
      <c r="Y11" s="39" t="s">
        <v>146</v>
      </c>
      <c r="Z11" s="39" t="s">
        <v>114</v>
      </c>
      <c r="AA11" s="45">
        <v>48591.0</v>
      </c>
      <c r="AB11" s="46"/>
      <c r="AC11" s="23">
        <v>5.0</v>
      </c>
      <c r="AD11" s="39" t="s">
        <v>66</v>
      </c>
      <c r="AE11" s="39" t="s">
        <v>67</v>
      </c>
      <c r="AF11" s="39" t="s">
        <v>92</v>
      </c>
      <c r="AG11" s="39" t="s">
        <v>68</v>
      </c>
      <c r="AH11" s="39" t="s">
        <v>69</v>
      </c>
      <c r="AI11" s="39">
        <v>8.139132311E10</v>
      </c>
      <c r="AJ11" s="39" t="s">
        <v>147</v>
      </c>
      <c r="AK11" s="39" t="s">
        <v>148</v>
      </c>
      <c r="AL11" s="39" t="s">
        <v>149</v>
      </c>
      <c r="AM11" s="39" t="s">
        <v>96</v>
      </c>
      <c r="AN11" s="39" t="s">
        <v>150</v>
      </c>
      <c r="AO11" s="39" t="s">
        <v>151</v>
      </c>
      <c r="AP11" s="39" t="s">
        <v>152</v>
      </c>
      <c r="AQ11" s="39" t="s">
        <v>77</v>
      </c>
      <c r="AR11" s="39" t="s">
        <v>77</v>
      </c>
    </row>
    <row r="12">
      <c r="A12" s="21">
        <f t="shared" si="1"/>
        <v>6</v>
      </c>
      <c r="B12" s="39" t="s">
        <v>153</v>
      </c>
      <c r="C12" s="40" t="s">
        <v>154</v>
      </c>
      <c r="D12" s="41">
        <v>12.0</v>
      </c>
      <c r="E12" s="41">
        <v>3.0</v>
      </c>
      <c r="F12" s="39" t="s">
        <v>50</v>
      </c>
      <c r="G12" s="39" t="s">
        <v>51</v>
      </c>
      <c r="H12" s="42">
        <v>41244.0</v>
      </c>
      <c r="I12" s="39" t="s">
        <v>80</v>
      </c>
      <c r="J12" s="39" t="s">
        <v>81</v>
      </c>
      <c r="K12" s="39" t="s">
        <v>155</v>
      </c>
      <c r="L12" s="39" t="s">
        <v>156</v>
      </c>
      <c r="M12" s="42">
        <v>44652.0</v>
      </c>
      <c r="N12" s="39" t="s">
        <v>123</v>
      </c>
      <c r="O12" s="39" t="s">
        <v>157</v>
      </c>
      <c r="P12" s="43"/>
      <c r="Q12" s="39" t="s">
        <v>59</v>
      </c>
      <c r="R12" s="42">
        <v>45870.0</v>
      </c>
      <c r="S12" s="39" t="s">
        <v>158</v>
      </c>
      <c r="T12" s="44"/>
      <c r="U12" s="39" t="s">
        <v>144</v>
      </c>
      <c r="V12" s="39" t="s">
        <v>159</v>
      </c>
      <c r="W12" s="39" t="s">
        <v>160</v>
      </c>
      <c r="X12" s="39" t="s">
        <v>161</v>
      </c>
      <c r="Y12" s="39" t="s">
        <v>162</v>
      </c>
      <c r="Z12" s="39" t="s">
        <v>114</v>
      </c>
      <c r="AA12" s="45">
        <v>52607.0</v>
      </c>
      <c r="AB12" s="46"/>
      <c r="AC12" s="23">
        <v>6.0</v>
      </c>
      <c r="AD12" s="39" t="s">
        <v>66</v>
      </c>
      <c r="AE12" s="39" t="s">
        <v>67</v>
      </c>
      <c r="AF12" s="39" t="s">
        <v>92</v>
      </c>
      <c r="AG12" s="39" t="s">
        <v>130</v>
      </c>
      <c r="AH12" s="39" t="s">
        <v>69</v>
      </c>
      <c r="AI12" s="39">
        <v>8.52966738E10</v>
      </c>
      <c r="AJ12" s="39" t="s">
        <v>163</v>
      </c>
      <c r="AK12" s="39" t="s">
        <v>164</v>
      </c>
      <c r="AL12" s="39" t="s">
        <v>165</v>
      </c>
      <c r="AM12" s="39" t="s">
        <v>73</v>
      </c>
      <c r="AN12" s="39" t="s">
        <v>166</v>
      </c>
      <c r="AO12" s="39" t="s">
        <v>167</v>
      </c>
      <c r="AP12" s="39" t="s">
        <v>168</v>
      </c>
      <c r="AQ12" s="43"/>
      <c r="AR12" s="43"/>
    </row>
    <row r="13">
      <c r="A13" s="21">
        <f t="shared" si="1"/>
        <v>7</v>
      </c>
      <c r="B13" s="39" t="s">
        <v>169</v>
      </c>
      <c r="C13" s="40" t="s">
        <v>170</v>
      </c>
      <c r="D13" s="41">
        <v>20.0</v>
      </c>
      <c r="E13" s="41">
        <v>4.0</v>
      </c>
      <c r="F13" s="39" t="s">
        <v>171</v>
      </c>
      <c r="G13" s="39" t="s">
        <v>172</v>
      </c>
      <c r="H13" s="42">
        <v>39845.0</v>
      </c>
      <c r="I13" s="39" t="s">
        <v>82</v>
      </c>
      <c r="J13" s="39" t="s">
        <v>83</v>
      </c>
      <c r="K13" s="39" t="s">
        <v>140</v>
      </c>
      <c r="L13" s="39" t="s">
        <v>105</v>
      </c>
      <c r="M13" s="42">
        <v>45809.0</v>
      </c>
      <c r="N13" s="39" t="s">
        <v>141</v>
      </c>
      <c r="O13" s="39" t="s">
        <v>173</v>
      </c>
      <c r="P13" s="43"/>
      <c r="Q13" s="39" t="s">
        <v>86</v>
      </c>
      <c r="R13" s="42">
        <v>45292.0</v>
      </c>
      <c r="S13" s="39" t="s">
        <v>143</v>
      </c>
      <c r="T13" s="44"/>
      <c r="U13" s="39" t="s">
        <v>144</v>
      </c>
      <c r="V13" s="39" t="s">
        <v>89</v>
      </c>
      <c r="W13" s="43"/>
      <c r="X13" s="39" t="s">
        <v>174</v>
      </c>
      <c r="Y13" s="47">
        <v>41174.0</v>
      </c>
      <c r="Z13" s="46"/>
      <c r="AA13" s="45">
        <v>50774.0</v>
      </c>
      <c r="AB13" s="46"/>
      <c r="AC13" s="23">
        <v>7.0</v>
      </c>
      <c r="AD13" s="39" t="s">
        <v>66</v>
      </c>
      <c r="AE13" s="39" t="s">
        <v>67</v>
      </c>
      <c r="AF13" s="43"/>
      <c r="AG13" s="39" t="s">
        <v>68</v>
      </c>
      <c r="AH13" s="39" t="s">
        <v>69</v>
      </c>
      <c r="AI13" s="39">
        <v>8.1262066262E10</v>
      </c>
      <c r="AJ13" s="39" t="s">
        <v>175</v>
      </c>
      <c r="AK13" s="39" t="s">
        <v>176</v>
      </c>
      <c r="AL13" s="39" t="s">
        <v>177</v>
      </c>
      <c r="AM13" s="39" t="s">
        <v>96</v>
      </c>
      <c r="AN13" s="39" t="s">
        <v>74</v>
      </c>
      <c r="AO13" s="39" t="s">
        <v>178</v>
      </c>
      <c r="AP13" s="39" t="s">
        <v>179</v>
      </c>
      <c r="AQ13" s="43"/>
      <c r="AR13" s="43"/>
    </row>
    <row r="14">
      <c r="A14" s="21">
        <f t="shared" si="1"/>
        <v>8</v>
      </c>
      <c r="B14" s="39" t="s">
        <v>180</v>
      </c>
      <c r="C14" s="40" t="s">
        <v>181</v>
      </c>
      <c r="D14" s="41">
        <v>4.0</v>
      </c>
      <c r="E14" s="41">
        <v>0.0</v>
      </c>
      <c r="F14" s="39" t="s">
        <v>80</v>
      </c>
      <c r="G14" s="39" t="s">
        <v>81</v>
      </c>
      <c r="H14" s="42">
        <v>44409.0</v>
      </c>
      <c r="I14" s="39" t="s">
        <v>182</v>
      </c>
      <c r="J14" s="39" t="s">
        <v>183</v>
      </c>
      <c r="K14" s="39" t="s">
        <v>184</v>
      </c>
      <c r="L14" s="39" t="s">
        <v>105</v>
      </c>
      <c r="M14" s="42">
        <v>45870.0</v>
      </c>
      <c r="N14" s="39" t="s">
        <v>141</v>
      </c>
      <c r="O14" s="39" t="s">
        <v>173</v>
      </c>
      <c r="P14" s="43"/>
      <c r="Q14" s="39" t="s">
        <v>59</v>
      </c>
      <c r="R14" s="42">
        <v>45558.0</v>
      </c>
      <c r="S14" s="39" t="s">
        <v>185</v>
      </c>
      <c r="T14" s="44"/>
      <c r="U14" s="39" t="s">
        <v>144</v>
      </c>
      <c r="V14" s="39" t="s">
        <v>110</v>
      </c>
      <c r="W14" s="39" t="s">
        <v>186</v>
      </c>
      <c r="X14" s="39" t="s">
        <v>112</v>
      </c>
      <c r="Y14" s="39" t="s">
        <v>187</v>
      </c>
      <c r="Z14" s="39" t="s">
        <v>114</v>
      </c>
      <c r="AA14" s="45">
        <v>57353.0</v>
      </c>
      <c r="AB14" s="46"/>
      <c r="AC14" s="23">
        <v>8.0</v>
      </c>
      <c r="AD14" s="39" t="s">
        <v>66</v>
      </c>
      <c r="AE14" s="39" t="s">
        <v>67</v>
      </c>
      <c r="AF14" s="39" t="s">
        <v>129</v>
      </c>
      <c r="AG14" s="39" t="s">
        <v>68</v>
      </c>
      <c r="AH14" s="39" t="s">
        <v>69</v>
      </c>
      <c r="AI14" s="39">
        <v>8.126933201E10</v>
      </c>
      <c r="AJ14" s="39" t="s">
        <v>188</v>
      </c>
      <c r="AK14" s="39" t="s">
        <v>189</v>
      </c>
      <c r="AL14" s="39" t="s">
        <v>190</v>
      </c>
      <c r="AM14" s="39" t="s">
        <v>73</v>
      </c>
      <c r="AN14" s="39" t="s">
        <v>74</v>
      </c>
      <c r="AO14" s="39" t="s">
        <v>191</v>
      </c>
      <c r="AP14" s="39" t="s">
        <v>192</v>
      </c>
      <c r="AQ14" s="39">
        <v>0.0</v>
      </c>
      <c r="AR14" s="39">
        <v>0.0</v>
      </c>
    </row>
    <row r="15">
      <c r="A15" s="21">
        <f t="shared" si="1"/>
        <v>9</v>
      </c>
      <c r="B15" s="39" t="s">
        <v>193</v>
      </c>
      <c r="C15" s="48" t="s">
        <v>194</v>
      </c>
      <c r="D15" s="41">
        <v>12.0</v>
      </c>
      <c r="E15" s="41">
        <v>11.0</v>
      </c>
      <c r="F15" s="39" t="s">
        <v>50</v>
      </c>
      <c r="G15" s="39" t="s">
        <v>51</v>
      </c>
      <c r="H15" s="42">
        <v>40179.0</v>
      </c>
      <c r="I15" s="39" t="s">
        <v>102</v>
      </c>
      <c r="J15" s="39" t="s">
        <v>103</v>
      </c>
      <c r="K15" s="39" t="s">
        <v>195</v>
      </c>
      <c r="L15" s="39" t="s">
        <v>105</v>
      </c>
      <c r="M15" s="42">
        <v>44835.0</v>
      </c>
      <c r="N15" s="39" t="s">
        <v>141</v>
      </c>
      <c r="O15" s="39" t="s">
        <v>196</v>
      </c>
      <c r="P15" s="43"/>
      <c r="Q15" s="39" t="s">
        <v>108</v>
      </c>
      <c r="R15" s="42">
        <v>45292.0</v>
      </c>
      <c r="S15" s="39" t="s">
        <v>143</v>
      </c>
      <c r="T15" s="44"/>
      <c r="U15" s="39" t="s">
        <v>144</v>
      </c>
      <c r="V15" s="39" t="s">
        <v>89</v>
      </c>
      <c r="W15" s="39" t="s">
        <v>197</v>
      </c>
      <c r="X15" s="39" t="s">
        <v>198</v>
      </c>
      <c r="Y15" s="39" t="s">
        <v>199</v>
      </c>
      <c r="Z15" s="39" t="s">
        <v>114</v>
      </c>
      <c r="AA15" s="45">
        <v>51145.0</v>
      </c>
      <c r="AB15" s="46"/>
      <c r="AC15" s="23">
        <v>9.0</v>
      </c>
      <c r="AD15" s="39" t="s">
        <v>66</v>
      </c>
      <c r="AE15" s="39" t="s">
        <v>67</v>
      </c>
      <c r="AF15" s="39" t="s">
        <v>92</v>
      </c>
      <c r="AG15" s="39" t="s">
        <v>130</v>
      </c>
      <c r="AH15" s="39" t="s">
        <v>69</v>
      </c>
      <c r="AI15" s="39">
        <v>8.116000209E9</v>
      </c>
      <c r="AJ15" s="39" t="s">
        <v>200</v>
      </c>
      <c r="AK15" s="39" t="s">
        <v>201</v>
      </c>
      <c r="AL15" s="39" t="s">
        <v>202</v>
      </c>
      <c r="AM15" s="39" t="s">
        <v>96</v>
      </c>
      <c r="AN15" s="39" t="s">
        <v>74</v>
      </c>
      <c r="AO15" s="39" t="s">
        <v>203</v>
      </c>
      <c r="AP15" s="39" t="s">
        <v>204</v>
      </c>
      <c r="AQ15" s="43"/>
      <c r="AR15" s="43"/>
    </row>
    <row r="16">
      <c r="A16" s="21">
        <f t="shared" si="1"/>
        <v>10</v>
      </c>
      <c r="B16" s="39" t="s">
        <v>205</v>
      </c>
      <c r="C16" s="40" t="s">
        <v>206</v>
      </c>
      <c r="D16" s="41">
        <v>25.0</v>
      </c>
      <c r="E16" s="41">
        <v>1.0</v>
      </c>
      <c r="F16" s="39" t="s">
        <v>50</v>
      </c>
      <c r="G16" s="39" t="s">
        <v>51</v>
      </c>
      <c r="H16" s="42">
        <v>34700.0</v>
      </c>
      <c r="I16" s="39" t="s">
        <v>82</v>
      </c>
      <c r="J16" s="39" t="s">
        <v>83</v>
      </c>
      <c r="K16" s="39" t="s">
        <v>104</v>
      </c>
      <c r="L16" s="39" t="s">
        <v>105</v>
      </c>
      <c r="M16" s="42">
        <v>45017.0</v>
      </c>
      <c r="N16" s="39" t="s">
        <v>141</v>
      </c>
      <c r="O16" s="39" t="s">
        <v>196</v>
      </c>
      <c r="P16" s="43"/>
      <c r="Q16" s="39" t="s">
        <v>108</v>
      </c>
      <c r="R16" s="42">
        <v>45292.0</v>
      </c>
      <c r="S16" s="39" t="s">
        <v>143</v>
      </c>
      <c r="T16" s="44"/>
      <c r="U16" s="39" t="s">
        <v>144</v>
      </c>
      <c r="V16" s="39" t="s">
        <v>89</v>
      </c>
      <c r="W16" s="39" t="s">
        <v>207</v>
      </c>
      <c r="X16" s="39" t="s">
        <v>208</v>
      </c>
      <c r="Y16" s="39" t="s">
        <v>209</v>
      </c>
      <c r="Z16" s="46"/>
      <c r="AA16" s="45">
        <v>46398.0</v>
      </c>
      <c r="AB16" s="46"/>
      <c r="AC16" s="23">
        <v>10.0</v>
      </c>
      <c r="AD16" s="39" t="s">
        <v>66</v>
      </c>
      <c r="AE16" s="39" t="s">
        <v>67</v>
      </c>
      <c r="AF16" s="39" t="s">
        <v>92</v>
      </c>
      <c r="AG16" s="39" t="s">
        <v>130</v>
      </c>
      <c r="AH16" s="39" t="s">
        <v>69</v>
      </c>
      <c r="AI16" s="39">
        <v>8.1375762662E10</v>
      </c>
      <c r="AJ16" s="39" t="s">
        <v>210</v>
      </c>
      <c r="AK16" s="39" t="s">
        <v>211</v>
      </c>
      <c r="AL16" s="39" t="s">
        <v>212</v>
      </c>
      <c r="AM16" s="39" t="s">
        <v>96</v>
      </c>
      <c r="AN16" s="39" t="s">
        <v>135</v>
      </c>
      <c r="AO16" s="39" t="s">
        <v>213</v>
      </c>
      <c r="AP16" s="39" t="s">
        <v>214</v>
      </c>
      <c r="AQ16" s="43"/>
      <c r="AR16" s="43"/>
    </row>
    <row r="17">
      <c r="A17" s="21">
        <f t="shared" si="1"/>
        <v>11</v>
      </c>
      <c r="B17" s="39" t="s">
        <v>215</v>
      </c>
      <c r="C17" s="40" t="s">
        <v>216</v>
      </c>
      <c r="D17" s="41">
        <v>18.0</v>
      </c>
      <c r="E17" s="41">
        <v>4.0</v>
      </c>
      <c r="F17" s="39" t="s">
        <v>171</v>
      </c>
      <c r="G17" s="39" t="s">
        <v>172</v>
      </c>
      <c r="H17" s="42">
        <v>38443.0</v>
      </c>
      <c r="I17" s="39" t="s">
        <v>82</v>
      </c>
      <c r="J17" s="39" t="s">
        <v>83</v>
      </c>
      <c r="K17" s="39" t="s">
        <v>217</v>
      </c>
      <c r="L17" s="39" t="s">
        <v>61</v>
      </c>
      <c r="M17" s="42">
        <v>45383.0</v>
      </c>
      <c r="N17" s="39" t="s">
        <v>141</v>
      </c>
      <c r="O17" s="39" t="s">
        <v>196</v>
      </c>
      <c r="P17" s="43"/>
      <c r="Q17" s="39" t="s">
        <v>108</v>
      </c>
      <c r="R17" s="42">
        <v>45292.0</v>
      </c>
      <c r="S17" s="39" t="s">
        <v>143</v>
      </c>
      <c r="T17" s="44"/>
      <c r="U17" s="39" t="s">
        <v>144</v>
      </c>
      <c r="V17" s="39" t="s">
        <v>89</v>
      </c>
      <c r="W17" s="39" t="s">
        <v>218</v>
      </c>
      <c r="X17" s="39" t="s">
        <v>219</v>
      </c>
      <c r="Y17" s="47">
        <v>43356.0</v>
      </c>
      <c r="Z17" s="39" t="s">
        <v>114</v>
      </c>
      <c r="AA17" s="45">
        <v>46755.0</v>
      </c>
      <c r="AB17" s="46"/>
      <c r="AC17" s="23">
        <v>11.0</v>
      </c>
      <c r="AD17" s="39" t="s">
        <v>66</v>
      </c>
      <c r="AE17" s="39" t="s">
        <v>220</v>
      </c>
      <c r="AF17" s="39" t="s">
        <v>92</v>
      </c>
      <c r="AG17" s="39" t="s">
        <v>130</v>
      </c>
      <c r="AH17" s="39" t="s">
        <v>69</v>
      </c>
      <c r="AI17" s="39">
        <v>8.1362177724E10</v>
      </c>
      <c r="AJ17" s="39" t="s">
        <v>221</v>
      </c>
      <c r="AK17" s="39" t="s">
        <v>222</v>
      </c>
      <c r="AL17" s="39" t="s">
        <v>223</v>
      </c>
      <c r="AM17" s="39" t="s">
        <v>96</v>
      </c>
      <c r="AN17" s="39" t="s">
        <v>166</v>
      </c>
      <c r="AO17" s="39" t="s">
        <v>224</v>
      </c>
      <c r="AP17" s="39" t="s">
        <v>225</v>
      </c>
      <c r="AQ17" s="39" t="s">
        <v>77</v>
      </c>
      <c r="AR17" s="39" t="s">
        <v>77</v>
      </c>
    </row>
    <row r="18">
      <c r="A18" s="21">
        <f t="shared" si="1"/>
        <v>12</v>
      </c>
      <c r="B18" s="39" t="s">
        <v>226</v>
      </c>
      <c r="C18" s="40" t="s">
        <v>227</v>
      </c>
      <c r="D18" s="41">
        <v>12.0</v>
      </c>
      <c r="E18" s="41">
        <v>3.0</v>
      </c>
      <c r="F18" s="39" t="s">
        <v>80</v>
      </c>
      <c r="G18" s="39" t="s">
        <v>81</v>
      </c>
      <c r="H18" s="42">
        <v>40179.0</v>
      </c>
      <c r="I18" s="39" t="s">
        <v>82</v>
      </c>
      <c r="J18" s="39" t="s">
        <v>83</v>
      </c>
      <c r="K18" s="39" t="s">
        <v>228</v>
      </c>
      <c r="L18" s="39" t="s">
        <v>105</v>
      </c>
      <c r="M18" s="42">
        <v>44652.0</v>
      </c>
      <c r="N18" s="39" t="s">
        <v>141</v>
      </c>
      <c r="O18" s="39" t="s">
        <v>229</v>
      </c>
      <c r="P18" s="43"/>
      <c r="Q18" s="39" t="s">
        <v>108</v>
      </c>
      <c r="R18" s="42">
        <v>45292.0</v>
      </c>
      <c r="S18" s="39" t="s">
        <v>143</v>
      </c>
      <c r="T18" s="44"/>
      <c r="U18" s="39" t="s">
        <v>144</v>
      </c>
      <c r="V18" s="39" t="s">
        <v>89</v>
      </c>
      <c r="W18" s="39" t="s">
        <v>230</v>
      </c>
      <c r="X18" s="39" t="s">
        <v>231</v>
      </c>
      <c r="Y18" s="39" t="s">
        <v>232</v>
      </c>
      <c r="Z18" s="46"/>
      <c r="AA18" s="45">
        <v>51877.0</v>
      </c>
      <c r="AB18" s="46"/>
      <c r="AC18" s="23">
        <v>12.0</v>
      </c>
      <c r="AD18" s="39" t="s">
        <v>66</v>
      </c>
      <c r="AE18" s="39" t="s">
        <v>67</v>
      </c>
      <c r="AF18" s="43"/>
      <c r="AG18" s="39" t="s">
        <v>130</v>
      </c>
      <c r="AH18" s="39" t="s">
        <v>69</v>
      </c>
      <c r="AI18" s="39">
        <v>8.7890696286E10</v>
      </c>
      <c r="AJ18" s="39" t="s">
        <v>233</v>
      </c>
      <c r="AK18" s="39" t="s">
        <v>234</v>
      </c>
      <c r="AL18" s="39" t="s">
        <v>235</v>
      </c>
      <c r="AM18" s="39" t="s">
        <v>96</v>
      </c>
      <c r="AN18" s="39" t="s">
        <v>97</v>
      </c>
      <c r="AO18" s="39" t="s">
        <v>236</v>
      </c>
      <c r="AP18" s="39" t="s">
        <v>237</v>
      </c>
      <c r="AQ18" s="43"/>
      <c r="AR18" s="43"/>
    </row>
    <row r="19">
      <c r="A19" s="21">
        <f t="shared" si="1"/>
        <v>13</v>
      </c>
      <c r="B19" s="49" t="s">
        <v>238</v>
      </c>
      <c r="C19" s="50" t="s">
        <v>239</v>
      </c>
      <c r="D19" s="49">
        <v>0.0</v>
      </c>
      <c r="E19" s="49">
        <v>0.0</v>
      </c>
      <c r="F19" s="49" t="s">
        <v>80</v>
      </c>
      <c r="G19" s="49" t="s">
        <v>81</v>
      </c>
      <c r="H19" s="51">
        <v>45778.0</v>
      </c>
      <c r="I19" s="49" t="s">
        <v>80</v>
      </c>
      <c r="J19" s="49" t="s">
        <v>81</v>
      </c>
      <c r="K19" s="49" t="s">
        <v>240</v>
      </c>
      <c r="L19" s="49" t="s">
        <v>105</v>
      </c>
      <c r="M19" s="51">
        <v>45778.0</v>
      </c>
      <c r="N19" s="49" t="s">
        <v>141</v>
      </c>
      <c r="O19" s="49" t="s">
        <v>241</v>
      </c>
      <c r="P19" s="52"/>
      <c r="Q19" s="49" t="s">
        <v>59</v>
      </c>
      <c r="R19" s="51">
        <v>45778.0</v>
      </c>
      <c r="S19" s="49" t="s">
        <v>242</v>
      </c>
      <c r="T19" s="53"/>
      <c r="U19" s="49" t="s">
        <v>105</v>
      </c>
      <c r="V19" s="49" t="s">
        <v>89</v>
      </c>
      <c r="W19" s="49" t="s">
        <v>243</v>
      </c>
      <c r="X19" s="49" t="s">
        <v>244</v>
      </c>
      <c r="Y19" s="49" t="s">
        <v>245</v>
      </c>
      <c r="Z19" s="52"/>
      <c r="AA19" s="54">
        <v>57713.0</v>
      </c>
      <c r="AB19" s="55"/>
      <c r="AC19" s="23">
        <v>13.0</v>
      </c>
      <c r="AD19" s="49" t="s">
        <v>5</v>
      </c>
      <c r="AE19" s="49" t="s">
        <v>67</v>
      </c>
      <c r="AF19" s="49" t="s">
        <v>129</v>
      </c>
      <c r="AG19" s="49" t="s">
        <v>68</v>
      </c>
      <c r="AH19" s="49" t="s">
        <v>246</v>
      </c>
      <c r="AI19" s="49">
        <v>8.95622855506E11</v>
      </c>
      <c r="AJ19" s="49" t="s">
        <v>247</v>
      </c>
      <c r="AK19" s="49" t="s">
        <v>248</v>
      </c>
      <c r="AL19" s="49" t="s">
        <v>249</v>
      </c>
      <c r="AM19" s="49" t="s">
        <v>250</v>
      </c>
      <c r="AN19" s="49" t="s">
        <v>166</v>
      </c>
      <c r="AO19" s="49" t="s">
        <v>251</v>
      </c>
      <c r="AP19" s="49" t="s">
        <v>251</v>
      </c>
      <c r="AQ19" s="49">
        <v>0.0</v>
      </c>
      <c r="AR19" s="49">
        <v>0.0</v>
      </c>
    </row>
    <row r="20">
      <c r="A20" s="21">
        <f t="shared" si="1"/>
        <v>14</v>
      </c>
      <c r="B20" s="21" t="s">
        <v>252</v>
      </c>
      <c r="C20" s="38" t="s">
        <v>253</v>
      </c>
      <c r="D20" s="23">
        <v>22.0</v>
      </c>
      <c r="E20" s="23">
        <v>7.0</v>
      </c>
      <c r="F20" s="23" t="s">
        <v>80</v>
      </c>
      <c r="G20" s="23" t="s">
        <v>81</v>
      </c>
      <c r="H20" s="24">
        <v>35125.0</v>
      </c>
      <c r="I20" s="21" t="s">
        <v>254</v>
      </c>
      <c r="J20" s="21" t="s">
        <v>255</v>
      </c>
      <c r="K20" s="21" t="s">
        <v>256</v>
      </c>
      <c r="L20" s="21" t="s">
        <v>55</v>
      </c>
      <c r="M20" s="25">
        <v>43374.0</v>
      </c>
      <c r="N20" s="23" t="s">
        <v>56</v>
      </c>
      <c r="O20" s="21" t="s">
        <v>257</v>
      </c>
      <c r="P20" s="56"/>
      <c r="Q20" s="21" t="s">
        <v>59</v>
      </c>
      <c r="R20" s="24">
        <v>44568.0</v>
      </c>
      <c r="S20" s="23" t="s">
        <v>258</v>
      </c>
      <c r="T20" s="26"/>
      <c r="U20" s="23" t="s">
        <v>105</v>
      </c>
      <c r="V20" s="21" t="s">
        <v>159</v>
      </c>
      <c r="W20" s="21" t="s">
        <v>259</v>
      </c>
      <c r="X20" s="21" t="s">
        <v>260</v>
      </c>
      <c r="Y20" s="27">
        <v>43069.0</v>
      </c>
      <c r="Z20" s="23" t="s">
        <v>114</v>
      </c>
      <c r="AA20" s="28">
        <v>46389.0</v>
      </c>
      <c r="AB20" s="29"/>
      <c r="AC20" s="23">
        <v>14.0</v>
      </c>
      <c r="AD20" s="21" t="s">
        <v>66</v>
      </c>
      <c r="AE20" s="21" t="s">
        <v>67</v>
      </c>
      <c r="AF20" s="21" t="s">
        <v>92</v>
      </c>
      <c r="AG20" s="21" t="s">
        <v>130</v>
      </c>
      <c r="AH20" s="21" t="s">
        <v>131</v>
      </c>
      <c r="AI20" s="21">
        <v>8.1263246069E10</v>
      </c>
      <c r="AJ20" s="21" t="s">
        <v>261</v>
      </c>
      <c r="AK20" s="21" t="s">
        <v>262</v>
      </c>
      <c r="AL20" s="21" t="s">
        <v>263</v>
      </c>
      <c r="AM20" s="21" t="s">
        <v>96</v>
      </c>
      <c r="AN20" s="21" t="s">
        <v>97</v>
      </c>
      <c r="AO20" s="21" t="s">
        <v>236</v>
      </c>
      <c r="AP20" s="21" t="s">
        <v>237</v>
      </c>
      <c r="AQ20" s="30"/>
      <c r="AR20" s="30"/>
    </row>
    <row r="21">
      <c r="A21" s="21">
        <f t="shared" si="1"/>
        <v>15</v>
      </c>
      <c r="B21" s="39" t="s">
        <v>264</v>
      </c>
      <c r="C21" s="57" t="s">
        <v>265</v>
      </c>
      <c r="D21" s="39">
        <v>10.0</v>
      </c>
      <c r="E21" s="39">
        <v>3.0</v>
      </c>
      <c r="F21" s="39" t="s">
        <v>171</v>
      </c>
      <c r="G21" s="39" t="s">
        <v>172</v>
      </c>
      <c r="H21" s="42">
        <v>40544.0</v>
      </c>
      <c r="I21" s="39" t="s">
        <v>182</v>
      </c>
      <c r="J21" s="39" t="s">
        <v>183</v>
      </c>
      <c r="K21" s="39" t="s">
        <v>104</v>
      </c>
      <c r="L21" s="39" t="s">
        <v>105</v>
      </c>
      <c r="M21" s="42">
        <v>45017.0</v>
      </c>
      <c r="N21" s="39" t="s">
        <v>141</v>
      </c>
      <c r="O21" s="39" t="s">
        <v>229</v>
      </c>
      <c r="P21" s="43"/>
      <c r="Q21" s="39" t="s">
        <v>266</v>
      </c>
      <c r="R21" s="42">
        <v>45292.0</v>
      </c>
      <c r="S21" s="39" t="s">
        <v>143</v>
      </c>
      <c r="T21" s="46"/>
      <c r="U21" s="39" t="s">
        <v>144</v>
      </c>
      <c r="V21" s="39" t="s">
        <v>267</v>
      </c>
      <c r="W21" s="39" t="s">
        <v>230</v>
      </c>
      <c r="X21" s="39" t="s">
        <v>268</v>
      </c>
      <c r="Y21" s="47">
        <v>40441.0</v>
      </c>
      <c r="Z21" s="46"/>
      <c r="AA21" s="45">
        <v>53696.0</v>
      </c>
      <c r="AB21" s="46"/>
      <c r="AC21" s="23">
        <v>15.0</v>
      </c>
      <c r="AD21" s="39" t="s">
        <v>66</v>
      </c>
      <c r="AE21" s="39" t="s">
        <v>67</v>
      </c>
      <c r="AF21" s="43"/>
      <c r="AG21" s="39" t="s">
        <v>130</v>
      </c>
      <c r="AH21" s="39" t="s">
        <v>246</v>
      </c>
      <c r="AI21" s="39">
        <v>8.5370782608E10</v>
      </c>
      <c r="AJ21" s="39" t="s">
        <v>269</v>
      </c>
      <c r="AK21" s="39" t="s">
        <v>270</v>
      </c>
      <c r="AL21" s="39" t="s">
        <v>271</v>
      </c>
      <c r="AM21" s="39" t="s">
        <v>96</v>
      </c>
      <c r="AN21" s="39" t="s">
        <v>97</v>
      </c>
      <c r="AO21" s="39" t="s">
        <v>272</v>
      </c>
      <c r="AP21" s="39" t="s">
        <v>273</v>
      </c>
      <c r="AQ21" s="43"/>
      <c r="AR21" s="43"/>
    </row>
    <row r="22">
      <c r="A22" s="21">
        <f t="shared" si="1"/>
        <v>16</v>
      </c>
      <c r="B22" s="39" t="s">
        <v>274</v>
      </c>
      <c r="C22" s="40" t="s">
        <v>275</v>
      </c>
      <c r="D22" s="41">
        <v>12.0</v>
      </c>
      <c r="E22" s="41">
        <v>3.0</v>
      </c>
      <c r="F22" s="39" t="s">
        <v>80</v>
      </c>
      <c r="G22" s="39" t="s">
        <v>81</v>
      </c>
      <c r="H22" s="42">
        <v>40179.0</v>
      </c>
      <c r="I22" s="39" t="s">
        <v>82</v>
      </c>
      <c r="J22" s="39" t="s">
        <v>83</v>
      </c>
      <c r="K22" s="39" t="s">
        <v>228</v>
      </c>
      <c r="L22" s="39" t="s">
        <v>105</v>
      </c>
      <c r="M22" s="42">
        <v>44652.0</v>
      </c>
      <c r="N22" s="39" t="s">
        <v>141</v>
      </c>
      <c r="O22" s="39" t="s">
        <v>173</v>
      </c>
      <c r="P22" s="43"/>
      <c r="Q22" s="39" t="s">
        <v>86</v>
      </c>
      <c r="R22" s="42">
        <v>45292.0</v>
      </c>
      <c r="S22" s="39" t="s">
        <v>143</v>
      </c>
      <c r="T22" s="44"/>
      <c r="U22" s="39" t="s">
        <v>144</v>
      </c>
      <c r="V22" s="39" t="s">
        <v>89</v>
      </c>
      <c r="W22" s="39" t="s">
        <v>276</v>
      </c>
      <c r="X22" s="39" t="s">
        <v>277</v>
      </c>
      <c r="Y22" s="47">
        <v>39198.0</v>
      </c>
      <c r="Z22" s="46"/>
      <c r="AA22" s="45">
        <v>50777.0</v>
      </c>
      <c r="AB22" s="46"/>
      <c r="AC22" s="23">
        <v>16.0</v>
      </c>
      <c r="AD22" s="39" t="s">
        <v>66</v>
      </c>
      <c r="AE22" s="39" t="s">
        <v>67</v>
      </c>
      <c r="AF22" s="43"/>
      <c r="AG22" s="39" t="s">
        <v>130</v>
      </c>
      <c r="AH22" s="43"/>
      <c r="AI22" s="39">
        <v>8.2367351828E10</v>
      </c>
      <c r="AJ22" s="39" t="s">
        <v>278</v>
      </c>
      <c r="AK22" s="39" t="s">
        <v>279</v>
      </c>
      <c r="AL22" s="39" t="s">
        <v>280</v>
      </c>
      <c r="AM22" s="39" t="s">
        <v>96</v>
      </c>
      <c r="AN22" s="39" t="s">
        <v>150</v>
      </c>
      <c r="AO22" s="39" t="s">
        <v>281</v>
      </c>
      <c r="AP22" s="39" t="s">
        <v>282</v>
      </c>
      <c r="AQ22" s="43"/>
      <c r="AR22" s="43"/>
    </row>
    <row r="23">
      <c r="A23" s="21">
        <f t="shared" si="1"/>
        <v>17</v>
      </c>
      <c r="B23" s="39" t="s">
        <v>283</v>
      </c>
      <c r="C23" s="40" t="s">
        <v>284</v>
      </c>
      <c r="D23" s="41">
        <v>17.0</v>
      </c>
      <c r="E23" s="41">
        <v>10.0</v>
      </c>
      <c r="F23" s="39" t="s">
        <v>50</v>
      </c>
      <c r="G23" s="39" t="s">
        <v>51</v>
      </c>
      <c r="H23" s="42">
        <v>40664.0</v>
      </c>
      <c r="I23" s="39" t="s">
        <v>80</v>
      </c>
      <c r="J23" s="39" t="s">
        <v>81</v>
      </c>
      <c r="K23" s="43"/>
      <c r="L23" s="39" t="s">
        <v>105</v>
      </c>
      <c r="M23" s="42">
        <v>45931.0</v>
      </c>
      <c r="N23" s="39" t="s">
        <v>141</v>
      </c>
      <c r="O23" s="39" t="s">
        <v>196</v>
      </c>
      <c r="P23" s="43"/>
      <c r="Q23" s="39" t="s">
        <v>86</v>
      </c>
      <c r="R23" s="42">
        <v>45292.0</v>
      </c>
      <c r="S23" s="39" t="s">
        <v>143</v>
      </c>
      <c r="T23" s="44"/>
      <c r="U23" s="39" t="s">
        <v>144</v>
      </c>
      <c r="V23" s="39" t="s">
        <v>285</v>
      </c>
      <c r="W23" s="43"/>
      <c r="X23" s="39" t="s">
        <v>286</v>
      </c>
      <c r="Y23" s="39" t="s">
        <v>287</v>
      </c>
      <c r="Z23" s="46"/>
      <c r="AA23" s="45">
        <v>50412.0</v>
      </c>
      <c r="AB23" s="46"/>
      <c r="AC23" s="23">
        <v>17.0</v>
      </c>
      <c r="AD23" s="39" t="s">
        <v>66</v>
      </c>
      <c r="AE23" s="39" t="s">
        <v>67</v>
      </c>
      <c r="AF23" s="39" t="s">
        <v>92</v>
      </c>
      <c r="AG23" s="39" t="s">
        <v>130</v>
      </c>
      <c r="AH23" s="39" t="s">
        <v>288</v>
      </c>
      <c r="AI23" s="39">
        <v>8.1362698265E10</v>
      </c>
      <c r="AJ23" s="39" t="s">
        <v>289</v>
      </c>
      <c r="AK23" s="39" t="s">
        <v>290</v>
      </c>
      <c r="AL23" s="39" t="s">
        <v>291</v>
      </c>
      <c r="AM23" s="39" t="s">
        <v>96</v>
      </c>
      <c r="AN23" s="39" t="s">
        <v>97</v>
      </c>
      <c r="AO23" s="39" t="s">
        <v>292</v>
      </c>
      <c r="AP23" s="39" t="s">
        <v>293</v>
      </c>
      <c r="AQ23" s="39">
        <v>0.0</v>
      </c>
      <c r="AR23" s="39">
        <v>0.0</v>
      </c>
    </row>
    <row r="24">
      <c r="A24" s="21">
        <f t="shared" si="1"/>
        <v>18</v>
      </c>
      <c r="B24" s="39" t="s">
        <v>294</v>
      </c>
      <c r="C24" s="40" t="s">
        <v>295</v>
      </c>
      <c r="D24" s="41">
        <v>14.0</v>
      </c>
      <c r="E24" s="41">
        <v>5.0</v>
      </c>
      <c r="F24" s="39" t="s">
        <v>50</v>
      </c>
      <c r="G24" s="39" t="s">
        <v>51</v>
      </c>
      <c r="H24" s="42">
        <v>42887.0</v>
      </c>
      <c r="I24" s="39" t="s">
        <v>296</v>
      </c>
      <c r="J24" s="39" t="s">
        <v>297</v>
      </c>
      <c r="K24" s="39" t="s">
        <v>104</v>
      </c>
      <c r="L24" s="39" t="s">
        <v>105</v>
      </c>
      <c r="M24" s="42">
        <v>45017.0</v>
      </c>
      <c r="N24" s="39" t="s">
        <v>141</v>
      </c>
      <c r="O24" s="39" t="s">
        <v>229</v>
      </c>
      <c r="P24" s="43"/>
      <c r="Q24" s="39" t="s">
        <v>108</v>
      </c>
      <c r="R24" s="42">
        <v>45292.0</v>
      </c>
      <c r="S24" s="39" t="s">
        <v>143</v>
      </c>
      <c r="T24" s="44"/>
      <c r="U24" s="39" t="s">
        <v>144</v>
      </c>
      <c r="V24" s="39" t="s">
        <v>285</v>
      </c>
      <c r="W24" s="39" t="s">
        <v>298</v>
      </c>
      <c r="X24" s="39" t="s">
        <v>299</v>
      </c>
      <c r="Y24" s="39" t="s">
        <v>300</v>
      </c>
      <c r="Z24" s="46"/>
      <c r="AA24" s="45">
        <v>51139.0</v>
      </c>
      <c r="AB24" s="46"/>
      <c r="AC24" s="23">
        <v>18.0</v>
      </c>
      <c r="AD24" s="39" t="s">
        <v>66</v>
      </c>
      <c r="AE24" s="39" t="s">
        <v>67</v>
      </c>
      <c r="AF24" s="39" t="s">
        <v>92</v>
      </c>
      <c r="AG24" s="39" t="s">
        <v>68</v>
      </c>
      <c r="AH24" s="39" t="s">
        <v>246</v>
      </c>
      <c r="AI24" s="39">
        <v>8.1375502383E10</v>
      </c>
      <c r="AJ24" s="39" t="s">
        <v>301</v>
      </c>
      <c r="AK24" s="39" t="s">
        <v>302</v>
      </c>
      <c r="AL24" s="39" t="s">
        <v>303</v>
      </c>
      <c r="AM24" s="39" t="s">
        <v>73</v>
      </c>
      <c r="AN24" s="39" t="s">
        <v>74</v>
      </c>
      <c r="AO24" s="39" t="s">
        <v>178</v>
      </c>
      <c r="AP24" s="39" t="s">
        <v>304</v>
      </c>
      <c r="AQ24" s="43"/>
      <c r="AR24" s="43"/>
    </row>
    <row r="25">
      <c r="A25" s="21">
        <f t="shared" si="1"/>
        <v>19</v>
      </c>
      <c r="B25" s="39" t="s">
        <v>305</v>
      </c>
      <c r="C25" s="40" t="s">
        <v>306</v>
      </c>
      <c r="D25" s="41">
        <v>10.0</v>
      </c>
      <c r="E25" s="41">
        <v>3.0</v>
      </c>
      <c r="F25" s="39" t="s">
        <v>307</v>
      </c>
      <c r="G25" s="39" t="s">
        <v>308</v>
      </c>
      <c r="H25" s="42">
        <v>41730.0</v>
      </c>
      <c r="I25" s="39" t="s">
        <v>182</v>
      </c>
      <c r="J25" s="39" t="s">
        <v>183</v>
      </c>
      <c r="K25" s="39" t="s">
        <v>155</v>
      </c>
      <c r="L25" s="39" t="s">
        <v>88</v>
      </c>
      <c r="M25" s="42">
        <v>44652.0</v>
      </c>
      <c r="N25" s="39" t="s">
        <v>141</v>
      </c>
      <c r="O25" s="39" t="s">
        <v>196</v>
      </c>
      <c r="P25" s="43"/>
      <c r="Q25" s="39" t="s">
        <v>86</v>
      </c>
      <c r="R25" s="42">
        <v>45292.0</v>
      </c>
      <c r="S25" s="39" t="s">
        <v>143</v>
      </c>
      <c r="T25" s="44"/>
      <c r="U25" s="39" t="s">
        <v>144</v>
      </c>
      <c r="V25" s="39" t="s">
        <v>267</v>
      </c>
      <c r="W25" s="39" t="s">
        <v>309</v>
      </c>
      <c r="X25" s="39" t="s">
        <v>244</v>
      </c>
      <c r="Y25" s="39" t="s">
        <v>310</v>
      </c>
      <c r="Z25" s="39" t="s">
        <v>114</v>
      </c>
      <c r="AA25" s="45">
        <v>51870.0</v>
      </c>
      <c r="AB25" s="46"/>
      <c r="AC25" s="23">
        <v>19.0</v>
      </c>
      <c r="AD25" s="39" t="s">
        <v>66</v>
      </c>
      <c r="AE25" s="39" t="s">
        <v>311</v>
      </c>
      <c r="AF25" s="39" t="s">
        <v>92</v>
      </c>
      <c r="AG25" s="39" t="s">
        <v>68</v>
      </c>
      <c r="AH25" s="39" t="s">
        <v>69</v>
      </c>
      <c r="AI25" s="39">
        <v>8.2364388831E10</v>
      </c>
      <c r="AJ25" s="39" t="s">
        <v>312</v>
      </c>
      <c r="AK25" s="39" t="s">
        <v>313</v>
      </c>
      <c r="AL25" s="39" t="s">
        <v>314</v>
      </c>
      <c r="AM25" s="39" t="s">
        <v>96</v>
      </c>
      <c r="AN25" s="39" t="s">
        <v>97</v>
      </c>
      <c r="AO25" s="39" t="s">
        <v>75</v>
      </c>
      <c r="AP25" s="39" t="s">
        <v>315</v>
      </c>
      <c r="AQ25" s="43"/>
      <c r="AR25" s="43"/>
    </row>
    <row r="26">
      <c r="A26" s="21">
        <f t="shared" si="1"/>
        <v>20</v>
      </c>
      <c r="B26" s="39" t="s">
        <v>316</v>
      </c>
      <c r="C26" s="40" t="s">
        <v>317</v>
      </c>
      <c r="D26" s="41">
        <v>12.0</v>
      </c>
      <c r="E26" s="41">
        <v>1.0</v>
      </c>
      <c r="F26" s="41" t="s">
        <v>80</v>
      </c>
      <c r="G26" s="41" t="s">
        <v>81</v>
      </c>
      <c r="H26" s="58">
        <v>35855.0</v>
      </c>
      <c r="I26" s="39" t="s">
        <v>82</v>
      </c>
      <c r="J26" s="39" t="s">
        <v>83</v>
      </c>
      <c r="K26" s="39" t="s">
        <v>318</v>
      </c>
      <c r="L26" s="39" t="s">
        <v>61</v>
      </c>
      <c r="M26" s="42">
        <v>40269.0</v>
      </c>
      <c r="N26" s="41" t="s">
        <v>141</v>
      </c>
      <c r="O26" s="39" t="s">
        <v>229</v>
      </c>
      <c r="P26" s="59"/>
      <c r="Q26" s="39" t="s">
        <v>108</v>
      </c>
      <c r="R26" s="58">
        <v>45292.0</v>
      </c>
      <c r="S26" s="41" t="s">
        <v>143</v>
      </c>
      <c r="T26" s="60"/>
      <c r="U26" s="41" t="s">
        <v>144</v>
      </c>
      <c r="V26" s="39" t="s">
        <v>89</v>
      </c>
      <c r="W26" s="39" t="s">
        <v>319</v>
      </c>
      <c r="X26" s="39" t="s">
        <v>320</v>
      </c>
      <c r="Y26" s="39" t="s">
        <v>321</v>
      </c>
      <c r="Z26" s="41" t="s">
        <v>114</v>
      </c>
      <c r="AA26" s="61">
        <v>46392.0</v>
      </c>
      <c r="AB26" s="59"/>
      <c r="AC26" s="23">
        <v>20.0</v>
      </c>
      <c r="AD26" s="39" t="s">
        <v>66</v>
      </c>
      <c r="AE26" s="39" t="s">
        <v>67</v>
      </c>
      <c r="AF26" s="39" t="s">
        <v>92</v>
      </c>
      <c r="AG26" s="39" t="s">
        <v>68</v>
      </c>
      <c r="AH26" s="39" t="s">
        <v>69</v>
      </c>
      <c r="AI26" s="39">
        <v>8.1362668008E10</v>
      </c>
      <c r="AJ26" s="39" t="s">
        <v>322</v>
      </c>
      <c r="AK26" s="39" t="s">
        <v>323</v>
      </c>
      <c r="AL26" s="39" t="s">
        <v>324</v>
      </c>
      <c r="AM26" s="39" t="s">
        <v>96</v>
      </c>
      <c r="AN26" s="39" t="s">
        <v>150</v>
      </c>
      <c r="AO26" s="39" t="s">
        <v>281</v>
      </c>
      <c r="AP26" s="39" t="s">
        <v>325</v>
      </c>
      <c r="AQ26" s="39" t="s">
        <v>326</v>
      </c>
      <c r="AR26" s="43"/>
    </row>
    <row r="27">
      <c r="A27" s="21">
        <f t="shared" si="1"/>
        <v>21</v>
      </c>
      <c r="B27" s="39" t="s">
        <v>327</v>
      </c>
      <c r="C27" s="40" t="s">
        <v>328</v>
      </c>
      <c r="D27" s="41">
        <v>18.0</v>
      </c>
      <c r="E27" s="41">
        <v>1.0</v>
      </c>
      <c r="F27" s="39" t="s">
        <v>50</v>
      </c>
      <c r="G27" s="39" t="s">
        <v>51</v>
      </c>
      <c r="H27" s="42">
        <v>37073.0</v>
      </c>
      <c r="I27" s="39" t="s">
        <v>102</v>
      </c>
      <c r="J27" s="39" t="s">
        <v>103</v>
      </c>
      <c r="K27" s="39" t="s">
        <v>104</v>
      </c>
      <c r="L27" s="39" t="s">
        <v>105</v>
      </c>
      <c r="M27" s="42">
        <v>45017.0</v>
      </c>
      <c r="N27" s="39" t="s">
        <v>141</v>
      </c>
      <c r="O27" s="39" t="s">
        <v>229</v>
      </c>
      <c r="P27" s="43"/>
      <c r="Q27" s="39" t="s">
        <v>108</v>
      </c>
      <c r="R27" s="42">
        <v>45292.0</v>
      </c>
      <c r="S27" s="39" t="s">
        <v>143</v>
      </c>
      <c r="T27" s="44"/>
      <c r="U27" s="39" t="s">
        <v>144</v>
      </c>
      <c r="V27" s="39" t="s">
        <v>89</v>
      </c>
      <c r="W27" s="39" t="s">
        <v>90</v>
      </c>
      <c r="X27" s="39" t="s">
        <v>329</v>
      </c>
      <c r="Y27" s="39" t="s">
        <v>330</v>
      </c>
      <c r="Z27" s="39" t="s">
        <v>114</v>
      </c>
      <c r="AA27" s="45">
        <v>49317.0</v>
      </c>
      <c r="AB27" s="46"/>
      <c r="AC27" s="23">
        <v>21.0</v>
      </c>
      <c r="AD27" s="39" t="s">
        <v>66</v>
      </c>
      <c r="AE27" s="39" t="s">
        <v>67</v>
      </c>
      <c r="AF27" s="39" t="s">
        <v>92</v>
      </c>
      <c r="AG27" s="39" t="s">
        <v>68</v>
      </c>
      <c r="AH27" s="39" t="s">
        <v>246</v>
      </c>
      <c r="AI27" s="39">
        <v>8.216191186E10</v>
      </c>
      <c r="AJ27" s="39" t="s">
        <v>331</v>
      </c>
      <c r="AK27" s="39" t="s">
        <v>332</v>
      </c>
      <c r="AL27" s="39" t="s">
        <v>333</v>
      </c>
      <c r="AM27" s="39" t="s">
        <v>96</v>
      </c>
      <c r="AN27" s="39" t="s">
        <v>97</v>
      </c>
      <c r="AO27" s="39" t="s">
        <v>272</v>
      </c>
      <c r="AP27" s="39" t="s">
        <v>334</v>
      </c>
      <c r="AQ27" s="43"/>
      <c r="AR27" s="43"/>
    </row>
    <row r="28">
      <c r="A28" s="21">
        <f t="shared" si="1"/>
        <v>22</v>
      </c>
      <c r="B28" s="39" t="s">
        <v>335</v>
      </c>
      <c r="C28" s="40" t="s">
        <v>336</v>
      </c>
      <c r="D28" s="41">
        <v>16.0</v>
      </c>
      <c r="E28" s="41">
        <v>9.0</v>
      </c>
      <c r="F28" s="39" t="s">
        <v>296</v>
      </c>
      <c r="G28" s="39" t="s">
        <v>297</v>
      </c>
      <c r="H28" s="42">
        <v>41000.0</v>
      </c>
      <c r="I28" s="39" t="s">
        <v>102</v>
      </c>
      <c r="J28" s="39" t="s">
        <v>103</v>
      </c>
      <c r="K28" s="39" t="s">
        <v>228</v>
      </c>
      <c r="L28" s="39" t="s">
        <v>105</v>
      </c>
      <c r="M28" s="42">
        <v>44652.0</v>
      </c>
      <c r="N28" s="39" t="s">
        <v>141</v>
      </c>
      <c r="O28" s="39" t="s">
        <v>229</v>
      </c>
      <c r="P28" s="43"/>
      <c r="Q28" s="39" t="s">
        <v>108</v>
      </c>
      <c r="R28" s="42">
        <v>45292.0</v>
      </c>
      <c r="S28" s="39" t="s">
        <v>143</v>
      </c>
      <c r="T28" s="44"/>
      <c r="U28" s="39" t="s">
        <v>144</v>
      </c>
      <c r="V28" s="39" t="s">
        <v>89</v>
      </c>
      <c r="W28" s="39" t="s">
        <v>337</v>
      </c>
      <c r="X28" s="39" t="s">
        <v>338</v>
      </c>
      <c r="Y28" s="39" t="s">
        <v>339</v>
      </c>
      <c r="Z28" s="39" t="s">
        <v>114</v>
      </c>
      <c r="AA28" s="45">
        <v>50776.0</v>
      </c>
      <c r="AB28" s="46"/>
      <c r="AC28" s="23">
        <v>22.0</v>
      </c>
      <c r="AD28" s="39" t="s">
        <v>66</v>
      </c>
      <c r="AE28" s="39" t="s">
        <v>67</v>
      </c>
      <c r="AF28" s="39" t="s">
        <v>92</v>
      </c>
      <c r="AG28" s="39" t="s">
        <v>68</v>
      </c>
      <c r="AH28" s="39" t="s">
        <v>246</v>
      </c>
      <c r="AI28" s="39">
        <v>8.1396108246E10</v>
      </c>
      <c r="AJ28" s="39" t="s">
        <v>340</v>
      </c>
      <c r="AK28" s="39" t="s">
        <v>341</v>
      </c>
      <c r="AL28" s="39" t="s">
        <v>342</v>
      </c>
      <c r="AM28" s="39" t="s">
        <v>96</v>
      </c>
      <c r="AN28" s="39" t="s">
        <v>150</v>
      </c>
      <c r="AO28" s="39" t="s">
        <v>151</v>
      </c>
      <c r="AP28" s="39" t="s">
        <v>343</v>
      </c>
      <c r="AQ28" s="43"/>
      <c r="AR28" s="43"/>
    </row>
    <row r="29">
      <c r="A29" s="21">
        <f t="shared" si="1"/>
        <v>23</v>
      </c>
      <c r="B29" s="39" t="s">
        <v>344</v>
      </c>
      <c r="C29" s="40" t="s">
        <v>345</v>
      </c>
      <c r="D29" s="41">
        <v>19.0</v>
      </c>
      <c r="E29" s="41">
        <v>11.0</v>
      </c>
      <c r="F29" s="39" t="s">
        <v>50</v>
      </c>
      <c r="G29" s="39" t="s">
        <v>51</v>
      </c>
      <c r="H29" s="42">
        <v>39448.0</v>
      </c>
      <c r="I29" s="39" t="s">
        <v>307</v>
      </c>
      <c r="J29" s="39" t="s">
        <v>308</v>
      </c>
      <c r="K29" s="39" t="s">
        <v>228</v>
      </c>
      <c r="L29" s="39" t="s">
        <v>105</v>
      </c>
      <c r="M29" s="42">
        <v>44652.0</v>
      </c>
      <c r="N29" s="39" t="s">
        <v>141</v>
      </c>
      <c r="O29" s="39" t="s">
        <v>229</v>
      </c>
      <c r="P29" s="43"/>
      <c r="Q29" s="39" t="s">
        <v>108</v>
      </c>
      <c r="R29" s="42">
        <v>45292.0</v>
      </c>
      <c r="S29" s="39" t="s">
        <v>143</v>
      </c>
      <c r="T29" s="44"/>
      <c r="U29" s="39" t="s">
        <v>144</v>
      </c>
      <c r="V29" s="39" t="s">
        <v>267</v>
      </c>
      <c r="W29" s="39" t="s">
        <v>346</v>
      </c>
      <c r="X29" s="39" t="s">
        <v>347</v>
      </c>
      <c r="Y29" s="39" t="s">
        <v>348</v>
      </c>
      <c r="Z29" s="39" t="s">
        <v>114</v>
      </c>
      <c r="AA29" s="45">
        <v>50412.0</v>
      </c>
      <c r="AB29" s="46"/>
      <c r="AC29" s="23">
        <v>23.0</v>
      </c>
      <c r="AD29" s="39" t="s">
        <v>66</v>
      </c>
      <c r="AE29" s="39" t="s">
        <v>67</v>
      </c>
      <c r="AF29" s="43"/>
      <c r="AG29" s="39" t="s">
        <v>130</v>
      </c>
      <c r="AH29" s="43"/>
      <c r="AI29" s="39">
        <v>8.2273279886E10</v>
      </c>
      <c r="AJ29" s="39" t="s">
        <v>349</v>
      </c>
      <c r="AK29" s="39" t="s">
        <v>350</v>
      </c>
      <c r="AL29" s="39" t="s">
        <v>351</v>
      </c>
      <c r="AM29" s="39" t="s">
        <v>96</v>
      </c>
      <c r="AN29" s="39" t="s">
        <v>97</v>
      </c>
      <c r="AO29" s="39" t="s">
        <v>236</v>
      </c>
      <c r="AP29" s="39" t="s">
        <v>237</v>
      </c>
      <c r="AQ29" s="43"/>
      <c r="AR29" s="43"/>
    </row>
    <row r="30">
      <c r="A30" s="21">
        <f t="shared" si="1"/>
        <v>24</v>
      </c>
      <c r="B30" s="39" t="s">
        <v>352</v>
      </c>
      <c r="C30" s="62" t="s">
        <v>353</v>
      </c>
      <c r="D30" s="39">
        <v>0.0</v>
      </c>
      <c r="E30" s="39">
        <v>0.0</v>
      </c>
      <c r="F30" s="39" t="s">
        <v>80</v>
      </c>
      <c r="G30" s="39" t="s">
        <v>81</v>
      </c>
      <c r="H30" s="63">
        <v>44774.0</v>
      </c>
      <c r="I30" s="39" t="s">
        <v>80</v>
      </c>
      <c r="J30" s="39" t="s">
        <v>81</v>
      </c>
      <c r="K30" s="39" t="s">
        <v>354</v>
      </c>
      <c r="L30" s="39" t="s">
        <v>355</v>
      </c>
      <c r="M30" s="63">
        <v>44774.0</v>
      </c>
      <c r="N30" s="39" t="s">
        <v>141</v>
      </c>
      <c r="O30" s="39" t="s">
        <v>173</v>
      </c>
      <c r="P30" s="64"/>
      <c r="Q30" s="39" t="s">
        <v>59</v>
      </c>
      <c r="R30" s="63">
        <v>46054.0</v>
      </c>
      <c r="S30" s="39" t="s">
        <v>356</v>
      </c>
      <c r="T30" s="64"/>
      <c r="U30" s="39" t="s">
        <v>105</v>
      </c>
      <c r="V30" s="39" t="s">
        <v>110</v>
      </c>
      <c r="W30" s="65"/>
      <c r="X30" s="39" t="s">
        <v>112</v>
      </c>
      <c r="Y30" s="39" t="s">
        <v>357</v>
      </c>
      <c r="Z30" s="39" t="s">
        <v>114</v>
      </c>
      <c r="AA30" s="63">
        <v>57355.0</v>
      </c>
      <c r="AB30" s="64"/>
      <c r="AC30" s="23">
        <v>24.0</v>
      </c>
      <c r="AD30" s="39" t="s">
        <v>66</v>
      </c>
      <c r="AE30" s="39" t="s">
        <v>67</v>
      </c>
      <c r="AF30" s="65"/>
      <c r="AG30" s="39" t="s">
        <v>130</v>
      </c>
      <c r="AH30" s="39" t="s">
        <v>246</v>
      </c>
      <c r="AI30" s="65"/>
      <c r="AJ30" s="65"/>
      <c r="AK30" s="39" t="s">
        <v>358</v>
      </c>
      <c r="AL30" s="39" t="s">
        <v>359</v>
      </c>
      <c r="AM30" s="39" t="s">
        <v>73</v>
      </c>
      <c r="AN30" s="39" t="s">
        <v>74</v>
      </c>
      <c r="AO30" s="39" t="s">
        <v>360</v>
      </c>
      <c r="AP30" s="39" t="s">
        <v>361</v>
      </c>
      <c r="AQ30" s="65"/>
      <c r="AR30" s="65"/>
    </row>
    <row r="31">
      <c r="A31" s="21">
        <f t="shared" si="1"/>
        <v>25</v>
      </c>
      <c r="B31" s="21" t="s">
        <v>362</v>
      </c>
      <c r="C31" s="38" t="s">
        <v>363</v>
      </c>
      <c r="D31" s="23">
        <v>18.0</v>
      </c>
      <c r="E31" s="23">
        <v>4.0</v>
      </c>
      <c r="F31" s="23" t="s">
        <v>80</v>
      </c>
      <c r="G31" s="23" t="s">
        <v>81</v>
      </c>
      <c r="H31" s="24">
        <v>37591.0</v>
      </c>
      <c r="I31" s="21" t="s">
        <v>254</v>
      </c>
      <c r="J31" s="21" t="s">
        <v>255</v>
      </c>
      <c r="K31" s="21" t="s">
        <v>364</v>
      </c>
      <c r="L31" s="21" t="s">
        <v>55</v>
      </c>
      <c r="M31" s="25">
        <v>44287.0</v>
      </c>
      <c r="N31" s="23" t="s">
        <v>56</v>
      </c>
      <c r="O31" s="21" t="s">
        <v>365</v>
      </c>
      <c r="P31" s="56"/>
      <c r="Q31" s="21" t="s">
        <v>59</v>
      </c>
      <c r="R31" s="24">
        <v>44568.0</v>
      </c>
      <c r="S31" s="23" t="s">
        <v>258</v>
      </c>
      <c r="T31" s="26"/>
      <c r="U31" s="23" t="s">
        <v>105</v>
      </c>
      <c r="V31" s="21" t="s">
        <v>159</v>
      </c>
      <c r="W31" s="21" t="s">
        <v>366</v>
      </c>
      <c r="X31" s="21" t="s">
        <v>367</v>
      </c>
      <c r="Y31" s="21" t="s">
        <v>368</v>
      </c>
      <c r="Z31" s="56"/>
      <c r="AA31" s="28">
        <v>48951.0</v>
      </c>
      <c r="AB31" s="29"/>
      <c r="AC31" s="23">
        <v>25.0</v>
      </c>
      <c r="AD31" s="21" t="s">
        <v>66</v>
      </c>
      <c r="AE31" s="21" t="s">
        <v>220</v>
      </c>
      <c r="AF31" s="21" t="s">
        <v>92</v>
      </c>
      <c r="AG31" s="21" t="s">
        <v>68</v>
      </c>
      <c r="AH31" s="21" t="s">
        <v>131</v>
      </c>
      <c r="AI31" s="21">
        <v>8.1269555245E10</v>
      </c>
      <c r="AJ31" s="21" t="s">
        <v>369</v>
      </c>
      <c r="AK31" s="21" t="s">
        <v>370</v>
      </c>
      <c r="AL31" s="21" t="s">
        <v>371</v>
      </c>
      <c r="AM31" s="21" t="s">
        <v>96</v>
      </c>
      <c r="AN31" s="21" t="s">
        <v>97</v>
      </c>
      <c r="AO31" s="21" t="s">
        <v>292</v>
      </c>
      <c r="AP31" s="21" t="s">
        <v>293</v>
      </c>
      <c r="AQ31" s="21">
        <v>0.0</v>
      </c>
      <c r="AR31" s="21">
        <v>0.0</v>
      </c>
    </row>
    <row r="32">
      <c r="A32" s="21">
        <f t="shared" si="1"/>
        <v>26</v>
      </c>
      <c r="B32" s="39" t="s">
        <v>372</v>
      </c>
      <c r="C32" s="40" t="s">
        <v>373</v>
      </c>
      <c r="D32" s="41">
        <v>12.0</v>
      </c>
      <c r="E32" s="41">
        <v>3.0</v>
      </c>
      <c r="F32" s="39" t="s">
        <v>80</v>
      </c>
      <c r="G32" s="39" t="s">
        <v>81</v>
      </c>
      <c r="H32" s="42">
        <v>40544.0</v>
      </c>
      <c r="I32" s="39" t="s">
        <v>82</v>
      </c>
      <c r="J32" s="39" t="s">
        <v>83</v>
      </c>
      <c r="K32" s="39" t="s">
        <v>104</v>
      </c>
      <c r="L32" s="39" t="s">
        <v>105</v>
      </c>
      <c r="M32" s="42">
        <v>45017.0</v>
      </c>
      <c r="N32" s="39" t="s">
        <v>141</v>
      </c>
      <c r="O32" s="39" t="s">
        <v>173</v>
      </c>
      <c r="P32" s="43"/>
      <c r="Q32" s="39" t="s">
        <v>86</v>
      </c>
      <c r="R32" s="42">
        <v>45292.0</v>
      </c>
      <c r="S32" s="39" t="s">
        <v>143</v>
      </c>
      <c r="T32" s="44"/>
      <c r="U32" s="39" t="s">
        <v>144</v>
      </c>
      <c r="V32" s="39" t="s">
        <v>159</v>
      </c>
      <c r="W32" s="39" t="s">
        <v>374</v>
      </c>
      <c r="X32" s="39" t="s">
        <v>231</v>
      </c>
      <c r="Y32" s="39" t="s">
        <v>375</v>
      </c>
      <c r="Z32" s="46"/>
      <c r="AA32" s="45">
        <v>51136.0</v>
      </c>
      <c r="AB32" s="46"/>
      <c r="AC32" s="23">
        <v>26.0</v>
      </c>
      <c r="AD32" s="39" t="s">
        <v>66</v>
      </c>
      <c r="AE32" s="39" t="s">
        <v>67</v>
      </c>
      <c r="AF32" s="39" t="s">
        <v>129</v>
      </c>
      <c r="AG32" s="39" t="s">
        <v>130</v>
      </c>
      <c r="AH32" s="39" t="s">
        <v>69</v>
      </c>
      <c r="AI32" s="39">
        <v>8.116284888E9</v>
      </c>
      <c r="AJ32" s="39" t="s">
        <v>376</v>
      </c>
      <c r="AK32" s="39" t="s">
        <v>377</v>
      </c>
      <c r="AL32" s="39" t="s">
        <v>378</v>
      </c>
      <c r="AM32" s="39" t="s">
        <v>96</v>
      </c>
      <c r="AN32" s="39" t="s">
        <v>97</v>
      </c>
      <c r="AO32" s="39" t="s">
        <v>379</v>
      </c>
      <c r="AP32" s="39" t="s">
        <v>380</v>
      </c>
      <c r="AQ32" s="43"/>
      <c r="AR32" s="43"/>
    </row>
    <row r="33">
      <c r="A33" s="21">
        <f t="shared" si="1"/>
        <v>27</v>
      </c>
      <c r="B33" s="39" t="s">
        <v>381</v>
      </c>
      <c r="C33" s="40" t="s">
        <v>382</v>
      </c>
      <c r="D33" s="41">
        <v>30.0</v>
      </c>
      <c r="E33" s="41">
        <v>0.0</v>
      </c>
      <c r="F33" s="39" t="s">
        <v>50</v>
      </c>
      <c r="G33" s="39" t="s">
        <v>51</v>
      </c>
      <c r="H33" s="66">
        <v>33664.0</v>
      </c>
      <c r="I33" s="39" t="s">
        <v>82</v>
      </c>
      <c r="J33" s="39" t="s">
        <v>83</v>
      </c>
      <c r="K33" s="39" t="s">
        <v>383</v>
      </c>
      <c r="L33" s="39" t="s">
        <v>105</v>
      </c>
      <c r="M33" s="42">
        <v>45931.0</v>
      </c>
      <c r="N33" s="39" t="s">
        <v>141</v>
      </c>
      <c r="O33" s="39" t="s">
        <v>173</v>
      </c>
      <c r="P33" s="43"/>
      <c r="Q33" s="39" t="s">
        <v>86</v>
      </c>
      <c r="R33" s="42">
        <v>45292.0</v>
      </c>
      <c r="S33" s="39" t="s">
        <v>143</v>
      </c>
      <c r="T33" s="44"/>
      <c r="U33" s="39" t="s">
        <v>144</v>
      </c>
      <c r="V33" s="39" t="s">
        <v>89</v>
      </c>
      <c r="W33" s="39" t="s">
        <v>218</v>
      </c>
      <c r="X33" s="39" t="s">
        <v>384</v>
      </c>
      <c r="Y33" s="39" t="s">
        <v>385</v>
      </c>
      <c r="Z33" s="39" t="s">
        <v>114</v>
      </c>
      <c r="AA33" s="45">
        <v>46397.0</v>
      </c>
      <c r="AB33" s="46"/>
      <c r="AC33" s="23">
        <v>27.0</v>
      </c>
      <c r="AD33" s="39" t="s">
        <v>66</v>
      </c>
      <c r="AE33" s="39" t="s">
        <v>67</v>
      </c>
      <c r="AF33" s="43"/>
      <c r="AG33" s="39" t="s">
        <v>130</v>
      </c>
      <c r="AH33" s="43"/>
      <c r="AI33" s="39">
        <v>8.2273172146E10</v>
      </c>
      <c r="AJ33" s="39" t="s">
        <v>386</v>
      </c>
      <c r="AK33" s="39" t="s">
        <v>387</v>
      </c>
      <c r="AL33" s="39" t="s">
        <v>388</v>
      </c>
      <c r="AM33" s="39" t="s">
        <v>96</v>
      </c>
      <c r="AN33" s="39" t="s">
        <v>74</v>
      </c>
      <c r="AO33" s="39" t="s">
        <v>379</v>
      </c>
      <c r="AP33" s="39" t="s">
        <v>389</v>
      </c>
      <c r="AQ33" s="43"/>
      <c r="AR33" s="43"/>
    </row>
    <row r="34">
      <c r="A34" s="21">
        <f t="shared" si="1"/>
        <v>28</v>
      </c>
      <c r="B34" s="39" t="s">
        <v>390</v>
      </c>
      <c r="C34" s="40" t="s">
        <v>391</v>
      </c>
      <c r="D34" s="41">
        <v>12.0</v>
      </c>
      <c r="E34" s="41">
        <v>3.0</v>
      </c>
      <c r="F34" s="39" t="s">
        <v>80</v>
      </c>
      <c r="G34" s="39" t="s">
        <v>81</v>
      </c>
      <c r="H34" s="42">
        <v>40817.0</v>
      </c>
      <c r="I34" s="39" t="s">
        <v>82</v>
      </c>
      <c r="J34" s="39" t="s">
        <v>83</v>
      </c>
      <c r="K34" s="39" t="s">
        <v>228</v>
      </c>
      <c r="L34" s="39" t="s">
        <v>105</v>
      </c>
      <c r="M34" s="42">
        <v>44652.0</v>
      </c>
      <c r="N34" s="39" t="s">
        <v>141</v>
      </c>
      <c r="O34" s="39" t="s">
        <v>173</v>
      </c>
      <c r="P34" s="43"/>
      <c r="Q34" s="39" t="s">
        <v>86</v>
      </c>
      <c r="R34" s="42">
        <v>45292.0</v>
      </c>
      <c r="S34" s="39" t="s">
        <v>143</v>
      </c>
      <c r="T34" s="44"/>
      <c r="U34" s="39" t="s">
        <v>144</v>
      </c>
      <c r="V34" s="39" t="s">
        <v>89</v>
      </c>
      <c r="W34" s="39" t="s">
        <v>230</v>
      </c>
      <c r="X34" s="39" t="s">
        <v>260</v>
      </c>
      <c r="Y34" s="39" t="s">
        <v>392</v>
      </c>
      <c r="Z34" s="39" t="s">
        <v>114</v>
      </c>
      <c r="AA34" s="45">
        <v>52238.0</v>
      </c>
      <c r="AB34" s="46"/>
      <c r="AC34" s="23">
        <v>28.0</v>
      </c>
      <c r="AD34" s="39" t="s">
        <v>66</v>
      </c>
      <c r="AE34" s="39" t="s">
        <v>67</v>
      </c>
      <c r="AF34" s="39" t="s">
        <v>92</v>
      </c>
      <c r="AG34" s="39" t="s">
        <v>130</v>
      </c>
      <c r="AH34" s="39" t="s">
        <v>69</v>
      </c>
      <c r="AI34" s="39">
        <v>8.5372943434E10</v>
      </c>
      <c r="AJ34" s="39" t="s">
        <v>393</v>
      </c>
      <c r="AK34" s="39" t="s">
        <v>394</v>
      </c>
      <c r="AL34" s="39" t="s">
        <v>395</v>
      </c>
      <c r="AM34" s="39" t="s">
        <v>96</v>
      </c>
      <c r="AN34" s="39" t="s">
        <v>97</v>
      </c>
      <c r="AO34" s="39" t="s">
        <v>379</v>
      </c>
      <c r="AP34" s="39" t="s">
        <v>396</v>
      </c>
      <c r="AQ34" s="43"/>
      <c r="AR34" s="43"/>
    </row>
    <row r="35">
      <c r="A35" s="21">
        <f t="shared" si="1"/>
        <v>29</v>
      </c>
      <c r="B35" s="39" t="s">
        <v>397</v>
      </c>
      <c r="C35" s="40" t="s">
        <v>398</v>
      </c>
      <c r="D35" s="41">
        <v>17.0</v>
      </c>
      <c r="E35" s="41">
        <v>1.0</v>
      </c>
      <c r="F35" s="39" t="s">
        <v>50</v>
      </c>
      <c r="G35" s="39" t="s">
        <v>51</v>
      </c>
      <c r="H35" s="42">
        <v>39873.0</v>
      </c>
      <c r="I35" s="39" t="s">
        <v>307</v>
      </c>
      <c r="J35" s="39" t="s">
        <v>308</v>
      </c>
      <c r="K35" s="39" t="s">
        <v>228</v>
      </c>
      <c r="L35" s="39" t="s">
        <v>105</v>
      </c>
      <c r="M35" s="42">
        <v>44652.0</v>
      </c>
      <c r="N35" s="39" t="s">
        <v>141</v>
      </c>
      <c r="O35" s="39" t="s">
        <v>229</v>
      </c>
      <c r="P35" s="43"/>
      <c r="Q35" s="39" t="s">
        <v>108</v>
      </c>
      <c r="R35" s="42">
        <v>45292.0</v>
      </c>
      <c r="S35" s="39" t="s">
        <v>143</v>
      </c>
      <c r="T35" s="44"/>
      <c r="U35" s="39" t="s">
        <v>144</v>
      </c>
      <c r="V35" s="39" t="s">
        <v>285</v>
      </c>
      <c r="W35" s="39" t="s">
        <v>399</v>
      </c>
      <c r="X35" s="39" t="s">
        <v>400</v>
      </c>
      <c r="Y35" s="39" t="s">
        <v>401</v>
      </c>
      <c r="Z35" s="39" t="s">
        <v>114</v>
      </c>
      <c r="AA35" s="45">
        <v>48587.0</v>
      </c>
      <c r="AB35" s="46"/>
      <c r="AC35" s="23">
        <v>29.0</v>
      </c>
      <c r="AD35" s="39" t="s">
        <v>66</v>
      </c>
      <c r="AE35" s="39" t="s">
        <v>67</v>
      </c>
      <c r="AF35" s="39" t="s">
        <v>92</v>
      </c>
      <c r="AG35" s="39" t="s">
        <v>68</v>
      </c>
      <c r="AH35" s="39" t="s">
        <v>69</v>
      </c>
      <c r="AI35" s="39">
        <v>8.137584608E10</v>
      </c>
      <c r="AJ35" s="39" t="s">
        <v>402</v>
      </c>
      <c r="AK35" s="39" t="s">
        <v>403</v>
      </c>
      <c r="AL35" s="39" t="s">
        <v>404</v>
      </c>
      <c r="AM35" s="39" t="s">
        <v>96</v>
      </c>
      <c r="AN35" s="39" t="s">
        <v>166</v>
      </c>
      <c r="AO35" s="39" t="s">
        <v>224</v>
      </c>
      <c r="AP35" s="39" t="s">
        <v>405</v>
      </c>
      <c r="AQ35" s="43"/>
      <c r="AR35" s="43"/>
    </row>
    <row r="36">
      <c r="A36" s="21">
        <f t="shared" si="1"/>
        <v>30</v>
      </c>
      <c r="B36" s="39" t="s">
        <v>406</v>
      </c>
      <c r="C36" s="40" t="s">
        <v>407</v>
      </c>
      <c r="D36" s="41">
        <v>16.0</v>
      </c>
      <c r="E36" s="41">
        <v>5.0</v>
      </c>
      <c r="F36" s="39" t="s">
        <v>80</v>
      </c>
      <c r="G36" s="39" t="s">
        <v>81</v>
      </c>
      <c r="H36" s="42">
        <v>39845.0</v>
      </c>
      <c r="I36" s="39" t="s">
        <v>82</v>
      </c>
      <c r="J36" s="39" t="s">
        <v>83</v>
      </c>
      <c r="K36" s="39" t="s">
        <v>408</v>
      </c>
      <c r="L36" s="39" t="s">
        <v>105</v>
      </c>
      <c r="M36" s="42">
        <v>44287.0</v>
      </c>
      <c r="N36" s="39" t="s">
        <v>141</v>
      </c>
      <c r="O36" s="39" t="s">
        <v>173</v>
      </c>
      <c r="P36" s="43"/>
      <c r="Q36" s="39" t="s">
        <v>86</v>
      </c>
      <c r="R36" s="42">
        <v>45292.0</v>
      </c>
      <c r="S36" s="39" t="s">
        <v>143</v>
      </c>
      <c r="T36" s="44"/>
      <c r="U36" s="39" t="s">
        <v>144</v>
      </c>
      <c r="V36" s="39" t="s">
        <v>89</v>
      </c>
      <c r="W36" s="39" t="s">
        <v>90</v>
      </c>
      <c r="X36" s="39" t="s">
        <v>409</v>
      </c>
      <c r="Y36" s="39" t="s">
        <v>410</v>
      </c>
      <c r="Z36" s="46"/>
      <c r="AA36" s="45">
        <v>48955.0</v>
      </c>
      <c r="AB36" s="46"/>
      <c r="AC36" s="23">
        <v>30.0</v>
      </c>
      <c r="AD36" s="39" t="s">
        <v>66</v>
      </c>
      <c r="AE36" s="39" t="s">
        <v>67</v>
      </c>
      <c r="AF36" s="39" t="s">
        <v>129</v>
      </c>
      <c r="AG36" s="39" t="s">
        <v>130</v>
      </c>
      <c r="AH36" s="39" t="s">
        <v>69</v>
      </c>
      <c r="AI36" s="39">
        <v>8.12647748E9</v>
      </c>
      <c r="AJ36" s="39" t="s">
        <v>411</v>
      </c>
      <c r="AK36" s="39" t="s">
        <v>412</v>
      </c>
      <c r="AL36" s="39" t="s">
        <v>413</v>
      </c>
      <c r="AM36" s="39" t="s">
        <v>96</v>
      </c>
      <c r="AN36" s="39" t="s">
        <v>414</v>
      </c>
      <c r="AO36" s="39" t="s">
        <v>236</v>
      </c>
      <c r="AP36" s="39" t="s">
        <v>237</v>
      </c>
      <c r="AQ36" s="43"/>
      <c r="AR36" s="43"/>
    </row>
    <row r="37">
      <c r="A37" s="21">
        <f t="shared" si="1"/>
        <v>31</v>
      </c>
      <c r="B37" s="39" t="s">
        <v>415</v>
      </c>
      <c r="C37" s="40" t="s">
        <v>416</v>
      </c>
      <c r="D37" s="41">
        <v>15.0</v>
      </c>
      <c r="E37" s="41">
        <v>7.0</v>
      </c>
      <c r="F37" s="39" t="s">
        <v>50</v>
      </c>
      <c r="G37" s="39" t="s">
        <v>51</v>
      </c>
      <c r="H37" s="42">
        <v>39845.0</v>
      </c>
      <c r="I37" s="39" t="s">
        <v>102</v>
      </c>
      <c r="J37" s="39" t="s">
        <v>103</v>
      </c>
      <c r="K37" s="39" t="s">
        <v>417</v>
      </c>
      <c r="L37" s="39" t="s">
        <v>105</v>
      </c>
      <c r="M37" s="42">
        <v>45566.0</v>
      </c>
      <c r="N37" s="39" t="s">
        <v>141</v>
      </c>
      <c r="O37" s="39" t="s">
        <v>173</v>
      </c>
      <c r="P37" s="43"/>
      <c r="Q37" s="39" t="s">
        <v>86</v>
      </c>
      <c r="R37" s="42">
        <v>45292.0</v>
      </c>
      <c r="S37" s="39" t="s">
        <v>143</v>
      </c>
      <c r="T37" s="44"/>
      <c r="U37" s="39" t="s">
        <v>144</v>
      </c>
      <c r="V37" s="39" t="s">
        <v>89</v>
      </c>
      <c r="W37" s="39" t="s">
        <v>418</v>
      </c>
      <c r="X37" s="39" t="s">
        <v>419</v>
      </c>
      <c r="Y37" s="39" t="s">
        <v>420</v>
      </c>
      <c r="Z37" s="46"/>
      <c r="AA37" s="45">
        <v>49685.0</v>
      </c>
      <c r="AB37" s="46"/>
      <c r="AC37" s="23">
        <v>31.0</v>
      </c>
      <c r="AD37" s="39" t="s">
        <v>66</v>
      </c>
      <c r="AE37" s="39" t="s">
        <v>67</v>
      </c>
      <c r="AF37" s="39" t="s">
        <v>421</v>
      </c>
      <c r="AG37" s="39" t="s">
        <v>130</v>
      </c>
      <c r="AH37" s="39" t="s">
        <v>131</v>
      </c>
      <c r="AI37" s="39">
        <v>8.1397113205E10</v>
      </c>
      <c r="AJ37" s="39" t="s">
        <v>422</v>
      </c>
      <c r="AK37" s="39" t="s">
        <v>423</v>
      </c>
      <c r="AL37" s="39" t="s">
        <v>424</v>
      </c>
      <c r="AM37" s="39" t="s">
        <v>96</v>
      </c>
      <c r="AN37" s="43"/>
      <c r="AO37" s="39" t="s">
        <v>425</v>
      </c>
      <c r="AP37" s="39" t="s">
        <v>426</v>
      </c>
      <c r="AQ37" s="39" t="s">
        <v>77</v>
      </c>
      <c r="AR37" s="39" t="s">
        <v>77</v>
      </c>
    </row>
    <row r="38">
      <c r="A38" s="21">
        <f t="shared" si="1"/>
        <v>32</v>
      </c>
      <c r="B38" s="39" t="s">
        <v>427</v>
      </c>
      <c r="C38" s="40" t="s">
        <v>428</v>
      </c>
      <c r="D38" s="41">
        <v>14.0</v>
      </c>
      <c r="E38" s="41">
        <v>7.0</v>
      </c>
      <c r="F38" s="39" t="s">
        <v>50</v>
      </c>
      <c r="G38" s="39" t="s">
        <v>51</v>
      </c>
      <c r="H38" s="42">
        <v>39873.0</v>
      </c>
      <c r="I38" s="39" t="s">
        <v>102</v>
      </c>
      <c r="J38" s="39" t="s">
        <v>103</v>
      </c>
      <c r="K38" s="39" t="s">
        <v>417</v>
      </c>
      <c r="L38" s="39" t="s">
        <v>105</v>
      </c>
      <c r="M38" s="42">
        <v>45566.0</v>
      </c>
      <c r="N38" s="39" t="s">
        <v>141</v>
      </c>
      <c r="O38" s="39" t="s">
        <v>173</v>
      </c>
      <c r="P38" s="43"/>
      <c r="Q38" s="39" t="s">
        <v>86</v>
      </c>
      <c r="R38" s="42">
        <v>45292.0</v>
      </c>
      <c r="S38" s="39" t="s">
        <v>143</v>
      </c>
      <c r="T38" s="44"/>
      <c r="U38" s="39" t="s">
        <v>144</v>
      </c>
      <c r="V38" s="39" t="s">
        <v>89</v>
      </c>
      <c r="W38" s="39" t="s">
        <v>429</v>
      </c>
      <c r="X38" s="39" t="s">
        <v>430</v>
      </c>
      <c r="Y38" s="39" t="s">
        <v>431</v>
      </c>
      <c r="Z38" s="46"/>
      <c r="AA38" s="45">
        <v>51137.0</v>
      </c>
      <c r="AB38" s="46"/>
      <c r="AC38" s="23">
        <v>32.0</v>
      </c>
      <c r="AD38" s="39" t="s">
        <v>66</v>
      </c>
      <c r="AE38" s="39" t="s">
        <v>67</v>
      </c>
      <c r="AF38" s="39" t="s">
        <v>92</v>
      </c>
      <c r="AG38" s="39" t="s">
        <v>68</v>
      </c>
      <c r="AH38" s="39" t="s">
        <v>69</v>
      </c>
      <c r="AI38" s="39">
        <v>8.5262645261E10</v>
      </c>
      <c r="AJ38" s="39" t="s">
        <v>432</v>
      </c>
      <c r="AK38" s="39" t="s">
        <v>433</v>
      </c>
      <c r="AL38" s="39" t="s">
        <v>434</v>
      </c>
      <c r="AM38" s="39" t="s">
        <v>96</v>
      </c>
      <c r="AN38" s="39" t="s">
        <v>97</v>
      </c>
      <c r="AO38" s="39" t="s">
        <v>435</v>
      </c>
      <c r="AP38" s="39" t="s">
        <v>436</v>
      </c>
      <c r="AQ38" s="39" t="s">
        <v>77</v>
      </c>
      <c r="AR38" s="39" t="s">
        <v>77</v>
      </c>
    </row>
    <row r="39">
      <c r="A39" s="21">
        <f t="shared" si="1"/>
        <v>33</v>
      </c>
      <c r="B39" s="39" t="s">
        <v>437</v>
      </c>
      <c r="C39" s="40" t="s">
        <v>438</v>
      </c>
      <c r="D39" s="41">
        <v>8.0</v>
      </c>
      <c r="E39" s="41">
        <v>0.0</v>
      </c>
      <c r="F39" s="39" t="s">
        <v>50</v>
      </c>
      <c r="G39" s="39" t="s">
        <v>51</v>
      </c>
      <c r="H39" s="42">
        <v>40544.0</v>
      </c>
      <c r="I39" s="39" t="s">
        <v>102</v>
      </c>
      <c r="J39" s="39" t="s">
        <v>103</v>
      </c>
      <c r="K39" s="39" t="s">
        <v>104</v>
      </c>
      <c r="L39" s="39" t="s">
        <v>105</v>
      </c>
      <c r="M39" s="42">
        <v>45017.0</v>
      </c>
      <c r="N39" s="39" t="s">
        <v>141</v>
      </c>
      <c r="O39" s="39" t="s">
        <v>173</v>
      </c>
      <c r="P39" s="43"/>
      <c r="Q39" s="39" t="s">
        <v>86</v>
      </c>
      <c r="R39" s="42">
        <v>45292.0</v>
      </c>
      <c r="S39" s="39" t="s">
        <v>143</v>
      </c>
      <c r="T39" s="44"/>
      <c r="U39" s="39" t="s">
        <v>144</v>
      </c>
      <c r="V39" s="39" t="s">
        <v>89</v>
      </c>
      <c r="W39" s="39" t="s">
        <v>439</v>
      </c>
      <c r="X39" s="39" t="s">
        <v>440</v>
      </c>
      <c r="Y39" s="39" t="s">
        <v>441</v>
      </c>
      <c r="Z39" s="46"/>
      <c r="AA39" s="45">
        <v>53696.0</v>
      </c>
      <c r="AB39" s="46"/>
      <c r="AC39" s="23">
        <v>33.0</v>
      </c>
      <c r="AD39" s="39" t="s">
        <v>66</v>
      </c>
      <c r="AE39" s="39" t="s">
        <v>67</v>
      </c>
      <c r="AF39" s="43"/>
      <c r="AG39" s="39" t="s">
        <v>68</v>
      </c>
      <c r="AH39" s="43"/>
      <c r="AI39" s="39">
        <v>8.5275575514E10</v>
      </c>
      <c r="AJ39" s="39" t="s">
        <v>442</v>
      </c>
      <c r="AK39" s="39" t="s">
        <v>443</v>
      </c>
      <c r="AL39" s="39" t="s">
        <v>444</v>
      </c>
      <c r="AM39" s="39" t="s">
        <v>96</v>
      </c>
      <c r="AN39" s="43"/>
      <c r="AO39" s="39" t="s">
        <v>445</v>
      </c>
      <c r="AP39" s="39" t="s">
        <v>446</v>
      </c>
      <c r="AQ39" s="43"/>
      <c r="AR39" s="43"/>
    </row>
    <row r="40">
      <c r="A40" s="21">
        <f t="shared" si="1"/>
        <v>34</v>
      </c>
      <c r="B40" s="39" t="s">
        <v>447</v>
      </c>
      <c r="C40" s="40" t="s">
        <v>448</v>
      </c>
      <c r="D40" s="41">
        <v>16.0</v>
      </c>
      <c r="E40" s="41">
        <v>5.0</v>
      </c>
      <c r="F40" s="39" t="s">
        <v>50</v>
      </c>
      <c r="G40" s="39" t="s">
        <v>51</v>
      </c>
      <c r="H40" s="42">
        <v>39845.0</v>
      </c>
      <c r="I40" s="39" t="s">
        <v>82</v>
      </c>
      <c r="J40" s="39" t="s">
        <v>83</v>
      </c>
      <c r="K40" s="39" t="s">
        <v>140</v>
      </c>
      <c r="L40" s="39" t="s">
        <v>105</v>
      </c>
      <c r="M40" s="42">
        <v>45809.0</v>
      </c>
      <c r="N40" s="39" t="s">
        <v>141</v>
      </c>
      <c r="O40" s="39" t="s">
        <v>173</v>
      </c>
      <c r="P40" s="43"/>
      <c r="Q40" s="39" t="s">
        <v>86</v>
      </c>
      <c r="R40" s="42">
        <v>45292.0</v>
      </c>
      <c r="S40" s="39" t="s">
        <v>143</v>
      </c>
      <c r="T40" s="44"/>
      <c r="U40" s="39" t="s">
        <v>144</v>
      </c>
      <c r="V40" s="39" t="s">
        <v>89</v>
      </c>
      <c r="W40" s="39" t="s">
        <v>90</v>
      </c>
      <c r="X40" s="39" t="s">
        <v>449</v>
      </c>
      <c r="Y40" s="39" t="s">
        <v>450</v>
      </c>
      <c r="Z40" s="39" t="s">
        <v>114</v>
      </c>
      <c r="AA40" s="45">
        <v>51505.0</v>
      </c>
      <c r="AB40" s="46"/>
      <c r="AC40" s="23">
        <v>34.0</v>
      </c>
      <c r="AD40" s="39" t="s">
        <v>66</v>
      </c>
      <c r="AE40" s="39" t="s">
        <v>67</v>
      </c>
      <c r="AF40" s="43"/>
      <c r="AG40" s="39" t="s">
        <v>68</v>
      </c>
      <c r="AH40" s="39" t="s">
        <v>69</v>
      </c>
      <c r="AI40" s="39">
        <v>8.1533300053E10</v>
      </c>
      <c r="AJ40" s="39" t="s">
        <v>451</v>
      </c>
      <c r="AK40" s="39" t="s">
        <v>452</v>
      </c>
      <c r="AL40" s="39" t="s">
        <v>453</v>
      </c>
      <c r="AM40" s="39" t="s">
        <v>96</v>
      </c>
      <c r="AN40" s="39" t="s">
        <v>74</v>
      </c>
      <c r="AO40" s="39" t="s">
        <v>454</v>
      </c>
      <c r="AP40" s="39" t="s">
        <v>455</v>
      </c>
      <c r="AQ40" s="43"/>
      <c r="AR40" s="43"/>
    </row>
    <row r="41">
      <c r="A41" s="21">
        <f t="shared" si="1"/>
        <v>35</v>
      </c>
      <c r="B41" s="39" t="s">
        <v>456</v>
      </c>
      <c r="C41" s="40" t="s">
        <v>457</v>
      </c>
      <c r="D41" s="41">
        <v>17.0</v>
      </c>
      <c r="E41" s="41">
        <v>11.0</v>
      </c>
      <c r="F41" s="39" t="s">
        <v>171</v>
      </c>
      <c r="G41" s="39" t="s">
        <v>172</v>
      </c>
      <c r="H41" s="42">
        <v>39448.0</v>
      </c>
      <c r="I41" s="39" t="s">
        <v>102</v>
      </c>
      <c r="J41" s="39" t="s">
        <v>103</v>
      </c>
      <c r="K41" s="39" t="s">
        <v>155</v>
      </c>
      <c r="L41" s="39" t="s">
        <v>88</v>
      </c>
      <c r="M41" s="42">
        <v>44652.0</v>
      </c>
      <c r="N41" s="39" t="s">
        <v>141</v>
      </c>
      <c r="O41" s="39" t="s">
        <v>173</v>
      </c>
      <c r="P41" s="43"/>
      <c r="Q41" s="39" t="s">
        <v>86</v>
      </c>
      <c r="R41" s="42">
        <v>45292.0</v>
      </c>
      <c r="S41" s="39" t="s">
        <v>143</v>
      </c>
      <c r="T41" s="44"/>
      <c r="U41" s="39" t="s">
        <v>144</v>
      </c>
      <c r="V41" s="39" t="s">
        <v>89</v>
      </c>
      <c r="W41" s="39" t="s">
        <v>458</v>
      </c>
      <c r="X41" s="39" t="s">
        <v>459</v>
      </c>
      <c r="Y41" s="67">
        <v>41519.0</v>
      </c>
      <c r="Z41" s="46"/>
      <c r="AA41" s="45">
        <v>50050.0</v>
      </c>
      <c r="AB41" s="46"/>
      <c r="AC41" s="23">
        <v>35.0</v>
      </c>
      <c r="AD41" s="39" t="s">
        <v>66</v>
      </c>
      <c r="AE41" s="39" t="s">
        <v>67</v>
      </c>
      <c r="AF41" s="43"/>
      <c r="AG41" s="39" t="s">
        <v>130</v>
      </c>
      <c r="AH41" s="39" t="s">
        <v>131</v>
      </c>
      <c r="AI41" s="39">
        <v>8.13617687E10</v>
      </c>
      <c r="AJ41" s="39" t="s">
        <v>460</v>
      </c>
      <c r="AK41" s="39" t="s">
        <v>461</v>
      </c>
      <c r="AL41" s="39" t="s">
        <v>462</v>
      </c>
      <c r="AM41" s="39" t="s">
        <v>96</v>
      </c>
      <c r="AN41" s="43"/>
      <c r="AO41" s="39" t="s">
        <v>463</v>
      </c>
      <c r="AP41" s="39" t="s">
        <v>464</v>
      </c>
      <c r="AQ41" s="43"/>
      <c r="AR41" s="43"/>
    </row>
    <row r="42">
      <c r="A42" s="21">
        <f t="shared" si="1"/>
        <v>36</v>
      </c>
      <c r="B42" s="39" t="s">
        <v>465</v>
      </c>
      <c r="C42" s="40" t="s">
        <v>466</v>
      </c>
      <c r="D42" s="41">
        <v>17.0</v>
      </c>
      <c r="E42" s="41">
        <v>3.0</v>
      </c>
      <c r="F42" s="39" t="s">
        <v>80</v>
      </c>
      <c r="G42" s="39" t="s">
        <v>81</v>
      </c>
      <c r="H42" s="42">
        <v>40179.0</v>
      </c>
      <c r="I42" s="39" t="s">
        <v>82</v>
      </c>
      <c r="J42" s="39" t="s">
        <v>83</v>
      </c>
      <c r="K42" s="39" t="s">
        <v>228</v>
      </c>
      <c r="L42" s="39" t="s">
        <v>105</v>
      </c>
      <c r="M42" s="42">
        <v>44652.0</v>
      </c>
      <c r="N42" s="39" t="s">
        <v>141</v>
      </c>
      <c r="O42" s="39" t="s">
        <v>173</v>
      </c>
      <c r="P42" s="43"/>
      <c r="Q42" s="39" t="s">
        <v>86</v>
      </c>
      <c r="R42" s="42">
        <v>45292.0</v>
      </c>
      <c r="S42" s="39" t="s">
        <v>143</v>
      </c>
      <c r="T42" s="44"/>
      <c r="U42" s="39" t="s">
        <v>144</v>
      </c>
      <c r="V42" s="39" t="s">
        <v>89</v>
      </c>
      <c r="W42" s="39" t="s">
        <v>467</v>
      </c>
      <c r="X42" s="39" t="s">
        <v>198</v>
      </c>
      <c r="Y42" s="39" t="s">
        <v>468</v>
      </c>
      <c r="Z42" s="39" t="s">
        <v>114</v>
      </c>
      <c r="AA42" s="45">
        <v>50406.0</v>
      </c>
      <c r="AB42" s="46"/>
      <c r="AC42" s="23">
        <v>36.0</v>
      </c>
      <c r="AD42" s="39" t="s">
        <v>66</v>
      </c>
      <c r="AE42" s="39" t="s">
        <v>67</v>
      </c>
      <c r="AF42" s="39" t="s">
        <v>92</v>
      </c>
      <c r="AG42" s="39" t="s">
        <v>130</v>
      </c>
      <c r="AH42" s="39" t="s">
        <v>69</v>
      </c>
      <c r="AI42" s="39">
        <v>8.116380033E9</v>
      </c>
      <c r="AJ42" s="39" t="s">
        <v>469</v>
      </c>
      <c r="AK42" s="39" t="s">
        <v>470</v>
      </c>
      <c r="AL42" s="39" t="s">
        <v>471</v>
      </c>
      <c r="AM42" s="39" t="s">
        <v>96</v>
      </c>
      <c r="AN42" s="39" t="s">
        <v>150</v>
      </c>
      <c r="AO42" s="39" t="s">
        <v>151</v>
      </c>
      <c r="AP42" s="39" t="s">
        <v>472</v>
      </c>
      <c r="AQ42" s="43"/>
      <c r="AR42" s="43"/>
    </row>
    <row r="43">
      <c r="A43" s="21">
        <f t="shared" si="1"/>
        <v>37</v>
      </c>
      <c r="B43" s="39" t="s">
        <v>473</v>
      </c>
      <c r="C43" s="40" t="s">
        <v>474</v>
      </c>
      <c r="D43" s="41">
        <v>27.0</v>
      </c>
      <c r="E43" s="41">
        <v>1.0</v>
      </c>
      <c r="F43" s="39" t="s">
        <v>50</v>
      </c>
      <c r="G43" s="39" t="s">
        <v>51</v>
      </c>
      <c r="H43" s="42">
        <v>39083.0</v>
      </c>
      <c r="I43" s="39" t="s">
        <v>80</v>
      </c>
      <c r="J43" s="39" t="s">
        <v>81</v>
      </c>
      <c r="K43" s="39" t="s">
        <v>104</v>
      </c>
      <c r="L43" s="39" t="s">
        <v>105</v>
      </c>
      <c r="M43" s="42">
        <v>45017.0</v>
      </c>
      <c r="N43" s="39" t="s">
        <v>141</v>
      </c>
      <c r="O43" s="39" t="s">
        <v>173</v>
      </c>
      <c r="P43" s="43"/>
      <c r="Q43" s="39" t="s">
        <v>86</v>
      </c>
      <c r="R43" s="42">
        <v>44256.0</v>
      </c>
      <c r="S43" s="39" t="s">
        <v>475</v>
      </c>
      <c r="T43" s="44"/>
      <c r="U43" s="39" t="s">
        <v>144</v>
      </c>
      <c r="V43" s="39" t="s">
        <v>285</v>
      </c>
      <c r="W43" s="43"/>
      <c r="X43" s="39" t="s">
        <v>476</v>
      </c>
      <c r="Y43" s="39" t="s">
        <v>477</v>
      </c>
      <c r="Z43" s="46"/>
      <c r="AA43" s="45">
        <v>47484.0</v>
      </c>
      <c r="AB43" s="46"/>
      <c r="AC43" s="23">
        <v>37.0</v>
      </c>
      <c r="AD43" s="39" t="s">
        <v>66</v>
      </c>
      <c r="AE43" s="39" t="s">
        <v>67</v>
      </c>
      <c r="AF43" s="43"/>
      <c r="AG43" s="39" t="s">
        <v>68</v>
      </c>
      <c r="AH43" s="39" t="s">
        <v>69</v>
      </c>
      <c r="AI43" s="39">
        <v>8.2167862508E10</v>
      </c>
      <c r="AJ43" s="39" t="s">
        <v>478</v>
      </c>
      <c r="AK43" s="39" t="s">
        <v>479</v>
      </c>
      <c r="AL43" s="39" t="s">
        <v>480</v>
      </c>
      <c r="AM43" s="39" t="s">
        <v>96</v>
      </c>
      <c r="AN43" s="39" t="s">
        <v>481</v>
      </c>
      <c r="AO43" s="39" t="s">
        <v>178</v>
      </c>
      <c r="AP43" s="39" t="s">
        <v>482</v>
      </c>
      <c r="AQ43" s="39" t="s">
        <v>483</v>
      </c>
      <c r="AR43" s="39" t="s">
        <v>483</v>
      </c>
    </row>
    <row r="44">
      <c r="A44" s="21">
        <f t="shared" si="1"/>
        <v>38</v>
      </c>
      <c r="B44" s="39" t="s">
        <v>484</v>
      </c>
      <c r="C44" s="40" t="s">
        <v>485</v>
      </c>
      <c r="D44" s="41">
        <v>15.0</v>
      </c>
      <c r="E44" s="41">
        <v>9.0</v>
      </c>
      <c r="F44" s="39" t="s">
        <v>50</v>
      </c>
      <c r="G44" s="39" t="s">
        <v>51</v>
      </c>
      <c r="H44" s="42">
        <v>39845.0</v>
      </c>
      <c r="I44" s="39" t="s">
        <v>80</v>
      </c>
      <c r="J44" s="39" t="s">
        <v>81</v>
      </c>
      <c r="K44" s="39" t="s">
        <v>104</v>
      </c>
      <c r="L44" s="39" t="s">
        <v>105</v>
      </c>
      <c r="M44" s="42">
        <v>45017.0</v>
      </c>
      <c r="N44" s="39" t="s">
        <v>141</v>
      </c>
      <c r="O44" s="39" t="s">
        <v>173</v>
      </c>
      <c r="P44" s="43"/>
      <c r="Q44" s="39" t="s">
        <v>59</v>
      </c>
      <c r="R44" s="42">
        <v>45292.0</v>
      </c>
      <c r="S44" s="39" t="s">
        <v>143</v>
      </c>
      <c r="T44" s="44"/>
      <c r="U44" s="39" t="s">
        <v>144</v>
      </c>
      <c r="V44" s="39" t="s">
        <v>285</v>
      </c>
      <c r="W44" s="43"/>
      <c r="X44" s="39" t="s">
        <v>486</v>
      </c>
      <c r="Y44" s="39" t="s">
        <v>487</v>
      </c>
      <c r="Z44" s="39" t="s">
        <v>114</v>
      </c>
      <c r="AA44" s="45">
        <v>50409.0</v>
      </c>
      <c r="AB44" s="46"/>
      <c r="AC44" s="23">
        <v>38.0</v>
      </c>
      <c r="AD44" s="39" t="s">
        <v>66</v>
      </c>
      <c r="AE44" s="39" t="s">
        <v>67</v>
      </c>
      <c r="AF44" s="43"/>
      <c r="AG44" s="39" t="s">
        <v>130</v>
      </c>
      <c r="AH44" s="39" t="s">
        <v>288</v>
      </c>
      <c r="AI44" s="39">
        <v>8.7869412309E10</v>
      </c>
      <c r="AJ44" s="39" t="s">
        <v>488</v>
      </c>
      <c r="AK44" s="39" t="s">
        <v>489</v>
      </c>
      <c r="AL44" s="39" t="s">
        <v>490</v>
      </c>
      <c r="AM44" s="39" t="s">
        <v>96</v>
      </c>
      <c r="AN44" s="39" t="s">
        <v>97</v>
      </c>
      <c r="AO44" s="39" t="s">
        <v>454</v>
      </c>
      <c r="AP44" s="39" t="s">
        <v>491</v>
      </c>
      <c r="AQ44" s="39" t="s">
        <v>77</v>
      </c>
      <c r="AR44" s="39" t="s">
        <v>77</v>
      </c>
    </row>
    <row r="45">
      <c r="A45" s="21">
        <f t="shared" si="1"/>
        <v>39</v>
      </c>
      <c r="B45" s="21" t="s">
        <v>492</v>
      </c>
      <c r="C45" s="22" t="s">
        <v>493</v>
      </c>
      <c r="D45" s="21">
        <v>21.0</v>
      </c>
      <c r="E45" s="21">
        <v>11.0</v>
      </c>
      <c r="F45" s="21" t="s">
        <v>80</v>
      </c>
      <c r="G45" s="21" t="s">
        <v>81</v>
      </c>
      <c r="H45" s="25">
        <v>39448.0</v>
      </c>
      <c r="I45" s="21" t="s">
        <v>254</v>
      </c>
      <c r="J45" s="21" t="s">
        <v>255</v>
      </c>
      <c r="K45" s="21" t="s">
        <v>494</v>
      </c>
      <c r="L45" s="21" t="s">
        <v>495</v>
      </c>
      <c r="M45" s="25">
        <v>45383.0</v>
      </c>
      <c r="N45" s="21" t="s">
        <v>141</v>
      </c>
      <c r="O45" s="21" t="s">
        <v>173</v>
      </c>
      <c r="P45" s="30"/>
      <c r="Q45" s="21" t="s">
        <v>59</v>
      </c>
      <c r="R45" s="25">
        <v>45292.0</v>
      </c>
      <c r="S45" s="21" t="s">
        <v>143</v>
      </c>
      <c r="T45" s="68"/>
      <c r="U45" s="21" t="s">
        <v>144</v>
      </c>
      <c r="V45" s="21" t="s">
        <v>159</v>
      </c>
      <c r="W45" s="21" t="s">
        <v>259</v>
      </c>
      <c r="X45" s="21" t="s">
        <v>198</v>
      </c>
      <c r="Y45" s="27">
        <v>42333.0</v>
      </c>
      <c r="Z45" s="68"/>
      <c r="AA45" s="69">
        <v>48947.0</v>
      </c>
      <c r="AB45" s="30"/>
      <c r="AC45" s="23">
        <v>39.0</v>
      </c>
      <c r="AD45" s="21" t="s">
        <v>66</v>
      </c>
      <c r="AE45" s="21" t="s">
        <v>67</v>
      </c>
      <c r="AF45" s="21" t="s">
        <v>92</v>
      </c>
      <c r="AG45" s="21" t="s">
        <v>130</v>
      </c>
      <c r="AH45" s="21" t="s">
        <v>246</v>
      </c>
      <c r="AI45" s="21">
        <v>8.116369606E9</v>
      </c>
      <c r="AJ45" s="21" t="s">
        <v>496</v>
      </c>
      <c r="AK45" s="21" t="s">
        <v>497</v>
      </c>
      <c r="AL45" s="21" t="s">
        <v>498</v>
      </c>
      <c r="AM45" s="21" t="s">
        <v>96</v>
      </c>
      <c r="AN45" s="21" t="s">
        <v>135</v>
      </c>
      <c r="AO45" s="21" t="s">
        <v>499</v>
      </c>
      <c r="AP45" s="21" t="s">
        <v>500</v>
      </c>
      <c r="AQ45" s="30"/>
      <c r="AR45" s="30"/>
    </row>
    <row r="46">
      <c r="A46" s="21">
        <f t="shared" si="1"/>
        <v>40</v>
      </c>
      <c r="B46" s="39" t="s">
        <v>501</v>
      </c>
      <c r="C46" s="40" t="s">
        <v>502</v>
      </c>
      <c r="D46" s="41">
        <v>18.0</v>
      </c>
      <c r="E46" s="41">
        <v>0.0</v>
      </c>
      <c r="F46" s="39" t="s">
        <v>50</v>
      </c>
      <c r="G46" s="39" t="s">
        <v>51</v>
      </c>
      <c r="H46" s="42">
        <v>39448.0</v>
      </c>
      <c r="I46" s="39" t="s">
        <v>82</v>
      </c>
      <c r="J46" s="39" t="s">
        <v>83</v>
      </c>
      <c r="K46" s="39" t="s">
        <v>217</v>
      </c>
      <c r="L46" s="39" t="s">
        <v>61</v>
      </c>
      <c r="M46" s="42">
        <v>45383.0</v>
      </c>
      <c r="N46" s="39" t="s">
        <v>141</v>
      </c>
      <c r="O46" s="39" t="s">
        <v>142</v>
      </c>
      <c r="P46" s="43"/>
      <c r="Q46" s="39" t="s">
        <v>59</v>
      </c>
      <c r="R46" s="42">
        <v>45292.0</v>
      </c>
      <c r="S46" s="39" t="s">
        <v>143</v>
      </c>
      <c r="T46" s="44"/>
      <c r="U46" s="39" t="s">
        <v>144</v>
      </c>
      <c r="V46" s="39" t="s">
        <v>159</v>
      </c>
      <c r="W46" s="39" t="s">
        <v>503</v>
      </c>
      <c r="X46" s="39" t="s">
        <v>260</v>
      </c>
      <c r="Y46" s="47">
        <v>42333.0</v>
      </c>
      <c r="Z46" s="39" t="s">
        <v>114</v>
      </c>
      <c r="AA46" s="45">
        <v>46388.0</v>
      </c>
      <c r="AB46" s="46"/>
      <c r="AC46" s="23">
        <v>40.0</v>
      </c>
      <c r="AD46" s="39" t="s">
        <v>66</v>
      </c>
      <c r="AE46" s="39" t="s">
        <v>67</v>
      </c>
      <c r="AF46" s="39" t="s">
        <v>92</v>
      </c>
      <c r="AG46" s="39" t="s">
        <v>130</v>
      </c>
      <c r="AH46" s="39" t="s">
        <v>131</v>
      </c>
      <c r="AI46" s="39">
        <v>8.1370311018E10</v>
      </c>
      <c r="AJ46" s="39" t="s">
        <v>504</v>
      </c>
      <c r="AK46" s="39" t="s">
        <v>505</v>
      </c>
      <c r="AL46" s="39" t="s">
        <v>506</v>
      </c>
      <c r="AM46" s="39" t="s">
        <v>96</v>
      </c>
      <c r="AN46" s="39" t="s">
        <v>97</v>
      </c>
      <c r="AO46" s="39" t="s">
        <v>379</v>
      </c>
      <c r="AP46" s="39" t="s">
        <v>389</v>
      </c>
      <c r="AQ46" s="43"/>
      <c r="AR46" s="43"/>
    </row>
    <row r="47">
      <c r="A47" s="21">
        <f t="shared" si="1"/>
        <v>41</v>
      </c>
      <c r="B47" s="39" t="s">
        <v>507</v>
      </c>
      <c r="C47" s="40" t="s">
        <v>508</v>
      </c>
      <c r="D47" s="41">
        <v>12.0</v>
      </c>
      <c r="E47" s="41">
        <v>3.0</v>
      </c>
      <c r="F47" s="41" t="s">
        <v>80</v>
      </c>
      <c r="G47" s="41" t="s">
        <v>81</v>
      </c>
      <c r="H47" s="58">
        <v>40179.0</v>
      </c>
      <c r="I47" s="39" t="s">
        <v>82</v>
      </c>
      <c r="J47" s="39" t="s">
        <v>83</v>
      </c>
      <c r="K47" s="39" t="s">
        <v>155</v>
      </c>
      <c r="L47" s="39" t="s">
        <v>88</v>
      </c>
      <c r="M47" s="42">
        <v>44652.0</v>
      </c>
      <c r="N47" s="41" t="s">
        <v>141</v>
      </c>
      <c r="O47" s="39" t="s">
        <v>229</v>
      </c>
      <c r="P47" s="59"/>
      <c r="Q47" s="39" t="s">
        <v>59</v>
      </c>
      <c r="R47" s="58">
        <v>45292.0</v>
      </c>
      <c r="S47" s="41" t="s">
        <v>143</v>
      </c>
      <c r="T47" s="60"/>
      <c r="U47" s="41" t="s">
        <v>144</v>
      </c>
      <c r="V47" s="39" t="s">
        <v>159</v>
      </c>
      <c r="W47" s="39" t="s">
        <v>503</v>
      </c>
      <c r="X47" s="39" t="s">
        <v>509</v>
      </c>
      <c r="Y47" s="39" t="s">
        <v>510</v>
      </c>
      <c r="Z47" s="70"/>
      <c r="AA47" s="61">
        <v>52602.0</v>
      </c>
      <c r="AB47" s="59"/>
      <c r="AC47" s="23">
        <v>41.0</v>
      </c>
      <c r="AD47" s="39" t="s">
        <v>66</v>
      </c>
      <c r="AE47" s="39" t="s">
        <v>67</v>
      </c>
      <c r="AF47" s="39" t="s">
        <v>92</v>
      </c>
      <c r="AG47" s="39" t="s">
        <v>130</v>
      </c>
      <c r="AH47" s="39" t="s">
        <v>246</v>
      </c>
      <c r="AI47" s="39">
        <v>8.1262176596E10</v>
      </c>
      <c r="AJ47" s="39" t="s">
        <v>511</v>
      </c>
      <c r="AK47" s="39" t="s">
        <v>512</v>
      </c>
      <c r="AL47" s="39" t="s">
        <v>513</v>
      </c>
      <c r="AM47" s="39" t="s">
        <v>96</v>
      </c>
      <c r="AN47" s="39" t="s">
        <v>514</v>
      </c>
      <c r="AO47" s="39" t="s">
        <v>236</v>
      </c>
      <c r="AP47" s="39" t="s">
        <v>152</v>
      </c>
      <c r="AQ47" s="39">
        <v>0.0</v>
      </c>
      <c r="AR47" s="39">
        <v>0.0</v>
      </c>
    </row>
    <row r="48">
      <c r="A48" s="71">
        <f t="shared" ref="A48:A149" si="2">ROW() - 6</f>
        <v>42</v>
      </c>
      <c r="B48" s="72" t="s">
        <v>515</v>
      </c>
      <c r="C48" s="73" t="s">
        <v>516</v>
      </c>
      <c r="D48" s="74"/>
      <c r="E48" s="74"/>
      <c r="F48" s="74"/>
      <c r="G48" s="75" t="s">
        <v>517</v>
      </c>
      <c r="H48" s="76">
        <v>45901.0</v>
      </c>
      <c r="I48" s="77"/>
      <c r="J48" s="75" t="s">
        <v>517</v>
      </c>
      <c r="K48" s="75" t="s">
        <v>518</v>
      </c>
      <c r="L48" s="72" t="s">
        <v>88</v>
      </c>
      <c r="M48" s="76">
        <v>45901.0</v>
      </c>
      <c r="N48" s="74"/>
      <c r="O48" s="72" t="s">
        <v>519</v>
      </c>
      <c r="P48" s="74"/>
      <c r="Q48" s="72" t="s">
        <v>86</v>
      </c>
      <c r="R48" s="76">
        <v>45901.0</v>
      </c>
      <c r="S48" s="72" t="s">
        <v>518</v>
      </c>
      <c r="T48" s="78">
        <v>45826.0</v>
      </c>
      <c r="U48" s="72" t="s">
        <v>144</v>
      </c>
      <c r="V48" s="72" t="s">
        <v>267</v>
      </c>
      <c r="W48" s="72" t="s">
        <v>520</v>
      </c>
      <c r="X48" s="72" t="s">
        <v>521</v>
      </c>
      <c r="Y48" s="79">
        <v>43379.0</v>
      </c>
      <c r="Z48" s="80"/>
      <c r="AA48" s="80"/>
      <c r="AB48" s="77"/>
      <c r="AC48" s="81">
        <v>42.0</v>
      </c>
      <c r="AD48" s="82" t="s">
        <v>522</v>
      </c>
      <c r="AE48" s="82" t="s">
        <v>523</v>
      </c>
      <c r="AF48" s="82" t="s">
        <v>92</v>
      </c>
      <c r="AG48" s="82" t="s">
        <v>68</v>
      </c>
      <c r="AH48" s="80"/>
      <c r="AI48" s="82">
        <v>8.2163299562E10</v>
      </c>
      <c r="AJ48" s="82" t="s">
        <v>524</v>
      </c>
      <c r="AK48" s="83" t="s">
        <v>525</v>
      </c>
      <c r="AL48" s="82" t="s">
        <v>526</v>
      </c>
      <c r="AM48" s="82" t="s">
        <v>96</v>
      </c>
      <c r="AN48" s="82" t="s">
        <v>514</v>
      </c>
      <c r="AO48" s="82" t="s">
        <v>236</v>
      </c>
      <c r="AP48" s="82" t="s">
        <v>527</v>
      </c>
      <c r="AQ48" s="72" t="s">
        <v>528</v>
      </c>
      <c r="AR48" s="72" t="s">
        <v>528</v>
      </c>
    </row>
    <row r="49">
      <c r="A49" s="71">
        <f t="shared" si="2"/>
        <v>43</v>
      </c>
      <c r="B49" s="72" t="s">
        <v>529</v>
      </c>
      <c r="C49" s="73" t="s">
        <v>530</v>
      </c>
      <c r="D49" s="74"/>
      <c r="E49" s="74"/>
      <c r="F49" s="74"/>
      <c r="G49" s="75" t="s">
        <v>531</v>
      </c>
      <c r="H49" s="76">
        <v>45901.0</v>
      </c>
      <c r="I49" s="77"/>
      <c r="J49" s="75" t="s">
        <v>531</v>
      </c>
      <c r="K49" s="75" t="s">
        <v>518</v>
      </c>
      <c r="L49" s="72" t="s">
        <v>88</v>
      </c>
      <c r="M49" s="76">
        <v>45901.0</v>
      </c>
      <c r="N49" s="74"/>
      <c r="O49" s="72" t="s">
        <v>532</v>
      </c>
      <c r="P49" s="74"/>
      <c r="Q49" s="72" t="s">
        <v>86</v>
      </c>
      <c r="R49" s="76">
        <v>45901.0</v>
      </c>
      <c r="S49" s="72" t="s">
        <v>518</v>
      </c>
      <c r="T49" s="78">
        <v>45826.0</v>
      </c>
      <c r="U49" s="72" t="s">
        <v>144</v>
      </c>
      <c r="V49" s="72" t="s">
        <v>285</v>
      </c>
      <c r="W49" s="72" t="s">
        <v>533</v>
      </c>
      <c r="X49" s="72" t="s">
        <v>534</v>
      </c>
      <c r="Y49" s="84">
        <v>39613.0</v>
      </c>
      <c r="Z49" s="80"/>
      <c r="AA49" s="80"/>
      <c r="AB49" s="80"/>
      <c r="AC49" s="81">
        <v>43.0</v>
      </c>
      <c r="AD49" s="72" t="s">
        <v>522</v>
      </c>
      <c r="AE49" s="72" t="s">
        <v>67</v>
      </c>
      <c r="AF49" s="72" t="s">
        <v>92</v>
      </c>
      <c r="AG49" s="72" t="s">
        <v>68</v>
      </c>
      <c r="AH49" s="77"/>
      <c r="AI49" s="72">
        <v>8.11677303E8</v>
      </c>
      <c r="AJ49" s="72" t="s">
        <v>535</v>
      </c>
      <c r="AK49" s="85" t="s">
        <v>536</v>
      </c>
      <c r="AL49" s="72" t="s">
        <v>537</v>
      </c>
      <c r="AM49" s="72" t="s">
        <v>96</v>
      </c>
      <c r="AN49" s="72" t="s">
        <v>514</v>
      </c>
      <c r="AO49" s="72" t="s">
        <v>379</v>
      </c>
      <c r="AP49" s="72" t="s">
        <v>538</v>
      </c>
      <c r="AQ49" s="72">
        <v>0.0</v>
      </c>
      <c r="AR49" s="72">
        <v>0.0</v>
      </c>
    </row>
    <row r="50">
      <c r="A50" s="71">
        <f t="shared" si="2"/>
        <v>44</v>
      </c>
      <c r="B50" s="72" t="s">
        <v>539</v>
      </c>
      <c r="C50" s="73" t="s">
        <v>540</v>
      </c>
      <c r="D50" s="74"/>
      <c r="E50" s="74"/>
      <c r="F50" s="74"/>
      <c r="G50" s="75" t="s">
        <v>531</v>
      </c>
      <c r="H50" s="76">
        <v>45901.0</v>
      </c>
      <c r="I50" s="77"/>
      <c r="J50" s="75" t="s">
        <v>531</v>
      </c>
      <c r="K50" s="75" t="s">
        <v>518</v>
      </c>
      <c r="L50" s="72" t="s">
        <v>88</v>
      </c>
      <c r="M50" s="76">
        <v>45901.0</v>
      </c>
      <c r="N50" s="74"/>
      <c r="O50" s="72" t="s">
        <v>532</v>
      </c>
      <c r="P50" s="74"/>
      <c r="Q50" s="72" t="s">
        <v>86</v>
      </c>
      <c r="R50" s="76">
        <v>45901.0</v>
      </c>
      <c r="S50" s="72" t="s">
        <v>518</v>
      </c>
      <c r="T50" s="78">
        <v>45826.0</v>
      </c>
      <c r="U50" s="72" t="s">
        <v>144</v>
      </c>
      <c r="V50" s="72" t="s">
        <v>285</v>
      </c>
      <c r="W50" s="72" t="s">
        <v>541</v>
      </c>
      <c r="X50" s="72" t="s">
        <v>542</v>
      </c>
      <c r="Y50" s="84">
        <v>33767.0</v>
      </c>
      <c r="Z50" s="80"/>
      <c r="AA50" s="80"/>
      <c r="AB50" s="80"/>
      <c r="AC50" s="81">
        <v>44.0</v>
      </c>
      <c r="AD50" s="72" t="s">
        <v>522</v>
      </c>
      <c r="AE50" s="72" t="s">
        <v>67</v>
      </c>
      <c r="AF50" s="77"/>
      <c r="AG50" s="72" t="s">
        <v>68</v>
      </c>
      <c r="AH50" s="77"/>
      <c r="AI50" s="72">
        <v>8.2273790415E10</v>
      </c>
      <c r="AJ50" s="72" t="s">
        <v>543</v>
      </c>
      <c r="AK50" s="85" t="s">
        <v>544</v>
      </c>
      <c r="AL50" s="72" t="s">
        <v>545</v>
      </c>
      <c r="AM50" s="72" t="s">
        <v>96</v>
      </c>
      <c r="AN50" s="72" t="s">
        <v>514</v>
      </c>
      <c r="AO50" s="72" t="s">
        <v>546</v>
      </c>
      <c r="AP50" s="72" t="s">
        <v>547</v>
      </c>
      <c r="AQ50" s="72">
        <v>0.0</v>
      </c>
      <c r="AR50" s="72">
        <v>0.0</v>
      </c>
    </row>
    <row r="51">
      <c r="A51" s="71">
        <f t="shared" si="2"/>
        <v>45</v>
      </c>
      <c r="B51" s="72" t="s">
        <v>548</v>
      </c>
      <c r="C51" s="73" t="s">
        <v>549</v>
      </c>
      <c r="D51" s="74"/>
      <c r="E51" s="74"/>
      <c r="F51" s="74"/>
      <c r="G51" s="75" t="s">
        <v>550</v>
      </c>
      <c r="H51" s="76">
        <v>45901.0</v>
      </c>
      <c r="I51" s="77"/>
      <c r="J51" s="75" t="s">
        <v>551</v>
      </c>
      <c r="K51" s="75" t="s">
        <v>518</v>
      </c>
      <c r="L51" s="72" t="s">
        <v>88</v>
      </c>
      <c r="M51" s="76">
        <v>45901.0</v>
      </c>
      <c r="N51" s="74"/>
      <c r="O51" s="72" t="s">
        <v>142</v>
      </c>
      <c r="P51" s="74"/>
      <c r="Q51" s="72" t="s">
        <v>86</v>
      </c>
      <c r="R51" s="76">
        <v>45901.0</v>
      </c>
      <c r="S51" s="72" t="s">
        <v>518</v>
      </c>
      <c r="T51" s="78">
        <v>45826.0</v>
      </c>
      <c r="U51" s="72" t="s">
        <v>144</v>
      </c>
      <c r="V51" s="72" t="s">
        <v>89</v>
      </c>
      <c r="W51" s="72" t="s">
        <v>552</v>
      </c>
      <c r="X51" s="72" t="s">
        <v>244</v>
      </c>
      <c r="Y51" s="84">
        <v>40938.0</v>
      </c>
      <c r="Z51" s="80"/>
      <c r="AA51" s="80"/>
      <c r="AB51" s="80"/>
      <c r="AC51" s="81">
        <v>45.0</v>
      </c>
      <c r="AD51" s="72" t="s">
        <v>522</v>
      </c>
      <c r="AE51" s="72" t="s">
        <v>67</v>
      </c>
      <c r="AF51" s="77"/>
      <c r="AG51" s="72" t="s">
        <v>68</v>
      </c>
      <c r="AH51" s="77"/>
      <c r="AI51" s="72">
        <v>8.1271438033E10</v>
      </c>
      <c r="AJ51" s="72" t="s">
        <v>553</v>
      </c>
      <c r="AK51" s="85" t="s">
        <v>554</v>
      </c>
      <c r="AL51" s="72" t="s">
        <v>555</v>
      </c>
      <c r="AM51" s="72" t="s">
        <v>96</v>
      </c>
      <c r="AN51" s="72" t="s">
        <v>556</v>
      </c>
      <c r="AO51" s="72" t="s">
        <v>557</v>
      </c>
      <c r="AP51" s="72" t="s">
        <v>558</v>
      </c>
      <c r="AQ51" s="72">
        <v>0.0</v>
      </c>
      <c r="AR51" s="72">
        <v>0.0</v>
      </c>
    </row>
    <row r="52">
      <c r="A52" s="71">
        <f t="shared" si="2"/>
        <v>46</v>
      </c>
      <c r="B52" s="72" t="s">
        <v>559</v>
      </c>
      <c r="C52" s="73" t="s">
        <v>560</v>
      </c>
      <c r="D52" s="74"/>
      <c r="E52" s="74"/>
      <c r="F52" s="74"/>
      <c r="G52" s="75" t="s">
        <v>550</v>
      </c>
      <c r="H52" s="76">
        <v>45901.0</v>
      </c>
      <c r="I52" s="77"/>
      <c r="J52" s="75" t="s">
        <v>551</v>
      </c>
      <c r="K52" s="75" t="s">
        <v>518</v>
      </c>
      <c r="L52" s="72" t="s">
        <v>88</v>
      </c>
      <c r="M52" s="76">
        <v>45901.0</v>
      </c>
      <c r="N52" s="74"/>
      <c r="O52" s="72" t="s">
        <v>142</v>
      </c>
      <c r="P52" s="74"/>
      <c r="Q52" s="72" t="s">
        <v>108</v>
      </c>
      <c r="R52" s="76">
        <v>45901.0</v>
      </c>
      <c r="S52" s="72" t="s">
        <v>518</v>
      </c>
      <c r="T52" s="78">
        <v>45826.0</v>
      </c>
      <c r="U52" s="72" t="s">
        <v>144</v>
      </c>
      <c r="V52" s="72" t="s">
        <v>89</v>
      </c>
      <c r="W52" s="72" t="s">
        <v>561</v>
      </c>
      <c r="X52" s="72" t="s">
        <v>562</v>
      </c>
      <c r="Y52" s="84">
        <v>43367.0</v>
      </c>
      <c r="Z52" s="80"/>
      <c r="AA52" s="80"/>
      <c r="AB52" s="80"/>
      <c r="AC52" s="81">
        <v>46.0</v>
      </c>
      <c r="AD52" s="72" t="s">
        <v>522</v>
      </c>
      <c r="AE52" s="72" t="s">
        <v>523</v>
      </c>
      <c r="AF52" s="77"/>
      <c r="AG52" s="72" t="s">
        <v>130</v>
      </c>
      <c r="AH52" s="77"/>
      <c r="AI52" s="72">
        <v>8.12204738E10</v>
      </c>
      <c r="AJ52" s="72" t="s">
        <v>563</v>
      </c>
      <c r="AK52" s="85" t="s">
        <v>564</v>
      </c>
      <c r="AL52" s="72" t="s">
        <v>565</v>
      </c>
      <c r="AM52" s="72" t="s">
        <v>96</v>
      </c>
      <c r="AN52" s="72" t="s">
        <v>514</v>
      </c>
      <c r="AO52" s="72" t="s">
        <v>360</v>
      </c>
      <c r="AP52" s="72" t="s">
        <v>566</v>
      </c>
      <c r="AQ52" s="72">
        <v>0.0</v>
      </c>
      <c r="AR52" s="72">
        <v>0.0</v>
      </c>
    </row>
    <row r="53">
      <c r="A53" s="71">
        <f t="shared" si="2"/>
        <v>47</v>
      </c>
      <c r="B53" s="72" t="s">
        <v>567</v>
      </c>
      <c r="C53" s="73" t="s">
        <v>568</v>
      </c>
      <c r="D53" s="74"/>
      <c r="E53" s="74"/>
      <c r="F53" s="74"/>
      <c r="G53" s="75" t="s">
        <v>517</v>
      </c>
      <c r="H53" s="76">
        <v>45901.0</v>
      </c>
      <c r="I53" s="77"/>
      <c r="J53" s="75" t="s">
        <v>517</v>
      </c>
      <c r="K53" s="75" t="s">
        <v>518</v>
      </c>
      <c r="L53" s="72" t="s">
        <v>88</v>
      </c>
      <c r="M53" s="76">
        <v>45901.0</v>
      </c>
      <c r="N53" s="74"/>
      <c r="O53" s="72" t="s">
        <v>519</v>
      </c>
      <c r="P53" s="74"/>
      <c r="Q53" s="72" t="s">
        <v>108</v>
      </c>
      <c r="R53" s="76">
        <v>45901.0</v>
      </c>
      <c r="S53" s="72" t="s">
        <v>518</v>
      </c>
      <c r="T53" s="78">
        <v>45826.0</v>
      </c>
      <c r="U53" s="72" t="s">
        <v>144</v>
      </c>
      <c r="V53" s="72" t="s">
        <v>267</v>
      </c>
      <c r="W53" s="72" t="s">
        <v>569</v>
      </c>
      <c r="X53" s="72" t="s">
        <v>570</v>
      </c>
      <c r="Y53" s="84">
        <v>43183.0</v>
      </c>
      <c r="Z53" s="80"/>
      <c r="AA53" s="80"/>
      <c r="AB53" s="80"/>
      <c r="AC53" s="81">
        <v>47.0</v>
      </c>
      <c r="AD53" s="72" t="s">
        <v>522</v>
      </c>
      <c r="AE53" s="72" t="s">
        <v>571</v>
      </c>
      <c r="AF53" s="72" t="s">
        <v>92</v>
      </c>
      <c r="AG53" s="72" t="s">
        <v>68</v>
      </c>
      <c r="AH53" s="77"/>
      <c r="AI53" s="72">
        <v>8.2176814592E10</v>
      </c>
      <c r="AJ53" s="72" t="s">
        <v>572</v>
      </c>
      <c r="AK53" s="85" t="s">
        <v>573</v>
      </c>
      <c r="AL53" s="72" t="s">
        <v>574</v>
      </c>
      <c r="AM53" s="72" t="s">
        <v>96</v>
      </c>
      <c r="AN53" s="72" t="s">
        <v>514</v>
      </c>
      <c r="AO53" s="72" t="s">
        <v>203</v>
      </c>
      <c r="AP53" s="72" t="s">
        <v>575</v>
      </c>
      <c r="AQ53" s="72">
        <v>0.0</v>
      </c>
      <c r="AR53" s="72">
        <v>0.0</v>
      </c>
    </row>
    <row r="54">
      <c r="A54" s="71">
        <f t="shared" si="2"/>
        <v>48</v>
      </c>
      <c r="B54" s="72" t="s">
        <v>576</v>
      </c>
      <c r="C54" s="73" t="s">
        <v>577</v>
      </c>
      <c r="D54" s="74"/>
      <c r="E54" s="74"/>
      <c r="F54" s="74"/>
      <c r="G54" s="75" t="s">
        <v>531</v>
      </c>
      <c r="H54" s="76">
        <v>45901.0</v>
      </c>
      <c r="I54" s="77"/>
      <c r="J54" s="75" t="s">
        <v>531</v>
      </c>
      <c r="K54" s="75" t="s">
        <v>518</v>
      </c>
      <c r="L54" s="72" t="s">
        <v>88</v>
      </c>
      <c r="M54" s="76">
        <v>45901.0</v>
      </c>
      <c r="N54" s="74"/>
      <c r="O54" s="72" t="s">
        <v>532</v>
      </c>
      <c r="P54" s="74"/>
      <c r="Q54" s="72" t="s">
        <v>108</v>
      </c>
      <c r="R54" s="76">
        <v>45901.0</v>
      </c>
      <c r="S54" s="72" t="s">
        <v>518</v>
      </c>
      <c r="T54" s="78">
        <v>45826.0</v>
      </c>
      <c r="U54" s="72" t="s">
        <v>144</v>
      </c>
      <c r="V54" s="72" t="s">
        <v>285</v>
      </c>
      <c r="W54" s="72" t="s">
        <v>285</v>
      </c>
      <c r="X54" s="72" t="s">
        <v>578</v>
      </c>
      <c r="Y54" s="84">
        <v>39977.0</v>
      </c>
      <c r="Z54" s="80"/>
      <c r="AA54" s="80"/>
      <c r="AB54" s="80"/>
      <c r="AC54" s="81">
        <v>48.0</v>
      </c>
      <c r="AD54" s="72" t="s">
        <v>522</v>
      </c>
      <c r="AE54" s="72" t="s">
        <v>67</v>
      </c>
      <c r="AF54" s="77"/>
      <c r="AG54" s="72" t="s">
        <v>68</v>
      </c>
      <c r="AH54" s="77"/>
      <c r="AI54" s="72">
        <v>8.116041007E9</v>
      </c>
      <c r="AJ54" s="72" t="s">
        <v>579</v>
      </c>
      <c r="AK54" s="85" t="s">
        <v>580</v>
      </c>
      <c r="AL54" s="72" t="s">
        <v>581</v>
      </c>
      <c r="AM54" s="72" t="s">
        <v>96</v>
      </c>
      <c r="AN54" s="72" t="s">
        <v>514</v>
      </c>
      <c r="AO54" s="72" t="s">
        <v>582</v>
      </c>
      <c r="AP54" s="72" t="s">
        <v>583</v>
      </c>
      <c r="AQ54" s="77"/>
      <c r="AR54" s="77"/>
    </row>
    <row r="55">
      <c r="A55" s="71">
        <f t="shared" si="2"/>
        <v>49</v>
      </c>
      <c r="B55" s="72" t="s">
        <v>584</v>
      </c>
      <c r="C55" s="73" t="s">
        <v>585</v>
      </c>
      <c r="D55" s="74"/>
      <c r="E55" s="74"/>
      <c r="F55" s="74"/>
      <c r="G55" s="75" t="s">
        <v>531</v>
      </c>
      <c r="H55" s="76">
        <v>45901.0</v>
      </c>
      <c r="I55" s="77"/>
      <c r="J55" s="75" t="s">
        <v>531</v>
      </c>
      <c r="K55" s="75" t="s">
        <v>518</v>
      </c>
      <c r="L55" s="72" t="s">
        <v>88</v>
      </c>
      <c r="M55" s="76">
        <v>45901.0</v>
      </c>
      <c r="N55" s="74"/>
      <c r="O55" s="72" t="s">
        <v>532</v>
      </c>
      <c r="P55" s="74"/>
      <c r="Q55" s="72" t="s">
        <v>108</v>
      </c>
      <c r="R55" s="76">
        <v>45901.0</v>
      </c>
      <c r="S55" s="72" t="s">
        <v>518</v>
      </c>
      <c r="T55" s="78">
        <v>45826.0</v>
      </c>
      <c r="U55" s="72" t="s">
        <v>144</v>
      </c>
      <c r="V55" s="72" t="s">
        <v>285</v>
      </c>
      <c r="W55" s="72" t="s">
        <v>285</v>
      </c>
      <c r="X55" s="77"/>
      <c r="Y55" s="86"/>
      <c r="Z55" s="80"/>
      <c r="AA55" s="80"/>
      <c r="AB55" s="77"/>
      <c r="AC55" s="81">
        <v>49.0</v>
      </c>
      <c r="AD55" s="72" t="s">
        <v>522</v>
      </c>
      <c r="AE55" s="72" t="s">
        <v>571</v>
      </c>
      <c r="AF55" s="77"/>
      <c r="AG55" s="72" t="s">
        <v>130</v>
      </c>
      <c r="AH55" s="77"/>
      <c r="AI55" s="72">
        <v>8.1314129136E10</v>
      </c>
      <c r="AJ55" s="72" t="s">
        <v>586</v>
      </c>
      <c r="AK55" s="85" t="s">
        <v>587</v>
      </c>
      <c r="AL55" s="72" t="s">
        <v>588</v>
      </c>
      <c r="AM55" s="72" t="s">
        <v>96</v>
      </c>
      <c r="AN55" s="72" t="s">
        <v>514</v>
      </c>
      <c r="AO55" s="72" t="s">
        <v>454</v>
      </c>
      <c r="AP55" s="72" t="s">
        <v>491</v>
      </c>
      <c r="AQ55" s="77"/>
      <c r="AR55" s="77"/>
    </row>
    <row r="56">
      <c r="A56" s="71">
        <f t="shared" si="2"/>
        <v>50</v>
      </c>
      <c r="B56" s="72" t="s">
        <v>589</v>
      </c>
      <c r="C56" s="73" t="s">
        <v>590</v>
      </c>
      <c r="D56" s="74"/>
      <c r="E56" s="74"/>
      <c r="F56" s="74"/>
      <c r="G56" s="75" t="s">
        <v>517</v>
      </c>
      <c r="H56" s="76">
        <v>45901.0</v>
      </c>
      <c r="I56" s="77"/>
      <c r="J56" s="75" t="s">
        <v>517</v>
      </c>
      <c r="K56" s="75" t="s">
        <v>518</v>
      </c>
      <c r="L56" s="72" t="s">
        <v>88</v>
      </c>
      <c r="M56" s="76">
        <v>45901.0</v>
      </c>
      <c r="N56" s="74"/>
      <c r="O56" s="72" t="s">
        <v>519</v>
      </c>
      <c r="P56" s="74"/>
      <c r="Q56" s="72" t="s">
        <v>108</v>
      </c>
      <c r="R56" s="76">
        <v>45901.0</v>
      </c>
      <c r="S56" s="72" t="s">
        <v>518</v>
      </c>
      <c r="T56" s="78">
        <v>45826.0</v>
      </c>
      <c r="U56" s="72" t="s">
        <v>144</v>
      </c>
      <c r="V56" s="72" t="s">
        <v>267</v>
      </c>
      <c r="W56" s="72" t="s">
        <v>591</v>
      </c>
      <c r="X56" s="72" t="s">
        <v>592</v>
      </c>
      <c r="Y56" s="84">
        <v>42990.0</v>
      </c>
      <c r="Z56" s="80"/>
      <c r="AA56" s="80"/>
      <c r="AB56" s="80"/>
      <c r="AC56" s="81">
        <v>50.0</v>
      </c>
      <c r="AD56" s="72" t="s">
        <v>522</v>
      </c>
      <c r="AE56" s="72" t="s">
        <v>67</v>
      </c>
      <c r="AF56" s="72" t="s">
        <v>92</v>
      </c>
      <c r="AG56" s="72" t="s">
        <v>68</v>
      </c>
      <c r="AH56" s="77"/>
      <c r="AI56" s="72">
        <v>8.5270536053E10</v>
      </c>
      <c r="AJ56" s="72" t="s">
        <v>593</v>
      </c>
      <c r="AK56" s="85" t="s">
        <v>594</v>
      </c>
      <c r="AL56" s="72" t="s">
        <v>595</v>
      </c>
      <c r="AM56" s="72" t="s">
        <v>96</v>
      </c>
      <c r="AN56" s="72" t="s">
        <v>166</v>
      </c>
      <c r="AO56" s="72" t="s">
        <v>596</v>
      </c>
      <c r="AP56" s="72" t="s">
        <v>597</v>
      </c>
      <c r="AQ56" s="72" t="s">
        <v>77</v>
      </c>
      <c r="AR56" s="72" t="s">
        <v>77</v>
      </c>
    </row>
    <row r="57">
      <c r="A57" s="71">
        <f t="shared" si="2"/>
        <v>51</v>
      </c>
      <c r="B57" s="72" t="s">
        <v>598</v>
      </c>
      <c r="C57" s="73" t="s">
        <v>599</v>
      </c>
      <c r="D57" s="74"/>
      <c r="E57" s="74"/>
      <c r="F57" s="74"/>
      <c r="G57" s="75" t="s">
        <v>531</v>
      </c>
      <c r="H57" s="76">
        <v>45901.0</v>
      </c>
      <c r="I57" s="77"/>
      <c r="J57" s="75" t="s">
        <v>531</v>
      </c>
      <c r="K57" s="75" t="s">
        <v>518</v>
      </c>
      <c r="L57" s="72" t="s">
        <v>88</v>
      </c>
      <c r="M57" s="76">
        <v>45901.0</v>
      </c>
      <c r="N57" s="74"/>
      <c r="O57" s="72" t="s">
        <v>532</v>
      </c>
      <c r="P57" s="74"/>
      <c r="Q57" s="72" t="s">
        <v>108</v>
      </c>
      <c r="R57" s="76">
        <v>45901.0</v>
      </c>
      <c r="S57" s="72" t="s">
        <v>518</v>
      </c>
      <c r="T57" s="78">
        <v>45826.0</v>
      </c>
      <c r="U57" s="72" t="s">
        <v>144</v>
      </c>
      <c r="V57" s="72" t="s">
        <v>600</v>
      </c>
      <c r="W57" s="72" t="s">
        <v>600</v>
      </c>
      <c r="X57" s="72" t="s">
        <v>601</v>
      </c>
      <c r="Y57" s="79">
        <v>34853.0</v>
      </c>
      <c r="Z57" s="80"/>
      <c r="AA57" s="80"/>
      <c r="AB57" s="80"/>
      <c r="AC57" s="81">
        <v>51.0</v>
      </c>
      <c r="AD57" s="72" t="s">
        <v>522</v>
      </c>
      <c r="AE57" s="72" t="s">
        <v>67</v>
      </c>
      <c r="AF57" s="72" t="s">
        <v>92</v>
      </c>
      <c r="AG57" s="72" t="s">
        <v>68</v>
      </c>
      <c r="AH57" s="77"/>
      <c r="AI57" s="72">
        <v>8.1260510665E10</v>
      </c>
      <c r="AJ57" s="72" t="s">
        <v>602</v>
      </c>
      <c r="AK57" s="85" t="s">
        <v>603</v>
      </c>
      <c r="AL57" s="72" t="s">
        <v>604</v>
      </c>
      <c r="AM57" s="72" t="s">
        <v>96</v>
      </c>
      <c r="AN57" s="72" t="s">
        <v>514</v>
      </c>
      <c r="AO57" s="72" t="s">
        <v>454</v>
      </c>
      <c r="AP57" s="72" t="s">
        <v>605</v>
      </c>
      <c r="AQ57" s="72" t="s">
        <v>77</v>
      </c>
      <c r="AR57" s="72" t="s">
        <v>77</v>
      </c>
    </row>
    <row r="58">
      <c r="A58" s="71">
        <f t="shared" si="2"/>
        <v>52</v>
      </c>
      <c r="B58" s="72" t="s">
        <v>606</v>
      </c>
      <c r="C58" s="73" t="s">
        <v>607</v>
      </c>
      <c r="D58" s="74"/>
      <c r="E58" s="74"/>
      <c r="F58" s="74"/>
      <c r="G58" s="75" t="s">
        <v>531</v>
      </c>
      <c r="H58" s="76">
        <v>45901.0</v>
      </c>
      <c r="I58" s="77"/>
      <c r="J58" s="75" t="s">
        <v>531</v>
      </c>
      <c r="K58" s="75" t="s">
        <v>518</v>
      </c>
      <c r="L58" s="72" t="s">
        <v>88</v>
      </c>
      <c r="M58" s="76">
        <v>45901.0</v>
      </c>
      <c r="N58" s="74"/>
      <c r="O58" s="72" t="s">
        <v>532</v>
      </c>
      <c r="P58" s="74"/>
      <c r="Q58" s="72" t="s">
        <v>108</v>
      </c>
      <c r="R58" s="76">
        <v>45901.0</v>
      </c>
      <c r="S58" s="72" t="s">
        <v>518</v>
      </c>
      <c r="T58" s="78">
        <v>45826.0</v>
      </c>
      <c r="U58" s="72" t="s">
        <v>144</v>
      </c>
      <c r="V58" s="72" t="s">
        <v>608</v>
      </c>
      <c r="W58" s="72" t="s">
        <v>609</v>
      </c>
      <c r="X58" s="72" t="s">
        <v>610</v>
      </c>
      <c r="Y58" s="84">
        <v>42139.0</v>
      </c>
      <c r="Z58" s="80"/>
      <c r="AA58" s="80"/>
      <c r="AB58" s="80"/>
      <c r="AC58" s="81">
        <v>52.0</v>
      </c>
      <c r="AD58" s="72" t="s">
        <v>522</v>
      </c>
      <c r="AE58" s="72" t="s">
        <v>67</v>
      </c>
      <c r="AF58" s="72" t="s">
        <v>92</v>
      </c>
      <c r="AG58" s="72" t="s">
        <v>68</v>
      </c>
      <c r="AH58" s="77"/>
      <c r="AI58" s="72">
        <v>8.2273396536E10</v>
      </c>
      <c r="AJ58" s="72" t="s">
        <v>611</v>
      </c>
      <c r="AK58" s="85" t="s">
        <v>612</v>
      </c>
      <c r="AL58" s="72" t="s">
        <v>613</v>
      </c>
      <c r="AM58" s="72" t="s">
        <v>96</v>
      </c>
      <c r="AN58" s="72" t="s">
        <v>514</v>
      </c>
      <c r="AO58" s="72" t="s">
        <v>272</v>
      </c>
      <c r="AP58" s="72" t="s">
        <v>273</v>
      </c>
      <c r="AQ58" s="77"/>
      <c r="AR58" s="77"/>
    </row>
    <row r="59">
      <c r="A59" s="71">
        <f t="shared" si="2"/>
        <v>53</v>
      </c>
      <c r="B59" s="72" t="s">
        <v>614</v>
      </c>
      <c r="C59" s="73" t="s">
        <v>615</v>
      </c>
      <c r="D59" s="74"/>
      <c r="E59" s="74"/>
      <c r="F59" s="74"/>
      <c r="G59" s="75" t="s">
        <v>517</v>
      </c>
      <c r="H59" s="76">
        <v>45901.0</v>
      </c>
      <c r="I59" s="77"/>
      <c r="J59" s="75" t="s">
        <v>517</v>
      </c>
      <c r="K59" s="75" t="s">
        <v>518</v>
      </c>
      <c r="L59" s="72" t="s">
        <v>88</v>
      </c>
      <c r="M59" s="76">
        <v>45901.0</v>
      </c>
      <c r="N59" s="74"/>
      <c r="O59" s="72" t="s">
        <v>519</v>
      </c>
      <c r="P59" s="74"/>
      <c r="Q59" s="72" t="s">
        <v>108</v>
      </c>
      <c r="R59" s="76">
        <v>45901.0</v>
      </c>
      <c r="S59" s="72" t="s">
        <v>518</v>
      </c>
      <c r="T59" s="78">
        <v>45826.0</v>
      </c>
      <c r="U59" s="72" t="s">
        <v>144</v>
      </c>
      <c r="V59" s="72" t="s">
        <v>267</v>
      </c>
      <c r="W59" s="72" t="s">
        <v>520</v>
      </c>
      <c r="X59" s="72" t="s">
        <v>268</v>
      </c>
      <c r="Y59" s="84">
        <v>40441.0</v>
      </c>
      <c r="Z59" s="80"/>
      <c r="AA59" s="80"/>
      <c r="AB59" s="80"/>
      <c r="AC59" s="81">
        <v>53.0</v>
      </c>
      <c r="AD59" s="72" t="s">
        <v>522</v>
      </c>
      <c r="AE59" s="72" t="s">
        <v>67</v>
      </c>
      <c r="AF59" s="72" t="s">
        <v>92</v>
      </c>
      <c r="AG59" s="72" t="s">
        <v>68</v>
      </c>
      <c r="AH59" s="77"/>
      <c r="AI59" s="72">
        <v>8.1261678557E10</v>
      </c>
      <c r="AJ59" s="72" t="s">
        <v>616</v>
      </c>
      <c r="AK59" s="85" t="s">
        <v>617</v>
      </c>
      <c r="AL59" s="72" t="s">
        <v>618</v>
      </c>
      <c r="AM59" s="72" t="s">
        <v>96</v>
      </c>
      <c r="AN59" s="72" t="s">
        <v>150</v>
      </c>
      <c r="AO59" s="72" t="s">
        <v>619</v>
      </c>
      <c r="AP59" s="72" t="s">
        <v>620</v>
      </c>
      <c r="AQ59" s="77"/>
      <c r="AR59" s="77"/>
    </row>
    <row r="60">
      <c r="A60" s="71">
        <f t="shared" si="2"/>
        <v>54</v>
      </c>
      <c r="B60" s="72" t="s">
        <v>621</v>
      </c>
      <c r="C60" s="73" t="s">
        <v>622</v>
      </c>
      <c r="D60" s="74"/>
      <c r="E60" s="74"/>
      <c r="F60" s="74"/>
      <c r="G60" s="75" t="s">
        <v>531</v>
      </c>
      <c r="H60" s="76">
        <v>45901.0</v>
      </c>
      <c r="I60" s="77"/>
      <c r="J60" s="75" t="s">
        <v>531</v>
      </c>
      <c r="K60" s="75" t="s">
        <v>518</v>
      </c>
      <c r="L60" s="72" t="s">
        <v>88</v>
      </c>
      <c r="M60" s="76">
        <v>45901.0</v>
      </c>
      <c r="N60" s="74"/>
      <c r="O60" s="72" t="s">
        <v>532</v>
      </c>
      <c r="P60" s="74"/>
      <c r="Q60" s="72" t="s">
        <v>108</v>
      </c>
      <c r="R60" s="76">
        <v>45901.0</v>
      </c>
      <c r="S60" s="72" t="s">
        <v>518</v>
      </c>
      <c r="T60" s="78">
        <v>45826.0</v>
      </c>
      <c r="U60" s="72" t="s">
        <v>144</v>
      </c>
      <c r="V60" s="72" t="s">
        <v>285</v>
      </c>
      <c r="W60" s="72" t="s">
        <v>541</v>
      </c>
      <c r="X60" s="72" t="s">
        <v>623</v>
      </c>
      <c r="Y60" s="84">
        <v>36599.0</v>
      </c>
      <c r="Z60" s="80"/>
      <c r="AA60" s="80"/>
      <c r="AB60" s="80"/>
      <c r="AC60" s="81">
        <v>54.0</v>
      </c>
      <c r="AD60" s="72" t="s">
        <v>522</v>
      </c>
      <c r="AE60" s="72" t="s">
        <v>67</v>
      </c>
      <c r="AF60" s="72" t="s">
        <v>92</v>
      </c>
      <c r="AG60" s="72" t="s">
        <v>68</v>
      </c>
      <c r="AH60" s="77"/>
      <c r="AI60" s="72">
        <v>8.1362224066E10</v>
      </c>
      <c r="AJ60" s="72" t="s">
        <v>624</v>
      </c>
      <c r="AK60" s="85" t="s">
        <v>625</v>
      </c>
      <c r="AL60" s="72" t="s">
        <v>626</v>
      </c>
      <c r="AM60" s="72" t="s">
        <v>96</v>
      </c>
      <c r="AN60" s="72" t="s">
        <v>150</v>
      </c>
      <c r="AO60" s="72" t="s">
        <v>627</v>
      </c>
      <c r="AP60" s="72" t="s">
        <v>628</v>
      </c>
      <c r="AQ60" s="77"/>
      <c r="AR60" s="77"/>
    </row>
    <row r="61">
      <c r="A61" s="71">
        <f t="shared" si="2"/>
        <v>55</v>
      </c>
      <c r="B61" s="72" t="s">
        <v>629</v>
      </c>
      <c r="C61" s="73" t="s">
        <v>630</v>
      </c>
      <c r="D61" s="74"/>
      <c r="E61" s="74"/>
      <c r="F61" s="74"/>
      <c r="G61" s="75" t="s">
        <v>531</v>
      </c>
      <c r="H61" s="76">
        <v>45901.0</v>
      </c>
      <c r="I61" s="77"/>
      <c r="J61" s="75" t="s">
        <v>531</v>
      </c>
      <c r="K61" s="75" t="s">
        <v>518</v>
      </c>
      <c r="L61" s="72" t="s">
        <v>88</v>
      </c>
      <c r="M61" s="76">
        <v>45901.0</v>
      </c>
      <c r="N61" s="74"/>
      <c r="O61" s="72" t="s">
        <v>532</v>
      </c>
      <c r="P61" s="74"/>
      <c r="Q61" s="72" t="s">
        <v>108</v>
      </c>
      <c r="R61" s="76">
        <v>45901.0</v>
      </c>
      <c r="S61" s="72" t="s">
        <v>518</v>
      </c>
      <c r="T61" s="78">
        <v>45826.0</v>
      </c>
      <c r="U61" s="72" t="s">
        <v>144</v>
      </c>
      <c r="V61" s="72" t="s">
        <v>285</v>
      </c>
      <c r="W61" s="72" t="s">
        <v>285</v>
      </c>
      <c r="X61" s="72" t="s">
        <v>631</v>
      </c>
      <c r="Y61" s="84">
        <v>40679.0</v>
      </c>
      <c r="Z61" s="80"/>
      <c r="AA61" s="80"/>
      <c r="AB61" s="80"/>
      <c r="AC61" s="81">
        <v>55.0</v>
      </c>
      <c r="AD61" s="72" t="s">
        <v>522</v>
      </c>
      <c r="AE61" s="72" t="s">
        <v>571</v>
      </c>
      <c r="AF61" s="77"/>
      <c r="AG61" s="72" t="s">
        <v>130</v>
      </c>
      <c r="AH61" s="77"/>
      <c r="AI61" s="72">
        <v>8.2165201677E10</v>
      </c>
      <c r="AJ61" s="72" t="s">
        <v>632</v>
      </c>
      <c r="AK61" s="85" t="s">
        <v>633</v>
      </c>
      <c r="AL61" s="72" t="s">
        <v>634</v>
      </c>
      <c r="AM61" s="72" t="s">
        <v>96</v>
      </c>
      <c r="AN61" s="72" t="s">
        <v>150</v>
      </c>
      <c r="AO61" s="72" t="s">
        <v>635</v>
      </c>
      <c r="AP61" s="72" t="s">
        <v>636</v>
      </c>
      <c r="AQ61" s="77"/>
      <c r="AR61" s="77"/>
    </row>
    <row r="62">
      <c r="A62" s="71">
        <f t="shared" si="2"/>
        <v>56</v>
      </c>
      <c r="B62" s="87" t="s">
        <v>637</v>
      </c>
      <c r="C62" s="88" t="s">
        <v>638</v>
      </c>
      <c r="D62" s="89"/>
      <c r="E62" s="89"/>
      <c r="F62" s="89"/>
      <c r="G62" s="89"/>
      <c r="H62" s="89"/>
      <c r="I62" s="90"/>
      <c r="J62" s="89"/>
      <c r="K62" s="89"/>
      <c r="L62" s="90" t="s">
        <v>88</v>
      </c>
      <c r="M62" s="91"/>
      <c r="N62" s="89"/>
      <c r="O62" s="87" t="s">
        <v>142</v>
      </c>
      <c r="P62" s="89"/>
      <c r="Q62" s="92" t="s">
        <v>639</v>
      </c>
      <c r="R62" s="91"/>
      <c r="S62" s="90"/>
      <c r="T62" s="93"/>
      <c r="U62" s="90"/>
      <c r="V62" s="87" t="s">
        <v>89</v>
      </c>
      <c r="W62" s="87" t="s">
        <v>640</v>
      </c>
      <c r="X62" s="87" t="s">
        <v>641</v>
      </c>
      <c r="Y62" s="94">
        <v>44089.0</v>
      </c>
      <c r="Z62" s="90"/>
      <c r="AA62" s="95"/>
      <c r="AB62" s="95"/>
      <c r="AC62" s="81">
        <v>56.0</v>
      </c>
      <c r="AD62" s="90"/>
      <c r="AE62" s="87" t="s">
        <v>67</v>
      </c>
      <c r="AF62" s="90"/>
      <c r="AG62" s="87" t="s">
        <v>68</v>
      </c>
      <c r="AH62" s="87"/>
      <c r="AI62" s="96">
        <v>8.7845240088E10</v>
      </c>
      <c r="AJ62" s="87" t="s">
        <v>642</v>
      </c>
      <c r="AK62" s="97" t="s">
        <v>643</v>
      </c>
      <c r="AL62" s="87" t="s">
        <v>644</v>
      </c>
      <c r="AM62" s="87" t="s">
        <v>96</v>
      </c>
      <c r="AN62" s="87" t="s">
        <v>150</v>
      </c>
      <c r="AO62" s="87" t="s">
        <v>281</v>
      </c>
      <c r="AP62" s="87" t="s">
        <v>325</v>
      </c>
      <c r="AQ62" s="87">
        <v>0.0</v>
      </c>
      <c r="AR62" s="87">
        <v>0.0</v>
      </c>
    </row>
    <row r="63">
      <c r="A63" s="71">
        <f t="shared" si="2"/>
        <v>57</v>
      </c>
      <c r="B63" s="87" t="s">
        <v>645</v>
      </c>
      <c r="C63" s="88" t="s">
        <v>646</v>
      </c>
      <c r="D63" s="89"/>
      <c r="E63" s="89"/>
      <c r="F63" s="89"/>
      <c r="G63" s="89"/>
      <c r="H63" s="89"/>
      <c r="I63" s="90"/>
      <c r="J63" s="89"/>
      <c r="K63" s="89"/>
      <c r="L63" s="90" t="s">
        <v>88</v>
      </c>
      <c r="M63" s="91"/>
      <c r="N63" s="89"/>
      <c r="O63" s="87" t="s">
        <v>142</v>
      </c>
      <c r="P63" s="89"/>
      <c r="Q63" s="92" t="s">
        <v>639</v>
      </c>
      <c r="R63" s="91"/>
      <c r="S63" s="90"/>
      <c r="T63" s="93"/>
      <c r="U63" s="90"/>
      <c r="V63" s="87" t="s">
        <v>89</v>
      </c>
      <c r="W63" s="87" t="s">
        <v>647</v>
      </c>
      <c r="X63" s="87" t="s">
        <v>648</v>
      </c>
      <c r="Y63" s="94">
        <v>44524.0</v>
      </c>
      <c r="Z63" s="90"/>
      <c r="AA63" s="95"/>
      <c r="AB63" s="95"/>
      <c r="AC63" s="81">
        <v>57.0</v>
      </c>
      <c r="AD63" s="90"/>
      <c r="AE63" s="87" t="s">
        <v>67</v>
      </c>
      <c r="AF63" s="90"/>
      <c r="AG63" s="87" t="s">
        <v>68</v>
      </c>
      <c r="AH63" s="87"/>
      <c r="AI63" s="96">
        <v>8.1370922186E10</v>
      </c>
      <c r="AJ63" s="87" t="s">
        <v>649</v>
      </c>
      <c r="AK63" s="97" t="s">
        <v>650</v>
      </c>
      <c r="AL63" s="87" t="s">
        <v>651</v>
      </c>
      <c r="AM63" s="87" t="s">
        <v>73</v>
      </c>
      <c r="AN63" s="87" t="s">
        <v>74</v>
      </c>
      <c r="AO63" s="87" t="s">
        <v>360</v>
      </c>
      <c r="AP63" s="87" t="s">
        <v>566</v>
      </c>
      <c r="AQ63" s="87"/>
      <c r="AR63" s="87"/>
    </row>
    <row r="64">
      <c r="A64" s="71">
        <f t="shared" si="2"/>
        <v>58</v>
      </c>
      <c r="B64" s="87" t="s">
        <v>652</v>
      </c>
      <c r="C64" s="88" t="s">
        <v>653</v>
      </c>
      <c r="D64" s="89"/>
      <c r="E64" s="89"/>
      <c r="F64" s="89"/>
      <c r="G64" s="89"/>
      <c r="H64" s="89"/>
      <c r="I64" s="90"/>
      <c r="J64" s="89"/>
      <c r="K64" s="89"/>
      <c r="L64" s="90" t="s">
        <v>88</v>
      </c>
      <c r="M64" s="91"/>
      <c r="N64" s="89"/>
      <c r="O64" s="87" t="s">
        <v>142</v>
      </c>
      <c r="P64" s="89"/>
      <c r="Q64" s="92" t="s">
        <v>639</v>
      </c>
      <c r="R64" s="91"/>
      <c r="S64" s="90"/>
      <c r="T64" s="93"/>
      <c r="U64" s="90"/>
      <c r="V64" s="87" t="s">
        <v>89</v>
      </c>
      <c r="W64" s="87" t="s">
        <v>218</v>
      </c>
      <c r="X64" s="87" t="s">
        <v>641</v>
      </c>
      <c r="Y64" s="94">
        <v>44302.0</v>
      </c>
      <c r="Z64" s="90"/>
      <c r="AA64" s="95"/>
      <c r="AB64" s="95"/>
      <c r="AC64" s="81">
        <v>58.0</v>
      </c>
      <c r="AD64" s="90"/>
      <c r="AE64" s="87" t="s">
        <v>67</v>
      </c>
      <c r="AF64" s="90"/>
      <c r="AG64" s="87" t="s">
        <v>68</v>
      </c>
      <c r="AH64" s="87"/>
      <c r="AI64" s="96">
        <v>8.1286143136E10</v>
      </c>
      <c r="AJ64" s="87" t="s">
        <v>654</v>
      </c>
      <c r="AK64" s="97" t="s">
        <v>655</v>
      </c>
      <c r="AL64" s="87" t="s">
        <v>656</v>
      </c>
      <c r="AM64" s="87" t="s">
        <v>96</v>
      </c>
      <c r="AN64" s="87" t="s">
        <v>97</v>
      </c>
      <c r="AO64" s="87" t="s">
        <v>499</v>
      </c>
      <c r="AP64" s="87" t="s">
        <v>657</v>
      </c>
      <c r="AQ64" s="87"/>
      <c r="AR64" s="87"/>
    </row>
    <row r="65">
      <c r="A65" s="71">
        <f t="shared" si="2"/>
        <v>59</v>
      </c>
      <c r="B65" s="87" t="s">
        <v>658</v>
      </c>
      <c r="C65" s="88" t="s">
        <v>659</v>
      </c>
      <c r="D65" s="89"/>
      <c r="E65" s="89"/>
      <c r="F65" s="89"/>
      <c r="G65" s="89"/>
      <c r="H65" s="89"/>
      <c r="I65" s="90"/>
      <c r="J65" s="89"/>
      <c r="K65" s="89"/>
      <c r="L65" s="90" t="s">
        <v>88</v>
      </c>
      <c r="M65" s="91"/>
      <c r="N65" s="89"/>
      <c r="O65" s="87" t="s">
        <v>660</v>
      </c>
      <c r="P65" s="89"/>
      <c r="Q65" s="92" t="s">
        <v>661</v>
      </c>
      <c r="R65" s="91"/>
      <c r="S65" s="90"/>
      <c r="T65" s="93"/>
      <c r="U65" s="90"/>
      <c r="V65" s="87" t="s">
        <v>600</v>
      </c>
      <c r="W65" s="87" t="s">
        <v>77</v>
      </c>
      <c r="X65" s="87" t="s">
        <v>662</v>
      </c>
      <c r="Y65" s="94">
        <v>34499.0</v>
      </c>
      <c r="Z65" s="90"/>
      <c r="AA65" s="95"/>
      <c r="AB65" s="95"/>
      <c r="AC65" s="81">
        <v>59.0</v>
      </c>
      <c r="AD65" s="90"/>
      <c r="AE65" s="87" t="s">
        <v>67</v>
      </c>
      <c r="AF65" s="90"/>
      <c r="AG65" s="87" t="s">
        <v>68</v>
      </c>
      <c r="AH65" s="87"/>
      <c r="AI65" s="96">
        <v>8.5931009966E10</v>
      </c>
      <c r="AJ65" s="87" t="s">
        <v>663</v>
      </c>
      <c r="AK65" s="97" t="s">
        <v>664</v>
      </c>
      <c r="AL65" s="87" t="s">
        <v>665</v>
      </c>
      <c r="AM65" s="87" t="s">
        <v>73</v>
      </c>
      <c r="AN65" s="87" t="s">
        <v>481</v>
      </c>
      <c r="AO65" s="87" t="s">
        <v>360</v>
      </c>
      <c r="AP65" s="87" t="s">
        <v>666</v>
      </c>
      <c r="AQ65" s="87">
        <v>0.0</v>
      </c>
      <c r="AR65" s="87">
        <v>0.0</v>
      </c>
    </row>
    <row r="66">
      <c r="A66" s="71">
        <f t="shared" si="2"/>
        <v>60</v>
      </c>
      <c r="B66" s="87" t="s">
        <v>667</v>
      </c>
      <c r="C66" s="88" t="s">
        <v>668</v>
      </c>
      <c r="D66" s="89"/>
      <c r="E66" s="89"/>
      <c r="F66" s="89"/>
      <c r="G66" s="89"/>
      <c r="H66" s="89"/>
      <c r="I66" s="90"/>
      <c r="J66" s="89"/>
      <c r="K66" s="89"/>
      <c r="L66" s="90" t="s">
        <v>88</v>
      </c>
      <c r="M66" s="89"/>
      <c r="N66" s="89"/>
      <c r="O66" s="87" t="s">
        <v>142</v>
      </c>
      <c r="P66" s="89"/>
      <c r="Q66" s="98" t="s">
        <v>669</v>
      </c>
      <c r="R66" s="89"/>
      <c r="S66" s="90"/>
      <c r="T66" s="89"/>
      <c r="U66" s="90"/>
      <c r="V66" s="87" t="s">
        <v>89</v>
      </c>
      <c r="W66" s="87" t="s">
        <v>670</v>
      </c>
      <c r="X66" s="87" t="s">
        <v>671</v>
      </c>
      <c r="Y66" s="99">
        <v>40819.0</v>
      </c>
      <c r="Z66" s="90"/>
      <c r="AA66" s="90"/>
      <c r="AB66" s="90"/>
      <c r="AC66" s="81">
        <v>60.0</v>
      </c>
      <c r="AD66" s="95"/>
      <c r="AE66" s="87" t="s">
        <v>67</v>
      </c>
      <c r="AF66" s="95"/>
      <c r="AG66" s="87" t="s">
        <v>68</v>
      </c>
      <c r="AH66" s="87"/>
      <c r="AI66" s="96">
        <v>8.9516131139E10</v>
      </c>
      <c r="AJ66" s="87" t="s">
        <v>672</v>
      </c>
      <c r="AK66" s="97" t="s">
        <v>673</v>
      </c>
      <c r="AL66" s="87" t="s">
        <v>674</v>
      </c>
      <c r="AM66" s="87" t="s">
        <v>73</v>
      </c>
      <c r="AN66" s="87" t="s">
        <v>166</v>
      </c>
      <c r="AO66" s="87" t="s">
        <v>596</v>
      </c>
      <c r="AP66" s="87" t="s">
        <v>675</v>
      </c>
      <c r="AQ66" s="87"/>
      <c r="AR66" s="87"/>
    </row>
    <row r="67">
      <c r="A67" s="71">
        <f t="shared" si="2"/>
        <v>61</v>
      </c>
      <c r="B67" s="87" t="s">
        <v>676</v>
      </c>
      <c r="C67" s="88" t="s">
        <v>677</v>
      </c>
      <c r="D67" s="89"/>
      <c r="E67" s="89"/>
      <c r="F67" s="89"/>
      <c r="G67" s="89"/>
      <c r="H67" s="89"/>
      <c r="I67" s="90"/>
      <c r="J67" s="89"/>
      <c r="K67" s="89"/>
      <c r="L67" s="90" t="s">
        <v>88</v>
      </c>
      <c r="M67" s="89"/>
      <c r="N67" s="89"/>
      <c r="O67" s="87" t="s">
        <v>142</v>
      </c>
      <c r="P67" s="89"/>
      <c r="Q67" s="92" t="s">
        <v>639</v>
      </c>
      <c r="R67" s="89"/>
      <c r="S67" s="90"/>
      <c r="T67" s="89"/>
      <c r="U67" s="90"/>
      <c r="V67" s="87" t="s">
        <v>89</v>
      </c>
      <c r="W67" s="87" t="s">
        <v>678</v>
      </c>
      <c r="X67" s="87" t="s">
        <v>679</v>
      </c>
      <c r="Y67" s="99">
        <v>42133.0</v>
      </c>
      <c r="Z67" s="90"/>
      <c r="AA67" s="90"/>
      <c r="AB67" s="90"/>
      <c r="AC67" s="81">
        <v>61.0</v>
      </c>
      <c r="AD67" s="90"/>
      <c r="AE67" s="87" t="s">
        <v>67</v>
      </c>
      <c r="AF67" s="90"/>
      <c r="AG67" s="87" t="s">
        <v>68</v>
      </c>
      <c r="AH67" s="87"/>
      <c r="AI67" s="96">
        <v>8.116189993E9</v>
      </c>
      <c r="AJ67" s="87" t="s">
        <v>680</v>
      </c>
      <c r="AK67" s="97" t="s">
        <v>681</v>
      </c>
      <c r="AL67" s="87" t="s">
        <v>682</v>
      </c>
      <c r="AM67" s="87" t="s">
        <v>96</v>
      </c>
      <c r="AN67" s="87" t="s">
        <v>97</v>
      </c>
      <c r="AO67" s="87" t="s">
        <v>292</v>
      </c>
      <c r="AP67" s="87" t="s">
        <v>683</v>
      </c>
      <c r="AQ67" s="87">
        <v>0.0</v>
      </c>
      <c r="AR67" s="87">
        <v>0.0</v>
      </c>
    </row>
    <row r="68">
      <c r="A68" s="71">
        <f t="shared" si="2"/>
        <v>62</v>
      </c>
      <c r="B68" s="87" t="s">
        <v>684</v>
      </c>
      <c r="C68" s="88" t="s">
        <v>685</v>
      </c>
      <c r="D68" s="89"/>
      <c r="E68" s="89"/>
      <c r="F68" s="89"/>
      <c r="G68" s="89"/>
      <c r="H68" s="89"/>
      <c r="I68" s="90"/>
      <c r="J68" s="89"/>
      <c r="K68" s="89"/>
      <c r="L68" s="90" t="s">
        <v>88</v>
      </c>
      <c r="M68" s="91"/>
      <c r="N68" s="89"/>
      <c r="O68" s="87" t="s">
        <v>532</v>
      </c>
      <c r="P68" s="89"/>
      <c r="Q68" s="92" t="s">
        <v>686</v>
      </c>
      <c r="R68" s="91"/>
      <c r="S68" s="90"/>
      <c r="T68" s="93"/>
      <c r="U68" s="90"/>
      <c r="V68" s="87" t="s">
        <v>285</v>
      </c>
      <c r="W68" s="87" t="s">
        <v>687</v>
      </c>
      <c r="X68" s="87" t="s">
        <v>688</v>
      </c>
      <c r="Y68" s="94">
        <v>41055.0</v>
      </c>
      <c r="Z68" s="90"/>
      <c r="AA68" s="90"/>
      <c r="AB68" s="90"/>
      <c r="AC68" s="81">
        <v>62.0</v>
      </c>
      <c r="AD68" s="90"/>
      <c r="AE68" s="87" t="s">
        <v>67</v>
      </c>
      <c r="AF68" s="90"/>
      <c r="AG68" s="87" t="s">
        <v>68</v>
      </c>
      <c r="AH68" s="87"/>
      <c r="AI68" s="96">
        <v>8.1397112473E10</v>
      </c>
      <c r="AJ68" s="87" t="s">
        <v>689</v>
      </c>
      <c r="AK68" s="97" t="s">
        <v>690</v>
      </c>
      <c r="AL68" s="87" t="s">
        <v>691</v>
      </c>
      <c r="AM68" s="87" t="s">
        <v>692</v>
      </c>
      <c r="AN68" s="87" t="s">
        <v>150</v>
      </c>
      <c r="AO68" s="87" t="s">
        <v>628</v>
      </c>
      <c r="AP68" s="87" t="s">
        <v>693</v>
      </c>
      <c r="AQ68" s="87"/>
      <c r="AR68" s="87"/>
    </row>
    <row r="69">
      <c r="A69" s="71">
        <f t="shared" si="2"/>
        <v>63</v>
      </c>
      <c r="B69" s="87" t="s">
        <v>694</v>
      </c>
      <c r="C69" s="88" t="s">
        <v>695</v>
      </c>
      <c r="D69" s="89"/>
      <c r="E69" s="89"/>
      <c r="F69" s="89"/>
      <c r="G69" s="89"/>
      <c r="H69" s="89"/>
      <c r="I69" s="90"/>
      <c r="J69" s="89"/>
      <c r="K69" s="89"/>
      <c r="L69" s="90" t="s">
        <v>88</v>
      </c>
      <c r="M69" s="89"/>
      <c r="N69" s="89"/>
      <c r="O69" s="87" t="s">
        <v>532</v>
      </c>
      <c r="P69" s="89"/>
      <c r="Q69" s="92" t="s">
        <v>696</v>
      </c>
      <c r="R69" s="89"/>
      <c r="S69" s="92"/>
      <c r="T69" s="89"/>
      <c r="U69" s="92"/>
      <c r="V69" s="87"/>
      <c r="W69" s="87"/>
      <c r="X69" s="87"/>
      <c r="Y69" s="100"/>
      <c r="Z69" s="90"/>
      <c r="AA69" s="90"/>
      <c r="AB69" s="92"/>
      <c r="AC69" s="81">
        <v>63.0</v>
      </c>
      <c r="AD69" s="92"/>
      <c r="AE69" s="87"/>
      <c r="AF69" s="92"/>
      <c r="AG69" s="87" t="s">
        <v>68</v>
      </c>
      <c r="AH69" s="87"/>
      <c r="AI69" s="96"/>
      <c r="AJ69" s="87"/>
      <c r="AK69" s="97" t="s">
        <v>697</v>
      </c>
      <c r="AL69" s="87"/>
      <c r="AM69" s="87"/>
      <c r="AN69" s="87"/>
      <c r="AO69" s="87"/>
      <c r="AP69" s="87"/>
      <c r="AQ69" s="87"/>
      <c r="AR69" s="87"/>
    </row>
    <row r="70">
      <c r="A70" s="71">
        <f t="shared" si="2"/>
        <v>64</v>
      </c>
      <c r="B70" s="87" t="s">
        <v>698</v>
      </c>
      <c r="C70" s="88" t="s">
        <v>699</v>
      </c>
      <c r="D70" s="89"/>
      <c r="E70" s="89"/>
      <c r="F70" s="89"/>
      <c r="G70" s="89"/>
      <c r="H70" s="89"/>
      <c r="I70" s="90"/>
      <c r="J70" s="89"/>
      <c r="K70" s="89"/>
      <c r="L70" s="90" t="s">
        <v>88</v>
      </c>
      <c r="M70" s="89"/>
      <c r="N70" s="89"/>
      <c r="O70" s="87" t="s">
        <v>532</v>
      </c>
      <c r="P70" s="89"/>
      <c r="Q70" s="92" t="s">
        <v>661</v>
      </c>
      <c r="R70" s="89"/>
      <c r="S70" s="92"/>
      <c r="T70" s="89"/>
      <c r="U70" s="92"/>
      <c r="V70" s="87" t="s">
        <v>285</v>
      </c>
      <c r="W70" s="87"/>
      <c r="X70" s="87" t="s">
        <v>700</v>
      </c>
      <c r="Y70" s="94">
        <v>39613.0</v>
      </c>
      <c r="Z70" s="90"/>
      <c r="AA70" s="90"/>
      <c r="AB70" s="92"/>
      <c r="AC70" s="81">
        <v>64.0</v>
      </c>
      <c r="AD70" s="92"/>
      <c r="AE70" s="87" t="s">
        <v>67</v>
      </c>
      <c r="AF70" s="92"/>
      <c r="AG70" s="87" t="s">
        <v>130</v>
      </c>
      <c r="AH70" s="87"/>
      <c r="AI70" s="96">
        <v>8.2240864647E10</v>
      </c>
      <c r="AJ70" s="87" t="s">
        <v>701</v>
      </c>
      <c r="AK70" s="97" t="s">
        <v>702</v>
      </c>
      <c r="AL70" s="87" t="s">
        <v>703</v>
      </c>
      <c r="AM70" s="87" t="s">
        <v>73</v>
      </c>
      <c r="AN70" s="87" t="s">
        <v>74</v>
      </c>
      <c r="AO70" s="87" t="s">
        <v>360</v>
      </c>
      <c r="AP70" s="87" t="s">
        <v>666</v>
      </c>
      <c r="AQ70" s="87">
        <v>0.0</v>
      </c>
      <c r="AR70" s="87">
        <v>0.0</v>
      </c>
    </row>
    <row r="71">
      <c r="A71" s="71">
        <f t="shared" si="2"/>
        <v>65</v>
      </c>
      <c r="B71" s="87" t="s">
        <v>704</v>
      </c>
      <c r="C71" s="88" t="s">
        <v>705</v>
      </c>
      <c r="D71" s="89"/>
      <c r="E71" s="89"/>
      <c r="F71" s="89"/>
      <c r="G71" s="89"/>
      <c r="H71" s="89"/>
      <c r="I71" s="90"/>
      <c r="J71" s="89"/>
      <c r="K71" s="89"/>
      <c r="L71" s="90" t="s">
        <v>88</v>
      </c>
      <c r="M71" s="89"/>
      <c r="N71" s="89"/>
      <c r="O71" s="87" t="s">
        <v>532</v>
      </c>
      <c r="P71" s="89"/>
      <c r="Q71" s="92" t="s">
        <v>706</v>
      </c>
      <c r="R71" s="89"/>
      <c r="S71" s="92"/>
      <c r="T71" s="89"/>
      <c r="U71" s="92"/>
      <c r="V71" s="87" t="s">
        <v>285</v>
      </c>
      <c r="W71" s="87" t="s">
        <v>707</v>
      </c>
      <c r="X71" s="87" t="s">
        <v>708</v>
      </c>
      <c r="Y71" s="94">
        <v>39613.0</v>
      </c>
      <c r="Z71" s="90"/>
      <c r="AA71" s="90"/>
      <c r="AB71" s="92"/>
      <c r="AC71" s="81">
        <v>65.0</v>
      </c>
      <c r="AD71" s="92"/>
      <c r="AE71" s="87" t="s">
        <v>67</v>
      </c>
      <c r="AF71" s="92"/>
      <c r="AG71" s="87" t="s">
        <v>68</v>
      </c>
      <c r="AH71" s="87"/>
      <c r="AI71" s="96">
        <v>8.1362442352E10</v>
      </c>
      <c r="AJ71" s="87" t="s">
        <v>709</v>
      </c>
      <c r="AK71" s="97" t="s">
        <v>710</v>
      </c>
      <c r="AL71" s="87" t="s">
        <v>711</v>
      </c>
      <c r="AM71" s="87" t="s">
        <v>96</v>
      </c>
      <c r="AN71" s="87" t="s">
        <v>97</v>
      </c>
      <c r="AO71" s="87" t="s">
        <v>236</v>
      </c>
      <c r="AP71" s="87" t="s">
        <v>712</v>
      </c>
      <c r="AQ71" s="87"/>
      <c r="AR71" s="87"/>
    </row>
    <row r="72">
      <c r="A72" s="71">
        <f t="shared" si="2"/>
        <v>66</v>
      </c>
      <c r="B72" s="87" t="s">
        <v>713</v>
      </c>
      <c r="C72" s="88" t="s">
        <v>714</v>
      </c>
      <c r="D72" s="89"/>
      <c r="E72" s="89"/>
      <c r="F72" s="89"/>
      <c r="G72" s="89"/>
      <c r="H72" s="89"/>
      <c r="I72" s="90"/>
      <c r="J72" s="89"/>
      <c r="K72" s="89"/>
      <c r="L72" s="90" t="s">
        <v>88</v>
      </c>
      <c r="M72" s="89"/>
      <c r="N72" s="89"/>
      <c r="O72" s="87" t="s">
        <v>532</v>
      </c>
      <c r="P72" s="89"/>
      <c r="Q72" s="92" t="s">
        <v>639</v>
      </c>
      <c r="R72" s="89"/>
      <c r="S72" s="92"/>
      <c r="T72" s="89"/>
      <c r="U72" s="92"/>
      <c r="V72" s="87" t="s">
        <v>285</v>
      </c>
      <c r="W72" s="87"/>
      <c r="X72" s="87" t="s">
        <v>715</v>
      </c>
      <c r="Y72" s="94">
        <v>43598.0</v>
      </c>
      <c r="Z72" s="90"/>
      <c r="AA72" s="90"/>
      <c r="AB72" s="92"/>
      <c r="AC72" s="81">
        <v>66.0</v>
      </c>
      <c r="AD72" s="92"/>
      <c r="AE72" s="87" t="s">
        <v>67</v>
      </c>
      <c r="AF72" s="92"/>
      <c r="AG72" s="87" t="s">
        <v>68</v>
      </c>
      <c r="AH72" s="87"/>
      <c r="AI72" s="96">
        <v>8.1367662965E10</v>
      </c>
      <c r="AJ72" s="87" t="s">
        <v>716</v>
      </c>
      <c r="AK72" s="97" t="s">
        <v>717</v>
      </c>
      <c r="AL72" s="87" t="s">
        <v>651</v>
      </c>
      <c r="AM72" s="87" t="s">
        <v>73</v>
      </c>
      <c r="AN72" s="87" t="s">
        <v>74</v>
      </c>
      <c r="AO72" s="87" t="s">
        <v>360</v>
      </c>
      <c r="AP72" s="87" t="s">
        <v>566</v>
      </c>
      <c r="AQ72" s="87"/>
      <c r="AR72" s="87"/>
    </row>
    <row r="73">
      <c r="A73" s="71">
        <f t="shared" si="2"/>
        <v>67</v>
      </c>
      <c r="B73" s="87" t="s">
        <v>718</v>
      </c>
      <c r="C73" s="88" t="s">
        <v>719</v>
      </c>
      <c r="D73" s="89"/>
      <c r="E73" s="89"/>
      <c r="F73" s="89"/>
      <c r="G73" s="89"/>
      <c r="H73" s="89"/>
      <c r="I73" s="90"/>
      <c r="J73" s="89"/>
      <c r="K73" s="89"/>
      <c r="L73" s="90" t="s">
        <v>88</v>
      </c>
      <c r="M73" s="89"/>
      <c r="N73" s="89"/>
      <c r="O73" s="87" t="s">
        <v>532</v>
      </c>
      <c r="P73" s="89"/>
      <c r="Q73" s="92" t="s">
        <v>720</v>
      </c>
      <c r="R73" s="89"/>
      <c r="S73" s="92"/>
      <c r="T73" s="89"/>
      <c r="U73" s="92"/>
      <c r="V73" s="87" t="s">
        <v>285</v>
      </c>
      <c r="W73" s="87"/>
      <c r="X73" s="87" t="s">
        <v>721</v>
      </c>
      <c r="Y73" s="94">
        <v>38152.0</v>
      </c>
      <c r="Z73" s="90"/>
      <c r="AA73" s="90"/>
      <c r="AB73" s="92"/>
      <c r="AC73" s="81">
        <v>67.0</v>
      </c>
      <c r="AD73" s="92"/>
      <c r="AE73" s="87" t="s">
        <v>67</v>
      </c>
      <c r="AF73" s="92"/>
      <c r="AG73" s="87" t="s">
        <v>68</v>
      </c>
      <c r="AH73" s="87"/>
      <c r="AI73" s="96">
        <v>8.2161678067E10</v>
      </c>
      <c r="AJ73" s="87" t="s">
        <v>722</v>
      </c>
      <c r="AK73" s="97" t="s">
        <v>723</v>
      </c>
      <c r="AL73" s="87" t="s">
        <v>724</v>
      </c>
      <c r="AM73" s="87" t="s">
        <v>73</v>
      </c>
      <c r="AN73" s="87" t="s">
        <v>74</v>
      </c>
      <c r="AO73" s="87" t="s">
        <v>454</v>
      </c>
      <c r="AP73" s="87" t="s">
        <v>725</v>
      </c>
      <c r="AQ73" s="87">
        <v>0.0</v>
      </c>
      <c r="AR73" s="87">
        <v>0.0</v>
      </c>
    </row>
    <row r="74">
      <c r="A74" s="71">
        <f t="shared" si="2"/>
        <v>68</v>
      </c>
      <c r="B74" s="87" t="s">
        <v>726</v>
      </c>
      <c r="C74" s="88" t="s">
        <v>727</v>
      </c>
      <c r="D74" s="89"/>
      <c r="E74" s="89"/>
      <c r="F74" s="89"/>
      <c r="G74" s="89"/>
      <c r="H74" s="89"/>
      <c r="I74" s="90"/>
      <c r="J74" s="89"/>
      <c r="K74" s="89"/>
      <c r="L74" s="90" t="s">
        <v>88</v>
      </c>
      <c r="M74" s="89"/>
      <c r="N74" s="89"/>
      <c r="O74" s="87" t="s">
        <v>532</v>
      </c>
      <c r="P74" s="89"/>
      <c r="Q74" s="92" t="s">
        <v>639</v>
      </c>
      <c r="R74" s="89"/>
      <c r="S74" s="92"/>
      <c r="T74" s="89"/>
      <c r="U74" s="92"/>
      <c r="V74" s="87" t="s">
        <v>285</v>
      </c>
      <c r="W74" s="87" t="s">
        <v>687</v>
      </c>
      <c r="X74" s="87" t="s">
        <v>728</v>
      </c>
      <c r="Y74" s="99">
        <v>42497.0</v>
      </c>
      <c r="Z74" s="90"/>
      <c r="AA74" s="90"/>
      <c r="AB74" s="92"/>
      <c r="AC74" s="81">
        <v>68.0</v>
      </c>
      <c r="AD74" s="92"/>
      <c r="AE74" s="87" t="s">
        <v>67</v>
      </c>
      <c r="AF74" s="92"/>
      <c r="AG74" s="87" t="s">
        <v>68</v>
      </c>
      <c r="AH74" s="87"/>
      <c r="AI74" s="96">
        <v>8.2173881919E10</v>
      </c>
      <c r="AJ74" s="87" t="s">
        <v>729</v>
      </c>
      <c r="AK74" s="97" t="s">
        <v>730</v>
      </c>
      <c r="AL74" s="87" t="s">
        <v>731</v>
      </c>
      <c r="AM74" s="87" t="s">
        <v>732</v>
      </c>
      <c r="AN74" s="87" t="s">
        <v>414</v>
      </c>
      <c r="AO74" s="87" t="s">
        <v>733</v>
      </c>
      <c r="AP74" s="87" t="s">
        <v>734</v>
      </c>
      <c r="AQ74" s="87"/>
      <c r="AR74" s="87"/>
    </row>
    <row r="75">
      <c r="A75" s="71">
        <f t="shared" si="2"/>
        <v>69</v>
      </c>
      <c r="B75" s="87" t="s">
        <v>735</v>
      </c>
      <c r="C75" s="88" t="s">
        <v>736</v>
      </c>
      <c r="D75" s="89"/>
      <c r="E75" s="89"/>
      <c r="F75" s="89"/>
      <c r="G75" s="89"/>
      <c r="H75" s="89"/>
      <c r="I75" s="90"/>
      <c r="J75" s="89"/>
      <c r="K75" s="89"/>
      <c r="L75" s="90" t="s">
        <v>88</v>
      </c>
      <c r="M75" s="89"/>
      <c r="N75" s="89"/>
      <c r="O75" s="87" t="s">
        <v>532</v>
      </c>
      <c r="P75" s="89"/>
      <c r="Q75" s="92" t="s">
        <v>706</v>
      </c>
      <c r="R75" s="89"/>
      <c r="S75" s="92"/>
      <c r="T75" s="89"/>
      <c r="U75" s="92"/>
      <c r="V75" s="87" t="s">
        <v>285</v>
      </c>
      <c r="W75" s="87"/>
      <c r="X75" s="87" t="s">
        <v>737</v>
      </c>
      <c r="Y75" s="94">
        <v>35212.0</v>
      </c>
      <c r="Z75" s="90"/>
      <c r="AA75" s="90"/>
      <c r="AB75" s="92"/>
      <c r="AC75" s="81">
        <v>69.0</v>
      </c>
      <c r="AD75" s="92"/>
      <c r="AE75" s="87" t="s">
        <v>67</v>
      </c>
      <c r="AF75" s="92"/>
      <c r="AG75" s="87" t="s">
        <v>68</v>
      </c>
      <c r="AH75" s="87"/>
      <c r="AI75" s="96">
        <v>8.5360782966E10</v>
      </c>
      <c r="AJ75" s="87" t="s">
        <v>738</v>
      </c>
      <c r="AK75" s="97" t="s">
        <v>739</v>
      </c>
      <c r="AL75" s="87" t="s">
        <v>740</v>
      </c>
      <c r="AM75" s="87" t="s">
        <v>73</v>
      </c>
      <c r="AN75" s="87" t="s">
        <v>74</v>
      </c>
      <c r="AO75" s="87" t="s">
        <v>741</v>
      </c>
      <c r="AP75" s="87" t="s">
        <v>742</v>
      </c>
      <c r="AQ75" s="87"/>
      <c r="AR75" s="87"/>
    </row>
    <row r="76">
      <c r="A76" s="71">
        <f t="shared" si="2"/>
        <v>70</v>
      </c>
      <c r="B76" s="87" t="s">
        <v>743</v>
      </c>
      <c r="C76" s="88" t="s">
        <v>744</v>
      </c>
      <c r="D76" s="89"/>
      <c r="E76" s="89"/>
      <c r="F76" s="89"/>
      <c r="G76" s="89"/>
      <c r="H76" s="89"/>
      <c r="I76" s="90"/>
      <c r="J76" s="89"/>
      <c r="K76" s="89"/>
      <c r="L76" s="90" t="s">
        <v>88</v>
      </c>
      <c r="M76" s="89"/>
      <c r="N76" s="89"/>
      <c r="O76" s="87" t="s">
        <v>142</v>
      </c>
      <c r="P76" s="89"/>
      <c r="Q76" s="92" t="s">
        <v>706</v>
      </c>
      <c r="R76" s="89"/>
      <c r="S76" s="90"/>
      <c r="T76" s="89"/>
      <c r="U76" s="90"/>
      <c r="V76" s="87" t="s">
        <v>89</v>
      </c>
      <c r="W76" s="87" t="s">
        <v>207</v>
      </c>
      <c r="X76" s="87" t="s">
        <v>745</v>
      </c>
      <c r="Y76" s="94">
        <v>36032.0</v>
      </c>
      <c r="Z76" s="90"/>
      <c r="AA76" s="90"/>
      <c r="AB76" s="90"/>
      <c r="AC76" s="81">
        <v>70.0</v>
      </c>
      <c r="AD76" s="90"/>
      <c r="AE76" s="87" t="s">
        <v>67</v>
      </c>
      <c r="AF76" s="90"/>
      <c r="AG76" s="87" t="s">
        <v>68</v>
      </c>
      <c r="AH76" s="87"/>
      <c r="AI76" s="96">
        <v>8.1260449362E10</v>
      </c>
      <c r="AJ76" s="87" t="s">
        <v>746</v>
      </c>
      <c r="AK76" s="97" t="s">
        <v>747</v>
      </c>
      <c r="AL76" s="87" t="s">
        <v>748</v>
      </c>
      <c r="AM76" s="87" t="s">
        <v>96</v>
      </c>
      <c r="AN76" s="87" t="s">
        <v>97</v>
      </c>
      <c r="AO76" s="87" t="s">
        <v>213</v>
      </c>
      <c r="AP76" s="87" t="s">
        <v>214</v>
      </c>
      <c r="AQ76" s="87">
        <v>0.0</v>
      </c>
      <c r="AR76" s="87">
        <v>0.0</v>
      </c>
    </row>
    <row r="77">
      <c r="A77" s="71">
        <f t="shared" si="2"/>
        <v>71</v>
      </c>
      <c r="B77" s="87" t="s">
        <v>749</v>
      </c>
      <c r="C77" s="88" t="s">
        <v>750</v>
      </c>
      <c r="D77" s="89"/>
      <c r="E77" s="89"/>
      <c r="F77" s="89"/>
      <c r="G77" s="89"/>
      <c r="H77" s="89"/>
      <c r="I77" s="90"/>
      <c r="J77" s="89"/>
      <c r="K77" s="89"/>
      <c r="L77" s="90" t="s">
        <v>88</v>
      </c>
      <c r="M77" s="89"/>
      <c r="N77" s="89"/>
      <c r="O77" s="87" t="s">
        <v>519</v>
      </c>
      <c r="P77" s="89"/>
      <c r="Q77" s="92" t="s">
        <v>751</v>
      </c>
      <c r="R77" s="89"/>
      <c r="S77" s="92"/>
      <c r="T77" s="89"/>
      <c r="U77" s="92"/>
      <c r="V77" s="87" t="s">
        <v>267</v>
      </c>
      <c r="W77" s="87" t="s">
        <v>752</v>
      </c>
      <c r="X77" s="87" t="s">
        <v>753</v>
      </c>
      <c r="Y77" s="94">
        <v>41195.0</v>
      </c>
      <c r="Z77" s="90"/>
      <c r="AA77" s="90"/>
      <c r="AB77" s="92"/>
      <c r="AC77" s="81">
        <v>71.0</v>
      </c>
      <c r="AD77" s="92"/>
      <c r="AE77" s="87" t="s">
        <v>67</v>
      </c>
      <c r="AF77" s="92"/>
      <c r="AG77" s="87" t="s">
        <v>68</v>
      </c>
      <c r="AH77" s="87"/>
      <c r="AI77" s="96">
        <v>8.2297564323E10</v>
      </c>
      <c r="AJ77" s="87" t="s">
        <v>754</v>
      </c>
      <c r="AK77" s="97" t="s">
        <v>755</v>
      </c>
      <c r="AL77" s="87" t="s">
        <v>756</v>
      </c>
      <c r="AM77" s="87" t="s">
        <v>96</v>
      </c>
      <c r="AN77" s="87" t="s">
        <v>150</v>
      </c>
      <c r="AO77" s="87" t="s">
        <v>757</v>
      </c>
      <c r="AP77" s="87" t="s">
        <v>758</v>
      </c>
      <c r="AQ77" s="87"/>
      <c r="AR77" s="87"/>
    </row>
    <row r="78">
      <c r="A78" s="71">
        <f t="shared" si="2"/>
        <v>72</v>
      </c>
      <c r="B78" s="87" t="s">
        <v>759</v>
      </c>
      <c r="C78" s="88" t="s">
        <v>760</v>
      </c>
      <c r="D78" s="89"/>
      <c r="E78" s="89"/>
      <c r="F78" s="89"/>
      <c r="G78" s="89"/>
      <c r="H78" s="89"/>
      <c r="I78" s="90"/>
      <c r="J78" s="89"/>
      <c r="K78" s="89"/>
      <c r="L78" s="90" t="s">
        <v>88</v>
      </c>
      <c r="M78" s="89"/>
      <c r="N78" s="89"/>
      <c r="O78" s="87" t="s">
        <v>142</v>
      </c>
      <c r="P78" s="89"/>
      <c r="Q78" s="92" t="s">
        <v>639</v>
      </c>
      <c r="R78" s="89"/>
      <c r="S78" s="92"/>
      <c r="T78" s="89"/>
      <c r="U78" s="92"/>
      <c r="V78" s="87" t="s">
        <v>89</v>
      </c>
      <c r="W78" s="87" t="s">
        <v>90</v>
      </c>
      <c r="X78" s="87" t="s">
        <v>761</v>
      </c>
      <c r="Y78" s="94">
        <v>37973.0</v>
      </c>
      <c r="Z78" s="90"/>
      <c r="AA78" s="90"/>
      <c r="AB78" s="92"/>
      <c r="AC78" s="81">
        <v>72.0</v>
      </c>
      <c r="AD78" s="92"/>
      <c r="AE78" s="87" t="s">
        <v>67</v>
      </c>
      <c r="AF78" s="92"/>
      <c r="AG78" s="87" t="s">
        <v>130</v>
      </c>
      <c r="AH78" s="87"/>
      <c r="AI78" s="96">
        <v>8.2167661112E10</v>
      </c>
      <c r="AJ78" s="87" t="s">
        <v>762</v>
      </c>
      <c r="AK78" s="97" t="s">
        <v>763</v>
      </c>
      <c r="AL78" s="87" t="s">
        <v>764</v>
      </c>
      <c r="AM78" s="87" t="s">
        <v>73</v>
      </c>
      <c r="AN78" s="87" t="s">
        <v>74</v>
      </c>
      <c r="AO78" s="87" t="s">
        <v>360</v>
      </c>
      <c r="AP78" s="87" t="s">
        <v>566</v>
      </c>
      <c r="AQ78" s="87"/>
      <c r="AR78" s="87"/>
    </row>
    <row r="79">
      <c r="A79" s="71">
        <f t="shared" si="2"/>
        <v>73</v>
      </c>
      <c r="B79" s="87" t="s">
        <v>765</v>
      </c>
      <c r="C79" s="88" t="s">
        <v>766</v>
      </c>
      <c r="D79" s="89"/>
      <c r="E79" s="89"/>
      <c r="F79" s="89"/>
      <c r="G79" s="89"/>
      <c r="H79" s="89"/>
      <c r="I79" s="90"/>
      <c r="J79" s="89"/>
      <c r="K79" s="89"/>
      <c r="L79" s="90" t="s">
        <v>88</v>
      </c>
      <c r="M79" s="89"/>
      <c r="N79" s="89"/>
      <c r="O79" s="87" t="s">
        <v>532</v>
      </c>
      <c r="P79" s="89"/>
      <c r="Q79" s="92" t="s">
        <v>767</v>
      </c>
      <c r="R79" s="89"/>
      <c r="S79" s="92"/>
      <c r="T79" s="89"/>
      <c r="U79" s="92"/>
      <c r="V79" s="87" t="s">
        <v>285</v>
      </c>
      <c r="W79" s="87" t="s">
        <v>768</v>
      </c>
      <c r="X79" s="87" t="s">
        <v>769</v>
      </c>
      <c r="Y79" s="94">
        <v>40679.0</v>
      </c>
      <c r="Z79" s="90"/>
      <c r="AA79" s="90"/>
      <c r="AB79" s="92"/>
      <c r="AC79" s="81">
        <v>73.0</v>
      </c>
      <c r="AD79" s="92"/>
      <c r="AE79" s="87" t="s">
        <v>67</v>
      </c>
      <c r="AF79" s="92"/>
      <c r="AG79" s="87" t="s">
        <v>130</v>
      </c>
      <c r="AH79" s="87"/>
      <c r="AI79" s="96" t="s">
        <v>770</v>
      </c>
      <c r="AJ79" s="87" t="s">
        <v>771</v>
      </c>
      <c r="AK79" s="97" t="s">
        <v>772</v>
      </c>
      <c r="AL79" s="87" t="s">
        <v>773</v>
      </c>
      <c r="AM79" s="87" t="s">
        <v>73</v>
      </c>
      <c r="AN79" s="87" t="s">
        <v>74</v>
      </c>
      <c r="AO79" s="87" t="s">
        <v>774</v>
      </c>
      <c r="AP79" s="87" t="s">
        <v>775</v>
      </c>
      <c r="AQ79" s="87">
        <v>0.0</v>
      </c>
      <c r="AR79" s="87">
        <v>0.0</v>
      </c>
    </row>
    <row r="80">
      <c r="A80" s="71">
        <f t="shared" si="2"/>
        <v>74</v>
      </c>
      <c r="B80" s="87" t="s">
        <v>776</v>
      </c>
      <c r="C80" s="88" t="s">
        <v>777</v>
      </c>
      <c r="D80" s="89"/>
      <c r="E80" s="89"/>
      <c r="F80" s="89"/>
      <c r="G80" s="89"/>
      <c r="H80" s="89"/>
      <c r="I80" s="90"/>
      <c r="J80" s="89"/>
      <c r="K80" s="89"/>
      <c r="L80" s="90" t="s">
        <v>88</v>
      </c>
      <c r="M80" s="89"/>
      <c r="N80" s="89"/>
      <c r="O80" s="87" t="s">
        <v>532</v>
      </c>
      <c r="P80" s="89"/>
      <c r="Q80" s="92" t="s">
        <v>639</v>
      </c>
      <c r="R80" s="89"/>
      <c r="S80" s="92"/>
      <c r="T80" s="89"/>
      <c r="U80" s="92"/>
      <c r="V80" s="87" t="s">
        <v>285</v>
      </c>
      <c r="W80" s="87" t="s">
        <v>399</v>
      </c>
      <c r="X80" s="87" t="s">
        <v>778</v>
      </c>
      <c r="Y80" s="94">
        <v>39613.0</v>
      </c>
      <c r="Z80" s="90"/>
      <c r="AA80" s="90"/>
      <c r="AB80" s="92"/>
      <c r="AC80" s="81">
        <v>74.0</v>
      </c>
      <c r="AD80" s="92"/>
      <c r="AE80" s="87" t="s">
        <v>220</v>
      </c>
      <c r="AF80" s="92"/>
      <c r="AG80" s="87" t="s">
        <v>130</v>
      </c>
      <c r="AH80" s="87"/>
      <c r="AI80" s="96">
        <v>8.1265402011E10</v>
      </c>
      <c r="AJ80" s="87" t="s">
        <v>779</v>
      </c>
      <c r="AK80" s="97" t="s">
        <v>780</v>
      </c>
      <c r="AL80" s="87" t="s">
        <v>781</v>
      </c>
      <c r="AM80" s="87" t="s">
        <v>96</v>
      </c>
      <c r="AN80" s="87" t="s">
        <v>150</v>
      </c>
      <c r="AO80" s="87" t="s">
        <v>151</v>
      </c>
      <c r="AP80" s="87" t="s">
        <v>782</v>
      </c>
      <c r="AQ80" s="87"/>
      <c r="AR80" s="87"/>
    </row>
    <row r="81">
      <c r="A81" s="71">
        <f t="shared" si="2"/>
        <v>75</v>
      </c>
      <c r="B81" s="87" t="s">
        <v>783</v>
      </c>
      <c r="C81" s="88" t="s">
        <v>784</v>
      </c>
      <c r="D81" s="89"/>
      <c r="E81" s="89"/>
      <c r="F81" s="89"/>
      <c r="G81" s="89"/>
      <c r="H81" s="89"/>
      <c r="I81" s="90"/>
      <c r="J81" s="89"/>
      <c r="K81" s="89"/>
      <c r="L81" s="90" t="s">
        <v>88</v>
      </c>
      <c r="M81" s="89"/>
      <c r="N81" s="89"/>
      <c r="O81" s="87" t="s">
        <v>532</v>
      </c>
      <c r="P81" s="89"/>
      <c r="Q81" s="92" t="s">
        <v>639</v>
      </c>
      <c r="R81" s="89"/>
      <c r="S81" s="92"/>
      <c r="T81" s="89"/>
      <c r="U81" s="92"/>
      <c r="V81" s="87" t="s">
        <v>267</v>
      </c>
      <c r="W81" s="87" t="s">
        <v>418</v>
      </c>
      <c r="X81" s="87" t="s">
        <v>231</v>
      </c>
      <c r="Y81" s="94">
        <v>42580.0</v>
      </c>
      <c r="Z81" s="90"/>
      <c r="AA81" s="90"/>
      <c r="AB81" s="92"/>
      <c r="AC81" s="81">
        <v>75.0</v>
      </c>
      <c r="AD81" s="92"/>
      <c r="AE81" s="87" t="s">
        <v>67</v>
      </c>
      <c r="AF81" s="92"/>
      <c r="AG81" s="87" t="s">
        <v>68</v>
      </c>
      <c r="AH81" s="87"/>
      <c r="AI81" s="96">
        <v>8.21688881234E11</v>
      </c>
      <c r="AJ81" s="87" t="s">
        <v>785</v>
      </c>
      <c r="AK81" s="97" t="s">
        <v>786</v>
      </c>
      <c r="AL81" s="87" t="s">
        <v>787</v>
      </c>
      <c r="AM81" s="87" t="s">
        <v>96</v>
      </c>
      <c r="AN81" s="87" t="s">
        <v>97</v>
      </c>
      <c r="AO81" s="87" t="s">
        <v>136</v>
      </c>
      <c r="AP81" s="87" t="s">
        <v>151</v>
      </c>
      <c r="AQ81" s="87"/>
      <c r="AR81" s="87"/>
    </row>
    <row r="82">
      <c r="A82" s="71">
        <f t="shared" si="2"/>
        <v>76</v>
      </c>
      <c r="B82" s="87" t="s">
        <v>788</v>
      </c>
      <c r="C82" s="88" t="s">
        <v>789</v>
      </c>
      <c r="D82" s="89"/>
      <c r="E82" s="89"/>
      <c r="F82" s="89"/>
      <c r="G82" s="89"/>
      <c r="H82" s="89"/>
      <c r="I82" s="90"/>
      <c r="J82" s="89"/>
      <c r="K82" s="89"/>
      <c r="L82" s="90" t="s">
        <v>88</v>
      </c>
      <c r="M82" s="89"/>
      <c r="N82" s="89"/>
      <c r="O82" s="87" t="s">
        <v>142</v>
      </c>
      <c r="P82" s="89"/>
      <c r="Q82" s="92" t="s">
        <v>639</v>
      </c>
      <c r="R82" s="89"/>
      <c r="S82" s="92"/>
      <c r="T82" s="89"/>
      <c r="U82" s="92"/>
      <c r="V82" s="87" t="s">
        <v>89</v>
      </c>
      <c r="W82" s="87" t="s">
        <v>243</v>
      </c>
      <c r="X82" s="87" t="s">
        <v>231</v>
      </c>
      <c r="Y82" s="94">
        <v>42481.0</v>
      </c>
      <c r="Z82" s="90"/>
      <c r="AA82" s="90"/>
      <c r="AB82" s="92"/>
      <c r="AC82" s="81">
        <v>76.0</v>
      </c>
      <c r="AD82" s="92"/>
      <c r="AE82" s="87" t="s">
        <v>67</v>
      </c>
      <c r="AF82" s="92"/>
      <c r="AG82" s="87" t="s">
        <v>130</v>
      </c>
      <c r="AH82" s="87"/>
      <c r="AI82" s="96">
        <v>8.527549937E10</v>
      </c>
      <c r="AJ82" s="87" t="s">
        <v>790</v>
      </c>
      <c r="AK82" s="97" t="s">
        <v>791</v>
      </c>
      <c r="AL82" s="87" t="s">
        <v>792</v>
      </c>
      <c r="AM82" s="87" t="s">
        <v>96</v>
      </c>
      <c r="AN82" s="87" t="s">
        <v>97</v>
      </c>
      <c r="AO82" s="87" t="s">
        <v>272</v>
      </c>
      <c r="AP82" s="87" t="s">
        <v>334</v>
      </c>
      <c r="AQ82" s="87">
        <v>0.0</v>
      </c>
      <c r="AR82" s="87">
        <v>0.0</v>
      </c>
    </row>
    <row r="83">
      <c r="A83" s="71">
        <f t="shared" si="2"/>
        <v>77</v>
      </c>
      <c r="B83" s="87" t="s">
        <v>793</v>
      </c>
      <c r="C83" s="88" t="s">
        <v>794</v>
      </c>
      <c r="D83" s="89"/>
      <c r="E83" s="89"/>
      <c r="F83" s="89"/>
      <c r="G83" s="89"/>
      <c r="H83" s="89"/>
      <c r="I83" s="90"/>
      <c r="J83" s="89"/>
      <c r="K83" s="89"/>
      <c r="L83" s="90" t="s">
        <v>88</v>
      </c>
      <c r="M83" s="89"/>
      <c r="N83" s="89"/>
      <c r="O83" s="87" t="s">
        <v>142</v>
      </c>
      <c r="P83" s="89"/>
      <c r="Q83" s="92" t="s">
        <v>639</v>
      </c>
      <c r="R83" s="89"/>
      <c r="S83" s="92"/>
      <c r="T83" s="89"/>
      <c r="U83" s="92"/>
      <c r="V83" s="87" t="s">
        <v>89</v>
      </c>
      <c r="W83" s="87" t="s">
        <v>795</v>
      </c>
      <c r="X83" s="87" t="s">
        <v>648</v>
      </c>
      <c r="Y83" s="94">
        <v>43302.0</v>
      </c>
      <c r="Z83" s="90"/>
      <c r="AA83" s="90"/>
      <c r="AB83" s="92"/>
      <c r="AC83" s="81">
        <v>77.0</v>
      </c>
      <c r="AD83" s="92"/>
      <c r="AE83" s="87" t="s">
        <v>67</v>
      </c>
      <c r="AF83" s="92"/>
      <c r="AG83" s="87" t="s">
        <v>68</v>
      </c>
      <c r="AH83" s="87"/>
      <c r="AI83" s="96">
        <v>8.3801595263E10</v>
      </c>
      <c r="AJ83" s="87" t="s">
        <v>796</v>
      </c>
      <c r="AK83" s="97" t="s">
        <v>797</v>
      </c>
      <c r="AL83" s="87" t="s">
        <v>798</v>
      </c>
      <c r="AM83" s="87" t="s">
        <v>73</v>
      </c>
      <c r="AN83" s="87" t="s">
        <v>74</v>
      </c>
      <c r="AO83" s="87" t="s">
        <v>774</v>
      </c>
      <c r="AP83" s="87" t="s">
        <v>799</v>
      </c>
      <c r="AQ83" s="87"/>
      <c r="AR83" s="87"/>
    </row>
    <row r="84">
      <c r="A84" s="71">
        <f t="shared" si="2"/>
        <v>78</v>
      </c>
      <c r="B84" s="87" t="s">
        <v>800</v>
      </c>
      <c r="C84" s="88" t="s">
        <v>801</v>
      </c>
      <c r="D84" s="89"/>
      <c r="E84" s="89"/>
      <c r="F84" s="89"/>
      <c r="G84" s="89"/>
      <c r="H84" s="89"/>
      <c r="I84" s="90"/>
      <c r="J84" s="89"/>
      <c r="K84" s="89"/>
      <c r="L84" s="90" t="s">
        <v>88</v>
      </c>
      <c r="M84" s="89"/>
      <c r="N84" s="89"/>
      <c r="O84" s="87" t="s">
        <v>532</v>
      </c>
      <c r="P84" s="89"/>
      <c r="Q84" s="92" t="s">
        <v>661</v>
      </c>
      <c r="R84" s="89"/>
      <c r="S84" s="92"/>
      <c r="T84" s="89"/>
      <c r="U84" s="92"/>
      <c r="V84" s="87" t="s">
        <v>285</v>
      </c>
      <c r="W84" s="87"/>
      <c r="X84" s="87" t="s">
        <v>802</v>
      </c>
      <c r="Y84" s="94">
        <v>36309.0</v>
      </c>
      <c r="Z84" s="90"/>
      <c r="AA84" s="90"/>
      <c r="AB84" s="92"/>
      <c r="AC84" s="81">
        <v>78.0</v>
      </c>
      <c r="AD84" s="92"/>
      <c r="AE84" s="87" t="s">
        <v>67</v>
      </c>
      <c r="AF84" s="92"/>
      <c r="AG84" s="87" t="s">
        <v>130</v>
      </c>
      <c r="AH84" s="87"/>
      <c r="AI84" s="96">
        <v>8.5297216782E10</v>
      </c>
      <c r="AJ84" s="87" t="s">
        <v>803</v>
      </c>
      <c r="AK84" s="97" t="s">
        <v>804</v>
      </c>
      <c r="AL84" s="87" t="s">
        <v>740</v>
      </c>
      <c r="AM84" s="87" t="s">
        <v>73</v>
      </c>
      <c r="AN84" s="87" t="s">
        <v>74</v>
      </c>
      <c r="AO84" s="87" t="s">
        <v>741</v>
      </c>
      <c r="AP84" s="87" t="s">
        <v>742</v>
      </c>
      <c r="AQ84" s="87"/>
      <c r="AR84" s="87"/>
    </row>
    <row r="85">
      <c r="A85" s="71">
        <f t="shared" si="2"/>
        <v>79</v>
      </c>
      <c r="B85" s="87" t="s">
        <v>805</v>
      </c>
      <c r="C85" s="88" t="s">
        <v>806</v>
      </c>
      <c r="D85" s="89"/>
      <c r="E85" s="89"/>
      <c r="F85" s="89"/>
      <c r="G85" s="89"/>
      <c r="H85" s="89"/>
      <c r="I85" s="90"/>
      <c r="J85" s="89"/>
      <c r="K85" s="89"/>
      <c r="L85" s="90" t="s">
        <v>88</v>
      </c>
      <c r="M85" s="89"/>
      <c r="N85" s="89"/>
      <c r="O85" s="87" t="s">
        <v>532</v>
      </c>
      <c r="P85" s="89"/>
      <c r="Q85" s="92" t="s">
        <v>706</v>
      </c>
      <c r="R85" s="89"/>
      <c r="S85" s="92"/>
      <c r="T85" s="89"/>
      <c r="U85" s="92"/>
      <c r="V85" s="87" t="s">
        <v>285</v>
      </c>
      <c r="W85" s="87" t="s">
        <v>807</v>
      </c>
      <c r="X85" s="87" t="s">
        <v>808</v>
      </c>
      <c r="Y85" s="94">
        <v>36694.0</v>
      </c>
      <c r="Z85" s="90"/>
      <c r="AA85" s="90"/>
      <c r="AB85" s="92"/>
      <c r="AC85" s="81">
        <v>79.0</v>
      </c>
      <c r="AD85" s="92"/>
      <c r="AE85" s="87" t="s">
        <v>67</v>
      </c>
      <c r="AF85" s="92"/>
      <c r="AG85" s="87" t="s">
        <v>68</v>
      </c>
      <c r="AH85" s="87"/>
      <c r="AI85" s="96">
        <v>8.2319344062E10</v>
      </c>
      <c r="AJ85" s="87" t="s">
        <v>809</v>
      </c>
      <c r="AK85" s="97" t="s">
        <v>810</v>
      </c>
      <c r="AL85" s="87" t="s">
        <v>811</v>
      </c>
      <c r="AM85" s="87" t="s">
        <v>96</v>
      </c>
      <c r="AN85" s="87" t="s">
        <v>135</v>
      </c>
      <c r="AO85" s="87" t="s">
        <v>213</v>
      </c>
      <c r="AP85" s="87" t="s">
        <v>214</v>
      </c>
      <c r="AQ85" s="87"/>
      <c r="AR85" s="87"/>
    </row>
    <row r="86">
      <c r="A86" s="71">
        <f t="shared" si="2"/>
        <v>80</v>
      </c>
      <c r="B86" s="87" t="s">
        <v>812</v>
      </c>
      <c r="C86" s="88" t="s">
        <v>813</v>
      </c>
      <c r="D86" s="89"/>
      <c r="E86" s="89"/>
      <c r="F86" s="89"/>
      <c r="G86" s="89"/>
      <c r="H86" s="89"/>
      <c r="I86" s="90"/>
      <c r="J86" s="89"/>
      <c r="K86" s="89"/>
      <c r="L86" s="90" t="s">
        <v>88</v>
      </c>
      <c r="M86" s="89"/>
      <c r="N86" s="89"/>
      <c r="O86" s="87" t="s">
        <v>519</v>
      </c>
      <c r="P86" s="89"/>
      <c r="Q86" s="92" t="s">
        <v>661</v>
      </c>
      <c r="R86" s="89"/>
      <c r="S86" s="92"/>
      <c r="T86" s="89"/>
      <c r="U86" s="92"/>
      <c r="V86" s="87" t="s">
        <v>267</v>
      </c>
      <c r="W86" s="87" t="s">
        <v>814</v>
      </c>
      <c r="X86" s="87" t="s">
        <v>815</v>
      </c>
      <c r="Y86" s="94">
        <v>39319.0</v>
      </c>
      <c r="Z86" s="90"/>
      <c r="AA86" s="90"/>
      <c r="AB86" s="92"/>
      <c r="AC86" s="81">
        <v>80.0</v>
      </c>
      <c r="AD86" s="92"/>
      <c r="AE86" s="87" t="s">
        <v>67</v>
      </c>
      <c r="AF86" s="92"/>
      <c r="AG86" s="87" t="s">
        <v>68</v>
      </c>
      <c r="AH86" s="87"/>
      <c r="AI86" s="96">
        <v>8.1396725996E10</v>
      </c>
      <c r="AJ86" s="87" t="s">
        <v>816</v>
      </c>
      <c r="AK86" s="97" t="s">
        <v>817</v>
      </c>
      <c r="AL86" s="87" t="s">
        <v>818</v>
      </c>
      <c r="AM86" s="87" t="s">
        <v>73</v>
      </c>
      <c r="AN86" s="87" t="s">
        <v>481</v>
      </c>
      <c r="AO86" s="87" t="s">
        <v>741</v>
      </c>
      <c r="AP86" s="87" t="s">
        <v>819</v>
      </c>
      <c r="AQ86" s="87">
        <v>0.0</v>
      </c>
      <c r="AR86" s="87">
        <v>0.0</v>
      </c>
    </row>
    <row r="87">
      <c r="A87" s="71">
        <f t="shared" si="2"/>
        <v>81</v>
      </c>
      <c r="B87" s="87" t="s">
        <v>820</v>
      </c>
      <c r="C87" s="88" t="s">
        <v>821</v>
      </c>
      <c r="D87" s="89"/>
      <c r="E87" s="89"/>
      <c r="F87" s="89"/>
      <c r="G87" s="89"/>
      <c r="H87" s="89"/>
      <c r="I87" s="90"/>
      <c r="J87" s="89"/>
      <c r="K87" s="89"/>
      <c r="L87" s="90" t="s">
        <v>88</v>
      </c>
      <c r="M87" s="89"/>
      <c r="N87" s="89"/>
      <c r="O87" s="87" t="s">
        <v>532</v>
      </c>
      <c r="P87" s="89"/>
      <c r="Q87" s="92" t="s">
        <v>706</v>
      </c>
      <c r="R87" s="89"/>
      <c r="S87" s="92"/>
      <c r="T87" s="89"/>
      <c r="U87" s="92"/>
      <c r="V87" s="87" t="s">
        <v>285</v>
      </c>
      <c r="W87" s="87" t="s">
        <v>399</v>
      </c>
      <c r="X87" s="87" t="s">
        <v>822</v>
      </c>
      <c r="Y87" s="94">
        <v>37422.0</v>
      </c>
      <c r="Z87" s="90"/>
      <c r="AA87" s="90"/>
      <c r="AB87" s="92"/>
      <c r="AC87" s="81">
        <v>81.0</v>
      </c>
      <c r="AD87" s="92"/>
      <c r="AE87" s="87" t="s">
        <v>67</v>
      </c>
      <c r="AF87" s="92"/>
      <c r="AG87" s="87" t="s">
        <v>68</v>
      </c>
      <c r="AH87" s="87"/>
      <c r="AI87" s="96" t="s">
        <v>823</v>
      </c>
      <c r="AJ87" s="87" t="s">
        <v>824</v>
      </c>
      <c r="AK87" s="97" t="s">
        <v>825</v>
      </c>
      <c r="AL87" s="87" t="s">
        <v>826</v>
      </c>
      <c r="AM87" s="87" t="s">
        <v>73</v>
      </c>
      <c r="AN87" s="87" t="s">
        <v>74</v>
      </c>
      <c r="AO87" s="87" t="s">
        <v>360</v>
      </c>
      <c r="AP87" s="87" t="s">
        <v>827</v>
      </c>
      <c r="AQ87" s="87" t="s">
        <v>77</v>
      </c>
      <c r="AR87" s="87" t="s">
        <v>77</v>
      </c>
    </row>
    <row r="88">
      <c r="A88" s="71">
        <f t="shared" si="2"/>
        <v>82</v>
      </c>
      <c r="B88" s="87" t="s">
        <v>828</v>
      </c>
      <c r="C88" s="88" t="s">
        <v>829</v>
      </c>
      <c r="D88" s="89"/>
      <c r="E88" s="89"/>
      <c r="F88" s="89"/>
      <c r="G88" s="89"/>
      <c r="H88" s="89"/>
      <c r="I88" s="90"/>
      <c r="J88" s="89"/>
      <c r="K88" s="89"/>
      <c r="L88" s="90" t="s">
        <v>88</v>
      </c>
      <c r="M88" s="89"/>
      <c r="N88" s="89"/>
      <c r="O88" s="87" t="s">
        <v>532</v>
      </c>
      <c r="P88" s="89"/>
      <c r="Q88" s="92" t="s">
        <v>830</v>
      </c>
      <c r="R88" s="89"/>
      <c r="S88" s="92"/>
      <c r="T88" s="89"/>
      <c r="U88" s="92"/>
      <c r="V88" s="87" t="s">
        <v>285</v>
      </c>
      <c r="W88" s="87"/>
      <c r="X88" s="87" t="s">
        <v>831</v>
      </c>
      <c r="Y88" s="99">
        <v>43257.0</v>
      </c>
      <c r="Z88" s="90"/>
      <c r="AA88" s="90"/>
      <c r="AB88" s="92"/>
      <c r="AC88" s="81">
        <v>82.0</v>
      </c>
      <c r="AD88" s="92"/>
      <c r="AE88" s="87" t="s">
        <v>67</v>
      </c>
      <c r="AF88" s="92"/>
      <c r="AG88" s="87" t="s">
        <v>68</v>
      </c>
      <c r="AH88" s="87"/>
      <c r="AI88" s="96">
        <v>8.2276493863E10</v>
      </c>
      <c r="AJ88" s="87" t="s">
        <v>832</v>
      </c>
      <c r="AK88" s="97" t="s">
        <v>833</v>
      </c>
      <c r="AL88" s="87" t="s">
        <v>834</v>
      </c>
      <c r="AM88" s="87" t="s">
        <v>73</v>
      </c>
      <c r="AN88" s="87" t="s">
        <v>835</v>
      </c>
      <c r="AO88" s="87" t="s">
        <v>191</v>
      </c>
      <c r="AP88" s="87" t="s">
        <v>836</v>
      </c>
      <c r="AQ88" s="87"/>
      <c r="AR88" s="87"/>
    </row>
    <row r="89">
      <c r="A89" s="71">
        <f t="shared" si="2"/>
        <v>83</v>
      </c>
      <c r="B89" s="87" t="s">
        <v>837</v>
      </c>
      <c r="C89" s="88" t="s">
        <v>838</v>
      </c>
      <c r="D89" s="89"/>
      <c r="E89" s="89"/>
      <c r="F89" s="89"/>
      <c r="G89" s="89"/>
      <c r="H89" s="89"/>
      <c r="I89" s="90"/>
      <c r="J89" s="89"/>
      <c r="K89" s="89"/>
      <c r="L89" s="90" t="s">
        <v>88</v>
      </c>
      <c r="M89" s="89"/>
      <c r="N89" s="89"/>
      <c r="O89" s="87" t="s">
        <v>532</v>
      </c>
      <c r="P89" s="89"/>
      <c r="Q89" s="92" t="s">
        <v>839</v>
      </c>
      <c r="R89" s="89"/>
      <c r="S89" s="92"/>
      <c r="T89" s="89"/>
      <c r="U89" s="92"/>
      <c r="V89" s="87" t="s">
        <v>285</v>
      </c>
      <c r="W89" s="87"/>
      <c r="X89" s="87" t="s">
        <v>840</v>
      </c>
      <c r="Y89" s="94">
        <v>35212.0</v>
      </c>
      <c r="Z89" s="90"/>
      <c r="AA89" s="90"/>
      <c r="AB89" s="92"/>
      <c r="AC89" s="81">
        <v>83.0</v>
      </c>
      <c r="AD89" s="92"/>
      <c r="AE89" s="87" t="s">
        <v>67</v>
      </c>
      <c r="AF89" s="92"/>
      <c r="AG89" s="87" t="s">
        <v>68</v>
      </c>
      <c r="AH89" s="87"/>
      <c r="AI89" s="96">
        <v>8.2288109335E10</v>
      </c>
      <c r="AJ89" s="87" t="s">
        <v>841</v>
      </c>
      <c r="AK89" s="97" t="s">
        <v>842</v>
      </c>
      <c r="AL89" s="87" t="s">
        <v>843</v>
      </c>
      <c r="AM89" s="87" t="s">
        <v>73</v>
      </c>
      <c r="AN89" s="87" t="s">
        <v>166</v>
      </c>
      <c r="AO89" s="87" t="s">
        <v>251</v>
      </c>
      <c r="AP89" s="87" t="s">
        <v>844</v>
      </c>
      <c r="AQ89" s="87"/>
      <c r="AR89" s="87"/>
    </row>
    <row r="90">
      <c r="A90" s="71">
        <f t="shared" si="2"/>
        <v>84</v>
      </c>
      <c r="B90" s="87" t="s">
        <v>845</v>
      </c>
      <c r="C90" s="88" t="s">
        <v>846</v>
      </c>
      <c r="D90" s="89"/>
      <c r="E90" s="89"/>
      <c r="F90" s="89"/>
      <c r="G90" s="89"/>
      <c r="H90" s="89"/>
      <c r="I90" s="90"/>
      <c r="J90" s="89"/>
      <c r="K90" s="89"/>
      <c r="L90" s="90" t="s">
        <v>88</v>
      </c>
      <c r="M90" s="89"/>
      <c r="N90" s="89"/>
      <c r="O90" s="87" t="s">
        <v>660</v>
      </c>
      <c r="P90" s="89"/>
      <c r="Q90" s="92" t="s">
        <v>669</v>
      </c>
      <c r="R90" s="89"/>
      <c r="S90" s="92"/>
      <c r="T90" s="89"/>
      <c r="U90" s="92"/>
      <c r="V90" s="87" t="s">
        <v>847</v>
      </c>
      <c r="W90" s="87"/>
      <c r="X90" s="87" t="s">
        <v>848</v>
      </c>
      <c r="Y90" s="94">
        <v>40386.0</v>
      </c>
      <c r="Z90" s="90"/>
      <c r="AA90" s="90"/>
      <c r="AB90" s="92"/>
      <c r="AC90" s="81">
        <v>84.0</v>
      </c>
      <c r="AD90" s="92"/>
      <c r="AE90" s="87" t="s">
        <v>67</v>
      </c>
      <c r="AF90" s="92"/>
      <c r="AG90" s="87" t="s">
        <v>68</v>
      </c>
      <c r="AH90" s="87"/>
      <c r="AI90" s="96">
        <v>8.1234488016E10</v>
      </c>
      <c r="AJ90" s="87" t="s">
        <v>849</v>
      </c>
      <c r="AK90" s="97" t="s">
        <v>850</v>
      </c>
      <c r="AL90" s="87" t="s">
        <v>851</v>
      </c>
      <c r="AM90" s="87" t="s">
        <v>96</v>
      </c>
      <c r="AN90" s="87" t="s">
        <v>97</v>
      </c>
      <c r="AO90" s="87" t="s">
        <v>236</v>
      </c>
      <c r="AP90" s="87" t="s">
        <v>852</v>
      </c>
      <c r="AQ90" s="87" t="s">
        <v>77</v>
      </c>
      <c r="AR90" s="87" t="s">
        <v>77</v>
      </c>
    </row>
    <row r="91">
      <c r="A91" s="71">
        <f t="shared" si="2"/>
        <v>85</v>
      </c>
      <c r="B91" s="87" t="s">
        <v>853</v>
      </c>
      <c r="C91" s="88" t="s">
        <v>854</v>
      </c>
      <c r="D91" s="89"/>
      <c r="E91" s="89"/>
      <c r="F91" s="89"/>
      <c r="G91" s="89"/>
      <c r="H91" s="89"/>
      <c r="I91" s="90"/>
      <c r="J91" s="89"/>
      <c r="K91" s="89"/>
      <c r="L91" s="90" t="s">
        <v>88</v>
      </c>
      <c r="M91" s="89"/>
      <c r="N91" s="89"/>
      <c r="O91" s="87" t="s">
        <v>519</v>
      </c>
      <c r="P91" s="89"/>
      <c r="Q91" s="92" t="s">
        <v>639</v>
      </c>
      <c r="R91" s="89"/>
      <c r="S91" s="92"/>
      <c r="T91" s="89"/>
      <c r="U91" s="92"/>
      <c r="V91" s="87" t="s">
        <v>267</v>
      </c>
      <c r="W91" s="87" t="s">
        <v>855</v>
      </c>
      <c r="X91" s="87" t="s">
        <v>856</v>
      </c>
      <c r="Y91" s="94">
        <v>38610.0</v>
      </c>
      <c r="Z91" s="90"/>
      <c r="AA91" s="90"/>
      <c r="AB91" s="92"/>
      <c r="AC91" s="81">
        <v>85.0</v>
      </c>
      <c r="AD91" s="92"/>
      <c r="AE91" s="87" t="s">
        <v>67</v>
      </c>
      <c r="AF91" s="92"/>
      <c r="AG91" s="87" t="s">
        <v>68</v>
      </c>
      <c r="AH91" s="87"/>
      <c r="AI91" s="96">
        <v>8.1260664382E10</v>
      </c>
      <c r="AJ91" s="87" t="s">
        <v>857</v>
      </c>
      <c r="AK91" s="97" t="s">
        <v>858</v>
      </c>
      <c r="AL91" s="87" t="s">
        <v>859</v>
      </c>
      <c r="AM91" s="87" t="s">
        <v>73</v>
      </c>
      <c r="AN91" s="87" t="s">
        <v>74</v>
      </c>
      <c r="AO91" s="87" t="s">
        <v>860</v>
      </c>
      <c r="AP91" s="87" t="s">
        <v>861</v>
      </c>
      <c r="AQ91" s="87"/>
      <c r="AR91" s="87"/>
    </row>
    <row r="92">
      <c r="A92" s="71">
        <f t="shared" si="2"/>
        <v>86</v>
      </c>
      <c r="B92" s="87" t="s">
        <v>862</v>
      </c>
      <c r="C92" s="88" t="s">
        <v>863</v>
      </c>
      <c r="D92" s="89"/>
      <c r="E92" s="89"/>
      <c r="F92" s="89"/>
      <c r="G92" s="89"/>
      <c r="H92" s="89"/>
      <c r="I92" s="90"/>
      <c r="J92" s="89"/>
      <c r="K92" s="89"/>
      <c r="L92" s="90" t="s">
        <v>88</v>
      </c>
      <c r="M92" s="89"/>
      <c r="N92" s="89"/>
      <c r="O92" s="87" t="s">
        <v>519</v>
      </c>
      <c r="P92" s="89"/>
      <c r="Q92" s="92" t="s">
        <v>639</v>
      </c>
      <c r="R92" s="89"/>
      <c r="S92" s="92"/>
      <c r="T92" s="89"/>
      <c r="U92" s="92"/>
      <c r="V92" s="87" t="s">
        <v>267</v>
      </c>
      <c r="W92" s="87" t="s">
        <v>864</v>
      </c>
      <c r="X92" s="87" t="s">
        <v>865</v>
      </c>
      <c r="Y92" s="99">
        <v>40851.0</v>
      </c>
      <c r="Z92" s="90"/>
      <c r="AA92" s="90"/>
      <c r="AB92" s="92"/>
      <c r="AC92" s="81">
        <v>86.0</v>
      </c>
      <c r="AD92" s="92"/>
      <c r="AE92" s="87" t="s">
        <v>67</v>
      </c>
      <c r="AF92" s="92"/>
      <c r="AG92" s="87" t="s">
        <v>130</v>
      </c>
      <c r="AH92" s="87"/>
      <c r="AI92" s="96" t="s">
        <v>866</v>
      </c>
      <c r="AJ92" s="87" t="s">
        <v>867</v>
      </c>
      <c r="AK92" s="97" t="s">
        <v>868</v>
      </c>
      <c r="AL92" s="87" t="s">
        <v>869</v>
      </c>
      <c r="AM92" s="87" t="s">
        <v>73</v>
      </c>
      <c r="AN92" s="87" t="s">
        <v>166</v>
      </c>
      <c r="AO92" s="87" t="s">
        <v>224</v>
      </c>
      <c r="AP92" s="87" t="s">
        <v>870</v>
      </c>
      <c r="AQ92" s="87" t="s">
        <v>77</v>
      </c>
      <c r="AR92" s="87" t="s">
        <v>77</v>
      </c>
    </row>
    <row r="93">
      <c r="A93" s="71">
        <f t="shared" si="2"/>
        <v>87</v>
      </c>
      <c r="B93" s="87" t="s">
        <v>871</v>
      </c>
      <c r="C93" s="88" t="s">
        <v>872</v>
      </c>
      <c r="D93" s="89"/>
      <c r="E93" s="89"/>
      <c r="F93" s="89"/>
      <c r="G93" s="89"/>
      <c r="H93" s="89"/>
      <c r="I93" s="90"/>
      <c r="J93" s="89"/>
      <c r="K93" s="89"/>
      <c r="L93" s="90" t="s">
        <v>88</v>
      </c>
      <c r="M93" s="89"/>
      <c r="N93" s="89"/>
      <c r="O93" s="87" t="s">
        <v>142</v>
      </c>
      <c r="P93" s="89"/>
      <c r="Q93" s="92" t="s">
        <v>639</v>
      </c>
      <c r="R93" s="89"/>
      <c r="S93" s="92"/>
      <c r="T93" s="89"/>
      <c r="U93" s="92"/>
      <c r="V93" s="87" t="s">
        <v>89</v>
      </c>
      <c r="W93" s="87" t="s">
        <v>873</v>
      </c>
      <c r="X93" s="87" t="s">
        <v>648</v>
      </c>
      <c r="Y93" s="94">
        <v>42245.0</v>
      </c>
      <c r="Z93" s="90"/>
      <c r="AA93" s="90"/>
      <c r="AB93" s="92"/>
      <c r="AC93" s="81">
        <v>87.0</v>
      </c>
      <c r="AD93" s="92"/>
      <c r="AE93" s="87" t="s">
        <v>67</v>
      </c>
      <c r="AF93" s="92"/>
      <c r="AG93" s="87" t="s">
        <v>130</v>
      </c>
      <c r="AH93" s="87"/>
      <c r="AI93" s="96">
        <v>8.5270522827E10</v>
      </c>
      <c r="AJ93" s="87" t="s">
        <v>874</v>
      </c>
      <c r="AK93" s="97" t="s">
        <v>875</v>
      </c>
      <c r="AL93" s="87" t="s">
        <v>876</v>
      </c>
      <c r="AM93" s="87" t="s">
        <v>96</v>
      </c>
      <c r="AN93" s="87" t="s">
        <v>150</v>
      </c>
      <c r="AO93" s="87" t="s">
        <v>877</v>
      </c>
      <c r="AP93" s="87" t="s">
        <v>878</v>
      </c>
      <c r="AQ93" s="87" t="s">
        <v>77</v>
      </c>
      <c r="AR93" s="87" t="s">
        <v>77</v>
      </c>
    </row>
    <row r="94">
      <c r="A94" s="71">
        <f t="shared" si="2"/>
        <v>88</v>
      </c>
      <c r="B94" s="87" t="s">
        <v>879</v>
      </c>
      <c r="C94" s="88" t="s">
        <v>880</v>
      </c>
      <c r="D94" s="89"/>
      <c r="E94" s="89"/>
      <c r="F94" s="89"/>
      <c r="G94" s="89"/>
      <c r="H94" s="89"/>
      <c r="I94" s="90"/>
      <c r="J94" s="89"/>
      <c r="K94" s="89"/>
      <c r="L94" s="90" t="s">
        <v>88</v>
      </c>
      <c r="M94" s="89"/>
      <c r="N94" s="89"/>
      <c r="O94" s="87" t="s">
        <v>532</v>
      </c>
      <c r="P94" s="89"/>
      <c r="Q94" s="92" t="s">
        <v>706</v>
      </c>
      <c r="R94" s="89"/>
      <c r="S94" s="92"/>
      <c r="T94" s="89"/>
      <c r="U94" s="92"/>
      <c r="V94" s="87" t="s">
        <v>285</v>
      </c>
      <c r="W94" s="87"/>
      <c r="X94" s="87" t="s">
        <v>881</v>
      </c>
      <c r="Y94" s="94">
        <v>34485.0</v>
      </c>
      <c r="Z94" s="90"/>
      <c r="AA94" s="90"/>
      <c r="AB94" s="92"/>
      <c r="AC94" s="81">
        <v>88.0</v>
      </c>
      <c r="AD94" s="92"/>
      <c r="AE94" s="87" t="s">
        <v>67</v>
      </c>
      <c r="AF94" s="92"/>
      <c r="AG94" s="87" t="s">
        <v>68</v>
      </c>
      <c r="AH94" s="87"/>
      <c r="AI94" s="96">
        <v>8.5182932795E10</v>
      </c>
      <c r="AJ94" s="87" t="s">
        <v>882</v>
      </c>
      <c r="AK94" s="97" t="s">
        <v>883</v>
      </c>
      <c r="AL94" s="87" t="s">
        <v>884</v>
      </c>
      <c r="AM94" s="87" t="s">
        <v>96</v>
      </c>
      <c r="AN94" s="87" t="s">
        <v>97</v>
      </c>
      <c r="AO94" s="87" t="s">
        <v>213</v>
      </c>
      <c r="AP94" s="87" t="s">
        <v>885</v>
      </c>
      <c r="AQ94" s="87">
        <v>0.0</v>
      </c>
      <c r="AR94" s="87">
        <v>0.0</v>
      </c>
    </row>
    <row r="95">
      <c r="A95" s="71">
        <f t="shared" si="2"/>
        <v>89</v>
      </c>
      <c r="B95" s="87" t="s">
        <v>886</v>
      </c>
      <c r="C95" s="88" t="s">
        <v>887</v>
      </c>
      <c r="D95" s="89"/>
      <c r="E95" s="89"/>
      <c r="F95" s="89"/>
      <c r="G95" s="89"/>
      <c r="H95" s="89"/>
      <c r="I95" s="90"/>
      <c r="J95" s="89"/>
      <c r="K95" s="89"/>
      <c r="L95" s="90" t="s">
        <v>88</v>
      </c>
      <c r="M95" s="89"/>
      <c r="N95" s="89"/>
      <c r="O95" s="87" t="s">
        <v>532</v>
      </c>
      <c r="P95" s="89"/>
      <c r="Q95" s="92" t="s">
        <v>696</v>
      </c>
      <c r="R95" s="89"/>
      <c r="S95" s="92"/>
      <c r="T95" s="89"/>
      <c r="U95" s="92"/>
      <c r="V95" s="87" t="s">
        <v>285</v>
      </c>
      <c r="W95" s="87" t="s">
        <v>807</v>
      </c>
      <c r="X95" s="87" t="s">
        <v>888</v>
      </c>
      <c r="Y95" s="94">
        <v>40294.0</v>
      </c>
      <c r="Z95" s="90"/>
      <c r="AA95" s="90"/>
      <c r="AB95" s="92"/>
      <c r="AC95" s="81">
        <v>89.0</v>
      </c>
      <c r="AD95" s="92"/>
      <c r="AE95" s="87" t="s">
        <v>67</v>
      </c>
      <c r="AF95" s="92"/>
      <c r="AG95" s="87" t="s">
        <v>68</v>
      </c>
      <c r="AH95" s="87"/>
      <c r="AI95" s="96" t="s">
        <v>889</v>
      </c>
      <c r="AJ95" s="87" t="s">
        <v>890</v>
      </c>
      <c r="AK95" s="97" t="s">
        <v>891</v>
      </c>
      <c r="AL95" s="87" t="s">
        <v>892</v>
      </c>
      <c r="AM95" s="87" t="s">
        <v>73</v>
      </c>
      <c r="AN95" s="87" t="s">
        <v>166</v>
      </c>
      <c r="AO95" s="87" t="s">
        <v>167</v>
      </c>
      <c r="AP95" s="87" t="s">
        <v>893</v>
      </c>
      <c r="AQ95" s="87" t="s">
        <v>77</v>
      </c>
      <c r="AR95" s="87">
        <v>15.0</v>
      </c>
    </row>
    <row r="96">
      <c r="A96" s="71">
        <f t="shared" si="2"/>
        <v>90</v>
      </c>
      <c r="B96" s="87" t="s">
        <v>894</v>
      </c>
      <c r="C96" s="88" t="s">
        <v>895</v>
      </c>
      <c r="D96" s="89"/>
      <c r="E96" s="89"/>
      <c r="F96" s="89"/>
      <c r="G96" s="89"/>
      <c r="H96" s="89"/>
      <c r="I96" s="90"/>
      <c r="J96" s="89"/>
      <c r="K96" s="89"/>
      <c r="L96" s="90" t="s">
        <v>88</v>
      </c>
      <c r="M96" s="89"/>
      <c r="N96" s="89"/>
      <c r="O96" s="87" t="s">
        <v>519</v>
      </c>
      <c r="P96" s="89"/>
      <c r="Q96" s="92" t="s">
        <v>661</v>
      </c>
      <c r="R96" s="89"/>
      <c r="S96" s="92"/>
      <c r="T96" s="89"/>
      <c r="U96" s="92"/>
      <c r="V96" s="87" t="s">
        <v>267</v>
      </c>
      <c r="W96" s="87" t="s">
        <v>346</v>
      </c>
      <c r="X96" s="87" t="s">
        <v>896</v>
      </c>
      <c r="Y96" s="94">
        <v>42294.0</v>
      </c>
      <c r="Z96" s="90"/>
      <c r="AA96" s="90"/>
      <c r="AB96" s="92"/>
      <c r="AC96" s="81">
        <v>90.0</v>
      </c>
      <c r="AD96" s="92"/>
      <c r="AE96" s="87" t="s">
        <v>67</v>
      </c>
      <c r="AF96" s="92"/>
      <c r="AG96" s="87" t="s">
        <v>68</v>
      </c>
      <c r="AH96" s="87"/>
      <c r="AI96" s="96">
        <v>8.5762660672E10</v>
      </c>
      <c r="AJ96" s="87" t="s">
        <v>897</v>
      </c>
      <c r="AK96" s="97" t="s">
        <v>898</v>
      </c>
      <c r="AL96" s="87" t="s">
        <v>899</v>
      </c>
      <c r="AM96" s="87" t="s">
        <v>73</v>
      </c>
      <c r="AN96" s="87" t="s">
        <v>481</v>
      </c>
      <c r="AO96" s="87" t="s">
        <v>582</v>
      </c>
      <c r="AP96" s="87" t="s">
        <v>900</v>
      </c>
      <c r="AQ96" s="87">
        <v>0.0</v>
      </c>
      <c r="AR96" s="87">
        <v>0.0</v>
      </c>
    </row>
    <row r="97">
      <c r="A97" s="71">
        <f t="shared" si="2"/>
        <v>91</v>
      </c>
      <c r="B97" s="87" t="s">
        <v>901</v>
      </c>
      <c r="C97" s="88" t="s">
        <v>902</v>
      </c>
      <c r="D97" s="89"/>
      <c r="E97" s="89"/>
      <c r="F97" s="89"/>
      <c r="G97" s="89"/>
      <c r="H97" s="89"/>
      <c r="I97" s="90"/>
      <c r="J97" s="89"/>
      <c r="K97" s="89"/>
      <c r="L97" s="90" t="s">
        <v>88</v>
      </c>
      <c r="M97" s="89"/>
      <c r="N97" s="89"/>
      <c r="O97" s="87" t="s">
        <v>142</v>
      </c>
      <c r="P97" s="89"/>
      <c r="Q97" s="92" t="s">
        <v>639</v>
      </c>
      <c r="R97" s="89"/>
      <c r="S97" s="92"/>
      <c r="T97" s="89"/>
      <c r="U97" s="92"/>
      <c r="V97" s="87" t="s">
        <v>89</v>
      </c>
      <c r="W97" s="87" t="s">
        <v>903</v>
      </c>
      <c r="X97" s="87" t="s">
        <v>904</v>
      </c>
      <c r="Y97" s="94">
        <v>42853.0</v>
      </c>
      <c r="Z97" s="90"/>
      <c r="AA97" s="90"/>
      <c r="AB97" s="92"/>
      <c r="AC97" s="81">
        <v>91.0</v>
      </c>
      <c r="AD97" s="92"/>
      <c r="AE97" s="87" t="s">
        <v>67</v>
      </c>
      <c r="AF97" s="92"/>
      <c r="AG97" s="87" t="s">
        <v>68</v>
      </c>
      <c r="AH97" s="92"/>
      <c r="AI97" s="96">
        <v>8.12653646E9</v>
      </c>
      <c r="AJ97" s="87" t="s">
        <v>905</v>
      </c>
      <c r="AK97" s="97" t="s">
        <v>906</v>
      </c>
      <c r="AL97" s="87" t="s">
        <v>907</v>
      </c>
      <c r="AM97" s="87" t="s">
        <v>73</v>
      </c>
      <c r="AN97" s="87" t="s">
        <v>74</v>
      </c>
      <c r="AO97" s="87" t="s">
        <v>774</v>
      </c>
      <c r="AP97" s="87" t="s">
        <v>775</v>
      </c>
      <c r="AQ97" s="87"/>
      <c r="AR97" s="87"/>
    </row>
    <row r="98">
      <c r="A98" s="71">
        <f t="shared" si="2"/>
        <v>92</v>
      </c>
      <c r="B98" s="87" t="s">
        <v>908</v>
      </c>
      <c r="C98" s="88" t="s">
        <v>909</v>
      </c>
      <c r="D98" s="89"/>
      <c r="E98" s="89"/>
      <c r="F98" s="89"/>
      <c r="G98" s="89"/>
      <c r="H98" s="89"/>
      <c r="I98" s="90"/>
      <c r="J98" s="89"/>
      <c r="K98" s="89"/>
      <c r="L98" s="90" t="s">
        <v>88</v>
      </c>
      <c r="M98" s="89"/>
      <c r="N98" s="89"/>
      <c r="O98" s="87" t="s">
        <v>532</v>
      </c>
      <c r="P98" s="89"/>
      <c r="Q98" s="92" t="s">
        <v>720</v>
      </c>
      <c r="R98" s="89"/>
      <c r="S98" s="92"/>
      <c r="T98" s="89"/>
      <c r="U98" s="92"/>
      <c r="V98" s="87" t="s">
        <v>285</v>
      </c>
      <c r="W98" s="87" t="s">
        <v>910</v>
      </c>
      <c r="X98" s="87" t="s">
        <v>911</v>
      </c>
      <c r="Y98" s="94">
        <v>34118.0</v>
      </c>
      <c r="Z98" s="90"/>
      <c r="AA98" s="90"/>
      <c r="AB98" s="92"/>
      <c r="AC98" s="81">
        <v>92.0</v>
      </c>
      <c r="AD98" s="92"/>
      <c r="AE98" s="87" t="s">
        <v>67</v>
      </c>
      <c r="AF98" s="92"/>
      <c r="AG98" s="87" t="s">
        <v>68</v>
      </c>
      <c r="AH98" s="92"/>
      <c r="AI98" s="96">
        <v>8.1263264727E10</v>
      </c>
      <c r="AJ98" s="87" t="s">
        <v>912</v>
      </c>
      <c r="AK98" s="97" t="s">
        <v>913</v>
      </c>
      <c r="AL98" s="87" t="s">
        <v>914</v>
      </c>
      <c r="AM98" s="87" t="s">
        <v>73</v>
      </c>
      <c r="AN98" s="87" t="s">
        <v>166</v>
      </c>
      <c r="AO98" s="87" t="s">
        <v>915</v>
      </c>
      <c r="AP98" s="87" t="s">
        <v>916</v>
      </c>
      <c r="AQ98" s="87">
        <v>15.0</v>
      </c>
      <c r="AR98" s="87">
        <v>8.0</v>
      </c>
    </row>
    <row r="99">
      <c r="A99" s="71">
        <f t="shared" si="2"/>
        <v>93</v>
      </c>
      <c r="B99" s="87" t="s">
        <v>917</v>
      </c>
      <c r="C99" s="88" t="s">
        <v>918</v>
      </c>
      <c r="D99" s="89"/>
      <c r="E99" s="89"/>
      <c r="F99" s="89"/>
      <c r="G99" s="89"/>
      <c r="H99" s="89"/>
      <c r="I99" s="90"/>
      <c r="J99" s="89"/>
      <c r="K99" s="89"/>
      <c r="L99" s="90" t="s">
        <v>88</v>
      </c>
      <c r="M99" s="89"/>
      <c r="N99" s="89"/>
      <c r="O99" s="87" t="s">
        <v>532</v>
      </c>
      <c r="P99" s="89"/>
      <c r="Q99" s="92" t="s">
        <v>706</v>
      </c>
      <c r="R99" s="89"/>
      <c r="S99" s="92"/>
      <c r="T99" s="89"/>
      <c r="U99" s="92"/>
      <c r="V99" s="87" t="s">
        <v>285</v>
      </c>
      <c r="W99" s="87" t="s">
        <v>919</v>
      </c>
      <c r="X99" s="87" t="s">
        <v>920</v>
      </c>
      <c r="Y99" s="99">
        <v>35584.0</v>
      </c>
      <c r="Z99" s="90"/>
      <c r="AA99" s="90"/>
      <c r="AB99" s="92"/>
      <c r="AC99" s="81">
        <v>93.0</v>
      </c>
      <c r="AD99" s="92"/>
      <c r="AE99" s="87" t="s">
        <v>67</v>
      </c>
      <c r="AF99" s="92"/>
      <c r="AG99" s="87" t="s">
        <v>68</v>
      </c>
      <c r="AH99" s="92"/>
      <c r="AI99" s="96" t="s">
        <v>921</v>
      </c>
      <c r="AJ99" s="87" t="s">
        <v>922</v>
      </c>
      <c r="AK99" s="97" t="s">
        <v>923</v>
      </c>
      <c r="AL99" s="87" t="s">
        <v>924</v>
      </c>
      <c r="AM99" s="87" t="s">
        <v>73</v>
      </c>
      <c r="AN99" s="87" t="s">
        <v>74</v>
      </c>
      <c r="AO99" s="87" t="s">
        <v>925</v>
      </c>
      <c r="AP99" s="87" t="s">
        <v>926</v>
      </c>
      <c r="AQ99" s="87" t="s">
        <v>77</v>
      </c>
      <c r="AR99" s="87" t="s">
        <v>77</v>
      </c>
    </row>
    <row r="100">
      <c r="A100" s="71">
        <f t="shared" si="2"/>
        <v>94</v>
      </c>
      <c r="B100" s="87" t="s">
        <v>927</v>
      </c>
      <c r="C100" s="88" t="s">
        <v>928</v>
      </c>
      <c r="D100" s="89"/>
      <c r="E100" s="89"/>
      <c r="F100" s="89"/>
      <c r="G100" s="89"/>
      <c r="H100" s="89"/>
      <c r="I100" s="90"/>
      <c r="J100" s="89"/>
      <c r="K100" s="89"/>
      <c r="L100" s="90" t="s">
        <v>88</v>
      </c>
      <c r="M100" s="89"/>
      <c r="N100" s="89"/>
      <c r="O100" s="87" t="s">
        <v>142</v>
      </c>
      <c r="P100" s="89"/>
      <c r="Q100" s="92" t="s">
        <v>706</v>
      </c>
      <c r="R100" s="89"/>
      <c r="S100" s="92"/>
      <c r="T100" s="89"/>
      <c r="U100" s="92"/>
      <c r="V100" s="87" t="s">
        <v>89</v>
      </c>
      <c r="W100" s="87" t="s">
        <v>218</v>
      </c>
      <c r="X100" s="87" t="s">
        <v>219</v>
      </c>
      <c r="Y100" s="94">
        <v>44028.0</v>
      </c>
      <c r="Z100" s="90"/>
      <c r="AA100" s="90"/>
      <c r="AB100" s="92"/>
      <c r="AC100" s="81">
        <v>94.0</v>
      </c>
      <c r="AD100" s="92"/>
      <c r="AE100" s="87" t="s">
        <v>67</v>
      </c>
      <c r="AF100" s="92"/>
      <c r="AG100" s="87" t="s">
        <v>68</v>
      </c>
      <c r="AH100" s="92"/>
      <c r="AI100" s="96">
        <v>8.2289442622E10</v>
      </c>
      <c r="AJ100" s="87" t="s">
        <v>929</v>
      </c>
      <c r="AK100" s="97" t="s">
        <v>930</v>
      </c>
      <c r="AL100" s="87" t="s">
        <v>931</v>
      </c>
      <c r="AM100" s="87" t="s">
        <v>96</v>
      </c>
      <c r="AN100" s="87" t="s">
        <v>74</v>
      </c>
      <c r="AO100" s="87" t="s">
        <v>932</v>
      </c>
      <c r="AP100" s="87" t="s">
        <v>933</v>
      </c>
      <c r="AQ100" s="87" t="s">
        <v>934</v>
      </c>
      <c r="AR100" s="87" t="s">
        <v>934</v>
      </c>
    </row>
    <row r="101">
      <c r="A101" s="71">
        <f t="shared" si="2"/>
        <v>95</v>
      </c>
      <c r="B101" s="87" t="s">
        <v>935</v>
      </c>
      <c r="C101" s="88" t="s">
        <v>936</v>
      </c>
      <c r="D101" s="89"/>
      <c r="E101" s="89"/>
      <c r="F101" s="89"/>
      <c r="G101" s="89"/>
      <c r="H101" s="89"/>
      <c r="I101" s="90"/>
      <c r="J101" s="89"/>
      <c r="K101" s="89"/>
      <c r="L101" s="90" t="s">
        <v>88</v>
      </c>
      <c r="M101" s="89"/>
      <c r="N101" s="89"/>
      <c r="O101" s="87" t="s">
        <v>142</v>
      </c>
      <c r="P101" s="89"/>
      <c r="Q101" s="92" t="s">
        <v>639</v>
      </c>
      <c r="R101" s="89"/>
      <c r="S101" s="92"/>
      <c r="T101" s="89"/>
      <c r="U101" s="92"/>
      <c r="V101" s="87" t="s">
        <v>89</v>
      </c>
      <c r="W101" s="87" t="s">
        <v>937</v>
      </c>
      <c r="X101" s="87" t="s">
        <v>938</v>
      </c>
      <c r="Y101" s="99">
        <v>42315.0</v>
      </c>
      <c r="Z101" s="90"/>
      <c r="AA101" s="90"/>
      <c r="AB101" s="92"/>
      <c r="AC101" s="81">
        <v>95.0</v>
      </c>
      <c r="AD101" s="92"/>
      <c r="AE101" s="87" t="s">
        <v>67</v>
      </c>
      <c r="AF101" s="92"/>
      <c r="AG101" s="87" t="s">
        <v>68</v>
      </c>
      <c r="AH101" s="92"/>
      <c r="AI101" s="96">
        <v>8.12603389E10</v>
      </c>
      <c r="AJ101" s="87" t="s">
        <v>939</v>
      </c>
      <c r="AK101" s="97" t="s">
        <v>940</v>
      </c>
      <c r="AL101" s="87" t="s">
        <v>941</v>
      </c>
      <c r="AM101" s="87" t="s">
        <v>73</v>
      </c>
      <c r="AN101" s="87" t="s">
        <v>481</v>
      </c>
      <c r="AO101" s="87" t="s">
        <v>774</v>
      </c>
      <c r="AP101" s="87" t="s">
        <v>942</v>
      </c>
      <c r="AQ101" s="87">
        <v>0.0</v>
      </c>
      <c r="AR101" s="87">
        <v>0.0</v>
      </c>
    </row>
    <row r="102">
      <c r="A102" s="71">
        <f t="shared" si="2"/>
        <v>96</v>
      </c>
      <c r="B102" s="87" t="s">
        <v>943</v>
      </c>
      <c r="C102" s="88" t="s">
        <v>944</v>
      </c>
      <c r="D102" s="89"/>
      <c r="E102" s="89"/>
      <c r="F102" s="89"/>
      <c r="G102" s="89"/>
      <c r="H102" s="89"/>
      <c r="I102" s="90"/>
      <c r="J102" s="89"/>
      <c r="K102" s="89"/>
      <c r="L102" s="90" t="s">
        <v>88</v>
      </c>
      <c r="M102" s="89"/>
      <c r="N102" s="89"/>
      <c r="O102" s="87" t="s">
        <v>532</v>
      </c>
      <c r="P102" s="89"/>
      <c r="Q102" s="92" t="s">
        <v>945</v>
      </c>
      <c r="R102" s="89"/>
      <c r="S102" s="92"/>
      <c r="T102" s="89"/>
      <c r="U102" s="92"/>
      <c r="V102" s="87" t="s">
        <v>285</v>
      </c>
      <c r="W102" s="87" t="s">
        <v>946</v>
      </c>
      <c r="X102" s="87" t="s">
        <v>947</v>
      </c>
      <c r="Y102" s="94">
        <v>41055.0</v>
      </c>
      <c r="Z102" s="90"/>
      <c r="AA102" s="90"/>
      <c r="AB102" s="92"/>
      <c r="AC102" s="81">
        <v>96.0</v>
      </c>
      <c r="AD102" s="92"/>
      <c r="AE102" s="87" t="s">
        <v>67</v>
      </c>
      <c r="AF102" s="92"/>
      <c r="AG102" s="87" t="s">
        <v>68</v>
      </c>
      <c r="AH102" s="92"/>
      <c r="AI102" s="96">
        <v>8.2247825048E10</v>
      </c>
      <c r="AJ102" s="87" t="s">
        <v>948</v>
      </c>
      <c r="AK102" s="97" t="s">
        <v>949</v>
      </c>
      <c r="AL102" s="87" t="s">
        <v>950</v>
      </c>
      <c r="AM102" s="87" t="s">
        <v>73</v>
      </c>
      <c r="AN102" s="87" t="s">
        <v>166</v>
      </c>
      <c r="AO102" s="87" t="s">
        <v>596</v>
      </c>
      <c r="AP102" s="87" t="s">
        <v>951</v>
      </c>
      <c r="AQ102" s="87"/>
      <c r="AR102" s="87"/>
    </row>
    <row r="103">
      <c r="A103" s="71">
        <f t="shared" si="2"/>
        <v>97</v>
      </c>
      <c r="B103" s="87" t="s">
        <v>952</v>
      </c>
      <c r="C103" s="88" t="s">
        <v>953</v>
      </c>
      <c r="D103" s="89"/>
      <c r="E103" s="89"/>
      <c r="F103" s="89"/>
      <c r="G103" s="89"/>
      <c r="H103" s="89"/>
      <c r="I103" s="90"/>
      <c r="J103" s="89"/>
      <c r="K103" s="89"/>
      <c r="L103" s="90" t="s">
        <v>88</v>
      </c>
      <c r="M103" s="89"/>
      <c r="N103" s="89"/>
      <c r="O103" s="87" t="s">
        <v>532</v>
      </c>
      <c r="P103" s="89"/>
      <c r="Q103" s="92" t="s">
        <v>954</v>
      </c>
      <c r="R103" s="89"/>
      <c r="S103" s="92"/>
      <c r="T103" s="89"/>
      <c r="U103" s="92"/>
      <c r="V103" s="87"/>
      <c r="W103" s="87"/>
      <c r="X103" s="87"/>
      <c r="Y103" s="100"/>
      <c r="Z103" s="90"/>
      <c r="AA103" s="90"/>
      <c r="AB103" s="92"/>
      <c r="AC103" s="81">
        <v>97.0</v>
      </c>
      <c r="AD103" s="92"/>
      <c r="AE103" s="87"/>
      <c r="AF103" s="92"/>
      <c r="AG103" s="87" t="s">
        <v>68</v>
      </c>
      <c r="AH103" s="92"/>
      <c r="AI103" s="96"/>
      <c r="AJ103" s="87"/>
      <c r="AK103" s="97" t="s">
        <v>955</v>
      </c>
      <c r="AL103" s="87"/>
      <c r="AM103" s="87"/>
      <c r="AN103" s="87"/>
      <c r="AO103" s="87"/>
      <c r="AP103" s="87"/>
      <c r="AQ103" s="87"/>
      <c r="AR103" s="87"/>
    </row>
    <row r="104">
      <c r="A104" s="71">
        <f t="shared" si="2"/>
        <v>98</v>
      </c>
      <c r="B104" s="87" t="s">
        <v>956</v>
      </c>
      <c r="C104" s="88" t="s">
        <v>957</v>
      </c>
      <c r="D104" s="89"/>
      <c r="E104" s="89"/>
      <c r="F104" s="89"/>
      <c r="G104" s="89"/>
      <c r="H104" s="89"/>
      <c r="I104" s="90"/>
      <c r="J104" s="89"/>
      <c r="K104" s="89"/>
      <c r="L104" s="90" t="s">
        <v>88</v>
      </c>
      <c r="M104" s="89"/>
      <c r="N104" s="89"/>
      <c r="O104" s="87" t="s">
        <v>142</v>
      </c>
      <c r="P104" s="89"/>
      <c r="Q104" s="92" t="s">
        <v>639</v>
      </c>
      <c r="R104" s="89"/>
      <c r="S104" s="92"/>
      <c r="T104" s="89"/>
      <c r="U104" s="92"/>
      <c r="V104" s="87" t="s">
        <v>89</v>
      </c>
      <c r="W104" s="87" t="s">
        <v>218</v>
      </c>
      <c r="X104" s="87" t="s">
        <v>219</v>
      </c>
      <c r="Y104" s="94">
        <v>43708.0</v>
      </c>
      <c r="Z104" s="90"/>
      <c r="AA104" s="90"/>
      <c r="AB104" s="92"/>
      <c r="AC104" s="81">
        <v>98.0</v>
      </c>
      <c r="AD104" s="92"/>
      <c r="AE104" s="87" t="s">
        <v>67</v>
      </c>
      <c r="AF104" s="92"/>
      <c r="AG104" s="87" t="s">
        <v>130</v>
      </c>
      <c r="AH104" s="92"/>
      <c r="AI104" s="96">
        <v>8.1361181456E10</v>
      </c>
      <c r="AJ104" s="87" t="s">
        <v>958</v>
      </c>
      <c r="AK104" s="97" t="s">
        <v>959</v>
      </c>
      <c r="AL104" s="87" t="s">
        <v>656</v>
      </c>
      <c r="AM104" s="87" t="s">
        <v>96</v>
      </c>
      <c r="AN104" s="87" t="s">
        <v>97</v>
      </c>
      <c r="AO104" s="87" t="s">
        <v>499</v>
      </c>
      <c r="AP104" s="87" t="s">
        <v>657</v>
      </c>
      <c r="AQ104" s="87"/>
      <c r="AR104" s="87"/>
    </row>
    <row r="105">
      <c r="A105" s="71">
        <f t="shared" si="2"/>
        <v>99</v>
      </c>
      <c r="B105" s="87" t="s">
        <v>960</v>
      </c>
      <c r="C105" s="88" t="s">
        <v>961</v>
      </c>
      <c r="D105" s="89"/>
      <c r="E105" s="89"/>
      <c r="F105" s="89"/>
      <c r="G105" s="89"/>
      <c r="H105" s="89"/>
      <c r="I105" s="90"/>
      <c r="J105" s="89"/>
      <c r="K105" s="89"/>
      <c r="L105" s="90" t="s">
        <v>88</v>
      </c>
      <c r="M105" s="89"/>
      <c r="N105" s="89"/>
      <c r="O105" s="87" t="s">
        <v>532</v>
      </c>
      <c r="P105" s="89"/>
      <c r="Q105" s="92" t="s">
        <v>661</v>
      </c>
      <c r="R105" s="89"/>
      <c r="S105" s="92"/>
      <c r="T105" s="89"/>
      <c r="U105" s="92"/>
      <c r="V105" s="87" t="s">
        <v>285</v>
      </c>
      <c r="W105" s="87" t="s">
        <v>962</v>
      </c>
      <c r="X105" s="87" t="s">
        <v>963</v>
      </c>
      <c r="Y105" s="94">
        <v>40294.0</v>
      </c>
      <c r="Z105" s="90"/>
      <c r="AA105" s="90"/>
      <c r="AB105" s="92"/>
      <c r="AC105" s="81">
        <v>99.0</v>
      </c>
      <c r="AD105" s="92"/>
      <c r="AE105" s="87" t="s">
        <v>67</v>
      </c>
      <c r="AF105" s="92"/>
      <c r="AG105" s="87" t="s">
        <v>68</v>
      </c>
      <c r="AH105" s="92"/>
      <c r="AI105" s="96">
        <v>8.5206034799E10</v>
      </c>
      <c r="AJ105" s="87" t="s">
        <v>964</v>
      </c>
      <c r="AK105" s="97" t="s">
        <v>965</v>
      </c>
      <c r="AL105" s="87" t="s">
        <v>966</v>
      </c>
      <c r="AM105" s="87" t="s">
        <v>73</v>
      </c>
      <c r="AN105" s="87" t="s">
        <v>74</v>
      </c>
      <c r="AO105" s="87" t="s">
        <v>191</v>
      </c>
      <c r="AP105" s="87" t="s">
        <v>967</v>
      </c>
      <c r="AQ105" s="87">
        <v>0.0</v>
      </c>
      <c r="AR105" s="87">
        <v>0.0</v>
      </c>
    </row>
    <row r="106">
      <c r="A106" s="71">
        <f t="shared" si="2"/>
        <v>100</v>
      </c>
      <c r="B106" s="87" t="s">
        <v>968</v>
      </c>
      <c r="C106" s="88" t="s">
        <v>969</v>
      </c>
      <c r="D106" s="89"/>
      <c r="E106" s="89"/>
      <c r="F106" s="89"/>
      <c r="G106" s="89"/>
      <c r="H106" s="89"/>
      <c r="I106" s="90"/>
      <c r="J106" s="89"/>
      <c r="K106" s="89"/>
      <c r="L106" s="90" t="s">
        <v>88</v>
      </c>
      <c r="M106" s="89"/>
      <c r="N106" s="89"/>
      <c r="O106" s="87" t="s">
        <v>532</v>
      </c>
      <c r="P106" s="89"/>
      <c r="Q106" s="92" t="s">
        <v>706</v>
      </c>
      <c r="R106" s="89"/>
      <c r="S106" s="92"/>
      <c r="T106" s="89"/>
      <c r="U106" s="92"/>
      <c r="V106" s="87" t="s">
        <v>285</v>
      </c>
      <c r="W106" s="87" t="s">
        <v>946</v>
      </c>
      <c r="X106" s="87" t="s">
        <v>970</v>
      </c>
      <c r="Y106" s="94">
        <v>42139.0</v>
      </c>
      <c r="Z106" s="90"/>
      <c r="AA106" s="90"/>
      <c r="AB106" s="92"/>
      <c r="AC106" s="81">
        <v>100.0</v>
      </c>
      <c r="AD106" s="92"/>
      <c r="AE106" s="87" t="s">
        <v>67</v>
      </c>
      <c r="AF106" s="92"/>
      <c r="AG106" s="87" t="s">
        <v>68</v>
      </c>
      <c r="AH106" s="92"/>
      <c r="AI106" s="96">
        <v>8.887709434E9</v>
      </c>
      <c r="AJ106" s="87" t="s">
        <v>971</v>
      </c>
      <c r="AK106" s="97" t="s">
        <v>972</v>
      </c>
      <c r="AL106" s="87" t="s">
        <v>973</v>
      </c>
      <c r="AM106" s="87" t="s">
        <v>73</v>
      </c>
      <c r="AN106" s="87" t="s">
        <v>166</v>
      </c>
      <c r="AO106" s="87" t="s">
        <v>915</v>
      </c>
      <c r="AP106" s="87" t="s">
        <v>974</v>
      </c>
      <c r="AQ106" s="87">
        <v>4.0</v>
      </c>
      <c r="AR106" s="87">
        <v>2.0</v>
      </c>
    </row>
    <row r="107">
      <c r="A107" s="71">
        <f t="shared" si="2"/>
        <v>101</v>
      </c>
      <c r="B107" s="87" t="s">
        <v>975</v>
      </c>
      <c r="C107" s="88" t="s">
        <v>976</v>
      </c>
      <c r="D107" s="89"/>
      <c r="E107" s="89"/>
      <c r="F107" s="89"/>
      <c r="G107" s="89"/>
      <c r="H107" s="89"/>
      <c r="I107" s="90"/>
      <c r="J107" s="89"/>
      <c r="K107" s="89"/>
      <c r="L107" s="90" t="s">
        <v>88</v>
      </c>
      <c r="M107" s="89"/>
      <c r="N107" s="89"/>
      <c r="O107" s="87" t="s">
        <v>660</v>
      </c>
      <c r="P107" s="89"/>
      <c r="Q107" s="92" t="s">
        <v>661</v>
      </c>
      <c r="R107" s="89"/>
      <c r="S107" s="92"/>
      <c r="T107" s="89"/>
      <c r="U107" s="92"/>
      <c r="V107" s="87" t="s">
        <v>847</v>
      </c>
      <c r="W107" s="87" t="s">
        <v>77</v>
      </c>
      <c r="X107" s="87" t="s">
        <v>977</v>
      </c>
      <c r="Y107" s="99">
        <v>35220.0</v>
      </c>
      <c r="Z107" s="90"/>
      <c r="AA107" s="90"/>
      <c r="AB107" s="92"/>
      <c r="AC107" s="81">
        <v>101.0</v>
      </c>
      <c r="AD107" s="92"/>
      <c r="AE107" s="87" t="s">
        <v>67</v>
      </c>
      <c r="AF107" s="92"/>
      <c r="AG107" s="87" t="s">
        <v>68</v>
      </c>
      <c r="AH107" s="92"/>
      <c r="AI107" s="96">
        <v>8.5358080909E10</v>
      </c>
      <c r="AJ107" s="87" t="s">
        <v>978</v>
      </c>
      <c r="AK107" s="97" t="s">
        <v>979</v>
      </c>
      <c r="AL107" s="87" t="s">
        <v>980</v>
      </c>
      <c r="AM107" s="87" t="s">
        <v>73</v>
      </c>
      <c r="AN107" s="87" t="s">
        <v>481</v>
      </c>
      <c r="AO107" s="87" t="s">
        <v>981</v>
      </c>
      <c r="AP107" s="87" t="s">
        <v>982</v>
      </c>
      <c r="AQ107" s="87">
        <v>0.0</v>
      </c>
      <c r="AR107" s="87">
        <v>0.0</v>
      </c>
    </row>
    <row r="108">
      <c r="A108" s="71">
        <f t="shared" si="2"/>
        <v>102</v>
      </c>
      <c r="B108" s="87" t="s">
        <v>983</v>
      </c>
      <c r="C108" s="88" t="s">
        <v>984</v>
      </c>
      <c r="D108" s="89"/>
      <c r="E108" s="89"/>
      <c r="F108" s="89"/>
      <c r="G108" s="89"/>
      <c r="H108" s="89"/>
      <c r="I108" s="90"/>
      <c r="J108" s="89"/>
      <c r="K108" s="89"/>
      <c r="L108" s="90" t="s">
        <v>88</v>
      </c>
      <c r="M108" s="89"/>
      <c r="N108" s="89"/>
      <c r="O108" s="87" t="s">
        <v>532</v>
      </c>
      <c r="P108" s="89"/>
      <c r="Q108" s="92" t="s">
        <v>639</v>
      </c>
      <c r="R108" s="89"/>
      <c r="S108" s="92"/>
      <c r="T108" s="89"/>
      <c r="U108" s="92"/>
      <c r="V108" s="87" t="s">
        <v>285</v>
      </c>
      <c r="W108" s="87"/>
      <c r="X108" s="87" t="s">
        <v>985</v>
      </c>
      <c r="Y108" s="99">
        <v>42857.0</v>
      </c>
      <c r="Z108" s="90"/>
      <c r="AA108" s="90"/>
      <c r="AB108" s="92"/>
      <c r="AC108" s="81">
        <v>102.0</v>
      </c>
      <c r="AD108" s="92"/>
      <c r="AE108" s="87" t="s">
        <v>67</v>
      </c>
      <c r="AF108" s="92"/>
      <c r="AG108" s="87" t="s">
        <v>68</v>
      </c>
      <c r="AH108" s="92"/>
      <c r="AI108" s="96">
        <v>8.2289265706E10</v>
      </c>
      <c r="AJ108" s="87" t="s">
        <v>986</v>
      </c>
      <c r="AK108" s="97" t="s">
        <v>987</v>
      </c>
      <c r="AL108" s="87" t="s">
        <v>988</v>
      </c>
      <c r="AM108" s="87" t="s">
        <v>73</v>
      </c>
      <c r="AN108" s="87" t="s">
        <v>74</v>
      </c>
      <c r="AO108" s="87" t="s">
        <v>989</v>
      </c>
      <c r="AP108" s="87" t="s">
        <v>990</v>
      </c>
      <c r="AQ108" s="87"/>
      <c r="AR108" s="87"/>
    </row>
    <row r="109">
      <c r="A109" s="71">
        <f t="shared" si="2"/>
        <v>103</v>
      </c>
      <c r="B109" s="87" t="s">
        <v>991</v>
      </c>
      <c r="C109" s="88" t="s">
        <v>992</v>
      </c>
      <c r="D109" s="89"/>
      <c r="E109" s="89"/>
      <c r="F109" s="89"/>
      <c r="G109" s="89"/>
      <c r="H109" s="89"/>
      <c r="I109" s="90"/>
      <c r="J109" s="89"/>
      <c r="K109" s="89"/>
      <c r="L109" s="90" t="s">
        <v>88</v>
      </c>
      <c r="M109" s="89"/>
      <c r="N109" s="89"/>
      <c r="O109" s="87" t="s">
        <v>532</v>
      </c>
      <c r="P109" s="89"/>
      <c r="Q109" s="92" t="s">
        <v>945</v>
      </c>
      <c r="R109" s="89"/>
      <c r="S109" s="92"/>
      <c r="T109" s="89"/>
      <c r="U109" s="92"/>
      <c r="V109" s="87" t="s">
        <v>285</v>
      </c>
      <c r="W109" s="87" t="s">
        <v>993</v>
      </c>
      <c r="X109" s="87" t="s">
        <v>994</v>
      </c>
      <c r="Y109" s="94">
        <v>40679.0</v>
      </c>
      <c r="Z109" s="90"/>
      <c r="AA109" s="90"/>
      <c r="AB109" s="92"/>
      <c r="AC109" s="81">
        <v>103.0</v>
      </c>
      <c r="AD109" s="92"/>
      <c r="AE109" s="87" t="s">
        <v>67</v>
      </c>
      <c r="AF109" s="92"/>
      <c r="AG109" s="87" t="s">
        <v>68</v>
      </c>
      <c r="AH109" s="92"/>
      <c r="AI109" s="96">
        <v>8.1284282243E10</v>
      </c>
      <c r="AJ109" s="87" t="s">
        <v>995</v>
      </c>
      <c r="AK109" s="97" t="s">
        <v>996</v>
      </c>
      <c r="AL109" s="87" t="s">
        <v>997</v>
      </c>
      <c r="AM109" s="87" t="s">
        <v>73</v>
      </c>
      <c r="AN109" s="87" t="s">
        <v>74</v>
      </c>
      <c r="AO109" s="87" t="s">
        <v>178</v>
      </c>
      <c r="AP109" s="87" t="s">
        <v>998</v>
      </c>
      <c r="AQ109" s="87"/>
      <c r="AR109" s="87"/>
    </row>
    <row r="110">
      <c r="A110" s="71">
        <f t="shared" si="2"/>
        <v>104</v>
      </c>
      <c r="B110" s="87" t="s">
        <v>999</v>
      </c>
      <c r="C110" s="88" t="s">
        <v>1000</v>
      </c>
      <c r="D110" s="89"/>
      <c r="E110" s="89"/>
      <c r="F110" s="89"/>
      <c r="G110" s="89"/>
      <c r="H110" s="89"/>
      <c r="I110" s="90"/>
      <c r="J110" s="89"/>
      <c r="K110" s="89"/>
      <c r="L110" s="90" t="s">
        <v>88</v>
      </c>
      <c r="M110" s="89"/>
      <c r="N110" s="89"/>
      <c r="O110" s="87" t="s">
        <v>532</v>
      </c>
      <c r="P110" s="89"/>
      <c r="Q110" s="92" t="s">
        <v>639</v>
      </c>
      <c r="R110" s="89"/>
      <c r="S110" s="92"/>
      <c r="T110" s="89"/>
      <c r="U110" s="92"/>
      <c r="V110" s="87" t="s">
        <v>285</v>
      </c>
      <c r="W110" s="87" t="s">
        <v>1001</v>
      </c>
      <c r="X110" s="87" t="s">
        <v>1002</v>
      </c>
      <c r="Y110" s="94">
        <v>43598.0</v>
      </c>
      <c r="Z110" s="90"/>
      <c r="AA110" s="90"/>
      <c r="AB110" s="92"/>
      <c r="AC110" s="81">
        <v>104.0</v>
      </c>
      <c r="AD110" s="92"/>
      <c r="AE110" s="87" t="s">
        <v>67</v>
      </c>
      <c r="AF110" s="92"/>
      <c r="AG110" s="87" t="s">
        <v>68</v>
      </c>
      <c r="AH110" s="92"/>
      <c r="AI110" s="96">
        <v>8.7875109184E10</v>
      </c>
      <c r="AJ110" s="87" t="s">
        <v>1003</v>
      </c>
      <c r="AK110" s="97" t="s">
        <v>1004</v>
      </c>
      <c r="AL110" s="87" t="s">
        <v>1005</v>
      </c>
      <c r="AM110" s="87" t="s">
        <v>96</v>
      </c>
      <c r="AN110" s="87" t="s">
        <v>135</v>
      </c>
      <c r="AO110" s="87" t="s">
        <v>1006</v>
      </c>
      <c r="AP110" s="87" t="s">
        <v>1007</v>
      </c>
      <c r="AQ110" s="87">
        <v>0.0</v>
      </c>
      <c r="AR110" s="87">
        <v>0.0</v>
      </c>
    </row>
    <row r="111">
      <c r="A111" s="71">
        <f t="shared" si="2"/>
        <v>105</v>
      </c>
      <c r="B111" s="87" t="s">
        <v>1008</v>
      </c>
      <c r="C111" s="88" t="s">
        <v>1009</v>
      </c>
      <c r="D111" s="89"/>
      <c r="E111" s="89"/>
      <c r="F111" s="89"/>
      <c r="G111" s="89"/>
      <c r="H111" s="89"/>
      <c r="I111" s="90"/>
      <c r="J111" s="89"/>
      <c r="K111" s="89"/>
      <c r="L111" s="90" t="s">
        <v>88</v>
      </c>
      <c r="M111" s="89"/>
      <c r="N111" s="89"/>
      <c r="O111" s="87" t="s">
        <v>142</v>
      </c>
      <c r="P111" s="89"/>
      <c r="Q111" s="92" t="s">
        <v>639</v>
      </c>
      <c r="R111" s="89"/>
      <c r="S111" s="92"/>
      <c r="T111" s="89"/>
      <c r="U111" s="92"/>
      <c r="V111" s="87" t="s">
        <v>89</v>
      </c>
      <c r="W111" s="87" t="s">
        <v>160</v>
      </c>
      <c r="X111" s="87" t="s">
        <v>1010</v>
      </c>
      <c r="Y111" s="99">
        <v>40154.0</v>
      </c>
      <c r="Z111" s="90"/>
      <c r="AA111" s="90"/>
      <c r="AB111" s="92"/>
      <c r="AC111" s="81">
        <v>105.0</v>
      </c>
      <c r="AD111" s="92"/>
      <c r="AE111" s="87" t="s">
        <v>67</v>
      </c>
      <c r="AF111" s="92"/>
      <c r="AG111" s="87" t="s">
        <v>68</v>
      </c>
      <c r="AH111" s="92"/>
      <c r="AI111" s="96">
        <v>8.1260004343E10</v>
      </c>
      <c r="AJ111" s="87" t="s">
        <v>1011</v>
      </c>
      <c r="AK111" s="97" t="s">
        <v>1012</v>
      </c>
      <c r="AL111" s="87" t="s">
        <v>1013</v>
      </c>
      <c r="AM111" s="87" t="s">
        <v>96</v>
      </c>
      <c r="AN111" s="87" t="s">
        <v>97</v>
      </c>
      <c r="AO111" s="87" t="s">
        <v>425</v>
      </c>
      <c r="AP111" s="87" t="s">
        <v>1014</v>
      </c>
      <c r="AQ111" s="87" t="s">
        <v>77</v>
      </c>
      <c r="AR111" s="87" t="s">
        <v>77</v>
      </c>
    </row>
    <row r="112">
      <c r="A112" s="71">
        <f t="shared" si="2"/>
        <v>106</v>
      </c>
      <c r="B112" s="87" t="s">
        <v>1015</v>
      </c>
      <c r="C112" s="88" t="s">
        <v>1016</v>
      </c>
      <c r="D112" s="89"/>
      <c r="E112" s="89"/>
      <c r="F112" s="89"/>
      <c r="G112" s="89"/>
      <c r="H112" s="89"/>
      <c r="I112" s="90"/>
      <c r="J112" s="89"/>
      <c r="K112" s="89"/>
      <c r="L112" s="90" t="s">
        <v>88</v>
      </c>
      <c r="M112" s="89"/>
      <c r="N112" s="89"/>
      <c r="O112" s="87" t="s">
        <v>532</v>
      </c>
      <c r="P112" s="89"/>
      <c r="Q112" s="92" t="s">
        <v>751</v>
      </c>
      <c r="R112" s="89"/>
      <c r="S112" s="92"/>
      <c r="T112" s="89"/>
      <c r="U112" s="92"/>
      <c r="V112" s="87" t="s">
        <v>285</v>
      </c>
      <c r="W112" s="87" t="s">
        <v>1017</v>
      </c>
      <c r="X112" s="87" t="s">
        <v>1018</v>
      </c>
      <c r="Y112" s="94">
        <v>39977.0</v>
      </c>
      <c r="Z112" s="90"/>
      <c r="AA112" s="90"/>
      <c r="AB112" s="92"/>
      <c r="AC112" s="81">
        <v>106.0</v>
      </c>
      <c r="AD112" s="92"/>
      <c r="AE112" s="87" t="s">
        <v>67</v>
      </c>
      <c r="AF112" s="92"/>
      <c r="AG112" s="87" t="s">
        <v>68</v>
      </c>
      <c r="AH112" s="92"/>
      <c r="AI112" s="96">
        <v>8.1360619561E10</v>
      </c>
      <c r="AJ112" s="87" t="s">
        <v>1019</v>
      </c>
      <c r="AK112" s="97" t="s">
        <v>1020</v>
      </c>
      <c r="AL112" s="87" t="s">
        <v>1021</v>
      </c>
      <c r="AM112" s="87" t="s">
        <v>96</v>
      </c>
      <c r="AN112" s="87" t="s">
        <v>97</v>
      </c>
      <c r="AO112" s="87" t="s">
        <v>1022</v>
      </c>
      <c r="AP112" s="87" t="s">
        <v>1023</v>
      </c>
      <c r="AQ112" s="87"/>
      <c r="AR112" s="87"/>
    </row>
    <row r="113">
      <c r="A113" s="71">
        <f t="shared" si="2"/>
        <v>107</v>
      </c>
      <c r="B113" s="87" t="s">
        <v>1024</v>
      </c>
      <c r="C113" s="88" t="s">
        <v>1025</v>
      </c>
      <c r="D113" s="89"/>
      <c r="E113" s="89"/>
      <c r="F113" s="89"/>
      <c r="G113" s="89"/>
      <c r="H113" s="89"/>
      <c r="I113" s="90"/>
      <c r="J113" s="89"/>
      <c r="K113" s="89"/>
      <c r="L113" s="90" t="s">
        <v>88</v>
      </c>
      <c r="M113" s="89"/>
      <c r="N113" s="89"/>
      <c r="O113" s="87" t="s">
        <v>142</v>
      </c>
      <c r="P113" s="89"/>
      <c r="Q113" s="92" t="s">
        <v>639</v>
      </c>
      <c r="R113" s="89"/>
      <c r="S113" s="92"/>
      <c r="T113" s="89"/>
      <c r="U113" s="92"/>
      <c r="V113" s="87" t="s">
        <v>89</v>
      </c>
      <c r="W113" s="87" t="s">
        <v>647</v>
      </c>
      <c r="X113" s="87" t="s">
        <v>1026</v>
      </c>
      <c r="Y113" s="94">
        <v>44466.0</v>
      </c>
      <c r="Z113" s="90"/>
      <c r="AA113" s="90"/>
      <c r="AB113" s="92"/>
      <c r="AC113" s="81">
        <v>107.0</v>
      </c>
      <c r="AD113" s="92"/>
      <c r="AE113" s="87" t="s">
        <v>67</v>
      </c>
      <c r="AF113" s="92"/>
      <c r="AG113" s="87" t="s">
        <v>68</v>
      </c>
      <c r="AH113" s="92"/>
      <c r="AI113" s="96">
        <v>8.1359947934E10</v>
      </c>
      <c r="AJ113" s="87"/>
      <c r="AK113" s="97" t="s">
        <v>1027</v>
      </c>
      <c r="AL113" s="87" t="s">
        <v>1028</v>
      </c>
      <c r="AM113" s="87" t="s">
        <v>1029</v>
      </c>
      <c r="AN113" s="87" t="s">
        <v>514</v>
      </c>
      <c r="AO113" s="87" t="s">
        <v>1030</v>
      </c>
      <c r="AP113" s="87" t="s">
        <v>1031</v>
      </c>
      <c r="AQ113" s="87">
        <v>0.0</v>
      </c>
      <c r="AR113" s="87">
        <v>0.0</v>
      </c>
    </row>
    <row r="114">
      <c r="A114" s="71">
        <f t="shared" si="2"/>
        <v>108</v>
      </c>
      <c r="B114" s="87" t="s">
        <v>1032</v>
      </c>
      <c r="C114" s="88" t="s">
        <v>1033</v>
      </c>
      <c r="D114" s="89"/>
      <c r="E114" s="89"/>
      <c r="F114" s="89"/>
      <c r="G114" s="89"/>
      <c r="H114" s="89"/>
      <c r="I114" s="90"/>
      <c r="J114" s="89"/>
      <c r="K114" s="89"/>
      <c r="L114" s="90" t="s">
        <v>88</v>
      </c>
      <c r="M114" s="89"/>
      <c r="N114" s="89"/>
      <c r="O114" s="87" t="s">
        <v>532</v>
      </c>
      <c r="P114" s="89"/>
      <c r="Q114" s="92" t="s">
        <v>1034</v>
      </c>
      <c r="R114" s="89"/>
      <c r="S114" s="92"/>
      <c r="T114" s="89"/>
      <c r="U114" s="92"/>
      <c r="V114" s="87" t="s">
        <v>285</v>
      </c>
      <c r="W114" s="87" t="s">
        <v>1035</v>
      </c>
      <c r="X114" s="87" t="s">
        <v>1036</v>
      </c>
      <c r="Y114" s="94">
        <v>40294.0</v>
      </c>
      <c r="Z114" s="90"/>
      <c r="AA114" s="90"/>
      <c r="AB114" s="92"/>
      <c r="AC114" s="81">
        <v>108.0</v>
      </c>
      <c r="AD114" s="92"/>
      <c r="AE114" s="87" t="s">
        <v>67</v>
      </c>
      <c r="AF114" s="92"/>
      <c r="AG114" s="87" t="s">
        <v>68</v>
      </c>
      <c r="AH114" s="92"/>
      <c r="AI114" s="96">
        <v>8.1265703307E10</v>
      </c>
      <c r="AJ114" s="87" t="s">
        <v>1037</v>
      </c>
      <c r="AK114" s="97" t="s">
        <v>1038</v>
      </c>
      <c r="AL114" s="87" t="s">
        <v>1039</v>
      </c>
      <c r="AM114" s="87" t="s">
        <v>73</v>
      </c>
      <c r="AN114" s="87" t="s">
        <v>74</v>
      </c>
      <c r="AO114" s="87" t="s">
        <v>178</v>
      </c>
      <c r="AP114" s="87" t="s">
        <v>179</v>
      </c>
      <c r="AQ114" s="87" t="s">
        <v>77</v>
      </c>
      <c r="AR114" s="87" t="s">
        <v>77</v>
      </c>
    </row>
    <row r="115">
      <c r="A115" s="71">
        <f t="shared" si="2"/>
        <v>109</v>
      </c>
      <c r="B115" s="87" t="s">
        <v>1040</v>
      </c>
      <c r="C115" s="88" t="s">
        <v>1041</v>
      </c>
      <c r="D115" s="89"/>
      <c r="E115" s="89"/>
      <c r="F115" s="89"/>
      <c r="G115" s="89"/>
      <c r="H115" s="89"/>
      <c r="I115" s="90"/>
      <c r="J115" s="89"/>
      <c r="K115" s="89"/>
      <c r="L115" s="90" t="s">
        <v>88</v>
      </c>
      <c r="M115" s="89"/>
      <c r="N115" s="89"/>
      <c r="O115" s="87" t="s">
        <v>660</v>
      </c>
      <c r="P115" s="89"/>
      <c r="Q115" s="92" t="s">
        <v>1042</v>
      </c>
      <c r="R115" s="89"/>
      <c r="S115" s="92"/>
      <c r="T115" s="89"/>
      <c r="U115" s="92"/>
      <c r="V115" s="87" t="s">
        <v>600</v>
      </c>
      <c r="W115" s="87" t="s">
        <v>77</v>
      </c>
      <c r="X115" s="87" t="s">
        <v>1043</v>
      </c>
      <c r="Y115" s="94">
        <v>44739.0</v>
      </c>
      <c r="Z115" s="90"/>
      <c r="AA115" s="90"/>
      <c r="AB115" s="92"/>
      <c r="AC115" s="81">
        <v>109.0</v>
      </c>
      <c r="AD115" s="92"/>
      <c r="AE115" s="87" t="s">
        <v>67</v>
      </c>
      <c r="AF115" s="92"/>
      <c r="AG115" s="87" t="s">
        <v>68</v>
      </c>
      <c r="AH115" s="92"/>
      <c r="AI115" s="96">
        <v>8.5834000686E10</v>
      </c>
      <c r="AJ115" s="87" t="s">
        <v>1044</v>
      </c>
      <c r="AK115" s="97" t="s">
        <v>1045</v>
      </c>
      <c r="AL115" s="87" t="s">
        <v>1046</v>
      </c>
      <c r="AM115" s="87" t="s">
        <v>73</v>
      </c>
      <c r="AN115" s="87" t="s">
        <v>74</v>
      </c>
      <c r="AO115" s="87" t="s">
        <v>1047</v>
      </c>
      <c r="AP115" s="87" t="s">
        <v>1048</v>
      </c>
      <c r="AQ115" s="87">
        <v>0.0</v>
      </c>
      <c r="AR115" s="87">
        <v>0.0</v>
      </c>
    </row>
    <row r="116">
      <c r="A116" s="71">
        <f t="shared" si="2"/>
        <v>110</v>
      </c>
      <c r="B116" s="87" t="s">
        <v>1049</v>
      </c>
      <c r="C116" s="88" t="s">
        <v>1050</v>
      </c>
      <c r="D116" s="89"/>
      <c r="E116" s="89"/>
      <c r="F116" s="89"/>
      <c r="G116" s="89"/>
      <c r="H116" s="89"/>
      <c r="I116" s="90"/>
      <c r="J116" s="89"/>
      <c r="K116" s="89"/>
      <c r="L116" s="90" t="s">
        <v>88</v>
      </c>
      <c r="M116" s="89"/>
      <c r="N116" s="89"/>
      <c r="O116" s="87" t="s">
        <v>142</v>
      </c>
      <c r="P116" s="89"/>
      <c r="Q116" s="92" t="s">
        <v>639</v>
      </c>
      <c r="R116" s="89"/>
      <c r="S116" s="92"/>
      <c r="T116" s="89"/>
      <c r="U116" s="92"/>
      <c r="V116" s="87" t="s">
        <v>89</v>
      </c>
      <c r="W116" s="87" t="s">
        <v>1051</v>
      </c>
      <c r="X116" s="87" t="s">
        <v>745</v>
      </c>
      <c r="Y116" s="94">
        <v>44469.0</v>
      </c>
      <c r="Z116" s="90"/>
      <c r="AA116" s="90"/>
      <c r="AB116" s="92"/>
      <c r="AC116" s="81">
        <v>110.0</v>
      </c>
      <c r="AD116" s="92"/>
      <c r="AE116" s="87" t="s">
        <v>67</v>
      </c>
      <c r="AF116" s="92"/>
      <c r="AG116" s="87" t="s">
        <v>130</v>
      </c>
      <c r="AH116" s="92"/>
      <c r="AI116" s="96">
        <v>8.116393444E9</v>
      </c>
      <c r="AJ116" s="87"/>
      <c r="AK116" s="97" t="s">
        <v>1052</v>
      </c>
      <c r="AL116" s="87" t="s">
        <v>1053</v>
      </c>
      <c r="AM116" s="87" t="s">
        <v>73</v>
      </c>
      <c r="AN116" s="87" t="s">
        <v>74</v>
      </c>
      <c r="AO116" s="87" t="s">
        <v>360</v>
      </c>
      <c r="AP116" s="87" t="s">
        <v>666</v>
      </c>
      <c r="AQ116" s="87">
        <v>0.0</v>
      </c>
      <c r="AR116" s="87">
        <v>0.0</v>
      </c>
    </row>
    <row r="117">
      <c r="A117" s="71">
        <f t="shared" si="2"/>
        <v>111</v>
      </c>
      <c r="B117" s="87" t="s">
        <v>1054</v>
      </c>
      <c r="C117" s="88" t="s">
        <v>1055</v>
      </c>
      <c r="D117" s="89"/>
      <c r="E117" s="89"/>
      <c r="F117" s="89"/>
      <c r="G117" s="89"/>
      <c r="H117" s="89"/>
      <c r="I117" s="90"/>
      <c r="J117" s="89"/>
      <c r="K117" s="89"/>
      <c r="L117" s="90" t="s">
        <v>88</v>
      </c>
      <c r="M117" s="89"/>
      <c r="N117" s="89"/>
      <c r="O117" s="87" t="s">
        <v>142</v>
      </c>
      <c r="P117" s="89"/>
      <c r="Q117" s="92" t="s">
        <v>639</v>
      </c>
      <c r="R117" s="89"/>
      <c r="S117" s="92"/>
      <c r="T117" s="89"/>
      <c r="U117" s="92"/>
      <c r="V117" s="87" t="s">
        <v>89</v>
      </c>
      <c r="W117" s="87" t="s">
        <v>160</v>
      </c>
      <c r="X117" s="87" t="s">
        <v>1026</v>
      </c>
      <c r="Y117" s="94">
        <v>41897.0</v>
      </c>
      <c r="Z117" s="90"/>
      <c r="AA117" s="90"/>
      <c r="AB117" s="92"/>
      <c r="AC117" s="81">
        <v>111.0</v>
      </c>
      <c r="AD117" s="92"/>
      <c r="AE117" s="87" t="s">
        <v>67</v>
      </c>
      <c r="AF117" s="92"/>
      <c r="AG117" s="87" t="s">
        <v>68</v>
      </c>
      <c r="AH117" s="92"/>
      <c r="AI117" s="96">
        <v>8.2277441221E10</v>
      </c>
      <c r="AJ117" s="87" t="s">
        <v>1056</v>
      </c>
      <c r="AK117" s="97" t="s">
        <v>1057</v>
      </c>
      <c r="AL117" s="87" t="s">
        <v>1058</v>
      </c>
      <c r="AM117" s="87" t="s">
        <v>96</v>
      </c>
      <c r="AN117" s="87" t="s">
        <v>1059</v>
      </c>
      <c r="AO117" s="87" t="s">
        <v>1060</v>
      </c>
      <c r="AP117" s="87" t="s">
        <v>1061</v>
      </c>
      <c r="AQ117" s="87">
        <v>0.0</v>
      </c>
      <c r="AR117" s="87">
        <v>0.0</v>
      </c>
    </row>
    <row r="118">
      <c r="A118" s="71">
        <f t="shared" si="2"/>
        <v>112</v>
      </c>
      <c r="B118" s="87" t="s">
        <v>1062</v>
      </c>
      <c r="C118" s="88" t="s">
        <v>1063</v>
      </c>
      <c r="D118" s="89"/>
      <c r="E118" s="89"/>
      <c r="F118" s="89"/>
      <c r="G118" s="89"/>
      <c r="H118" s="89"/>
      <c r="I118" s="90"/>
      <c r="J118" s="89"/>
      <c r="K118" s="89"/>
      <c r="L118" s="90" t="s">
        <v>88</v>
      </c>
      <c r="M118" s="89"/>
      <c r="N118" s="89"/>
      <c r="O118" s="87" t="s">
        <v>532</v>
      </c>
      <c r="P118" s="89"/>
      <c r="Q118" s="92" t="s">
        <v>661</v>
      </c>
      <c r="R118" s="89"/>
      <c r="S118" s="92"/>
      <c r="T118" s="89"/>
      <c r="U118" s="92"/>
      <c r="V118" s="87" t="s">
        <v>285</v>
      </c>
      <c r="W118" s="87" t="s">
        <v>1064</v>
      </c>
      <c r="X118" s="87" t="s">
        <v>1065</v>
      </c>
      <c r="Y118" s="94">
        <v>35938.0</v>
      </c>
      <c r="Z118" s="90"/>
      <c r="AA118" s="90"/>
      <c r="AB118" s="92"/>
      <c r="AC118" s="81">
        <v>112.0</v>
      </c>
      <c r="AD118" s="92"/>
      <c r="AE118" s="87" t="s">
        <v>67</v>
      </c>
      <c r="AF118" s="92"/>
      <c r="AG118" s="87" t="s">
        <v>130</v>
      </c>
      <c r="AH118" s="92"/>
      <c r="AI118" s="96">
        <v>8.126079066E10</v>
      </c>
      <c r="AJ118" s="87" t="s">
        <v>1066</v>
      </c>
      <c r="AK118" s="97" t="s">
        <v>1067</v>
      </c>
      <c r="AL118" s="87" t="s">
        <v>1068</v>
      </c>
      <c r="AM118" s="87" t="s">
        <v>96</v>
      </c>
      <c r="AN118" s="87" t="s">
        <v>74</v>
      </c>
      <c r="AO118" s="87" t="s">
        <v>1047</v>
      </c>
      <c r="AP118" s="87" t="s">
        <v>1048</v>
      </c>
      <c r="AQ118" s="87">
        <v>0.0</v>
      </c>
      <c r="AR118" s="87">
        <v>0.0</v>
      </c>
    </row>
    <row r="119">
      <c r="A119" s="71">
        <f t="shared" si="2"/>
        <v>113</v>
      </c>
      <c r="B119" s="87" t="s">
        <v>1069</v>
      </c>
      <c r="C119" s="88" t="s">
        <v>1070</v>
      </c>
      <c r="D119" s="89"/>
      <c r="E119" s="89"/>
      <c r="F119" s="89"/>
      <c r="G119" s="89"/>
      <c r="H119" s="89"/>
      <c r="I119" s="90"/>
      <c r="J119" s="89"/>
      <c r="K119" s="89"/>
      <c r="L119" s="90" t="s">
        <v>88</v>
      </c>
      <c r="M119" s="89"/>
      <c r="N119" s="89"/>
      <c r="O119" s="87" t="s">
        <v>519</v>
      </c>
      <c r="P119" s="89"/>
      <c r="Q119" s="92" t="s">
        <v>639</v>
      </c>
      <c r="R119" s="89"/>
      <c r="S119" s="92"/>
      <c r="T119" s="89"/>
      <c r="U119" s="92"/>
      <c r="V119" s="87" t="s">
        <v>267</v>
      </c>
      <c r="W119" s="87" t="s">
        <v>1071</v>
      </c>
      <c r="X119" s="87" t="s">
        <v>244</v>
      </c>
      <c r="Y119" s="94">
        <v>41207.0</v>
      </c>
      <c r="Z119" s="90"/>
      <c r="AA119" s="90"/>
      <c r="AB119" s="92"/>
      <c r="AC119" s="81">
        <v>113.0</v>
      </c>
      <c r="AD119" s="92"/>
      <c r="AE119" s="87" t="s">
        <v>67</v>
      </c>
      <c r="AF119" s="92"/>
      <c r="AG119" s="87" t="s">
        <v>130</v>
      </c>
      <c r="AH119" s="92"/>
      <c r="AI119" s="96">
        <v>8.5275894063E10</v>
      </c>
      <c r="AJ119" s="87" t="s">
        <v>1072</v>
      </c>
      <c r="AK119" s="97" t="s">
        <v>1073</v>
      </c>
      <c r="AL119" s="87"/>
      <c r="AM119" s="87" t="s">
        <v>73</v>
      </c>
      <c r="AN119" s="87" t="s">
        <v>74</v>
      </c>
      <c r="AO119" s="87" t="s">
        <v>932</v>
      </c>
      <c r="AP119" s="87" t="s">
        <v>1074</v>
      </c>
      <c r="AQ119" s="87"/>
      <c r="AR119" s="87"/>
    </row>
    <row r="120">
      <c r="A120" s="71">
        <f t="shared" si="2"/>
        <v>114</v>
      </c>
      <c r="B120" s="87" t="s">
        <v>1075</v>
      </c>
      <c r="C120" s="88" t="s">
        <v>1076</v>
      </c>
      <c r="D120" s="89"/>
      <c r="E120" s="89"/>
      <c r="F120" s="89"/>
      <c r="G120" s="89"/>
      <c r="H120" s="89"/>
      <c r="I120" s="90"/>
      <c r="J120" s="89"/>
      <c r="K120" s="89"/>
      <c r="L120" s="90" t="s">
        <v>88</v>
      </c>
      <c r="M120" s="89"/>
      <c r="N120" s="89"/>
      <c r="O120" s="87" t="s">
        <v>532</v>
      </c>
      <c r="P120" s="89"/>
      <c r="Q120" s="92" t="s">
        <v>839</v>
      </c>
      <c r="R120" s="89"/>
      <c r="S120" s="92"/>
      <c r="T120" s="89"/>
      <c r="U120" s="92"/>
      <c r="V120" s="87" t="s">
        <v>285</v>
      </c>
      <c r="W120" s="87" t="s">
        <v>1077</v>
      </c>
      <c r="X120" s="87" t="s">
        <v>1078</v>
      </c>
      <c r="Y120" s="94">
        <v>42139.0</v>
      </c>
      <c r="Z120" s="90"/>
      <c r="AA120" s="90"/>
      <c r="AB120" s="92"/>
      <c r="AC120" s="81">
        <v>114.0</v>
      </c>
      <c r="AD120" s="92"/>
      <c r="AE120" s="87" t="s">
        <v>67</v>
      </c>
      <c r="AF120" s="92"/>
      <c r="AG120" s="87" t="s">
        <v>130</v>
      </c>
      <c r="AH120" s="92"/>
      <c r="AI120" s="96">
        <v>8.1269101409E10</v>
      </c>
      <c r="AJ120" s="87" t="s">
        <v>1079</v>
      </c>
      <c r="AK120" s="97" t="s">
        <v>1080</v>
      </c>
      <c r="AL120" s="87" t="s">
        <v>1081</v>
      </c>
      <c r="AM120" s="87" t="s">
        <v>73</v>
      </c>
      <c r="AN120" s="87" t="s">
        <v>74</v>
      </c>
      <c r="AO120" s="87" t="s">
        <v>1082</v>
      </c>
      <c r="AP120" s="87" t="s">
        <v>1083</v>
      </c>
      <c r="AQ120" s="87"/>
      <c r="AR120" s="87"/>
    </row>
    <row r="121">
      <c r="A121" s="71">
        <f t="shared" si="2"/>
        <v>115</v>
      </c>
      <c r="B121" s="87" t="s">
        <v>1084</v>
      </c>
      <c r="C121" s="88" t="s">
        <v>1085</v>
      </c>
      <c r="D121" s="89"/>
      <c r="E121" s="89"/>
      <c r="F121" s="89"/>
      <c r="G121" s="89"/>
      <c r="H121" s="89"/>
      <c r="I121" s="90"/>
      <c r="J121" s="89"/>
      <c r="K121" s="89"/>
      <c r="L121" s="90" t="s">
        <v>88</v>
      </c>
      <c r="M121" s="89"/>
      <c r="N121" s="89"/>
      <c r="O121" s="87" t="s">
        <v>532</v>
      </c>
      <c r="P121" s="89"/>
      <c r="Q121" s="92" t="s">
        <v>1034</v>
      </c>
      <c r="R121" s="89"/>
      <c r="S121" s="92"/>
      <c r="T121" s="89"/>
      <c r="U121" s="92"/>
      <c r="V121" s="87" t="s">
        <v>285</v>
      </c>
      <c r="W121" s="87" t="s">
        <v>1086</v>
      </c>
      <c r="X121" s="87" t="s">
        <v>1087</v>
      </c>
      <c r="Y121" s="94">
        <v>45621.0</v>
      </c>
      <c r="Z121" s="90"/>
      <c r="AA121" s="90"/>
      <c r="AB121" s="92"/>
      <c r="AC121" s="81">
        <v>115.0</v>
      </c>
      <c r="AD121" s="92"/>
      <c r="AE121" s="87" t="s">
        <v>67</v>
      </c>
      <c r="AF121" s="92"/>
      <c r="AG121" s="87" t="s">
        <v>130</v>
      </c>
      <c r="AH121" s="92"/>
      <c r="AI121" s="96">
        <v>8.1385773949E10</v>
      </c>
      <c r="AJ121" s="87" t="s">
        <v>1088</v>
      </c>
      <c r="AK121" s="97" t="s">
        <v>1089</v>
      </c>
      <c r="AL121" s="87" t="s">
        <v>1090</v>
      </c>
      <c r="AM121" s="87" t="s">
        <v>73</v>
      </c>
      <c r="AN121" s="87" t="s">
        <v>1091</v>
      </c>
      <c r="AO121" s="87" t="s">
        <v>1092</v>
      </c>
      <c r="AP121" s="87" t="s">
        <v>1090</v>
      </c>
      <c r="AQ121" s="87">
        <v>0.0</v>
      </c>
      <c r="AR121" s="87">
        <v>0.0</v>
      </c>
    </row>
    <row r="122">
      <c r="A122" s="71">
        <f t="shared" si="2"/>
        <v>116</v>
      </c>
      <c r="B122" s="87" t="s">
        <v>1093</v>
      </c>
      <c r="C122" s="88" t="s">
        <v>1094</v>
      </c>
      <c r="D122" s="89"/>
      <c r="E122" s="89"/>
      <c r="F122" s="89"/>
      <c r="G122" s="89"/>
      <c r="H122" s="89"/>
      <c r="I122" s="90"/>
      <c r="J122" s="89"/>
      <c r="K122" s="89"/>
      <c r="L122" s="90" t="s">
        <v>88</v>
      </c>
      <c r="M122" s="89"/>
      <c r="N122" s="89"/>
      <c r="O122" s="87" t="s">
        <v>532</v>
      </c>
      <c r="P122" s="89"/>
      <c r="Q122" s="92" t="s">
        <v>661</v>
      </c>
      <c r="R122" s="89"/>
      <c r="S122" s="92"/>
      <c r="T122" s="89"/>
      <c r="U122" s="92"/>
      <c r="V122" s="87" t="s">
        <v>285</v>
      </c>
      <c r="W122" s="87" t="s">
        <v>374</v>
      </c>
      <c r="X122" s="87" t="s">
        <v>1095</v>
      </c>
      <c r="Y122" s="94">
        <v>37063.0</v>
      </c>
      <c r="Z122" s="90"/>
      <c r="AA122" s="90"/>
      <c r="AB122" s="92"/>
      <c r="AC122" s="81">
        <v>116.0</v>
      </c>
      <c r="AD122" s="92"/>
      <c r="AE122" s="87" t="s">
        <v>67</v>
      </c>
      <c r="AF122" s="92"/>
      <c r="AG122" s="87" t="s">
        <v>130</v>
      </c>
      <c r="AH122" s="92"/>
      <c r="AI122" s="96" t="s">
        <v>1096</v>
      </c>
      <c r="AJ122" s="87" t="s">
        <v>1097</v>
      </c>
      <c r="AK122" s="97" t="s">
        <v>1098</v>
      </c>
      <c r="AL122" s="87" t="s">
        <v>1099</v>
      </c>
      <c r="AM122" s="87" t="s">
        <v>73</v>
      </c>
      <c r="AN122" s="87" t="s">
        <v>74</v>
      </c>
      <c r="AO122" s="87" t="s">
        <v>989</v>
      </c>
      <c r="AP122" s="87" t="s">
        <v>1100</v>
      </c>
      <c r="AQ122" s="87" t="s">
        <v>77</v>
      </c>
      <c r="AR122" s="87" t="s">
        <v>77</v>
      </c>
    </row>
    <row r="123">
      <c r="A123" s="71">
        <f t="shared" si="2"/>
        <v>117</v>
      </c>
      <c r="B123" s="87" t="s">
        <v>1101</v>
      </c>
      <c r="C123" s="88" t="s">
        <v>1102</v>
      </c>
      <c r="D123" s="89"/>
      <c r="E123" s="89"/>
      <c r="F123" s="89"/>
      <c r="G123" s="89"/>
      <c r="H123" s="89"/>
      <c r="I123" s="90"/>
      <c r="J123" s="89"/>
      <c r="K123" s="89"/>
      <c r="L123" s="90" t="s">
        <v>88</v>
      </c>
      <c r="M123" s="89"/>
      <c r="N123" s="89"/>
      <c r="O123" s="87" t="s">
        <v>142</v>
      </c>
      <c r="P123" s="89"/>
      <c r="Q123" s="92" t="s">
        <v>639</v>
      </c>
      <c r="R123" s="89"/>
      <c r="S123" s="92"/>
      <c r="T123" s="89"/>
      <c r="U123" s="92"/>
      <c r="V123" s="87" t="s">
        <v>89</v>
      </c>
      <c r="W123" s="87"/>
      <c r="X123" s="87" t="s">
        <v>1103</v>
      </c>
      <c r="Y123" s="100" t="s">
        <v>1104</v>
      </c>
      <c r="Z123" s="90"/>
      <c r="AA123" s="90"/>
      <c r="AB123" s="92"/>
      <c r="AC123" s="81">
        <v>117.0</v>
      </c>
      <c r="AD123" s="92"/>
      <c r="AE123" s="87" t="s">
        <v>67</v>
      </c>
      <c r="AF123" s="92"/>
      <c r="AG123" s="87" t="s">
        <v>130</v>
      </c>
      <c r="AH123" s="92"/>
      <c r="AI123" s="96">
        <v>8.116220237E9</v>
      </c>
      <c r="AJ123" s="87" t="s">
        <v>1105</v>
      </c>
      <c r="AK123" s="97" t="s">
        <v>1106</v>
      </c>
      <c r="AL123" s="87" t="s">
        <v>1107</v>
      </c>
      <c r="AM123" s="87" t="s">
        <v>96</v>
      </c>
      <c r="AN123" s="87" t="s">
        <v>97</v>
      </c>
      <c r="AO123" s="87" t="s">
        <v>236</v>
      </c>
      <c r="AP123" s="87" t="s">
        <v>852</v>
      </c>
      <c r="AQ123" s="87"/>
      <c r="AR123" s="87"/>
    </row>
    <row r="124">
      <c r="A124" s="71">
        <f t="shared" si="2"/>
        <v>118</v>
      </c>
      <c r="B124" s="87" t="s">
        <v>1108</v>
      </c>
      <c r="C124" s="88" t="s">
        <v>1109</v>
      </c>
      <c r="D124" s="89"/>
      <c r="E124" s="89"/>
      <c r="F124" s="89"/>
      <c r="G124" s="89"/>
      <c r="H124" s="89"/>
      <c r="I124" s="90"/>
      <c r="J124" s="89"/>
      <c r="K124" s="89"/>
      <c r="L124" s="90" t="s">
        <v>88</v>
      </c>
      <c r="M124" s="89"/>
      <c r="N124" s="89"/>
      <c r="O124" s="87" t="s">
        <v>532</v>
      </c>
      <c r="P124" s="89"/>
      <c r="Q124" s="92" t="s">
        <v>661</v>
      </c>
      <c r="R124" s="89"/>
      <c r="S124" s="92"/>
      <c r="T124" s="89"/>
      <c r="U124" s="92"/>
      <c r="V124" s="87" t="s">
        <v>285</v>
      </c>
      <c r="W124" s="87" t="s">
        <v>1110</v>
      </c>
      <c r="X124" s="87" t="s">
        <v>1111</v>
      </c>
      <c r="Y124" s="94">
        <v>34118.0</v>
      </c>
      <c r="Z124" s="90"/>
      <c r="AA124" s="90"/>
      <c r="AB124" s="92"/>
      <c r="AC124" s="81">
        <v>118.0</v>
      </c>
      <c r="AD124" s="92"/>
      <c r="AE124" s="87" t="s">
        <v>67</v>
      </c>
      <c r="AF124" s="92"/>
      <c r="AG124" s="87" t="s">
        <v>68</v>
      </c>
      <c r="AH124" s="92"/>
      <c r="AI124" s="96">
        <v>8.1370224572E10</v>
      </c>
      <c r="AJ124" s="87" t="s">
        <v>1112</v>
      </c>
      <c r="AK124" s="97" t="s">
        <v>1113</v>
      </c>
      <c r="AL124" s="87" t="s">
        <v>1114</v>
      </c>
      <c r="AM124" s="87" t="s">
        <v>96</v>
      </c>
      <c r="AN124" s="87" t="s">
        <v>150</v>
      </c>
      <c r="AO124" s="87" t="s">
        <v>1115</v>
      </c>
      <c r="AP124" s="87" t="s">
        <v>1116</v>
      </c>
      <c r="AQ124" s="87"/>
      <c r="AR124" s="87"/>
    </row>
    <row r="125">
      <c r="A125" s="71">
        <f t="shared" si="2"/>
        <v>119</v>
      </c>
      <c r="B125" s="87" t="s">
        <v>1117</v>
      </c>
      <c r="C125" s="88" t="s">
        <v>1118</v>
      </c>
      <c r="D125" s="89"/>
      <c r="E125" s="89"/>
      <c r="F125" s="89"/>
      <c r="G125" s="89"/>
      <c r="H125" s="89"/>
      <c r="I125" s="90"/>
      <c r="J125" s="89"/>
      <c r="K125" s="89"/>
      <c r="L125" s="90" t="s">
        <v>88</v>
      </c>
      <c r="M125" s="89"/>
      <c r="N125" s="89"/>
      <c r="O125" s="87" t="s">
        <v>142</v>
      </c>
      <c r="P125" s="89"/>
      <c r="Q125" s="92" t="s">
        <v>639</v>
      </c>
      <c r="R125" s="89"/>
      <c r="S125" s="92"/>
      <c r="T125" s="89"/>
      <c r="U125" s="92"/>
      <c r="V125" s="87" t="s">
        <v>89</v>
      </c>
      <c r="W125" s="87" t="s">
        <v>218</v>
      </c>
      <c r="X125" s="87" t="s">
        <v>1119</v>
      </c>
      <c r="Y125" s="99">
        <v>44205.0</v>
      </c>
      <c r="Z125" s="90"/>
      <c r="AA125" s="90"/>
      <c r="AB125" s="92"/>
      <c r="AC125" s="81">
        <v>119.0</v>
      </c>
      <c r="AD125" s="92"/>
      <c r="AE125" s="87" t="s">
        <v>67</v>
      </c>
      <c r="AF125" s="92"/>
      <c r="AG125" s="87" t="s">
        <v>68</v>
      </c>
      <c r="AH125" s="92"/>
      <c r="AI125" s="96">
        <v>8.2165045306E10</v>
      </c>
      <c r="AJ125" s="87" t="s">
        <v>1120</v>
      </c>
      <c r="AK125" s="97" t="s">
        <v>1121</v>
      </c>
      <c r="AL125" s="87" t="s">
        <v>1122</v>
      </c>
      <c r="AM125" s="87" t="s">
        <v>96</v>
      </c>
      <c r="AN125" s="87" t="s">
        <v>74</v>
      </c>
      <c r="AO125" s="87" t="s">
        <v>178</v>
      </c>
      <c r="AP125" s="87" t="s">
        <v>179</v>
      </c>
      <c r="AQ125" s="87">
        <v>0.0</v>
      </c>
      <c r="AR125" s="87">
        <v>0.0</v>
      </c>
    </row>
    <row r="126">
      <c r="A126" s="71">
        <f t="shared" si="2"/>
        <v>120</v>
      </c>
      <c r="B126" s="87" t="s">
        <v>1123</v>
      </c>
      <c r="C126" s="88" t="s">
        <v>1124</v>
      </c>
      <c r="D126" s="89"/>
      <c r="E126" s="89"/>
      <c r="F126" s="89"/>
      <c r="G126" s="89"/>
      <c r="H126" s="89"/>
      <c r="I126" s="90"/>
      <c r="J126" s="89"/>
      <c r="K126" s="89"/>
      <c r="L126" s="90" t="s">
        <v>88</v>
      </c>
      <c r="M126" s="89"/>
      <c r="N126" s="89"/>
      <c r="O126" s="87" t="s">
        <v>532</v>
      </c>
      <c r="P126" s="89"/>
      <c r="Q126" s="92" t="s">
        <v>696</v>
      </c>
      <c r="R126" s="89"/>
      <c r="S126" s="92"/>
      <c r="T126" s="89"/>
      <c r="U126" s="92"/>
      <c r="V126" s="87" t="s">
        <v>285</v>
      </c>
      <c r="W126" s="87" t="s">
        <v>1125</v>
      </c>
      <c r="X126" s="87" t="s">
        <v>1126</v>
      </c>
      <c r="Y126" s="94">
        <v>39613.0</v>
      </c>
      <c r="Z126" s="90"/>
      <c r="AA126" s="90"/>
      <c r="AB126" s="92"/>
      <c r="AC126" s="81">
        <v>120.0</v>
      </c>
      <c r="AD126" s="92"/>
      <c r="AE126" s="87" t="s">
        <v>67</v>
      </c>
      <c r="AF126" s="92"/>
      <c r="AG126" s="87" t="s">
        <v>68</v>
      </c>
      <c r="AH126" s="92"/>
      <c r="AI126" s="96">
        <v>8.2169588647E10</v>
      </c>
      <c r="AJ126" s="87" t="s">
        <v>1127</v>
      </c>
      <c r="AK126" s="97" t="s">
        <v>1128</v>
      </c>
      <c r="AL126" s="87" t="s">
        <v>1129</v>
      </c>
      <c r="AM126" s="87" t="s">
        <v>73</v>
      </c>
      <c r="AN126" s="87" t="s">
        <v>481</v>
      </c>
      <c r="AO126" s="87" t="s">
        <v>360</v>
      </c>
      <c r="AP126" s="87" t="s">
        <v>666</v>
      </c>
      <c r="AQ126" s="87"/>
      <c r="AR126" s="87"/>
    </row>
    <row r="127">
      <c r="A127" s="71">
        <f t="shared" si="2"/>
        <v>121</v>
      </c>
      <c r="B127" s="87" t="s">
        <v>1130</v>
      </c>
      <c r="C127" s="88" t="s">
        <v>1131</v>
      </c>
      <c r="D127" s="89"/>
      <c r="E127" s="89"/>
      <c r="F127" s="89"/>
      <c r="G127" s="89"/>
      <c r="H127" s="89"/>
      <c r="I127" s="90"/>
      <c r="J127" s="89"/>
      <c r="K127" s="89"/>
      <c r="L127" s="90" t="s">
        <v>88</v>
      </c>
      <c r="M127" s="89"/>
      <c r="N127" s="89"/>
      <c r="O127" s="87" t="s">
        <v>532</v>
      </c>
      <c r="P127" s="89"/>
      <c r="Q127" s="92" t="s">
        <v>661</v>
      </c>
      <c r="R127" s="89"/>
      <c r="S127" s="92"/>
      <c r="T127" s="89"/>
      <c r="U127" s="92"/>
      <c r="V127" s="87" t="s">
        <v>285</v>
      </c>
      <c r="W127" s="87"/>
      <c r="X127" s="87" t="s">
        <v>1132</v>
      </c>
      <c r="Y127" s="99">
        <v>38508.0</v>
      </c>
      <c r="Z127" s="90"/>
      <c r="AA127" s="90"/>
      <c r="AB127" s="92"/>
      <c r="AC127" s="81">
        <v>121.0</v>
      </c>
      <c r="AD127" s="92"/>
      <c r="AE127" s="87" t="s">
        <v>67</v>
      </c>
      <c r="AF127" s="92"/>
      <c r="AG127" s="87" t="s">
        <v>130</v>
      </c>
      <c r="AH127" s="92"/>
      <c r="AI127" s="96">
        <v>8.139745699E10</v>
      </c>
      <c r="AJ127" s="87" t="s">
        <v>1133</v>
      </c>
      <c r="AK127" s="97" t="s">
        <v>1134</v>
      </c>
      <c r="AL127" s="87" t="s">
        <v>1135</v>
      </c>
      <c r="AM127" s="87" t="s">
        <v>96</v>
      </c>
      <c r="AN127" s="87" t="s">
        <v>97</v>
      </c>
      <c r="AO127" s="87" t="s">
        <v>1136</v>
      </c>
      <c r="AP127" s="87" t="s">
        <v>1137</v>
      </c>
      <c r="AQ127" s="87">
        <v>0.0</v>
      </c>
      <c r="AR127" s="87">
        <v>0.0</v>
      </c>
    </row>
    <row r="128">
      <c r="A128" s="71">
        <f t="shared" si="2"/>
        <v>122</v>
      </c>
      <c r="B128" s="87" t="s">
        <v>1138</v>
      </c>
      <c r="C128" s="88" t="s">
        <v>1139</v>
      </c>
      <c r="D128" s="89"/>
      <c r="E128" s="89"/>
      <c r="F128" s="89"/>
      <c r="G128" s="89"/>
      <c r="H128" s="89"/>
      <c r="I128" s="90"/>
      <c r="J128" s="89"/>
      <c r="K128" s="89"/>
      <c r="L128" s="90" t="s">
        <v>88</v>
      </c>
      <c r="M128" s="89"/>
      <c r="N128" s="89"/>
      <c r="O128" s="87" t="s">
        <v>532</v>
      </c>
      <c r="P128" s="89"/>
      <c r="Q128" s="92" t="s">
        <v>661</v>
      </c>
      <c r="R128" s="89"/>
      <c r="S128" s="92"/>
      <c r="T128" s="89"/>
      <c r="U128" s="92"/>
      <c r="V128" s="87" t="s">
        <v>285</v>
      </c>
      <c r="W128" s="87" t="s">
        <v>1140</v>
      </c>
      <c r="X128" s="87" t="s">
        <v>1141</v>
      </c>
      <c r="Y128" s="94">
        <v>35212.0</v>
      </c>
      <c r="Z128" s="90"/>
      <c r="AA128" s="90"/>
      <c r="AB128" s="92"/>
      <c r="AC128" s="81">
        <v>122.0</v>
      </c>
      <c r="AD128" s="92"/>
      <c r="AE128" s="87" t="s">
        <v>67</v>
      </c>
      <c r="AF128" s="92"/>
      <c r="AG128" s="87" t="s">
        <v>130</v>
      </c>
      <c r="AH128" s="92"/>
      <c r="AI128" s="96">
        <v>8.1397301099E10</v>
      </c>
      <c r="AJ128" s="87" t="s">
        <v>1142</v>
      </c>
      <c r="AK128" s="97" t="s">
        <v>1143</v>
      </c>
      <c r="AL128" s="87" t="s">
        <v>1144</v>
      </c>
      <c r="AM128" s="87" t="s">
        <v>96</v>
      </c>
      <c r="AN128" s="87" t="s">
        <v>150</v>
      </c>
      <c r="AO128" s="87" t="s">
        <v>151</v>
      </c>
      <c r="AP128" s="87" t="s">
        <v>1145</v>
      </c>
      <c r="AQ128" s="87">
        <v>0.0</v>
      </c>
      <c r="AR128" s="87">
        <v>0.0</v>
      </c>
    </row>
    <row r="129">
      <c r="A129" s="71">
        <f t="shared" si="2"/>
        <v>123</v>
      </c>
      <c r="B129" s="87" t="s">
        <v>1146</v>
      </c>
      <c r="C129" s="88" t="s">
        <v>1147</v>
      </c>
      <c r="D129" s="89"/>
      <c r="E129" s="89"/>
      <c r="F129" s="89"/>
      <c r="G129" s="89"/>
      <c r="H129" s="89"/>
      <c r="I129" s="90"/>
      <c r="J129" s="89"/>
      <c r="K129" s="89"/>
      <c r="L129" s="90" t="s">
        <v>88</v>
      </c>
      <c r="M129" s="89"/>
      <c r="N129" s="89"/>
      <c r="O129" s="87" t="s">
        <v>532</v>
      </c>
      <c r="P129" s="89"/>
      <c r="Q129" s="92" t="s">
        <v>639</v>
      </c>
      <c r="R129" s="89"/>
      <c r="S129" s="92"/>
      <c r="T129" s="89"/>
      <c r="U129" s="92"/>
      <c r="V129" s="87" t="s">
        <v>285</v>
      </c>
      <c r="W129" s="87" t="s">
        <v>687</v>
      </c>
      <c r="X129" s="87" t="s">
        <v>1148</v>
      </c>
      <c r="Y129" s="94">
        <v>36694.0</v>
      </c>
      <c r="Z129" s="90"/>
      <c r="AA129" s="90"/>
      <c r="AB129" s="92"/>
      <c r="AC129" s="81">
        <v>123.0</v>
      </c>
      <c r="AD129" s="92"/>
      <c r="AE129" s="87" t="s">
        <v>67</v>
      </c>
      <c r="AF129" s="92"/>
      <c r="AG129" s="87" t="s">
        <v>68</v>
      </c>
      <c r="AH129" s="92"/>
      <c r="AI129" s="96">
        <v>8.1376391272E10</v>
      </c>
      <c r="AJ129" s="87" t="s">
        <v>1149</v>
      </c>
      <c r="AK129" s="97" t="s">
        <v>1150</v>
      </c>
      <c r="AL129" s="87" t="s">
        <v>1151</v>
      </c>
      <c r="AM129" s="87" t="s">
        <v>96</v>
      </c>
      <c r="AN129" s="87" t="s">
        <v>97</v>
      </c>
      <c r="AO129" s="87" t="s">
        <v>499</v>
      </c>
      <c r="AP129" s="87" t="s">
        <v>657</v>
      </c>
      <c r="AQ129" s="87">
        <v>0.0</v>
      </c>
      <c r="AR129" s="87">
        <v>0.0</v>
      </c>
    </row>
    <row r="130">
      <c r="A130" s="71">
        <f t="shared" si="2"/>
        <v>124</v>
      </c>
      <c r="B130" s="87" t="s">
        <v>1152</v>
      </c>
      <c r="C130" s="88" t="s">
        <v>1153</v>
      </c>
      <c r="D130" s="89"/>
      <c r="E130" s="89"/>
      <c r="F130" s="89"/>
      <c r="G130" s="89"/>
      <c r="H130" s="89"/>
      <c r="I130" s="90"/>
      <c r="J130" s="89"/>
      <c r="K130" s="89"/>
      <c r="L130" s="90" t="s">
        <v>88</v>
      </c>
      <c r="M130" s="89"/>
      <c r="N130" s="89"/>
      <c r="O130" s="87" t="s">
        <v>532</v>
      </c>
      <c r="P130" s="89"/>
      <c r="Q130" s="92" t="s">
        <v>830</v>
      </c>
      <c r="R130" s="89"/>
      <c r="S130" s="92"/>
      <c r="T130" s="89"/>
      <c r="U130" s="92"/>
      <c r="V130" s="87" t="s">
        <v>285</v>
      </c>
      <c r="W130" s="87" t="s">
        <v>1154</v>
      </c>
      <c r="X130" s="87" t="s">
        <v>920</v>
      </c>
      <c r="Y130" s="94">
        <v>36309.0</v>
      </c>
      <c r="Z130" s="90"/>
      <c r="AA130" s="90"/>
      <c r="AB130" s="92"/>
      <c r="AC130" s="81">
        <v>124.0</v>
      </c>
      <c r="AD130" s="92"/>
      <c r="AE130" s="87" t="s">
        <v>67</v>
      </c>
      <c r="AF130" s="92"/>
      <c r="AG130" s="87" t="s">
        <v>68</v>
      </c>
      <c r="AH130" s="92"/>
      <c r="AI130" s="96">
        <v>8.2167949594E10</v>
      </c>
      <c r="AJ130" s="87" t="s">
        <v>1155</v>
      </c>
      <c r="AK130" s="97" t="s">
        <v>1156</v>
      </c>
      <c r="AL130" s="87" t="s">
        <v>1157</v>
      </c>
      <c r="AM130" s="87" t="s">
        <v>73</v>
      </c>
      <c r="AN130" s="87" t="s">
        <v>74</v>
      </c>
      <c r="AO130" s="87" t="s">
        <v>191</v>
      </c>
      <c r="AP130" s="87" t="s">
        <v>1158</v>
      </c>
      <c r="AQ130" s="87">
        <v>0.0</v>
      </c>
      <c r="AR130" s="87">
        <v>0.0</v>
      </c>
    </row>
    <row r="131">
      <c r="A131" s="71">
        <f t="shared" si="2"/>
        <v>125</v>
      </c>
      <c r="B131" s="87" t="s">
        <v>1159</v>
      </c>
      <c r="C131" s="88" t="s">
        <v>1160</v>
      </c>
      <c r="D131" s="89"/>
      <c r="E131" s="89"/>
      <c r="F131" s="89"/>
      <c r="G131" s="89"/>
      <c r="H131" s="89"/>
      <c r="I131" s="90"/>
      <c r="J131" s="89"/>
      <c r="K131" s="89"/>
      <c r="L131" s="90" t="s">
        <v>88</v>
      </c>
      <c r="M131" s="89"/>
      <c r="N131" s="89"/>
      <c r="O131" s="87" t="s">
        <v>532</v>
      </c>
      <c r="P131" s="89"/>
      <c r="Q131" s="92" t="s">
        <v>706</v>
      </c>
      <c r="R131" s="89"/>
      <c r="S131" s="92"/>
      <c r="T131" s="89"/>
      <c r="U131" s="92"/>
      <c r="V131" s="87" t="s">
        <v>285</v>
      </c>
      <c r="W131" s="87" t="s">
        <v>1017</v>
      </c>
      <c r="X131" s="87" t="s">
        <v>1161</v>
      </c>
      <c r="Y131" s="94">
        <v>38887.0</v>
      </c>
      <c r="Z131" s="90"/>
      <c r="AA131" s="90"/>
      <c r="AB131" s="92"/>
      <c r="AC131" s="81">
        <v>125.0</v>
      </c>
      <c r="AD131" s="92"/>
      <c r="AE131" s="87" t="s">
        <v>67</v>
      </c>
      <c r="AF131" s="92"/>
      <c r="AG131" s="87" t="s">
        <v>68</v>
      </c>
      <c r="AH131" s="92"/>
      <c r="AI131" s="96">
        <v>8.2364938652E10</v>
      </c>
      <c r="AJ131" s="87" t="s">
        <v>1162</v>
      </c>
      <c r="AK131" s="97" t="s">
        <v>1163</v>
      </c>
      <c r="AL131" s="87" t="s">
        <v>1164</v>
      </c>
      <c r="AM131" s="87" t="s">
        <v>96</v>
      </c>
      <c r="AN131" s="87" t="s">
        <v>166</v>
      </c>
      <c r="AO131" s="87" t="s">
        <v>596</v>
      </c>
      <c r="AP131" s="87" t="s">
        <v>1165</v>
      </c>
      <c r="AQ131" s="87" t="s">
        <v>934</v>
      </c>
      <c r="AR131" s="87" t="s">
        <v>934</v>
      </c>
    </row>
    <row r="132">
      <c r="A132" s="71">
        <f t="shared" si="2"/>
        <v>126</v>
      </c>
      <c r="B132" s="87" t="s">
        <v>1166</v>
      </c>
      <c r="C132" s="88" t="s">
        <v>1167</v>
      </c>
      <c r="D132" s="89"/>
      <c r="E132" s="89"/>
      <c r="F132" s="89"/>
      <c r="G132" s="89"/>
      <c r="H132" s="89"/>
      <c r="I132" s="90"/>
      <c r="J132" s="89"/>
      <c r="K132" s="89"/>
      <c r="L132" s="90" t="s">
        <v>88</v>
      </c>
      <c r="M132" s="89"/>
      <c r="N132" s="89"/>
      <c r="O132" s="87" t="s">
        <v>142</v>
      </c>
      <c r="P132" s="89"/>
      <c r="Q132" s="92" t="s">
        <v>639</v>
      </c>
      <c r="R132" s="89"/>
      <c r="S132" s="92"/>
      <c r="T132" s="89"/>
      <c r="U132" s="92"/>
      <c r="V132" s="87" t="s">
        <v>89</v>
      </c>
      <c r="W132" s="87" t="s">
        <v>1168</v>
      </c>
      <c r="X132" s="87" t="s">
        <v>419</v>
      </c>
      <c r="Y132" s="94">
        <v>42977.0</v>
      </c>
      <c r="Z132" s="90"/>
      <c r="AA132" s="90"/>
      <c r="AB132" s="92"/>
      <c r="AC132" s="81">
        <v>126.0</v>
      </c>
      <c r="AD132" s="92"/>
      <c r="AE132" s="87" t="s">
        <v>67</v>
      </c>
      <c r="AF132" s="92"/>
      <c r="AG132" s="87" t="s">
        <v>68</v>
      </c>
      <c r="AH132" s="92"/>
      <c r="AI132" s="96">
        <v>8.2167749521E10</v>
      </c>
      <c r="AJ132" s="87" t="s">
        <v>1169</v>
      </c>
      <c r="AK132" s="97" t="s">
        <v>1170</v>
      </c>
      <c r="AL132" s="87" t="s">
        <v>1171</v>
      </c>
      <c r="AM132" s="87" t="s">
        <v>96</v>
      </c>
      <c r="AN132" s="87" t="s">
        <v>74</v>
      </c>
      <c r="AO132" s="87" t="s">
        <v>136</v>
      </c>
      <c r="AP132" s="87" t="s">
        <v>1172</v>
      </c>
      <c r="AQ132" s="87"/>
      <c r="AR132" s="87"/>
    </row>
    <row r="133">
      <c r="A133" s="71">
        <f t="shared" si="2"/>
        <v>127</v>
      </c>
      <c r="B133" s="87" t="s">
        <v>1173</v>
      </c>
      <c r="C133" s="88" t="s">
        <v>1174</v>
      </c>
      <c r="D133" s="89"/>
      <c r="E133" s="89"/>
      <c r="F133" s="89"/>
      <c r="G133" s="89"/>
      <c r="H133" s="89"/>
      <c r="I133" s="90"/>
      <c r="J133" s="89"/>
      <c r="K133" s="89"/>
      <c r="L133" s="90" t="s">
        <v>88</v>
      </c>
      <c r="M133" s="89"/>
      <c r="N133" s="89"/>
      <c r="O133" s="87" t="s">
        <v>532</v>
      </c>
      <c r="P133" s="89"/>
      <c r="Q133" s="92" t="s">
        <v>639</v>
      </c>
      <c r="R133" s="89"/>
      <c r="S133" s="92"/>
      <c r="T133" s="89"/>
      <c r="U133" s="92"/>
      <c r="V133" s="87" t="s">
        <v>285</v>
      </c>
      <c r="W133" s="87" t="s">
        <v>1077</v>
      </c>
      <c r="X133" s="87" t="s">
        <v>1175</v>
      </c>
      <c r="Y133" s="94">
        <v>39613.0</v>
      </c>
      <c r="Z133" s="90"/>
      <c r="AA133" s="90"/>
      <c r="AB133" s="92"/>
      <c r="AC133" s="81">
        <v>127.0</v>
      </c>
      <c r="AD133" s="92"/>
      <c r="AE133" s="87" t="s">
        <v>67</v>
      </c>
      <c r="AF133" s="92"/>
      <c r="AG133" s="87" t="s">
        <v>68</v>
      </c>
      <c r="AH133" s="92"/>
      <c r="AI133" s="96">
        <v>8.5262470283E10</v>
      </c>
      <c r="AJ133" s="87" t="s">
        <v>1176</v>
      </c>
      <c r="AK133" s="97" t="s">
        <v>1177</v>
      </c>
      <c r="AL133" s="87" t="s">
        <v>1178</v>
      </c>
      <c r="AM133" s="87" t="s">
        <v>96</v>
      </c>
      <c r="AN133" s="87" t="s">
        <v>97</v>
      </c>
      <c r="AO133" s="87" t="s">
        <v>136</v>
      </c>
      <c r="AP133" s="87" t="s">
        <v>151</v>
      </c>
      <c r="AQ133" s="87"/>
      <c r="AR133" s="87"/>
    </row>
    <row r="134">
      <c r="A134" s="71">
        <f t="shared" si="2"/>
        <v>128</v>
      </c>
      <c r="B134" s="87" t="s">
        <v>1179</v>
      </c>
      <c r="C134" s="88" t="s">
        <v>1180</v>
      </c>
      <c r="D134" s="89"/>
      <c r="E134" s="89"/>
      <c r="F134" s="89"/>
      <c r="G134" s="89"/>
      <c r="H134" s="89"/>
      <c r="I134" s="90"/>
      <c r="J134" s="89"/>
      <c r="K134" s="89"/>
      <c r="L134" s="90" t="s">
        <v>88</v>
      </c>
      <c r="M134" s="89"/>
      <c r="N134" s="89"/>
      <c r="O134" s="87" t="s">
        <v>532</v>
      </c>
      <c r="P134" s="89"/>
      <c r="Q134" s="92" t="s">
        <v>706</v>
      </c>
      <c r="R134" s="89"/>
      <c r="S134" s="92"/>
      <c r="T134" s="89"/>
      <c r="U134" s="92"/>
      <c r="V134" s="87" t="s">
        <v>285</v>
      </c>
      <c r="W134" s="87" t="s">
        <v>1017</v>
      </c>
      <c r="X134" s="87" t="s">
        <v>1181</v>
      </c>
      <c r="Y134" s="99">
        <v>37777.0</v>
      </c>
      <c r="Z134" s="90"/>
      <c r="AA134" s="90"/>
      <c r="AB134" s="92"/>
      <c r="AC134" s="81">
        <v>128.0</v>
      </c>
      <c r="AD134" s="92"/>
      <c r="AE134" s="87" t="s">
        <v>67</v>
      </c>
      <c r="AF134" s="92"/>
      <c r="AG134" s="87" t="s">
        <v>68</v>
      </c>
      <c r="AH134" s="92"/>
      <c r="AI134" s="96">
        <v>8.1263655552E10</v>
      </c>
      <c r="AJ134" s="87"/>
      <c r="AK134" s="97" t="s">
        <v>1182</v>
      </c>
      <c r="AL134" s="87" t="s">
        <v>1183</v>
      </c>
      <c r="AM134" s="87" t="s">
        <v>96</v>
      </c>
      <c r="AN134" s="87" t="s">
        <v>166</v>
      </c>
      <c r="AO134" s="87" t="s">
        <v>167</v>
      </c>
      <c r="AP134" s="87" t="s">
        <v>982</v>
      </c>
      <c r="AQ134" s="87" t="s">
        <v>934</v>
      </c>
      <c r="AR134" s="87" t="s">
        <v>934</v>
      </c>
    </row>
    <row r="135">
      <c r="A135" s="71">
        <f t="shared" si="2"/>
        <v>129</v>
      </c>
      <c r="B135" s="87" t="s">
        <v>1184</v>
      </c>
      <c r="C135" s="88" t="s">
        <v>1185</v>
      </c>
      <c r="D135" s="89"/>
      <c r="E135" s="89"/>
      <c r="F135" s="89"/>
      <c r="G135" s="89"/>
      <c r="H135" s="89"/>
      <c r="I135" s="90"/>
      <c r="J135" s="89"/>
      <c r="K135" s="89"/>
      <c r="L135" s="90" t="s">
        <v>88</v>
      </c>
      <c r="M135" s="89"/>
      <c r="N135" s="89"/>
      <c r="O135" s="87" t="s">
        <v>532</v>
      </c>
      <c r="P135" s="89"/>
      <c r="Q135" s="92" t="s">
        <v>661</v>
      </c>
      <c r="R135" s="89"/>
      <c r="S135" s="92"/>
      <c r="T135" s="89"/>
      <c r="U135" s="92"/>
      <c r="V135" s="87" t="s">
        <v>285</v>
      </c>
      <c r="W135" s="87" t="s">
        <v>1186</v>
      </c>
      <c r="X135" s="87" t="s">
        <v>1187</v>
      </c>
      <c r="Y135" s="94">
        <v>34485.0</v>
      </c>
      <c r="Z135" s="90"/>
      <c r="AA135" s="90"/>
      <c r="AB135" s="92"/>
      <c r="AC135" s="81">
        <v>129.0</v>
      </c>
      <c r="AD135" s="92"/>
      <c r="AE135" s="87" t="s">
        <v>67</v>
      </c>
      <c r="AF135" s="92"/>
      <c r="AG135" s="87" t="s">
        <v>68</v>
      </c>
      <c r="AH135" s="92"/>
      <c r="AI135" s="96">
        <v>8.1262155621E10</v>
      </c>
      <c r="AJ135" s="87" t="s">
        <v>1188</v>
      </c>
      <c r="AK135" s="97" t="s">
        <v>1189</v>
      </c>
      <c r="AL135" s="87" t="s">
        <v>1190</v>
      </c>
      <c r="AM135" s="87" t="s">
        <v>96</v>
      </c>
      <c r="AN135" s="87" t="s">
        <v>97</v>
      </c>
      <c r="AO135" s="87" t="s">
        <v>272</v>
      </c>
      <c r="AP135" s="87" t="s">
        <v>273</v>
      </c>
      <c r="AQ135" s="87"/>
      <c r="AR135" s="87"/>
    </row>
    <row r="136">
      <c r="A136" s="71">
        <f t="shared" si="2"/>
        <v>130</v>
      </c>
      <c r="B136" s="87" t="s">
        <v>1191</v>
      </c>
      <c r="C136" s="88" t="s">
        <v>1192</v>
      </c>
      <c r="D136" s="89"/>
      <c r="E136" s="89"/>
      <c r="F136" s="89"/>
      <c r="G136" s="89"/>
      <c r="H136" s="89"/>
      <c r="I136" s="90"/>
      <c r="J136" s="89"/>
      <c r="K136" s="89"/>
      <c r="L136" s="90" t="s">
        <v>88</v>
      </c>
      <c r="M136" s="89"/>
      <c r="N136" s="89"/>
      <c r="O136" s="87" t="s">
        <v>142</v>
      </c>
      <c r="P136" s="89"/>
      <c r="Q136" s="92" t="s">
        <v>639</v>
      </c>
      <c r="R136" s="89"/>
      <c r="S136" s="92"/>
      <c r="T136" s="89"/>
      <c r="U136" s="92"/>
      <c r="V136" s="87" t="s">
        <v>89</v>
      </c>
      <c r="W136" s="87" t="s">
        <v>1193</v>
      </c>
      <c r="X136" s="87" t="s">
        <v>1194</v>
      </c>
      <c r="Y136" s="94">
        <v>42213.0</v>
      </c>
      <c r="Z136" s="90"/>
      <c r="AA136" s="90"/>
      <c r="AB136" s="92"/>
      <c r="AC136" s="81">
        <v>130.0</v>
      </c>
      <c r="AD136" s="92"/>
      <c r="AE136" s="87" t="s">
        <v>220</v>
      </c>
      <c r="AF136" s="92"/>
      <c r="AG136" s="87" t="s">
        <v>130</v>
      </c>
      <c r="AH136" s="92"/>
      <c r="AI136" s="96">
        <v>8.5359996989E10</v>
      </c>
      <c r="AJ136" s="87" t="s">
        <v>1195</v>
      </c>
      <c r="AK136" s="97" t="s">
        <v>1196</v>
      </c>
      <c r="AL136" s="87" t="s">
        <v>1197</v>
      </c>
      <c r="AM136" s="87" t="s">
        <v>73</v>
      </c>
      <c r="AN136" s="87" t="s">
        <v>74</v>
      </c>
      <c r="AO136" s="87" t="s">
        <v>75</v>
      </c>
      <c r="AP136" s="87" t="s">
        <v>1198</v>
      </c>
      <c r="AQ136" s="87"/>
      <c r="AR136" s="87"/>
    </row>
    <row r="137">
      <c r="A137" s="71">
        <f t="shared" si="2"/>
        <v>131</v>
      </c>
      <c r="B137" s="87" t="s">
        <v>1199</v>
      </c>
      <c r="C137" s="88" t="s">
        <v>1200</v>
      </c>
      <c r="D137" s="89"/>
      <c r="E137" s="89"/>
      <c r="F137" s="89"/>
      <c r="G137" s="89"/>
      <c r="H137" s="89"/>
      <c r="I137" s="90"/>
      <c r="J137" s="89"/>
      <c r="K137" s="89"/>
      <c r="L137" s="90" t="s">
        <v>88</v>
      </c>
      <c r="M137" s="89"/>
      <c r="N137" s="89"/>
      <c r="O137" s="87" t="s">
        <v>532</v>
      </c>
      <c r="P137" s="89"/>
      <c r="Q137" s="92" t="s">
        <v>706</v>
      </c>
      <c r="R137" s="89"/>
      <c r="S137" s="92"/>
      <c r="T137" s="89"/>
      <c r="U137" s="92"/>
      <c r="V137" s="87" t="s">
        <v>285</v>
      </c>
      <c r="W137" s="87"/>
      <c r="X137" s="87" t="s">
        <v>1201</v>
      </c>
      <c r="Y137" s="94">
        <v>35938.0</v>
      </c>
      <c r="Z137" s="90"/>
      <c r="AA137" s="90"/>
      <c r="AB137" s="92"/>
      <c r="AC137" s="81">
        <v>131.0</v>
      </c>
      <c r="AD137" s="92"/>
      <c r="AE137" s="87" t="s">
        <v>67</v>
      </c>
      <c r="AF137" s="92"/>
      <c r="AG137" s="87" t="s">
        <v>68</v>
      </c>
      <c r="AH137" s="92"/>
      <c r="AI137" s="96">
        <v>8.1396124137E10</v>
      </c>
      <c r="AJ137" s="87" t="s">
        <v>1202</v>
      </c>
      <c r="AK137" s="97" t="s">
        <v>1203</v>
      </c>
      <c r="AL137" s="87" t="s">
        <v>1204</v>
      </c>
      <c r="AM137" s="87" t="s">
        <v>96</v>
      </c>
      <c r="AN137" s="87" t="s">
        <v>97</v>
      </c>
      <c r="AO137" s="87" t="s">
        <v>1136</v>
      </c>
      <c r="AP137" s="87" t="s">
        <v>1137</v>
      </c>
      <c r="AQ137" s="87">
        <v>0.0</v>
      </c>
      <c r="AR137" s="87">
        <v>0.0</v>
      </c>
    </row>
    <row r="138">
      <c r="A138" s="71">
        <f t="shared" si="2"/>
        <v>132</v>
      </c>
      <c r="B138" s="87" t="s">
        <v>1205</v>
      </c>
      <c r="C138" s="88" t="s">
        <v>1206</v>
      </c>
      <c r="D138" s="89"/>
      <c r="E138" s="89"/>
      <c r="F138" s="89"/>
      <c r="G138" s="89"/>
      <c r="H138" s="89"/>
      <c r="I138" s="90"/>
      <c r="J138" s="89"/>
      <c r="K138" s="89"/>
      <c r="L138" s="90" t="s">
        <v>88</v>
      </c>
      <c r="M138" s="89"/>
      <c r="N138" s="89"/>
      <c r="O138" s="87" t="s">
        <v>532</v>
      </c>
      <c r="P138" s="89"/>
      <c r="Q138" s="92" t="s">
        <v>661</v>
      </c>
      <c r="R138" s="89"/>
      <c r="S138" s="92"/>
      <c r="T138" s="89"/>
      <c r="U138" s="92"/>
      <c r="V138" s="87" t="s">
        <v>285</v>
      </c>
      <c r="W138" s="87" t="s">
        <v>1207</v>
      </c>
      <c r="X138" s="87" t="s">
        <v>1208</v>
      </c>
      <c r="Y138" s="99">
        <v>37777.0</v>
      </c>
      <c r="Z138" s="90"/>
      <c r="AA138" s="90"/>
      <c r="AB138" s="92"/>
      <c r="AC138" s="81">
        <v>132.0</v>
      </c>
      <c r="AD138" s="92"/>
      <c r="AE138" s="87" t="s">
        <v>67</v>
      </c>
      <c r="AF138" s="92"/>
      <c r="AG138" s="87" t="s">
        <v>68</v>
      </c>
      <c r="AH138" s="92"/>
      <c r="AI138" s="96">
        <v>8.5278126514E10</v>
      </c>
      <c r="AJ138" s="87" t="s">
        <v>1209</v>
      </c>
      <c r="AK138" s="97" t="s">
        <v>1210</v>
      </c>
      <c r="AL138" s="87" t="s">
        <v>1211</v>
      </c>
      <c r="AM138" s="87" t="s">
        <v>73</v>
      </c>
      <c r="AN138" s="87" t="s">
        <v>481</v>
      </c>
      <c r="AO138" s="87" t="s">
        <v>360</v>
      </c>
      <c r="AP138" s="87" t="s">
        <v>666</v>
      </c>
      <c r="AQ138" s="87">
        <v>0.0</v>
      </c>
      <c r="AR138" s="87">
        <v>0.0</v>
      </c>
    </row>
    <row r="139">
      <c r="A139" s="71">
        <f t="shared" si="2"/>
        <v>133</v>
      </c>
      <c r="B139" s="87" t="s">
        <v>1212</v>
      </c>
      <c r="C139" s="88" t="s">
        <v>1213</v>
      </c>
      <c r="D139" s="89"/>
      <c r="E139" s="89"/>
      <c r="F139" s="89"/>
      <c r="G139" s="89"/>
      <c r="H139" s="89"/>
      <c r="I139" s="90"/>
      <c r="J139" s="89"/>
      <c r="K139" s="89"/>
      <c r="L139" s="90" t="s">
        <v>88</v>
      </c>
      <c r="M139" s="89"/>
      <c r="N139" s="89"/>
      <c r="O139" s="87" t="s">
        <v>142</v>
      </c>
      <c r="P139" s="89"/>
      <c r="Q139" s="92" t="s">
        <v>639</v>
      </c>
      <c r="R139" s="89"/>
      <c r="S139" s="92"/>
      <c r="T139" s="89"/>
      <c r="U139" s="92"/>
      <c r="V139" s="87" t="s">
        <v>89</v>
      </c>
      <c r="W139" s="87" t="s">
        <v>1214</v>
      </c>
      <c r="X139" s="87" t="s">
        <v>1215</v>
      </c>
      <c r="Y139" s="94">
        <v>40984.0</v>
      </c>
      <c r="Z139" s="90"/>
      <c r="AA139" s="90"/>
      <c r="AB139" s="92"/>
      <c r="AC139" s="81">
        <v>133.0</v>
      </c>
      <c r="AD139" s="92"/>
      <c r="AE139" s="87" t="s">
        <v>67</v>
      </c>
      <c r="AF139" s="92"/>
      <c r="AG139" s="87" t="s">
        <v>130</v>
      </c>
      <c r="AH139" s="92"/>
      <c r="AI139" s="96" t="s">
        <v>1216</v>
      </c>
      <c r="AJ139" s="87" t="s">
        <v>1217</v>
      </c>
      <c r="AK139" s="97" t="s">
        <v>1218</v>
      </c>
      <c r="AL139" s="87" t="s">
        <v>1219</v>
      </c>
      <c r="AM139" s="87" t="s">
        <v>73</v>
      </c>
      <c r="AN139" s="87" t="s">
        <v>74</v>
      </c>
      <c r="AO139" s="87" t="s">
        <v>1220</v>
      </c>
      <c r="AP139" s="87" t="s">
        <v>1221</v>
      </c>
      <c r="AQ139" s="87" t="s">
        <v>77</v>
      </c>
      <c r="AR139" s="87" t="s">
        <v>77</v>
      </c>
    </row>
    <row r="140">
      <c r="A140" s="71">
        <f t="shared" si="2"/>
        <v>134</v>
      </c>
      <c r="B140" s="87" t="s">
        <v>1222</v>
      </c>
      <c r="C140" s="88" t="s">
        <v>1223</v>
      </c>
      <c r="D140" s="89"/>
      <c r="E140" s="89"/>
      <c r="F140" s="89"/>
      <c r="G140" s="89"/>
      <c r="H140" s="89"/>
      <c r="I140" s="90"/>
      <c r="J140" s="89"/>
      <c r="K140" s="89"/>
      <c r="L140" s="90" t="s">
        <v>88</v>
      </c>
      <c r="M140" s="89"/>
      <c r="N140" s="89"/>
      <c r="O140" s="87" t="s">
        <v>142</v>
      </c>
      <c r="P140" s="89"/>
      <c r="Q140" s="92" t="s">
        <v>1224</v>
      </c>
      <c r="R140" s="89"/>
      <c r="S140" s="92"/>
      <c r="T140" s="89"/>
      <c r="U140" s="92"/>
      <c r="V140" s="87" t="s">
        <v>89</v>
      </c>
      <c r="W140" s="87" t="s">
        <v>1225</v>
      </c>
      <c r="X140" s="87" t="s">
        <v>1215</v>
      </c>
      <c r="Y140" s="99">
        <v>37536.0</v>
      </c>
      <c r="Z140" s="90"/>
      <c r="AA140" s="90"/>
      <c r="AB140" s="92"/>
      <c r="AC140" s="81">
        <v>134.0</v>
      </c>
      <c r="AD140" s="92"/>
      <c r="AE140" s="87" t="s">
        <v>67</v>
      </c>
      <c r="AF140" s="92"/>
      <c r="AG140" s="87" t="s">
        <v>130</v>
      </c>
      <c r="AH140" s="92"/>
      <c r="AI140" s="96" t="s">
        <v>1226</v>
      </c>
      <c r="AJ140" s="87" t="s">
        <v>1227</v>
      </c>
      <c r="AK140" s="97" t="s">
        <v>1228</v>
      </c>
      <c r="AL140" s="87" t="s">
        <v>1219</v>
      </c>
      <c r="AM140" s="87" t="s">
        <v>73</v>
      </c>
      <c r="AN140" s="87" t="s">
        <v>74</v>
      </c>
      <c r="AO140" s="87" t="s">
        <v>1220</v>
      </c>
      <c r="AP140" s="87" t="s">
        <v>1221</v>
      </c>
      <c r="AQ140" s="87" t="s">
        <v>77</v>
      </c>
      <c r="AR140" s="87" t="s">
        <v>77</v>
      </c>
    </row>
    <row r="141">
      <c r="A141" s="71">
        <f t="shared" si="2"/>
        <v>135</v>
      </c>
      <c r="B141" s="87" t="s">
        <v>1229</v>
      </c>
      <c r="C141" s="88" t="s">
        <v>1230</v>
      </c>
      <c r="D141" s="89"/>
      <c r="E141" s="89"/>
      <c r="F141" s="89"/>
      <c r="G141" s="89"/>
      <c r="H141" s="89"/>
      <c r="I141" s="90"/>
      <c r="J141" s="89"/>
      <c r="K141" s="89"/>
      <c r="L141" s="90" t="s">
        <v>88</v>
      </c>
      <c r="M141" s="89"/>
      <c r="N141" s="89"/>
      <c r="O141" s="87" t="s">
        <v>142</v>
      </c>
      <c r="P141" s="89"/>
      <c r="Q141" s="92" t="s">
        <v>639</v>
      </c>
      <c r="R141" s="89"/>
      <c r="S141" s="92"/>
      <c r="T141" s="89"/>
      <c r="U141" s="92"/>
      <c r="V141" s="87" t="s">
        <v>89</v>
      </c>
      <c r="W141" s="87" t="s">
        <v>374</v>
      </c>
      <c r="X141" s="87" t="s">
        <v>1231</v>
      </c>
      <c r="Y141" s="94">
        <v>42459.0</v>
      </c>
      <c r="Z141" s="90"/>
      <c r="AA141" s="90"/>
      <c r="AB141" s="92"/>
      <c r="AC141" s="81">
        <v>135.0</v>
      </c>
      <c r="AD141" s="92"/>
      <c r="AE141" s="87" t="s">
        <v>67</v>
      </c>
      <c r="AF141" s="92"/>
      <c r="AG141" s="87" t="s">
        <v>130</v>
      </c>
      <c r="AH141" s="92"/>
      <c r="AI141" s="96" t="s">
        <v>1232</v>
      </c>
      <c r="AJ141" s="87" t="s">
        <v>1233</v>
      </c>
      <c r="AK141" s="97" t="s">
        <v>1234</v>
      </c>
      <c r="AL141" s="87" t="s">
        <v>1235</v>
      </c>
      <c r="AM141" s="87" t="s">
        <v>73</v>
      </c>
      <c r="AN141" s="87" t="s">
        <v>74</v>
      </c>
      <c r="AO141" s="87" t="s">
        <v>75</v>
      </c>
      <c r="AP141" s="87" t="s">
        <v>1236</v>
      </c>
      <c r="AQ141" s="87" t="s">
        <v>77</v>
      </c>
      <c r="AR141" s="87" t="s">
        <v>77</v>
      </c>
    </row>
    <row r="142">
      <c r="A142" s="71">
        <f t="shared" si="2"/>
        <v>136</v>
      </c>
      <c r="B142" s="87" t="s">
        <v>1237</v>
      </c>
      <c r="C142" s="88" t="s">
        <v>1238</v>
      </c>
      <c r="D142" s="89"/>
      <c r="E142" s="89"/>
      <c r="F142" s="89"/>
      <c r="G142" s="89"/>
      <c r="H142" s="89"/>
      <c r="I142" s="90"/>
      <c r="J142" s="89"/>
      <c r="K142" s="89"/>
      <c r="L142" s="90" t="s">
        <v>88</v>
      </c>
      <c r="M142" s="89"/>
      <c r="N142" s="89"/>
      <c r="O142" s="87" t="s">
        <v>142</v>
      </c>
      <c r="P142" s="89"/>
      <c r="Q142" s="92" t="s">
        <v>639</v>
      </c>
      <c r="R142" s="89"/>
      <c r="S142" s="92"/>
      <c r="T142" s="89"/>
      <c r="U142" s="92"/>
      <c r="V142" s="87" t="s">
        <v>89</v>
      </c>
      <c r="W142" s="87" t="s">
        <v>1239</v>
      </c>
      <c r="X142" s="87" t="s">
        <v>244</v>
      </c>
      <c r="Y142" s="94">
        <v>44938.0</v>
      </c>
      <c r="Z142" s="90"/>
      <c r="AA142" s="90"/>
      <c r="AB142" s="92"/>
      <c r="AC142" s="81">
        <v>136.0</v>
      </c>
      <c r="AD142" s="92"/>
      <c r="AE142" s="87" t="s">
        <v>67</v>
      </c>
      <c r="AF142" s="92"/>
      <c r="AG142" s="87" t="s">
        <v>130</v>
      </c>
      <c r="AH142" s="92"/>
      <c r="AI142" s="96">
        <v>8.1361905556E10</v>
      </c>
      <c r="AJ142" s="87" t="s">
        <v>1240</v>
      </c>
      <c r="AK142" s="97" t="s">
        <v>1241</v>
      </c>
      <c r="AL142" s="87" t="s">
        <v>1242</v>
      </c>
      <c r="AM142" s="87" t="s">
        <v>1029</v>
      </c>
      <c r="AN142" s="87" t="s">
        <v>514</v>
      </c>
      <c r="AO142" s="87" t="s">
        <v>1243</v>
      </c>
      <c r="AP142" s="87" t="s">
        <v>1244</v>
      </c>
      <c r="AQ142" s="87">
        <v>0.0</v>
      </c>
      <c r="AR142" s="87">
        <v>0.0</v>
      </c>
    </row>
    <row r="143">
      <c r="A143" s="71">
        <f t="shared" si="2"/>
        <v>137</v>
      </c>
      <c r="B143" s="87" t="s">
        <v>1245</v>
      </c>
      <c r="C143" s="88" t="s">
        <v>1246</v>
      </c>
      <c r="D143" s="89"/>
      <c r="E143" s="89"/>
      <c r="F143" s="89"/>
      <c r="G143" s="89"/>
      <c r="H143" s="89"/>
      <c r="I143" s="90"/>
      <c r="J143" s="89"/>
      <c r="K143" s="89"/>
      <c r="L143" s="90" t="s">
        <v>88</v>
      </c>
      <c r="M143" s="89"/>
      <c r="N143" s="89"/>
      <c r="O143" s="87" t="s">
        <v>532</v>
      </c>
      <c r="P143" s="89"/>
      <c r="Q143" s="92" t="s">
        <v>1247</v>
      </c>
      <c r="R143" s="89"/>
      <c r="S143" s="92"/>
      <c r="T143" s="89"/>
      <c r="U143" s="92"/>
      <c r="V143" s="87" t="s">
        <v>285</v>
      </c>
      <c r="W143" s="87" t="s">
        <v>1035</v>
      </c>
      <c r="X143" s="87" t="s">
        <v>1248</v>
      </c>
      <c r="Y143" s="99">
        <v>37777.0</v>
      </c>
      <c r="Z143" s="90"/>
      <c r="AA143" s="90"/>
      <c r="AB143" s="92"/>
      <c r="AC143" s="81">
        <v>137.0</v>
      </c>
      <c r="AD143" s="92"/>
      <c r="AE143" s="87" t="s">
        <v>67</v>
      </c>
      <c r="AF143" s="92"/>
      <c r="AG143" s="87" t="s">
        <v>130</v>
      </c>
      <c r="AH143" s="92"/>
      <c r="AI143" s="96">
        <v>8.1361278799E10</v>
      </c>
      <c r="AJ143" s="87" t="s">
        <v>1249</v>
      </c>
      <c r="AK143" s="97" t="s">
        <v>1250</v>
      </c>
      <c r="AL143" s="87" t="s">
        <v>1251</v>
      </c>
      <c r="AM143" s="87" t="s">
        <v>73</v>
      </c>
      <c r="AN143" s="87" t="s">
        <v>835</v>
      </c>
      <c r="AO143" s="87" t="s">
        <v>932</v>
      </c>
      <c r="AP143" s="87" t="s">
        <v>1074</v>
      </c>
      <c r="AQ143" s="87"/>
      <c r="AR143" s="87"/>
    </row>
    <row r="144">
      <c r="A144" s="71">
        <f t="shared" si="2"/>
        <v>138</v>
      </c>
      <c r="B144" s="87" t="s">
        <v>1252</v>
      </c>
      <c r="C144" s="88" t="s">
        <v>1253</v>
      </c>
      <c r="D144" s="89"/>
      <c r="E144" s="89"/>
      <c r="F144" s="89"/>
      <c r="G144" s="89"/>
      <c r="H144" s="89"/>
      <c r="I144" s="90"/>
      <c r="J144" s="89"/>
      <c r="K144" s="89"/>
      <c r="L144" s="90" t="s">
        <v>88</v>
      </c>
      <c r="M144" s="89"/>
      <c r="N144" s="89"/>
      <c r="O144" s="87" t="s">
        <v>532</v>
      </c>
      <c r="P144" s="89"/>
      <c r="Q144" s="92" t="s">
        <v>706</v>
      </c>
      <c r="R144" s="89"/>
      <c r="S144" s="92"/>
      <c r="T144" s="89"/>
      <c r="U144" s="92"/>
      <c r="V144" s="87" t="s">
        <v>285</v>
      </c>
      <c r="W144" s="87" t="s">
        <v>1077</v>
      </c>
      <c r="X144" s="87" t="s">
        <v>1254</v>
      </c>
      <c r="Y144" s="94">
        <v>36694.0</v>
      </c>
      <c r="Z144" s="90"/>
      <c r="AA144" s="90"/>
      <c r="AB144" s="92"/>
      <c r="AC144" s="81">
        <v>138.0</v>
      </c>
      <c r="AD144" s="92"/>
      <c r="AE144" s="87" t="s">
        <v>67</v>
      </c>
      <c r="AF144" s="92"/>
      <c r="AG144" s="87" t="s">
        <v>68</v>
      </c>
      <c r="AH144" s="92"/>
      <c r="AI144" s="96">
        <v>8.1278527773E10</v>
      </c>
      <c r="AJ144" s="87" t="s">
        <v>1255</v>
      </c>
      <c r="AK144" s="97" t="s">
        <v>1256</v>
      </c>
      <c r="AL144" s="87" t="s">
        <v>1257</v>
      </c>
      <c r="AM144" s="87" t="s">
        <v>73</v>
      </c>
      <c r="AN144" s="87" t="s">
        <v>74</v>
      </c>
      <c r="AO144" s="87" t="s">
        <v>360</v>
      </c>
      <c r="AP144" s="87" t="s">
        <v>566</v>
      </c>
      <c r="AQ144" s="87" t="s">
        <v>934</v>
      </c>
      <c r="AR144" s="87" t="s">
        <v>934</v>
      </c>
    </row>
    <row r="145">
      <c r="A145" s="71">
        <f t="shared" si="2"/>
        <v>139</v>
      </c>
      <c r="B145" s="87" t="s">
        <v>1258</v>
      </c>
      <c r="C145" s="88" t="s">
        <v>1259</v>
      </c>
      <c r="D145" s="89"/>
      <c r="E145" s="89"/>
      <c r="F145" s="89"/>
      <c r="G145" s="89"/>
      <c r="H145" s="89"/>
      <c r="I145" s="90"/>
      <c r="J145" s="89"/>
      <c r="K145" s="89"/>
      <c r="L145" s="90" t="s">
        <v>88</v>
      </c>
      <c r="M145" s="89"/>
      <c r="N145" s="89"/>
      <c r="O145" s="87" t="s">
        <v>532</v>
      </c>
      <c r="P145" s="89"/>
      <c r="Q145" s="92" t="s">
        <v>706</v>
      </c>
      <c r="R145" s="89"/>
      <c r="S145" s="92"/>
      <c r="T145" s="89"/>
      <c r="U145" s="92"/>
      <c r="V145" s="87" t="s">
        <v>285</v>
      </c>
      <c r="W145" s="87" t="s">
        <v>374</v>
      </c>
      <c r="X145" s="87" t="s">
        <v>1260</v>
      </c>
      <c r="Y145" s="99">
        <v>33390.0</v>
      </c>
      <c r="Z145" s="90"/>
      <c r="AA145" s="90"/>
      <c r="AB145" s="92"/>
      <c r="AC145" s="81">
        <v>139.0</v>
      </c>
      <c r="AD145" s="92"/>
      <c r="AE145" s="87" t="s">
        <v>67</v>
      </c>
      <c r="AF145" s="92"/>
      <c r="AG145" s="87" t="s">
        <v>68</v>
      </c>
      <c r="AH145" s="92"/>
      <c r="AI145" s="96" t="s">
        <v>1261</v>
      </c>
      <c r="AJ145" s="87" t="s">
        <v>1262</v>
      </c>
      <c r="AK145" s="97" t="s">
        <v>1263</v>
      </c>
      <c r="AL145" s="87" t="s">
        <v>1264</v>
      </c>
      <c r="AM145" s="87" t="s">
        <v>73</v>
      </c>
      <c r="AN145" s="87" t="s">
        <v>166</v>
      </c>
      <c r="AO145" s="87" t="s">
        <v>167</v>
      </c>
      <c r="AP145" s="87" t="s">
        <v>1265</v>
      </c>
      <c r="AQ145" s="87" t="s">
        <v>77</v>
      </c>
      <c r="AR145" s="87" t="s">
        <v>77</v>
      </c>
    </row>
    <row r="146">
      <c r="A146" s="71">
        <f t="shared" si="2"/>
        <v>140</v>
      </c>
      <c r="B146" s="87" t="s">
        <v>1266</v>
      </c>
      <c r="C146" s="88" t="s">
        <v>1267</v>
      </c>
      <c r="D146" s="89"/>
      <c r="E146" s="89"/>
      <c r="F146" s="89"/>
      <c r="G146" s="89"/>
      <c r="H146" s="89"/>
      <c r="I146" s="90"/>
      <c r="J146" s="89"/>
      <c r="K146" s="89"/>
      <c r="L146" s="90" t="s">
        <v>88</v>
      </c>
      <c r="M146" s="89"/>
      <c r="N146" s="89"/>
      <c r="O146" s="87" t="s">
        <v>532</v>
      </c>
      <c r="P146" s="89"/>
      <c r="Q146" s="92" t="s">
        <v>639</v>
      </c>
      <c r="R146" s="89"/>
      <c r="S146" s="92"/>
      <c r="T146" s="89"/>
      <c r="U146" s="92"/>
      <c r="V146" s="87"/>
      <c r="W146" s="87"/>
      <c r="X146" s="87"/>
      <c r="Y146" s="100"/>
      <c r="Z146" s="90"/>
      <c r="AA146" s="90"/>
      <c r="AB146" s="92"/>
      <c r="AC146" s="81">
        <v>140.0</v>
      </c>
      <c r="AD146" s="92"/>
      <c r="AE146" s="87" t="s">
        <v>67</v>
      </c>
      <c r="AF146" s="92"/>
      <c r="AG146" s="87" t="s">
        <v>68</v>
      </c>
      <c r="AH146" s="92"/>
      <c r="AI146" s="96">
        <v>8.1263953119E10</v>
      </c>
      <c r="AJ146" s="87" t="s">
        <v>1268</v>
      </c>
      <c r="AK146" s="97" t="s">
        <v>1269</v>
      </c>
      <c r="AL146" s="87" t="s">
        <v>1270</v>
      </c>
      <c r="AM146" s="87" t="s">
        <v>96</v>
      </c>
      <c r="AN146" s="87" t="s">
        <v>97</v>
      </c>
      <c r="AO146" s="87" t="s">
        <v>213</v>
      </c>
      <c r="AP146" s="87" t="s">
        <v>885</v>
      </c>
      <c r="AQ146" s="87" t="s">
        <v>77</v>
      </c>
      <c r="AR146" s="87" t="s">
        <v>77</v>
      </c>
    </row>
    <row r="147">
      <c r="A147" s="71">
        <f t="shared" si="2"/>
        <v>141</v>
      </c>
      <c r="B147" s="87" t="s">
        <v>1271</v>
      </c>
      <c r="C147" s="88" t="s">
        <v>1272</v>
      </c>
      <c r="D147" s="89"/>
      <c r="E147" s="89"/>
      <c r="F147" s="89"/>
      <c r="G147" s="89"/>
      <c r="H147" s="89"/>
      <c r="I147" s="90"/>
      <c r="J147" s="89"/>
      <c r="K147" s="89"/>
      <c r="L147" s="90" t="s">
        <v>88</v>
      </c>
      <c r="M147" s="89"/>
      <c r="N147" s="89"/>
      <c r="O147" s="87" t="s">
        <v>532</v>
      </c>
      <c r="P147" s="89"/>
      <c r="Q147" s="92" t="s">
        <v>839</v>
      </c>
      <c r="R147" s="89"/>
      <c r="S147" s="92"/>
      <c r="T147" s="89"/>
      <c r="U147" s="92"/>
      <c r="V147" s="87" t="s">
        <v>285</v>
      </c>
      <c r="W147" s="87"/>
      <c r="X147" s="87" t="s">
        <v>1273</v>
      </c>
      <c r="Y147" s="94">
        <v>37704.0</v>
      </c>
      <c r="Z147" s="90"/>
      <c r="AA147" s="90"/>
      <c r="AB147" s="92"/>
      <c r="AC147" s="81">
        <v>141.0</v>
      </c>
      <c r="AD147" s="92"/>
      <c r="AE147" s="87" t="s">
        <v>67</v>
      </c>
      <c r="AF147" s="92"/>
      <c r="AG147" s="87" t="s">
        <v>68</v>
      </c>
      <c r="AH147" s="92"/>
      <c r="AI147" s="96">
        <v>8.1263974582E10</v>
      </c>
      <c r="AJ147" s="87" t="s">
        <v>1274</v>
      </c>
      <c r="AK147" s="97" t="s">
        <v>1275</v>
      </c>
      <c r="AL147" s="87" t="s">
        <v>1276</v>
      </c>
      <c r="AM147" s="87" t="s">
        <v>73</v>
      </c>
      <c r="AN147" s="87" t="s">
        <v>74</v>
      </c>
      <c r="AO147" s="87" t="s">
        <v>1220</v>
      </c>
      <c r="AP147" s="87" t="s">
        <v>1277</v>
      </c>
      <c r="AQ147" s="87"/>
      <c r="AR147" s="87"/>
    </row>
    <row r="148">
      <c r="A148" s="71">
        <f t="shared" si="2"/>
        <v>142</v>
      </c>
      <c r="B148" s="87" t="s">
        <v>1278</v>
      </c>
      <c r="C148" s="88" t="s">
        <v>1279</v>
      </c>
      <c r="D148" s="89"/>
      <c r="E148" s="89"/>
      <c r="F148" s="89"/>
      <c r="G148" s="89"/>
      <c r="H148" s="89"/>
      <c r="I148" s="90"/>
      <c r="J148" s="89"/>
      <c r="K148" s="89"/>
      <c r="L148" s="90" t="s">
        <v>88</v>
      </c>
      <c r="M148" s="89"/>
      <c r="N148" s="89"/>
      <c r="O148" s="87" t="s">
        <v>532</v>
      </c>
      <c r="P148" s="89"/>
      <c r="Q148" s="92" t="s">
        <v>661</v>
      </c>
      <c r="R148" s="89"/>
      <c r="S148" s="92"/>
      <c r="T148" s="89"/>
      <c r="U148" s="92"/>
      <c r="V148" s="87" t="s">
        <v>285</v>
      </c>
      <c r="W148" s="87" t="s">
        <v>218</v>
      </c>
      <c r="X148" s="87" t="s">
        <v>1280</v>
      </c>
      <c r="Y148" s="94">
        <v>33019.0</v>
      </c>
      <c r="Z148" s="90"/>
      <c r="AA148" s="90"/>
      <c r="AB148" s="92"/>
      <c r="AC148" s="81">
        <v>142.0</v>
      </c>
      <c r="AD148" s="92"/>
      <c r="AE148" s="87" t="s">
        <v>67</v>
      </c>
      <c r="AF148" s="92"/>
      <c r="AG148" s="87" t="s">
        <v>130</v>
      </c>
      <c r="AH148" s="92"/>
      <c r="AI148" s="96">
        <v>8.5276768556E10</v>
      </c>
      <c r="AJ148" s="87" t="s">
        <v>1281</v>
      </c>
      <c r="AK148" s="97" t="s">
        <v>1282</v>
      </c>
      <c r="AL148" s="87" t="s">
        <v>1283</v>
      </c>
      <c r="AM148" s="87" t="s">
        <v>73</v>
      </c>
      <c r="AN148" s="87" t="s">
        <v>74</v>
      </c>
      <c r="AO148" s="87" t="s">
        <v>582</v>
      </c>
      <c r="AP148" s="87" t="s">
        <v>1284</v>
      </c>
      <c r="AQ148" s="87">
        <v>3.0</v>
      </c>
      <c r="AR148" s="87">
        <v>2.0</v>
      </c>
    </row>
    <row r="149">
      <c r="A149" s="71">
        <f t="shared" si="2"/>
        <v>143</v>
      </c>
      <c r="B149" s="87" t="s">
        <v>1285</v>
      </c>
      <c r="C149" s="88" t="s">
        <v>1286</v>
      </c>
      <c r="D149" s="89"/>
      <c r="E149" s="89"/>
      <c r="F149" s="89"/>
      <c r="G149" s="89"/>
      <c r="H149" s="89"/>
      <c r="I149" s="90"/>
      <c r="J149" s="89"/>
      <c r="K149" s="89"/>
      <c r="L149" s="90" t="s">
        <v>88</v>
      </c>
      <c r="M149" s="89"/>
      <c r="N149" s="89"/>
      <c r="O149" s="87" t="s">
        <v>142</v>
      </c>
      <c r="P149" s="89"/>
      <c r="Q149" s="92" t="s">
        <v>639</v>
      </c>
      <c r="R149" s="89"/>
      <c r="S149" s="92"/>
      <c r="T149" s="89"/>
      <c r="U149" s="92"/>
      <c r="V149" s="87" t="s">
        <v>89</v>
      </c>
      <c r="W149" s="87" t="s">
        <v>1287</v>
      </c>
      <c r="X149" s="87" t="s">
        <v>1215</v>
      </c>
      <c r="Y149" s="94">
        <v>44918.0</v>
      </c>
      <c r="Z149" s="90"/>
      <c r="AA149" s="90"/>
      <c r="AB149" s="92"/>
      <c r="AC149" s="81">
        <v>143.0</v>
      </c>
      <c r="AD149" s="92"/>
      <c r="AE149" s="87" t="s">
        <v>67</v>
      </c>
      <c r="AF149" s="92"/>
      <c r="AG149" s="87" t="s">
        <v>130</v>
      </c>
      <c r="AH149" s="92"/>
      <c r="AI149" s="96">
        <v>8.5260579005E10</v>
      </c>
      <c r="AJ149" s="87" t="s">
        <v>1288</v>
      </c>
      <c r="AK149" s="97" t="s">
        <v>1289</v>
      </c>
      <c r="AL149" s="87" t="s">
        <v>1290</v>
      </c>
      <c r="AM149" s="87" t="s">
        <v>73</v>
      </c>
      <c r="AN149" s="87" t="s">
        <v>74</v>
      </c>
      <c r="AO149" s="87" t="s">
        <v>1291</v>
      </c>
      <c r="AP149" s="87" t="s">
        <v>167</v>
      </c>
      <c r="AQ149" s="87" t="s">
        <v>77</v>
      </c>
      <c r="AR149" s="87" t="s">
        <v>77</v>
      </c>
    </row>
    <row r="150">
      <c r="A150" s="101"/>
      <c r="B150" s="102"/>
      <c r="C150" s="101"/>
      <c r="D150" s="101"/>
      <c r="E150" s="101"/>
      <c r="F150" s="101"/>
      <c r="G150" s="101"/>
      <c r="H150" s="101"/>
      <c r="I150" s="102"/>
      <c r="J150" s="101"/>
      <c r="K150" s="101"/>
      <c r="L150" s="102"/>
      <c r="M150" s="101"/>
      <c r="N150" s="101"/>
      <c r="O150" s="102"/>
      <c r="P150" s="101"/>
      <c r="Q150" s="102"/>
      <c r="R150" s="101"/>
      <c r="S150" s="102"/>
      <c r="T150" s="101"/>
      <c r="U150" s="102"/>
      <c r="V150" s="102"/>
      <c r="W150" s="102"/>
      <c r="X150" s="102"/>
      <c r="Y150" s="102"/>
      <c r="Z150" s="102"/>
      <c r="AA150" s="102"/>
      <c r="AB150" s="102"/>
      <c r="AC150" s="81">
        <v>144.0</v>
      </c>
      <c r="AD150" s="103"/>
      <c r="AE150" s="103"/>
      <c r="AF150" s="103"/>
      <c r="AG150" s="103"/>
      <c r="AH150" s="103"/>
      <c r="AI150" s="103"/>
      <c r="AJ150" s="103"/>
      <c r="AK150" s="104"/>
      <c r="AL150" s="103"/>
      <c r="AM150" s="103"/>
      <c r="AN150" s="103"/>
      <c r="AO150" s="103"/>
      <c r="AP150" s="103"/>
      <c r="AQ150" s="103"/>
      <c r="AR150" s="103"/>
    </row>
    <row r="151">
      <c r="A151" s="101" t="s">
        <v>1292</v>
      </c>
      <c r="B151" s="102"/>
      <c r="C151" s="101"/>
      <c r="D151" s="101"/>
      <c r="E151" s="101"/>
      <c r="F151" s="101"/>
      <c r="G151" s="101"/>
      <c r="H151" s="101"/>
      <c r="I151" s="102"/>
      <c r="J151" s="101"/>
      <c r="K151" s="101"/>
      <c r="L151" s="102"/>
      <c r="M151" s="101"/>
      <c r="N151" s="101"/>
      <c r="O151" s="102"/>
      <c r="P151" s="101"/>
      <c r="Q151" s="102"/>
      <c r="R151" s="101"/>
      <c r="S151" s="102"/>
      <c r="T151" s="101"/>
      <c r="U151" s="102"/>
      <c r="V151" s="102"/>
      <c r="W151" s="102"/>
      <c r="X151" s="102"/>
      <c r="Y151" s="102"/>
      <c r="Z151" s="102"/>
      <c r="AA151" s="102"/>
      <c r="AB151" s="102"/>
      <c r="AC151" s="81">
        <v>145.0</v>
      </c>
      <c r="AD151" s="103"/>
      <c r="AE151" s="103"/>
      <c r="AF151" s="103"/>
      <c r="AG151" s="103"/>
      <c r="AH151" s="103"/>
      <c r="AI151" s="103"/>
      <c r="AJ151" s="103"/>
      <c r="AK151" s="104"/>
      <c r="AL151" s="103"/>
      <c r="AM151" s="103"/>
      <c r="AN151" s="103"/>
      <c r="AO151" s="103"/>
      <c r="AP151" s="103"/>
      <c r="AQ151" s="103"/>
      <c r="AR151" s="103"/>
    </row>
    <row r="152">
      <c r="A152" s="21">
        <f>SUM(A150+1)</f>
        <v>1</v>
      </c>
      <c r="B152" s="21" t="s">
        <v>1293</v>
      </c>
      <c r="C152" s="105" t="s">
        <v>1294</v>
      </c>
      <c r="D152" s="21">
        <v>15.0</v>
      </c>
      <c r="E152" s="21">
        <v>7.0</v>
      </c>
      <c r="F152" s="21" t="s">
        <v>50</v>
      </c>
      <c r="G152" s="21" t="s">
        <v>51</v>
      </c>
      <c r="H152" s="33">
        <v>40483.0</v>
      </c>
      <c r="I152" s="21" t="s">
        <v>82</v>
      </c>
      <c r="J152" s="21" t="s">
        <v>83</v>
      </c>
      <c r="K152" s="21" t="s">
        <v>104</v>
      </c>
      <c r="L152" s="21" t="s">
        <v>105</v>
      </c>
      <c r="M152" s="33">
        <v>45017.0</v>
      </c>
      <c r="N152" s="21" t="s">
        <v>56</v>
      </c>
      <c r="O152" s="21" t="s">
        <v>1295</v>
      </c>
      <c r="P152" s="21" t="s">
        <v>1296</v>
      </c>
      <c r="Q152" s="21" t="s">
        <v>1297</v>
      </c>
      <c r="R152" s="106">
        <v>46076.0</v>
      </c>
      <c r="S152" s="21" t="s">
        <v>87</v>
      </c>
      <c r="T152" s="37"/>
      <c r="U152" s="21" t="s">
        <v>88</v>
      </c>
      <c r="V152" s="21" t="s">
        <v>159</v>
      </c>
      <c r="W152" s="21" t="s">
        <v>218</v>
      </c>
      <c r="X152" s="21" t="s">
        <v>260</v>
      </c>
      <c r="Y152" s="36">
        <v>42854.0</v>
      </c>
      <c r="Z152" s="21" t="s">
        <v>65</v>
      </c>
      <c r="AA152" s="33">
        <v>51503.0</v>
      </c>
      <c r="AB152" s="37"/>
      <c r="AC152" s="23">
        <v>43.0</v>
      </c>
      <c r="AD152" s="21" t="s">
        <v>66</v>
      </c>
      <c r="AE152" s="21" t="s">
        <v>67</v>
      </c>
      <c r="AF152" s="21" t="s">
        <v>92</v>
      </c>
      <c r="AG152" s="21" t="s">
        <v>68</v>
      </c>
      <c r="AH152" s="21" t="s">
        <v>246</v>
      </c>
      <c r="AI152" s="21">
        <v>8.1265440006E10</v>
      </c>
      <c r="AJ152" s="21" t="s">
        <v>1298</v>
      </c>
      <c r="AK152" s="21" t="s">
        <v>1299</v>
      </c>
      <c r="AL152" s="21" t="s">
        <v>1300</v>
      </c>
      <c r="AM152" s="21" t="s">
        <v>73</v>
      </c>
      <c r="AN152" s="21" t="s">
        <v>74</v>
      </c>
      <c r="AO152" s="21" t="s">
        <v>774</v>
      </c>
      <c r="AP152" s="21" t="s">
        <v>942</v>
      </c>
      <c r="AQ152" s="21" t="s">
        <v>77</v>
      </c>
      <c r="AR152" s="21" t="s">
        <v>77</v>
      </c>
    </row>
    <row r="153">
      <c r="A153" s="21">
        <f t="shared" ref="A153:A200" si="3">SUM(A152+1)</f>
        <v>2</v>
      </c>
      <c r="B153" s="21" t="s">
        <v>1301</v>
      </c>
      <c r="C153" s="31" t="s">
        <v>1302</v>
      </c>
      <c r="D153" s="23">
        <v>7.0</v>
      </c>
      <c r="E153" s="23">
        <v>9.0</v>
      </c>
      <c r="F153" s="23" t="s">
        <v>80</v>
      </c>
      <c r="G153" s="23" t="s">
        <v>81</v>
      </c>
      <c r="H153" s="32">
        <v>42186.0</v>
      </c>
      <c r="I153" s="21" t="s">
        <v>102</v>
      </c>
      <c r="J153" s="21" t="s">
        <v>103</v>
      </c>
      <c r="K153" s="21" t="s">
        <v>104</v>
      </c>
      <c r="L153" s="21" t="s">
        <v>105</v>
      </c>
      <c r="M153" s="33">
        <v>45017.0</v>
      </c>
      <c r="N153" s="23" t="s">
        <v>56</v>
      </c>
      <c r="O153" s="21" t="s">
        <v>1303</v>
      </c>
      <c r="P153" s="23" t="s">
        <v>107</v>
      </c>
      <c r="Q153" s="21" t="s">
        <v>1304</v>
      </c>
      <c r="R153" s="34">
        <v>46076.0</v>
      </c>
      <c r="S153" s="23" t="s">
        <v>87</v>
      </c>
      <c r="T153" s="35"/>
      <c r="U153" s="23" t="s">
        <v>105</v>
      </c>
      <c r="V153" s="21" t="s">
        <v>110</v>
      </c>
      <c r="W153" s="21" t="s">
        <v>1305</v>
      </c>
      <c r="X153" s="21" t="s">
        <v>112</v>
      </c>
      <c r="Y153" s="21" t="s">
        <v>1306</v>
      </c>
      <c r="Z153" s="21" t="s">
        <v>65</v>
      </c>
      <c r="AA153" s="32">
        <v>55519.0</v>
      </c>
      <c r="AB153" s="35"/>
      <c r="AC153" s="23">
        <v>44.0</v>
      </c>
      <c r="AD153" s="21" t="s">
        <v>66</v>
      </c>
      <c r="AE153" s="21" t="s">
        <v>67</v>
      </c>
      <c r="AF153" s="21" t="s">
        <v>92</v>
      </c>
      <c r="AG153" s="21" t="s">
        <v>68</v>
      </c>
      <c r="AH153" s="21" t="s">
        <v>69</v>
      </c>
      <c r="AI153" s="21">
        <v>8.2164055785E10</v>
      </c>
      <c r="AJ153" s="21" t="s">
        <v>1307</v>
      </c>
      <c r="AK153" s="21" t="s">
        <v>1308</v>
      </c>
      <c r="AL153" s="21" t="s">
        <v>1309</v>
      </c>
      <c r="AM153" s="21" t="s">
        <v>96</v>
      </c>
      <c r="AN153" s="21" t="s">
        <v>74</v>
      </c>
      <c r="AO153" s="21" t="s">
        <v>774</v>
      </c>
      <c r="AP153" s="21" t="s">
        <v>1310</v>
      </c>
      <c r="AQ153" s="37"/>
      <c r="AR153" s="37"/>
    </row>
    <row r="154">
      <c r="A154" s="21">
        <f t="shared" si="3"/>
        <v>3</v>
      </c>
      <c r="B154" s="21" t="s">
        <v>1311</v>
      </c>
      <c r="C154" s="38" t="s">
        <v>1312</v>
      </c>
      <c r="D154" s="23">
        <v>12.0</v>
      </c>
      <c r="E154" s="23">
        <v>1.0</v>
      </c>
      <c r="F154" s="23" t="s">
        <v>80</v>
      </c>
      <c r="G154" s="23" t="s">
        <v>81</v>
      </c>
      <c r="H154" s="24">
        <v>35490.0</v>
      </c>
      <c r="I154" s="21" t="s">
        <v>82</v>
      </c>
      <c r="J154" s="21" t="s">
        <v>83</v>
      </c>
      <c r="K154" s="21" t="s">
        <v>1313</v>
      </c>
      <c r="L154" s="21" t="s">
        <v>1314</v>
      </c>
      <c r="M154" s="25">
        <v>39904.0</v>
      </c>
      <c r="N154" s="23" t="s">
        <v>141</v>
      </c>
      <c r="O154" s="21" t="s">
        <v>1315</v>
      </c>
      <c r="P154" s="56"/>
      <c r="Q154" s="21" t="s">
        <v>1316</v>
      </c>
      <c r="R154" s="24">
        <v>46082.0</v>
      </c>
      <c r="S154" s="23" t="s">
        <v>1317</v>
      </c>
      <c r="T154" s="26"/>
      <c r="U154" s="23" t="s">
        <v>105</v>
      </c>
      <c r="V154" s="21" t="s">
        <v>89</v>
      </c>
      <c r="W154" s="21" t="s">
        <v>1318</v>
      </c>
      <c r="X154" s="21" t="s">
        <v>1319</v>
      </c>
      <c r="Y154" s="27">
        <v>34303.0</v>
      </c>
      <c r="Z154" s="56"/>
      <c r="AA154" s="28">
        <v>46025.0</v>
      </c>
      <c r="AB154" s="29"/>
      <c r="AC154" s="23">
        <v>45.0</v>
      </c>
      <c r="AD154" s="21" t="s">
        <v>66</v>
      </c>
      <c r="AE154" s="21" t="s">
        <v>220</v>
      </c>
      <c r="AF154" s="21" t="s">
        <v>92</v>
      </c>
      <c r="AG154" s="21" t="s">
        <v>68</v>
      </c>
      <c r="AH154" s="30"/>
      <c r="AI154" s="21">
        <v>8.1396213232E10</v>
      </c>
      <c r="AJ154" s="21" t="s">
        <v>1320</v>
      </c>
      <c r="AK154" s="21" t="s">
        <v>1321</v>
      </c>
      <c r="AL154" s="21" t="s">
        <v>1322</v>
      </c>
      <c r="AM154" s="21" t="s">
        <v>96</v>
      </c>
      <c r="AN154" s="21" t="s">
        <v>74</v>
      </c>
      <c r="AO154" s="21" t="s">
        <v>75</v>
      </c>
      <c r="AP154" s="21" t="s">
        <v>315</v>
      </c>
      <c r="AQ154" s="30"/>
      <c r="AR154" s="30"/>
    </row>
    <row r="155">
      <c r="A155" s="21">
        <f t="shared" si="3"/>
        <v>4</v>
      </c>
      <c r="B155" s="39" t="s">
        <v>1323</v>
      </c>
      <c r="C155" s="57" t="s">
        <v>1324</v>
      </c>
      <c r="D155" s="39">
        <v>17.0</v>
      </c>
      <c r="E155" s="39">
        <v>1.0</v>
      </c>
      <c r="F155" s="39" t="s">
        <v>50</v>
      </c>
      <c r="G155" s="39" t="s">
        <v>51</v>
      </c>
      <c r="H155" s="42">
        <v>33909.0</v>
      </c>
      <c r="I155" s="39" t="s">
        <v>254</v>
      </c>
      <c r="J155" s="39" t="s">
        <v>255</v>
      </c>
      <c r="K155" s="39" t="s">
        <v>1325</v>
      </c>
      <c r="L155" s="39" t="s">
        <v>1326</v>
      </c>
      <c r="M155" s="42">
        <v>41365.0</v>
      </c>
      <c r="N155" s="39" t="s">
        <v>141</v>
      </c>
      <c r="O155" s="39" t="s">
        <v>173</v>
      </c>
      <c r="P155" s="43"/>
      <c r="Q155" s="39" t="s">
        <v>1304</v>
      </c>
      <c r="R155" s="42">
        <v>43831.0</v>
      </c>
      <c r="S155" s="39" t="s">
        <v>1327</v>
      </c>
      <c r="T155" s="44"/>
      <c r="U155" s="39" t="s">
        <v>105</v>
      </c>
      <c r="V155" s="39" t="s">
        <v>159</v>
      </c>
      <c r="W155" s="39" t="s">
        <v>1328</v>
      </c>
      <c r="X155" s="39" t="s">
        <v>1329</v>
      </c>
      <c r="Y155" s="39" t="s">
        <v>1330</v>
      </c>
      <c r="Z155" s="46"/>
      <c r="AA155" s="45">
        <v>46030.0</v>
      </c>
      <c r="AB155" s="46"/>
      <c r="AC155" s="23">
        <v>46.0</v>
      </c>
      <c r="AD155" s="39" t="s">
        <v>66</v>
      </c>
      <c r="AE155" s="39" t="s">
        <v>67</v>
      </c>
      <c r="AF155" s="39" t="s">
        <v>92</v>
      </c>
      <c r="AG155" s="39" t="s">
        <v>68</v>
      </c>
      <c r="AH155" s="39" t="s">
        <v>131</v>
      </c>
      <c r="AI155" s="39">
        <v>8.2369686565E10</v>
      </c>
      <c r="AJ155" s="39" t="s">
        <v>1331</v>
      </c>
      <c r="AK155" s="39" t="s">
        <v>1332</v>
      </c>
      <c r="AL155" s="39" t="s">
        <v>1333</v>
      </c>
      <c r="AM155" s="39" t="s">
        <v>73</v>
      </c>
      <c r="AN155" s="39" t="s">
        <v>74</v>
      </c>
      <c r="AO155" s="39" t="s">
        <v>360</v>
      </c>
      <c r="AP155" s="39" t="s">
        <v>893</v>
      </c>
      <c r="AQ155" s="43"/>
      <c r="AR155" s="43"/>
    </row>
    <row r="156">
      <c r="A156" s="21">
        <f t="shared" si="3"/>
        <v>5</v>
      </c>
      <c r="B156" s="39" t="s">
        <v>1334</v>
      </c>
      <c r="C156" s="57" t="s">
        <v>1335</v>
      </c>
      <c r="D156" s="39">
        <v>21.0</v>
      </c>
      <c r="E156" s="39">
        <v>1.0</v>
      </c>
      <c r="F156" s="39" t="s">
        <v>50</v>
      </c>
      <c r="G156" s="39" t="s">
        <v>51</v>
      </c>
      <c r="H156" s="42">
        <v>32568.0</v>
      </c>
      <c r="I156" s="39" t="s">
        <v>254</v>
      </c>
      <c r="J156" s="39" t="s">
        <v>255</v>
      </c>
      <c r="K156" s="39" t="s">
        <v>1336</v>
      </c>
      <c r="L156" s="39" t="s">
        <v>55</v>
      </c>
      <c r="M156" s="42">
        <v>42095.0</v>
      </c>
      <c r="N156" s="39" t="s">
        <v>141</v>
      </c>
      <c r="O156" s="39" t="s">
        <v>173</v>
      </c>
      <c r="P156" s="43"/>
      <c r="Q156" s="39" t="s">
        <v>1304</v>
      </c>
      <c r="R156" s="42">
        <v>45292.0</v>
      </c>
      <c r="S156" s="39" t="s">
        <v>143</v>
      </c>
      <c r="T156" s="44"/>
      <c r="U156" s="39" t="s">
        <v>144</v>
      </c>
      <c r="V156" s="39" t="s">
        <v>159</v>
      </c>
      <c r="W156" s="39" t="s">
        <v>503</v>
      </c>
      <c r="X156" s="39" t="s">
        <v>1337</v>
      </c>
      <c r="Y156" s="47">
        <v>39557.0</v>
      </c>
      <c r="Z156" s="39" t="s">
        <v>65</v>
      </c>
      <c r="AA156" s="45">
        <v>46391.0</v>
      </c>
      <c r="AB156" s="46"/>
      <c r="AC156" s="23">
        <v>47.0</v>
      </c>
      <c r="AD156" s="39" t="s">
        <v>66</v>
      </c>
      <c r="AE156" s="39" t="s">
        <v>67</v>
      </c>
      <c r="AF156" s="39" t="s">
        <v>92</v>
      </c>
      <c r="AG156" s="39" t="s">
        <v>130</v>
      </c>
      <c r="AH156" s="39" t="s">
        <v>69</v>
      </c>
      <c r="AI156" s="39">
        <v>8.116251003E9</v>
      </c>
      <c r="AJ156" s="39" t="s">
        <v>1338</v>
      </c>
      <c r="AK156" s="39" t="s">
        <v>1339</v>
      </c>
      <c r="AL156" s="39" t="s">
        <v>1340</v>
      </c>
      <c r="AM156" s="39" t="s">
        <v>73</v>
      </c>
      <c r="AN156" s="39" t="s">
        <v>481</v>
      </c>
      <c r="AO156" s="39" t="s">
        <v>360</v>
      </c>
      <c r="AP156" s="39" t="s">
        <v>666</v>
      </c>
      <c r="AQ156" s="39" t="s">
        <v>77</v>
      </c>
      <c r="AR156" s="39" t="s">
        <v>77</v>
      </c>
    </row>
    <row r="157">
      <c r="A157" s="21">
        <f t="shared" si="3"/>
        <v>6</v>
      </c>
      <c r="B157" s="39" t="s">
        <v>1341</v>
      </c>
      <c r="C157" s="57" t="s">
        <v>1342</v>
      </c>
      <c r="D157" s="39">
        <v>21.0</v>
      </c>
      <c r="E157" s="39">
        <v>3.0</v>
      </c>
      <c r="F157" s="39" t="s">
        <v>50</v>
      </c>
      <c r="G157" s="39" t="s">
        <v>51</v>
      </c>
      <c r="H157" s="42">
        <v>33878.0</v>
      </c>
      <c r="I157" s="39" t="s">
        <v>254</v>
      </c>
      <c r="J157" s="39" t="s">
        <v>255</v>
      </c>
      <c r="K157" s="39" t="s">
        <v>1343</v>
      </c>
      <c r="L157" s="39" t="s">
        <v>55</v>
      </c>
      <c r="M157" s="42">
        <v>42644.0</v>
      </c>
      <c r="N157" s="39" t="s">
        <v>141</v>
      </c>
      <c r="O157" s="39" t="s">
        <v>229</v>
      </c>
      <c r="P157" s="43"/>
      <c r="Q157" s="39" t="s">
        <v>1316</v>
      </c>
      <c r="R157" s="42">
        <v>43831.0</v>
      </c>
      <c r="S157" s="39" t="s">
        <v>1344</v>
      </c>
      <c r="T157" s="44"/>
      <c r="U157" s="39" t="s">
        <v>1345</v>
      </c>
      <c r="V157" s="39" t="s">
        <v>159</v>
      </c>
      <c r="W157" s="39" t="s">
        <v>1346</v>
      </c>
      <c r="X157" s="39" t="s">
        <v>1329</v>
      </c>
      <c r="Y157" s="39" t="s">
        <v>1347</v>
      </c>
      <c r="Z157" s="39" t="s">
        <v>114</v>
      </c>
      <c r="AA157" s="45">
        <v>46034.0</v>
      </c>
      <c r="AB157" s="46"/>
      <c r="AC157" s="23">
        <v>48.0</v>
      </c>
      <c r="AD157" s="39" t="s">
        <v>66</v>
      </c>
      <c r="AE157" s="39" t="s">
        <v>67</v>
      </c>
      <c r="AF157" s="39" t="s">
        <v>92</v>
      </c>
      <c r="AG157" s="39" t="s">
        <v>68</v>
      </c>
      <c r="AH157" s="43"/>
      <c r="AI157" s="39">
        <v>8.2285901259E10</v>
      </c>
      <c r="AJ157" s="39" t="s">
        <v>1348</v>
      </c>
      <c r="AK157" s="39" t="s">
        <v>1349</v>
      </c>
      <c r="AL157" s="39" t="s">
        <v>1350</v>
      </c>
      <c r="AM157" s="39" t="s">
        <v>96</v>
      </c>
      <c r="AN157" s="39" t="s">
        <v>135</v>
      </c>
      <c r="AO157" s="39" t="s">
        <v>236</v>
      </c>
      <c r="AP157" s="39" t="s">
        <v>852</v>
      </c>
      <c r="AQ157" s="43"/>
      <c r="AR157" s="43"/>
    </row>
    <row r="158">
      <c r="A158" s="21">
        <f t="shared" si="3"/>
        <v>7</v>
      </c>
      <c r="B158" s="39" t="s">
        <v>1351</v>
      </c>
      <c r="C158" s="57" t="s">
        <v>1352</v>
      </c>
      <c r="D158" s="39">
        <v>24.0</v>
      </c>
      <c r="E158" s="39">
        <v>7.0</v>
      </c>
      <c r="F158" s="39" t="s">
        <v>50</v>
      </c>
      <c r="G158" s="39" t="s">
        <v>51</v>
      </c>
      <c r="H158" s="42">
        <v>32568.0</v>
      </c>
      <c r="I158" s="39" t="s">
        <v>254</v>
      </c>
      <c r="J158" s="39" t="s">
        <v>255</v>
      </c>
      <c r="K158" s="39" t="s">
        <v>1353</v>
      </c>
      <c r="L158" s="39" t="s">
        <v>55</v>
      </c>
      <c r="M158" s="42">
        <v>43374.0</v>
      </c>
      <c r="N158" s="39" t="s">
        <v>141</v>
      </c>
      <c r="O158" s="39" t="s">
        <v>229</v>
      </c>
      <c r="P158" s="43"/>
      <c r="Q158" s="39" t="s">
        <v>1316</v>
      </c>
      <c r="R158" s="42">
        <v>45292.0</v>
      </c>
      <c r="S158" s="39" t="s">
        <v>143</v>
      </c>
      <c r="T158" s="44"/>
      <c r="U158" s="39" t="s">
        <v>144</v>
      </c>
      <c r="V158" s="39" t="s">
        <v>159</v>
      </c>
      <c r="W158" s="39" t="s">
        <v>1354</v>
      </c>
      <c r="X158" s="39" t="s">
        <v>260</v>
      </c>
      <c r="Y158" s="47">
        <v>42854.0</v>
      </c>
      <c r="Z158" s="39" t="s">
        <v>65</v>
      </c>
      <c r="AA158" s="45">
        <v>46031.0</v>
      </c>
      <c r="AB158" s="46"/>
      <c r="AC158" s="23">
        <v>49.0</v>
      </c>
      <c r="AD158" s="39" t="s">
        <v>66</v>
      </c>
      <c r="AE158" s="39" t="s">
        <v>67</v>
      </c>
      <c r="AF158" s="43"/>
      <c r="AG158" s="39" t="s">
        <v>68</v>
      </c>
      <c r="AH158" s="39" t="s">
        <v>69</v>
      </c>
      <c r="AI158" s="39">
        <v>8.5261914838E10</v>
      </c>
      <c r="AJ158" s="39" t="s">
        <v>1355</v>
      </c>
      <c r="AK158" s="39" t="s">
        <v>1356</v>
      </c>
      <c r="AL158" s="39" t="s">
        <v>1357</v>
      </c>
      <c r="AM158" s="39" t="s">
        <v>96</v>
      </c>
      <c r="AN158" s="39" t="s">
        <v>135</v>
      </c>
      <c r="AO158" s="39" t="s">
        <v>499</v>
      </c>
      <c r="AP158" s="39" t="s">
        <v>1358</v>
      </c>
      <c r="AQ158" s="43"/>
      <c r="AR158" s="43"/>
    </row>
    <row r="159">
      <c r="A159" s="21">
        <f t="shared" si="3"/>
        <v>8</v>
      </c>
      <c r="B159" s="39" t="s">
        <v>1359</v>
      </c>
      <c r="C159" s="40" t="s">
        <v>1360</v>
      </c>
      <c r="D159" s="41">
        <v>23.0</v>
      </c>
      <c r="E159" s="41">
        <v>9.0</v>
      </c>
      <c r="F159" s="41" t="s">
        <v>50</v>
      </c>
      <c r="G159" s="41" t="s">
        <v>51</v>
      </c>
      <c r="H159" s="58">
        <v>33664.0</v>
      </c>
      <c r="I159" s="39" t="s">
        <v>254</v>
      </c>
      <c r="J159" s="39" t="s">
        <v>255</v>
      </c>
      <c r="K159" s="39" t="s">
        <v>1361</v>
      </c>
      <c r="L159" s="39" t="s">
        <v>55</v>
      </c>
      <c r="M159" s="42">
        <v>43556.0</v>
      </c>
      <c r="N159" s="41" t="s">
        <v>141</v>
      </c>
      <c r="O159" s="39" t="s">
        <v>173</v>
      </c>
      <c r="P159" s="59"/>
      <c r="Q159" s="39" t="s">
        <v>59</v>
      </c>
      <c r="R159" s="58">
        <v>45468.0</v>
      </c>
      <c r="S159" s="41" t="s">
        <v>1362</v>
      </c>
      <c r="T159" s="60"/>
      <c r="U159" s="41" t="s">
        <v>144</v>
      </c>
      <c r="V159" s="39" t="s">
        <v>159</v>
      </c>
      <c r="W159" s="39" t="s">
        <v>259</v>
      </c>
      <c r="X159" s="39" t="s">
        <v>260</v>
      </c>
      <c r="Y159" s="47">
        <v>43069.0</v>
      </c>
      <c r="Z159" s="59"/>
      <c r="AA159" s="61">
        <v>46028.0</v>
      </c>
      <c r="AB159" s="59"/>
      <c r="AC159" s="23">
        <v>50.0</v>
      </c>
      <c r="AD159" s="39" t="s">
        <v>66</v>
      </c>
      <c r="AE159" s="39" t="s">
        <v>67</v>
      </c>
      <c r="AF159" s="43"/>
      <c r="AG159" s="39" t="s">
        <v>68</v>
      </c>
      <c r="AH159" s="39" t="s">
        <v>131</v>
      </c>
      <c r="AI159" s="39">
        <v>8.2161203143E10</v>
      </c>
      <c r="AJ159" s="39" t="s">
        <v>1363</v>
      </c>
      <c r="AK159" s="39" t="s">
        <v>1364</v>
      </c>
      <c r="AL159" s="39" t="s">
        <v>1365</v>
      </c>
      <c r="AM159" s="39" t="s">
        <v>96</v>
      </c>
      <c r="AN159" s="39" t="s">
        <v>97</v>
      </c>
      <c r="AO159" s="39" t="s">
        <v>213</v>
      </c>
      <c r="AP159" s="39" t="s">
        <v>1366</v>
      </c>
      <c r="AQ159" s="43"/>
      <c r="AR159" s="43"/>
    </row>
    <row r="160">
      <c r="A160" s="21">
        <f t="shared" si="3"/>
        <v>9</v>
      </c>
      <c r="B160" s="39" t="s">
        <v>1367</v>
      </c>
      <c r="C160" s="57" t="s">
        <v>1368</v>
      </c>
      <c r="D160" s="39">
        <v>8.0</v>
      </c>
      <c r="E160" s="39">
        <v>6.0</v>
      </c>
      <c r="F160" s="39" t="s">
        <v>50</v>
      </c>
      <c r="G160" s="39" t="s">
        <v>51</v>
      </c>
      <c r="H160" s="42">
        <v>37591.0</v>
      </c>
      <c r="I160" s="39" t="s">
        <v>82</v>
      </c>
      <c r="J160" s="39" t="s">
        <v>83</v>
      </c>
      <c r="K160" s="39" t="s">
        <v>1369</v>
      </c>
      <c r="L160" s="39" t="s">
        <v>1314</v>
      </c>
      <c r="M160" s="42">
        <v>42095.0</v>
      </c>
      <c r="N160" s="39" t="s">
        <v>141</v>
      </c>
      <c r="O160" s="39" t="s">
        <v>173</v>
      </c>
      <c r="P160" s="43"/>
      <c r="Q160" s="39" t="s">
        <v>1304</v>
      </c>
      <c r="R160" s="42">
        <v>45292.0</v>
      </c>
      <c r="S160" s="39" t="s">
        <v>143</v>
      </c>
      <c r="T160" s="44"/>
      <c r="U160" s="39" t="s">
        <v>144</v>
      </c>
      <c r="V160" s="39" t="s">
        <v>110</v>
      </c>
      <c r="W160" s="39" t="s">
        <v>1370</v>
      </c>
      <c r="X160" s="39" t="s">
        <v>1371</v>
      </c>
      <c r="Y160" s="39" t="s">
        <v>1372</v>
      </c>
      <c r="Z160" s="39" t="s">
        <v>65</v>
      </c>
      <c r="AA160" s="45">
        <v>51871.0</v>
      </c>
      <c r="AB160" s="46"/>
      <c r="AC160" s="23">
        <v>51.0</v>
      </c>
      <c r="AD160" s="39" t="s">
        <v>66</v>
      </c>
      <c r="AE160" s="39" t="s">
        <v>67</v>
      </c>
      <c r="AF160" s="39" t="s">
        <v>92</v>
      </c>
      <c r="AG160" s="39" t="s">
        <v>130</v>
      </c>
      <c r="AH160" s="39" t="s">
        <v>131</v>
      </c>
      <c r="AI160" s="39">
        <v>8.116401004E9</v>
      </c>
      <c r="AJ160" s="39" t="s">
        <v>1373</v>
      </c>
      <c r="AK160" s="39" t="s">
        <v>1374</v>
      </c>
      <c r="AL160" s="39" t="s">
        <v>1375</v>
      </c>
      <c r="AM160" s="39" t="s">
        <v>96</v>
      </c>
      <c r="AN160" s="39" t="s">
        <v>97</v>
      </c>
      <c r="AO160" s="39" t="s">
        <v>98</v>
      </c>
      <c r="AP160" s="39" t="s">
        <v>1376</v>
      </c>
      <c r="AQ160" s="43"/>
      <c r="AR160" s="43"/>
    </row>
    <row r="161">
      <c r="A161" s="21">
        <f t="shared" si="3"/>
        <v>10</v>
      </c>
      <c r="B161" s="39" t="s">
        <v>1377</v>
      </c>
      <c r="C161" s="57" t="s">
        <v>1378</v>
      </c>
      <c r="D161" s="39">
        <v>12.0</v>
      </c>
      <c r="E161" s="39">
        <v>3.0</v>
      </c>
      <c r="F161" s="39" t="s">
        <v>80</v>
      </c>
      <c r="G161" s="39" t="s">
        <v>81</v>
      </c>
      <c r="H161" s="42">
        <v>40179.0</v>
      </c>
      <c r="I161" s="39" t="s">
        <v>82</v>
      </c>
      <c r="J161" s="39" t="s">
        <v>83</v>
      </c>
      <c r="K161" s="39" t="s">
        <v>228</v>
      </c>
      <c r="L161" s="39" t="s">
        <v>105</v>
      </c>
      <c r="M161" s="42">
        <v>44652.0</v>
      </c>
      <c r="N161" s="39" t="s">
        <v>141</v>
      </c>
      <c r="O161" s="39" t="s">
        <v>173</v>
      </c>
      <c r="P161" s="43"/>
      <c r="Q161" s="39" t="s">
        <v>1304</v>
      </c>
      <c r="R161" s="42">
        <v>45292.0</v>
      </c>
      <c r="S161" s="39" t="s">
        <v>143</v>
      </c>
      <c r="T161" s="44"/>
      <c r="U161" s="39" t="s">
        <v>144</v>
      </c>
      <c r="V161" s="39" t="s">
        <v>159</v>
      </c>
      <c r="W161" s="39" t="s">
        <v>218</v>
      </c>
      <c r="X161" s="39" t="s">
        <v>745</v>
      </c>
      <c r="Y161" s="47">
        <v>43008.0</v>
      </c>
      <c r="Z161" s="39" t="s">
        <v>114</v>
      </c>
      <c r="AA161" s="45">
        <v>50778.0</v>
      </c>
      <c r="AB161" s="46"/>
      <c r="AC161" s="23">
        <v>52.0</v>
      </c>
      <c r="AD161" s="39" t="s">
        <v>66</v>
      </c>
      <c r="AE161" s="39" t="s">
        <v>67</v>
      </c>
      <c r="AF161" s="39" t="s">
        <v>92</v>
      </c>
      <c r="AG161" s="39" t="s">
        <v>68</v>
      </c>
      <c r="AH161" s="39" t="s">
        <v>69</v>
      </c>
      <c r="AI161" s="39">
        <v>8.126446224E9</v>
      </c>
      <c r="AJ161" s="39" t="s">
        <v>1379</v>
      </c>
      <c r="AK161" s="39" t="s">
        <v>1380</v>
      </c>
      <c r="AL161" s="39" t="s">
        <v>1381</v>
      </c>
      <c r="AM161" s="39" t="s">
        <v>96</v>
      </c>
      <c r="AN161" s="39" t="s">
        <v>481</v>
      </c>
      <c r="AO161" s="39" t="s">
        <v>191</v>
      </c>
      <c r="AP161" s="39" t="s">
        <v>1382</v>
      </c>
      <c r="AQ161" s="39" t="s">
        <v>77</v>
      </c>
      <c r="AR161" s="39" t="s">
        <v>77</v>
      </c>
    </row>
    <row r="162">
      <c r="A162" s="21">
        <f t="shared" si="3"/>
        <v>11</v>
      </c>
      <c r="B162" s="39" t="s">
        <v>1383</v>
      </c>
      <c r="C162" s="57" t="s">
        <v>1384</v>
      </c>
      <c r="D162" s="39">
        <v>12.0</v>
      </c>
      <c r="E162" s="39">
        <v>3.0</v>
      </c>
      <c r="F162" s="39" t="s">
        <v>80</v>
      </c>
      <c r="G162" s="39" t="s">
        <v>81</v>
      </c>
      <c r="H162" s="42">
        <v>40179.0</v>
      </c>
      <c r="I162" s="39" t="s">
        <v>82</v>
      </c>
      <c r="J162" s="39" t="s">
        <v>83</v>
      </c>
      <c r="K162" s="39" t="s">
        <v>155</v>
      </c>
      <c r="L162" s="39" t="s">
        <v>105</v>
      </c>
      <c r="M162" s="42">
        <v>44652.0</v>
      </c>
      <c r="N162" s="39" t="s">
        <v>141</v>
      </c>
      <c r="O162" s="39" t="s">
        <v>173</v>
      </c>
      <c r="P162" s="43"/>
      <c r="Q162" s="39" t="s">
        <v>1304</v>
      </c>
      <c r="R162" s="42">
        <v>45292.0</v>
      </c>
      <c r="S162" s="39" t="s">
        <v>143</v>
      </c>
      <c r="T162" s="44"/>
      <c r="U162" s="39" t="s">
        <v>144</v>
      </c>
      <c r="V162" s="39" t="s">
        <v>89</v>
      </c>
      <c r="W162" s="39" t="s">
        <v>218</v>
      </c>
      <c r="X162" s="39" t="s">
        <v>1385</v>
      </c>
      <c r="Y162" s="39" t="s">
        <v>1386</v>
      </c>
      <c r="Z162" s="39" t="s">
        <v>114</v>
      </c>
      <c r="AA162" s="45">
        <v>50415.0</v>
      </c>
      <c r="AB162" s="46"/>
      <c r="AC162" s="23">
        <v>53.0</v>
      </c>
      <c r="AD162" s="39" t="s">
        <v>66</v>
      </c>
      <c r="AE162" s="39" t="s">
        <v>67</v>
      </c>
      <c r="AF162" s="39" t="s">
        <v>129</v>
      </c>
      <c r="AG162" s="39" t="s">
        <v>68</v>
      </c>
      <c r="AH162" s="39" t="s">
        <v>246</v>
      </c>
      <c r="AI162" s="39">
        <v>8.1262266206E10</v>
      </c>
      <c r="AJ162" s="39" t="s">
        <v>1387</v>
      </c>
      <c r="AK162" s="39" t="s">
        <v>1388</v>
      </c>
      <c r="AL162" s="39" t="s">
        <v>1389</v>
      </c>
      <c r="AM162" s="39" t="s">
        <v>73</v>
      </c>
      <c r="AN162" s="39" t="s">
        <v>481</v>
      </c>
      <c r="AO162" s="39" t="s">
        <v>75</v>
      </c>
      <c r="AP162" s="39" t="s">
        <v>76</v>
      </c>
      <c r="AQ162" s="39" t="s">
        <v>77</v>
      </c>
      <c r="AR162" s="39" t="s">
        <v>77</v>
      </c>
    </row>
    <row r="163">
      <c r="A163" s="21">
        <f t="shared" si="3"/>
        <v>12</v>
      </c>
      <c r="B163" s="39" t="s">
        <v>1390</v>
      </c>
      <c r="C163" s="57" t="s">
        <v>1391</v>
      </c>
      <c r="D163" s="39">
        <v>17.0</v>
      </c>
      <c r="E163" s="39">
        <v>0.0</v>
      </c>
      <c r="F163" s="39" t="s">
        <v>50</v>
      </c>
      <c r="G163" s="39" t="s">
        <v>51</v>
      </c>
      <c r="H163" s="42">
        <v>39448.0</v>
      </c>
      <c r="I163" s="39" t="s">
        <v>82</v>
      </c>
      <c r="J163" s="39" t="s">
        <v>83</v>
      </c>
      <c r="K163" s="39" t="s">
        <v>217</v>
      </c>
      <c r="L163" s="39" t="s">
        <v>61</v>
      </c>
      <c r="M163" s="42">
        <v>45383.0</v>
      </c>
      <c r="N163" s="39" t="s">
        <v>141</v>
      </c>
      <c r="O163" s="39" t="s">
        <v>173</v>
      </c>
      <c r="P163" s="43"/>
      <c r="Q163" s="39" t="s">
        <v>1304</v>
      </c>
      <c r="R163" s="42">
        <v>45292.0</v>
      </c>
      <c r="S163" s="39" t="s">
        <v>143</v>
      </c>
      <c r="T163" s="44"/>
      <c r="U163" s="39" t="s">
        <v>144</v>
      </c>
      <c r="V163" s="39" t="s">
        <v>89</v>
      </c>
      <c r="W163" s="39" t="s">
        <v>218</v>
      </c>
      <c r="X163" s="39" t="s">
        <v>745</v>
      </c>
      <c r="Y163" s="39" t="s">
        <v>1392</v>
      </c>
      <c r="Z163" s="46"/>
      <c r="AA163" s="45">
        <v>49685.0</v>
      </c>
      <c r="AB163" s="46"/>
      <c r="AC163" s="23">
        <v>54.0</v>
      </c>
      <c r="AD163" s="39" t="s">
        <v>66</v>
      </c>
      <c r="AE163" s="39" t="s">
        <v>67</v>
      </c>
      <c r="AF163" s="39" t="s">
        <v>92</v>
      </c>
      <c r="AG163" s="39" t="s">
        <v>68</v>
      </c>
      <c r="AH163" s="43"/>
      <c r="AI163" s="39">
        <v>8.1375450908E10</v>
      </c>
      <c r="AJ163" s="39" t="s">
        <v>1393</v>
      </c>
      <c r="AK163" s="39" t="s">
        <v>1394</v>
      </c>
      <c r="AL163" s="39" t="s">
        <v>1395</v>
      </c>
      <c r="AM163" s="39" t="s">
        <v>96</v>
      </c>
      <c r="AN163" s="39" t="s">
        <v>97</v>
      </c>
      <c r="AO163" s="39" t="s">
        <v>499</v>
      </c>
      <c r="AP163" s="39" t="s">
        <v>1396</v>
      </c>
      <c r="AQ163" s="43"/>
      <c r="AR163" s="43"/>
    </row>
    <row r="164">
      <c r="A164" s="21">
        <f t="shared" si="3"/>
        <v>13</v>
      </c>
      <c r="B164" s="39" t="s">
        <v>1397</v>
      </c>
      <c r="C164" s="57" t="s">
        <v>1398</v>
      </c>
      <c r="D164" s="39">
        <v>16.0</v>
      </c>
      <c r="E164" s="39">
        <v>3.0</v>
      </c>
      <c r="F164" s="39" t="s">
        <v>171</v>
      </c>
      <c r="G164" s="39" t="s">
        <v>172</v>
      </c>
      <c r="H164" s="42">
        <v>39845.0</v>
      </c>
      <c r="I164" s="39" t="s">
        <v>82</v>
      </c>
      <c r="J164" s="39" t="s">
        <v>83</v>
      </c>
      <c r="K164" s="39" t="s">
        <v>1399</v>
      </c>
      <c r="L164" s="39" t="s">
        <v>105</v>
      </c>
      <c r="M164" s="42">
        <v>44835.0</v>
      </c>
      <c r="N164" s="39" t="s">
        <v>141</v>
      </c>
      <c r="O164" s="39" t="s">
        <v>173</v>
      </c>
      <c r="P164" s="43"/>
      <c r="Q164" s="39" t="s">
        <v>1304</v>
      </c>
      <c r="R164" s="42">
        <v>45292.0</v>
      </c>
      <c r="S164" s="39" t="s">
        <v>143</v>
      </c>
      <c r="T164" s="44"/>
      <c r="U164" s="39" t="s">
        <v>144</v>
      </c>
      <c r="V164" s="39" t="s">
        <v>89</v>
      </c>
      <c r="W164" s="39" t="s">
        <v>90</v>
      </c>
      <c r="X164" s="39" t="s">
        <v>244</v>
      </c>
      <c r="Y164" s="39" t="s">
        <v>1400</v>
      </c>
      <c r="Z164" s="39" t="s">
        <v>65</v>
      </c>
      <c r="AA164" s="45">
        <v>50782.0</v>
      </c>
      <c r="AB164" s="46"/>
      <c r="AC164" s="23">
        <v>55.0</v>
      </c>
      <c r="AD164" s="39" t="s">
        <v>66</v>
      </c>
      <c r="AE164" s="39" t="s">
        <v>67</v>
      </c>
      <c r="AF164" s="39" t="s">
        <v>92</v>
      </c>
      <c r="AG164" s="39" t="s">
        <v>130</v>
      </c>
      <c r="AH164" s="39" t="s">
        <v>246</v>
      </c>
      <c r="AI164" s="39">
        <v>8.5260494182E10</v>
      </c>
      <c r="AJ164" s="39" t="s">
        <v>1401</v>
      </c>
      <c r="AK164" s="39" t="s">
        <v>1402</v>
      </c>
      <c r="AL164" s="39" t="s">
        <v>1403</v>
      </c>
      <c r="AM164" s="39" t="s">
        <v>96</v>
      </c>
      <c r="AN164" s="39" t="s">
        <v>97</v>
      </c>
      <c r="AO164" s="39" t="s">
        <v>136</v>
      </c>
      <c r="AP164" s="39" t="s">
        <v>1404</v>
      </c>
      <c r="AQ164" s="39" t="s">
        <v>1405</v>
      </c>
      <c r="AR164" s="43"/>
    </row>
    <row r="165">
      <c r="A165" s="21">
        <f t="shared" si="3"/>
        <v>14</v>
      </c>
      <c r="B165" s="39" t="s">
        <v>1406</v>
      </c>
      <c r="C165" s="57" t="s">
        <v>1407</v>
      </c>
      <c r="D165" s="39">
        <v>12.0</v>
      </c>
      <c r="E165" s="39">
        <v>9.0</v>
      </c>
      <c r="F165" s="39" t="s">
        <v>80</v>
      </c>
      <c r="G165" s="39" t="s">
        <v>81</v>
      </c>
      <c r="H165" s="42">
        <v>40179.0</v>
      </c>
      <c r="I165" s="39" t="s">
        <v>82</v>
      </c>
      <c r="J165" s="39" t="s">
        <v>83</v>
      </c>
      <c r="K165" s="39" t="s">
        <v>195</v>
      </c>
      <c r="L165" s="39" t="s">
        <v>105</v>
      </c>
      <c r="M165" s="42">
        <v>44835.0</v>
      </c>
      <c r="N165" s="39" t="s">
        <v>141</v>
      </c>
      <c r="O165" s="39" t="s">
        <v>173</v>
      </c>
      <c r="P165" s="43"/>
      <c r="Q165" s="39" t="s">
        <v>1304</v>
      </c>
      <c r="R165" s="42">
        <v>45292.0</v>
      </c>
      <c r="S165" s="39" t="s">
        <v>143</v>
      </c>
      <c r="T165" s="44"/>
      <c r="U165" s="39" t="s">
        <v>144</v>
      </c>
      <c r="V165" s="39" t="s">
        <v>89</v>
      </c>
      <c r="W165" s="43"/>
      <c r="X165" s="39" t="s">
        <v>745</v>
      </c>
      <c r="Y165" s="39" t="s">
        <v>1408</v>
      </c>
      <c r="Z165" s="39" t="s">
        <v>114</v>
      </c>
      <c r="AA165" s="45">
        <v>48946.0</v>
      </c>
      <c r="AB165" s="46"/>
      <c r="AC165" s="23">
        <v>56.0</v>
      </c>
      <c r="AD165" s="39" t="s">
        <v>66</v>
      </c>
      <c r="AE165" s="39" t="s">
        <v>67</v>
      </c>
      <c r="AF165" s="39" t="s">
        <v>92</v>
      </c>
      <c r="AG165" s="39" t="s">
        <v>68</v>
      </c>
      <c r="AH165" s="39" t="s">
        <v>131</v>
      </c>
      <c r="AI165" s="39">
        <v>8.1262339009E10</v>
      </c>
      <c r="AJ165" s="39" t="s">
        <v>1409</v>
      </c>
      <c r="AK165" s="39" t="s">
        <v>1410</v>
      </c>
      <c r="AL165" s="39" t="s">
        <v>1411</v>
      </c>
      <c r="AM165" s="39" t="s">
        <v>96</v>
      </c>
      <c r="AN165" s="39" t="s">
        <v>97</v>
      </c>
      <c r="AO165" s="39" t="s">
        <v>272</v>
      </c>
      <c r="AP165" s="39" t="s">
        <v>1412</v>
      </c>
      <c r="AQ165" s="43"/>
      <c r="AR165" s="43"/>
    </row>
    <row r="166">
      <c r="A166" s="21">
        <f t="shared" si="3"/>
        <v>15</v>
      </c>
      <c r="B166" s="39" t="s">
        <v>1413</v>
      </c>
      <c r="C166" s="57" t="s">
        <v>1414</v>
      </c>
      <c r="D166" s="39">
        <v>21.0</v>
      </c>
      <c r="E166" s="39">
        <v>9.0</v>
      </c>
      <c r="F166" s="39" t="s">
        <v>50</v>
      </c>
      <c r="G166" s="39" t="s">
        <v>51</v>
      </c>
      <c r="H166" s="42">
        <v>39448.0</v>
      </c>
      <c r="I166" s="39" t="s">
        <v>82</v>
      </c>
      <c r="J166" s="39" t="s">
        <v>83</v>
      </c>
      <c r="K166" s="39" t="s">
        <v>1415</v>
      </c>
      <c r="L166" s="39" t="s">
        <v>105</v>
      </c>
      <c r="M166" s="42">
        <v>45200.0</v>
      </c>
      <c r="N166" s="39" t="s">
        <v>141</v>
      </c>
      <c r="O166" s="39" t="s">
        <v>173</v>
      </c>
      <c r="P166" s="43"/>
      <c r="Q166" s="39" t="s">
        <v>1304</v>
      </c>
      <c r="R166" s="42">
        <v>45292.0</v>
      </c>
      <c r="S166" s="39" t="s">
        <v>143</v>
      </c>
      <c r="T166" s="44"/>
      <c r="U166" s="39" t="s">
        <v>144</v>
      </c>
      <c r="V166" s="39" t="s">
        <v>89</v>
      </c>
      <c r="W166" s="39" t="s">
        <v>1416</v>
      </c>
      <c r="X166" s="39" t="s">
        <v>1417</v>
      </c>
      <c r="Y166" s="39" t="s">
        <v>1418</v>
      </c>
      <c r="Z166" s="39" t="s">
        <v>114</v>
      </c>
      <c r="AA166" s="45">
        <v>48953.0</v>
      </c>
      <c r="AB166" s="46"/>
      <c r="AC166" s="23">
        <v>57.0</v>
      </c>
      <c r="AD166" s="39" t="s">
        <v>66</v>
      </c>
      <c r="AE166" s="39" t="s">
        <v>67</v>
      </c>
      <c r="AF166" s="39" t="s">
        <v>92</v>
      </c>
      <c r="AG166" s="39" t="s">
        <v>68</v>
      </c>
      <c r="AH166" s="43"/>
      <c r="AI166" s="39">
        <v>8.1370889354E10</v>
      </c>
      <c r="AJ166" s="39" t="s">
        <v>1419</v>
      </c>
      <c r="AK166" s="39" t="s">
        <v>1420</v>
      </c>
      <c r="AL166" s="39" t="s">
        <v>1421</v>
      </c>
      <c r="AM166" s="39" t="s">
        <v>96</v>
      </c>
      <c r="AN166" s="39" t="s">
        <v>97</v>
      </c>
      <c r="AO166" s="39" t="s">
        <v>1422</v>
      </c>
      <c r="AP166" s="39" t="s">
        <v>1423</v>
      </c>
      <c r="AQ166" s="43"/>
      <c r="AR166" s="43"/>
    </row>
    <row r="167">
      <c r="A167" s="21">
        <f t="shared" si="3"/>
        <v>16</v>
      </c>
      <c r="B167" s="39" t="s">
        <v>1424</v>
      </c>
      <c r="C167" s="57" t="s">
        <v>1425</v>
      </c>
      <c r="D167" s="39">
        <v>12.0</v>
      </c>
      <c r="E167" s="39">
        <v>9.0</v>
      </c>
      <c r="F167" s="39" t="s">
        <v>80</v>
      </c>
      <c r="G167" s="39" t="s">
        <v>81</v>
      </c>
      <c r="H167" s="42">
        <v>40179.0</v>
      </c>
      <c r="I167" s="39" t="s">
        <v>82</v>
      </c>
      <c r="J167" s="39" t="s">
        <v>83</v>
      </c>
      <c r="K167" s="39" t="s">
        <v>195</v>
      </c>
      <c r="L167" s="39" t="s">
        <v>105</v>
      </c>
      <c r="M167" s="42">
        <v>44835.0</v>
      </c>
      <c r="N167" s="39" t="s">
        <v>141</v>
      </c>
      <c r="O167" s="39" t="s">
        <v>173</v>
      </c>
      <c r="P167" s="43"/>
      <c r="Q167" s="39" t="s">
        <v>1304</v>
      </c>
      <c r="R167" s="42">
        <v>45292.0</v>
      </c>
      <c r="S167" s="39" t="s">
        <v>143</v>
      </c>
      <c r="T167" s="44"/>
      <c r="U167" s="39" t="s">
        <v>144</v>
      </c>
      <c r="V167" s="39" t="s">
        <v>89</v>
      </c>
      <c r="W167" s="39" t="s">
        <v>160</v>
      </c>
      <c r="X167" s="39" t="s">
        <v>745</v>
      </c>
      <c r="Y167" s="39" t="s">
        <v>392</v>
      </c>
      <c r="Z167" s="39" t="s">
        <v>114</v>
      </c>
      <c r="AA167" s="45">
        <v>52237.0</v>
      </c>
      <c r="AB167" s="46"/>
      <c r="AC167" s="23">
        <v>58.0</v>
      </c>
      <c r="AD167" s="39" t="s">
        <v>66</v>
      </c>
      <c r="AE167" s="39" t="s">
        <v>67</v>
      </c>
      <c r="AF167" s="39" t="s">
        <v>92</v>
      </c>
      <c r="AG167" s="39" t="s">
        <v>68</v>
      </c>
      <c r="AH167" s="39" t="s">
        <v>131</v>
      </c>
      <c r="AI167" s="39">
        <v>8.11612305E9</v>
      </c>
      <c r="AJ167" s="39" t="s">
        <v>1426</v>
      </c>
      <c r="AK167" s="39" t="s">
        <v>1427</v>
      </c>
      <c r="AL167" s="39" t="s">
        <v>1428</v>
      </c>
      <c r="AM167" s="39" t="s">
        <v>96</v>
      </c>
      <c r="AN167" s="39" t="s">
        <v>97</v>
      </c>
      <c r="AO167" s="39" t="s">
        <v>1429</v>
      </c>
      <c r="AP167" s="39" t="s">
        <v>1430</v>
      </c>
      <c r="AQ167" s="43"/>
      <c r="AR167" s="43"/>
    </row>
    <row r="168">
      <c r="A168" s="21">
        <f t="shared" si="3"/>
        <v>17</v>
      </c>
      <c r="B168" s="39" t="s">
        <v>1431</v>
      </c>
      <c r="C168" s="57" t="s">
        <v>1432</v>
      </c>
      <c r="D168" s="39">
        <v>12.0</v>
      </c>
      <c r="E168" s="39">
        <v>9.0</v>
      </c>
      <c r="F168" s="39" t="s">
        <v>80</v>
      </c>
      <c r="G168" s="39" t="s">
        <v>81</v>
      </c>
      <c r="H168" s="42">
        <v>40544.0</v>
      </c>
      <c r="I168" s="39" t="s">
        <v>82</v>
      </c>
      <c r="J168" s="39" t="s">
        <v>83</v>
      </c>
      <c r="K168" s="39" t="s">
        <v>1415</v>
      </c>
      <c r="L168" s="39" t="s">
        <v>105</v>
      </c>
      <c r="M168" s="42">
        <v>45200.0</v>
      </c>
      <c r="N168" s="39" t="s">
        <v>141</v>
      </c>
      <c r="O168" s="39" t="s">
        <v>173</v>
      </c>
      <c r="P168" s="43"/>
      <c r="Q168" s="39" t="s">
        <v>1304</v>
      </c>
      <c r="R168" s="42">
        <v>45292.0</v>
      </c>
      <c r="S168" s="39" t="s">
        <v>143</v>
      </c>
      <c r="T168" s="44"/>
      <c r="U168" s="39" t="s">
        <v>144</v>
      </c>
      <c r="V168" s="39" t="s">
        <v>89</v>
      </c>
      <c r="W168" s="39" t="s">
        <v>418</v>
      </c>
      <c r="X168" s="39" t="s">
        <v>260</v>
      </c>
      <c r="Y168" s="39" t="s">
        <v>1433</v>
      </c>
      <c r="Z168" s="46"/>
      <c r="AA168" s="45">
        <v>52606.0</v>
      </c>
      <c r="AB168" s="46"/>
      <c r="AC168" s="23">
        <v>59.0</v>
      </c>
      <c r="AD168" s="39" t="s">
        <v>66</v>
      </c>
      <c r="AE168" s="39" t="s">
        <v>67</v>
      </c>
      <c r="AF168" s="43"/>
      <c r="AG168" s="39" t="s">
        <v>68</v>
      </c>
      <c r="AH168" s="43"/>
      <c r="AI168" s="39">
        <v>8.1263888373E10</v>
      </c>
      <c r="AJ168" s="39" t="s">
        <v>1434</v>
      </c>
      <c r="AK168" s="39" t="s">
        <v>1435</v>
      </c>
      <c r="AL168" s="39" t="s">
        <v>1436</v>
      </c>
      <c r="AM168" s="39" t="s">
        <v>96</v>
      </c>
      <c r="AN168" s="39" t="s">
        <v>74</v>
      </c>
      <c r="AO168" s="39" t="s">
        <v>989</v>
      </c>
      <c r="AP168" s="39" t="s">
        <v>1437</v>
      </c>
      <c r="AQ168" s="43"/>
      <c r="AR168" s="43"/>
    </row>
    <row r="169">
      <c r="A169" s="21">
        <f t="shared" si="3"/>
        <v>18</v>
      </c>
      <c r="B169" s="39" t="s">
        <v>1438</v>
      </c>
      <c r="C169" s="57" t="s">
        <v>1439</v>
      </c>
      <c r="D169" s="39">
        <v>11.0</v>
      </c>
      <c r="E169" s="39">
        <v>0.0</v>
      </c>
      <c r="F169" s="39" t="s">
        <v>80</v>
      </c>
      <c r="G169" s="39" t="s">
        <v>81</v>
      </c>
      <c r="H169" s="42">
        <v>38808.0</v>
      </c>
      <c r="I169" s="39" t="s">
        <v>82</v>
      </c>
      <c r="J169" s="39" t="s">
        <v>83</v>
      </c>
      <c r="K169" s="39" t="s">
        <v>1440</v>
      </c>
      <c r="L169" s="39" t="s">
        <v>1314</v>
      </c>
      <c r="M169" s="42">
        <v>42826.0</v>
      </c>
      <c r="N169" s="39" t="s">
        <v>141</v>
      </c>
      <c r="O169" s="39" t="s">
        <v>173</v>
      </c>
      <c r="P169" s="43"/>
      <c r="Q169" s="39" t="s">
        <v>1304</v>
      </c>
      <c r="R169" s="42">
        <v>45292.0</v>
      </c>
      <c r="S169" s="39" t="s">
        <v>143</v>
      </c>
      <c r="T169" s="44"/>
      <c r="U169" s="39" t="s">
        <v>144</v>
      </c>
      <c r="V169" s="39" t="s">
        <v>89</v>
      </c>
      <c r="W169" s="39" t="s">
        <v>1441</v>
      </c>
      <c r="X169" s="39" t="s">
        <v>1442</v>
      </c>
      <c r="Y169" s="47">
        <v>37888.0</v>
      </c>
      <c r="Z169" s="39" t="s">
        <v>114</v>
      </c>
      <c r="AA169" s="45">
        <v>50411.0</v>
      </c>
      <c r="AB169" s="46"/>
      <c r="AC169" s="23">
        <v>60.0</v>
      </c>
      <c r="AD169" s="39" t="s">
        <v>66</v>
      </c>
      <c r="AE169" s="39" t="s">
        <v>220</v>
      </c>
      <c r="AF169" s="39" t="s">
        <v>92</v>
      </c>
      <c r="AG169" s="39" t="s">
        <v>130</v>
      </c>
      <c r="AH169" s="39" t="s">
        <v>131</v>
      </c>
      <c r="AI169" s="39">
        <v>8.5276301016E10</v>
      </c>
      <c r="AJ169" s="39" t="s">
        <v>1443</v>
      </c>
      <c r="AK169" s="39" t="s">
        <v>1444</v>
      </c>
      <c r="AL169" s="39" t="s">
        <v>1445</v>
      </c>
      <c r="AM169" s="39" t="s">
        <v>73</v>
      </c>
      <c r="AN169" s="39" t="s">
        <v>74</v>
      </c>
      <c r="AO169" s="39" t="s">
        <v>1446</v>
      </c>
      <c r="AP169" s="39" t="s">
        <v>315</v>
      </c>
      <c r="AQ169" s="39" t="s">
        <v>77</v>
      </c>
      <c r="AR169" s="39" t="s">
        <v>77</v>
      </c>
    </row>
    <row r="170">
      <c r="A170" s="21">
        <f t="shared" si="3"/>
        <v>19</v>
      </c>
      <c r="B170" s="39" t="s">
        <v>1447</v>
      </c>
      <c r="C170" s="57" t="s">
        <v>1448</v>
      </c>
      <c r="D170" s="39">
        <v>16.0</v>
      </c>
      <c r="E170" s="39">
        <v>3.0</v>
      </c>
      <c r="F170" s="39" t="s">
        <v>80</v>
      </c>
      <c r="G170" s="39" t="s">
        <v>81</v>
      </c>
      <c r="H170" s="42">
        <v>39873.0</v>
      </c>
      <c r="I170" s="39" t="s">
        <v>82</v>
      </c>
      <c r="J170" s="39" t="s">
        <v>83</v>
      </c>
      <c r="K170" s="39" t="s">
        <v>408</v>
      </c>
      <c r="L170" s="39" t="s">
        <v>88</v>
      </c>
      <c r="M170" s="42">
        <v>44287.0</v>
      </c>
      <c r="N170" s="39" t="s">
        <v>141</v>
      </c>
      <c r="O170" s="39" t="s">
        <v>173</v>
      </c>
      <c r="P170" s="43"/>
      <c r="Q170" s="39" t="s">
        <v>1297</v>
      </c>
      <c r="R170" s="42">
        <v>45292.0</v>
      </c>
      <c r="S170" s="39" t="s">
        <v>143</v>
      </c>
      <c r="T170" s="44"/>
      <c r="U170" s="39" t="s">
        <v>144</v>
      </c>
      <c r="V170" s="39" t="s">
        <v>89</v>
      </c>
      <c r="W170" s="39" t="s">
        <v>1449</v>
      </c>
      <c r="X170" s="39" t="s">
        <v>1450</v>
      </c>
      <c r="Y170" s="39" t="s">
        <v>1451</v>
      </c>
      <c r="Z170" s="39" t="s">
        <v>114</v>
      </c>
      <c r="AA170" s="45">
        <v>47849.0</v>
      </c>
      <c r="AB170" s="46"/>
      <c r="AC170" s="23">
        <v>61.0</v>
      </c>
      <c r="AD170" s="39" t="s">
        <v>66</v>
      </c>
      <c r="AE170" s="39" t="s">
        <v>67</v>
      </c>
      <c r="AF170" s="39" t="s">
        <v>92</v>
      </c>
      <c r="AG170" s="39" t="s">
        <v>68</v>
      </c>
      <c r="AH170" s="39" t="s">
        <v>69</v>
      </c>
      <c r="AI170" s="39">
        <v>8.1263352023E10</v>
      </c>
      <c r="AJ170" s="39" t="s">
        <v>1452</v>
      </c>
      <c r="AK170" s="39" t="s">
        <v>1453</v>
      </c>
      <c r="AL170" s="39" t="s">
        <v>1454</v>
      </c>
      <c r="AM170" s="39" t="s">
        <v>96</v>
      </c>
      <c r="AN170" s="39" t="s">
        <v>481</v>
      </c>
      <c r="AO170" s="39" t="s">
        <v>213</v>
      </c>
      <c r="AP170" s="39" t="s">
        <v>1366</v>
      </c>
      <c r="AQ170" s="43"/>
      <c r="AR170" s="43"/>
    </row>
    <row r="171">
      <c r="A171" s="21">
        <f t="shared" si="3"/>
        <v>20</v>
      </c>
      <c r="B171" s="39" t="s">
        <v>1455</v>
      </c>
      <c r="C171" s="57" t="s">
        <v>1456</v>
      </c>
      <c r="D171" s="39">
        <v>16.0</v>
      </c>
      <c r="E171" s="39">
        <v>4.0</v>
      </c>
      <c r="F171" s="39" t="s">
        <v>50</v>
      </c>
      <c r="G171" s="39" t="s">
        <v>51</v>
      </c>
      <c r="H171" s="42">
        <v>39845.0</v>
      </c>
      <c r="I171" s="39" t="s">
        <v>82</v>
      </c>
      <c r="J171" s="39" t="s">
        <v>83</v>
      </c>
      <c r="K171" s="39" t="s">
        <v>217</v>
      </c>
      <c r="L171" s="39" t="s">
        <v>61</v>
      </c>
      <c r="M171" s="42">
        <v>45383.0</v>
      </c>
      <c r="N171" s="39" t="s">
        <v>141</v>
      </c>
      <c r="O171" s="39" t="s">
        <v>173</v>
      </c>
      <c r="P171" s="43"/>
      <c r="Q171" s="39" t="s">
        <v>1304</v>
      </c>
      <c r="R171" s="42">
        <v>45292.0</v>
      </c>
      <c r="S171" s="39" t="s">
        <v>143</v>
      </c>
      <c r="T171" s="44"/>
      <c r="U171" s="39" t="s">
        <v>144</v>
      </c>
      <c r="V171" s="39" t="s">
        <v>89</v>
      </c>
      <c r="W171" s="39" t="s">
        <v>90</v>
      </c>
      <c r="X171" s="39" t="s">
        <v>1457</v>
      </c>
      <c r="Y171" s="47">
        <v>38976.0</v>
      </c>
      <c r="Z171" s="39" t="s">
        <v>114</v>
      </c>
      <c r="AA171" s="45">
        <v>49675.0</v>
      </c>
      <c r="AB171" s="46"/>
      <c r="AC171" s="23">
        <v>62.0</v>
      </c>
      <c r="AD171" s="39" t="s">
        <v>66</v>
      </c>
      <c r="AE171" s="39" t="s">
        <v>67</v>
      </c>
      <c r="AF171" s="39" t="s">
        <v>92</v>
      </c>
      <c r="AG171" s="39" t="s">
        <v>130</v>
      </c>
      <c r="AH171" s="39" t="s">
        <v>246</v>
      </c>
      <c r="AI171" s="39">
        <v>8.5262331418E10</v>
      </c>
      <c r="AJ171" s="39" t="s">
        <v>1458</v>
      </c>
      <c r="AK171" s="39" t="s">
        <v>1459</v>
      </c>
      <c r="AL171" s="39" t="s">
        <v>1460</v>
      </c>
      <c r="AM171" s="39" t="s">
        <v>96</v>
      </c>
      <c r="AN171" s="39" t="s">
        <v>481</v>
      </c>
      <c r="AO171" s="39" t="s">
        <v>454</v>
      </c>
      <c r="AP171" s="39" t="s">
        <v>491</v>
      </c>
      <c r="AQ171" s="43"/>
      <c r="AR171" s="43"/>
    </row>
    <row r="172">
      <c r="A172" s="21">
        <f t="shared" si="3"/>
        <v>21</v>
      </c>
      <c r="B172" s="39" t="s">
        <v>1461</v>
      </c>
      <c r="C172" s="57" t="s">
        <v>1462</v>
      </c>
      <c r="D172" s="39">
        <v>10.0</v>
      </c>
      <c r="E172" s="39">
        <v>6.0</v>
      </c>
      <c r="F172" s="39" t="s">
        <v>50</v>
      </c>
      <c r="G172" s="39" t="s">
        <v>51</v>
      </c>
      <c r="H172" s="42">
        <v>40544.0</v>
      </c>
      <c r="I172" s="39" t="s">
        <v>82</v>
      </c>
      <c r="J172" s="39" t="s">
        <v>83</v>
      </c>
      <c r="K172" s="39" t="s">
        <v>217</v>
      </c>
      <c r="L172" s="39" t="s">
        <v>61</v>
      </c>
      <c r="M172" s="42">
        <v>45383.0</v>
      </c>
      <c r="N172" s="39" t="s">
        <v>141</v>
      </c>
      <c r="O172" s="39" t="s">
        <v>173</v>
      </c>
      <c r="P172" s="43"/>
      <c r="Q172" s="39" t="s">
        <v>59</v>
      </c>
      <c r="R172" s="42">
        <v>45505.0</v>
      </c>
      <c r="S172" s="39" t="s">
        <v>1463</v>
      </c>
      <c r="T172" s="44"/>
      <c r="U172" s="39" t="s">
        <v>144</v>
      </c>
      <c r="V172" s="39" t="s">
        <v>159</v>
      </c>
      <c r="W172" s="39" t="s">
        <v>1464</v>
      </c>
      <c r="X172" s="39" t="s">
        <v>671</v>
      </c>
      <c r="Y172" s="47">
        <v>41956.0</v>
      </c>
      <c r="Z172" s="39" t="s">
        <v>114</v>
      </c>
      <c r="AA172" s="45">
        <v>52233.0</v>
      </c>
      <c r="AB172" s="46"/>
      <c r="AC172" s="23">
        <v>63.0</v>
      </c>
      <c r="AD172" s="39" t="s">
        <v>66</v>
      </c>
      <c r="AE172" s="39" t="s">
        <v>67</v>
      </c>
      <c r="AF172" s="43"/>
      <c r="AG172" s="39" t="s">
        <v>68</v>
      </c>
      <c r="AH172" s="39" t="s">
        <v>131</v>
      </c>
      <c r="AI172" s="39">
        <v>8.1397118555E10</v>
      </c>
      <c r="AJ172" s="39" t="s">
        <v>1465</v>
      </c>
      <c r="AK172" s="39" t="s">
        <v>1466</v>
      </c>
      <c r="AL172" s="39" t="s">
        <v>1467</v>
      </c>
      <c r="AM172" s="39" t="s">
        <v>96</v>
      </c>
      <c r="AN172" s="39" t="s">
        <v>135</v>
      </c>
      <c r="AO172" s="39" t="s">
        <v>213</v>
      </c>
      <c r="AP172" s="39" t="s">
        <v>556</v>
      </c>
      <c r="AQ172" s="43"/>
      <c r="AR172" s="43"/>
    </row>
    <row r="173">
      <c r="A173" s="21">
        <f t="shared" si="3"/>
        <v>22</v>
      </c>
      <c r="B173" s="39" t="s">
        <v>1468</v>
      </c>
      <c r="C173" s="57" t="s">
        <v>1469</v>
      </c>
      <c r="D173" s="39">
        <v>13.0</v>
      </c>
      <c r="E173" s="39">
        <v>2.0</v>
      </c>
      <c r="F173" s="39" t="s">
        <v>50</v>
      </c>
      <c r="G173" s="39" t="s">
        <v>51</v>
      </c>
      <c r="H173" s="42">
        <v>38899.0</v>
      </c>
      <c r="I173" s="39" t="s">
        <v>82</v>
      </c>
      <c r="J173" s="39" t="s">
        <v>83</v>
      </c>
      <c r="K173" s="39" t="s">
        <v>104</v>
      </c>
      <c r="L173" s="39" t="s">
        <v>105</v>
      </c>
      <c r="M173" s="42">
        <v>45017.0</v>
      </c>
      <c r="N173" s="39" t="s">
        <v>141</v>
      </c>
      <c r="O173" s="39" t="s">
        <v>173</v>
      </c>
      <c r="P173" s="43"/>
      <c r="Q173" s="39" t="s">
        <v>1316</v>
      </c>
      <c r="R173" s="42">
        <v>45292.0</v>
      </c>
      <c r="S173" s="39" t="s">
        <v>143</v>
      </c>
      <c r="T173" s="44"/>
      <c r="U173" s="39" t="s">
        <v>144</v>
      </c>
      <c r="V173" s="39" t="s">
        <v>89</v>
      </c>
      <c r="W173" s="39" t="s">
        <v>218</v>
      </c>
      <c r="X173" s="39" t="s">
        <v>1329</v>
      </c>
      <c r="Y173" s="39" t="s">
        <v>1470</v>
      </c>
      <c r="Z173" s="39" t="s">
        <v>114</v>
      </c>
      <c r="AA173" s="45">
        <v>50047.0</v>
      </c>
      <c r="AB173" s="46"/>
      <c r="AC173" s="23">
        <v>64.0</v>
      </c>
      <c r="AD173" s="39" t="s">
        <v>66</v>
      </c>
      <c r="AE173" s="39" t="s">
        <v>67</v>
      </c>
      <c r="AF173" s="39" t="s">
        <v>92</v>
      </c>
      <c r="AG173" s="39" t="s">
        <v>130</v>
      </c>
      <c r="AH173" s="39" t="s">
        <v>69</v>
      </c>
      <c r="AI173" s="39">
        <v>8.1362813999E10</v>
      </c>
      <c r="AJ173" s="39" t="s">
        <v>1471</v>
      </c>
      <c r="AK173" s="39" t="s">
        <v>1472</v>
      </c>
      <c r="AL173" s="39" t="s">
        <v>1473</v>
      </c>
      <c r="AM173" s="39" t="s">
        <v>96</v>
      </c>
      <c r="AN173" s="39" t="s">
        <v>135</v>
      </c>
      <c r="AO173" s="39" t="s">
        <v>360</v>
      </c>
      <c r="AP173" s="39" t="s">
        <v>566</v>
      </c>
      <c r="AQ173" s="39">
        <v>0.0</v>
      </c>
      <c r="AR173" s="39">
        <v>0.0</v>
      </c>
    </row>
    <row r="174">
      <c r="A174" s="21">
        <f t="shared" si="3"/>
        <v>23</v>
      </c>
      <c r="B174" s="39" t="s">
        <v>1474</v>
      </c>
      <c r="C174" s="57" t="s">
        <v>1475</v>
      </c>
      <c r="D174" s="39">
        <v>12.0</v>
      </c>
      <c r="E174" s="39">
        <v>3.0</v>
      </c>
      <c r="F174" s="39" t="s">
        <v>80</v>
      </c>
      <c r="G174" s="39" t="s">
        <v>81</v>
      </c>
      <c r="H174" s="42">
        <v>40544.0</v>
      </c>
      <c r="I174" s="39" t="s">
        <v>82</v>
      </c>
      <c r="J174" s="39" t="s">
        <v>83</v>
      </c>
      <c r="K174" s="39" t="s">
        <v>104</v>
      </c>
      <c r="L174" s="39" t="s">
        <v>105</v>
      </c>
      <c r="M174" s="42">
        <v>45017.0</v>
      </c>
      <c r="N174" s="39" t="s">
        <v>141</v>
      </c>
      <c r="O174" s="39" t="s">
        <v>173</v>
      </c>
      <c r="P174" s="43"/>
      <c r="Q174" s="39" t="s">
        <v>1316</v>
      </c>
      <c r="R174" s="42">
        <v>45292.0</v>
      </c>
      <c r="S174" s="39" t="s">
        <v>143</v>
      </c>
      <c r="T174" s="44"/>
      <c r="U174" s="39" t="s">
        <v>144</v>
      </c>
      <c r="V174" s="39" t="s">
        <v>89</v>
      </c>
      <c r="W174" s="39" t="s">
        <v>374</v>
      </c>
      <c r="X174" s="39" t="s">
        <v>1215</v>
      </c>
      <c r="Y174" s="47">
        <v>39412.0</v>
      </c>
      <c r="Z174" s="39" t="s">
        <v>114</v>
      </c>
      <c r="AA174" s="45">
        <v>51868.0</v>
      </c>
      <c r="AB174" s="46"/>
      <c r="AC174" s="23">
        <v>65.0</v>
      </c>
      <c r="AD174" s="39" t="s">
        <v>66</v>
      </c>
      <c r="AE174" s="39" t="s">
        <v>67</v>
      </c>
      <c r="AF174" s="39" t="s">
        <v>129</v>
      </c>
      <c r="AG174" s="39" t="s">
        <v>130</v>
      </c>
      <c r="AH174" s="39" t="s">
        <v>246</v>
      </c>
      <c r="AI174" s="39">
        <v>8.1264403589E10</v>
      </c>
      <c r="AJ174" s="39" t="s">
        <v>1476</v>
      </c>
      <c r="AK174" s="39" t="s">
        <v>1477</v>
      </c>
      <c r="AL174" s="39" t="s">
        <v>1478</v>
      </c>
      <c r="AM174" s="39" t="s">
        <v>96</v>
      </c>
      <c r="AN174" s="39" t="s">
        <v>135</v>
      </c>
      <c r="AO174" s="39" t="s">
        <v>499</v>
      </c>
      <c r="AP174" s="39" t="s">
        <v>1479</v>
      </c>
      <c r="AQ174" s="43"/>
      <c r="AR174" s="43"/>
    </row>
    <row r="175">
      <c r="A175" s="21">
        <f t="shared" si="3"/>
        <v>24</v>
      </c>
      <c r="B175" s="39" t="s">
        <v>1480</v>
      </c>
      <c r="C175" s="57" t="s">
        <v>1481</v>
      </c>
      <c r="D175" s="39">
        <v>22.0</v>
      </c>
      <c r="E175" s="39">
        <v>6.0</v>
      </c>
      <c r="F175" s="39" t="s">
        <v>50</v>
      </c>
      <c r="G175" s="39" t="s">
        <v>51</v>
      </c>
      <c r="H175" s="42">
        <v>40360.0</v>
      </c>
      <c r="I175" s="39" t="s">
        <v>82</v>
      </c>
      <c r="J175" s="39" t="s">
        <v>83</v>
      </c>
      <c r="K175" s="39" t="s">
        <v>217</v>
      </c>
      <c r="L175" s="39" t="s">
        <v>61</v>
      </c>
      <c r="M175" s="42">
        <v>45383.0</v>
      </c>
      <c r="N175" s="39" t="s">
        <v>141</v>
      </c>
      <c r="O175" s="39" t="s">
        <v>173</v>
      </c>
      <c r="P175" s="43"/>
      <c r="Q175" s="39" t="s">
        <v>1316</v>
      </c>
      <c r="R175" s="42">
        <v>45292.0</v>
      </c>
      <c r="S175" s="39" t="s">
        <v>143</v>
      </c>
      <c r="T175" s="44"/>
      <c r="U175" s="39" t="s">
        <v>144</v>
      </c>
      <c r="V175" s="39" t="s">
        <v>159</v>
      </c>
      <c r="W175" s="39" t="s">
        <v>218</v>
      </c>
      <c r="X175" s="39" t="s">
        <v>745</v>
      </c>
      <c r="Y175" s="39" t="s">
        <v>1482</v>
      </c>
      <c r="Z175" s="39" t="s">
        <v>114</v>
      </c>
      <c r="AA175" s="45">
        <v>47123.0</v>
      </c>
      <c r="AB175" s="46"/>
      <c r="AC175" s="23">
        <v>66.0</v>
      </c>
      <c r="AD175" s="39" t="s">
        <v>66</v>
      </c>
      <c r="AE175" s="39" t="s">
        <v>67</v>
      </c>
      <c r="AF175" s="39" t="s">
        <v>92</v>
      </c>
      <c r="AG175" s="39" t="s">
        <v>130</v>
      </c>
      <c r="AH175" s="39" t="s">
        <v>131</v>
      </c>
      <c r="AI175" s="39">
        <v>8.1370363429E10</v>
      </c>
      <c r="AJ175" s="39" t="s">
        <v>1483</v>
      </c>
      <c r="AK175" s="39" t="s">
        <v>1484</v>
      </c>
      <c r="AL175" s="39" t="s">
        <v>1485</v>
      </c>
      <c r="AM175" s="39" t="s">
        <v>96</v>
      </c>
      <c r="AN175" s="39" t="s">
        <v>150</v>
      </c>
      <c r="AO175" s="39" t="s">
        <v>627</v>
      </c>
      <c r="AP175" s="39" t="s">
        <v>1486</v>
      </c>
      <c r="AQ175" s="43"/>
      <c r="AR175" s="43"/>
    </row>
    <row r="176">
      <c r="A176" s="21">
        <f t="shared" si="3"/>
        <v>25</v>
      </c>
      <c r="B176" s="39" t="s">
        <v>1487</v>
      </c>
      <c r="C176" s="57" t="s">
        <v>1488</v>
      </c>
      <c r="D176" s="39">
        <v>24.0</v>
      </c>
      <c r="E176" s="39">
        <v>4.0</v>
      </c>
      <c r="F176" s="39" t="s">
        <v>50</v>
      </c>
      <c r="G176" s="39" t="s">
        <v>51</v>
      </c>
      <c r="H176" s="42">
        <v>34304.0</v>
      </c>
      <c r="I176" s="39" t="s">
        <v>82</v>
      </c>
      <c r="J176" s="39" t="s">
        <v>83</v>
      </c>
      <c r="K176" s="39" t="s">
        <v>104</v>
      </c>
      <c r="L176" s="39" t="s">
        <v>105</v>
      </c>
      <c r="M176" s="42">
        <v>45017.0</v>
      </c>
      <c r="N176" s="39" t="s">
        <v>141</v>
      </c>
      <c r="O176" s="39" t="s">
        <v>173</v>
      </c>
      <c r="P176" s="43"/>
      <c r="Q176" s="39" t="s">
        <v>1316</v>
      </c>
      <c r="R176" s="42">
        <v>46082.0</v>
      </c>
      <c r="S176" s="39" t="s">
        <v>1489</v>
      </c>
      <c r="T176" s="44"/>
      <c r="U176" s="39" t="s">
        <v>105</v>
      </c>
      <c r="V176" s="39" t="s">
        <v>89</v>
      </c>
      <c r="W176" s="43"/>
      <c r="X176" s="39" t="s">
        <v>1490</v>
      </c>
      <c r="Y176" s="67">
        <v>41890.0</v>
      </c>
      <c r="Z176" s="46"/>
      <c r="AA176" s="45">
        <v>46025.0</v>
      </c>
      <c r="AB176" s="46"/>
      <c r="AC176" s="23">
        <v>67.0</v>
      </c>
      <c r="AD176" s="39" t="s">
        <v>66</v>
      </c>
      <c r="AE176" s="39" t="s">
        <v>67</v>
      </c>
      <c r="AF176" s="39" t="s">
        <v>92</v>
      </c>
      <c r="AG176" s="39" t="s">
        <v>130</v>
      </c>
      <c r="AH176" s="39" t="s">
        <v>69</v>
      </c>
      <c r="AI176" s="39">
        <v>8.216884315E10</v>
      </c>
      <c r="AJ176" s="39" t="s">
        <v>1491</v>
      </c>
      <c r="AK176" s="39" t="s">
        <v>1492</v>
      </c>
      <c r="AL176" s="39" t="s">
        <v>1493</v>
      </c>
      <c r="AM176" s="39" t="s">
        <v>96</v>
      </c>
      <c r="AN176" s="39" t="s">
        <v>481</v>
      </c>
      <c r="AO176" s="39" t="s">
        <v>454</v>
      </c>
      <c r="AP176" s="39" t="s">
        <v>491</v>
      </c>
      <c r="AQ176" s="43"/>
      <c r="AR176" s="43"/>
    </row>
    <row r="177">
      <c r="A177" s="21">
        <f t="shared" si="3"/>
        <v>26</v>
      </c>
      <c r="B177" s="39" t="s">
        <v>1494</v>
      </c>
      <c r="C177" s="57" t="s">
        <v>1495</v>
      </c>
      <c r="D177" s="39">
        <v>19.0</v>
      </c>
      <c r="E177" s="39">
        <v>2.0</v>
      </c>
      <c r="F177" s="39" t="s">
        <v>50</v>
      </c>
      <c r="G177" s="39" t="s">
        <v>51</v>
      </c>
      <c r="H177" s="42">
        <v>39448.0</v>
      </c>
      <c r="I177" s="39" t="s">
        <v>82</v>
      </c>
      <c r="J177" s="39" t="s">
        <v>83</v>
      </c>
      <c r="K177" s="39" t="s">
        <v>140</v>
      </c>
      <c r="L177" s="39" t="s">
        <v>105</v>
      </c>
      <c r="M177" s="42">
        <v>45809.0</v>
      </c>
      <c r="N177" s="39" t="s">
        <v>141</v>
      </c>
      <c r="O177" s="39" t="s">
        <v>173</v>
      </c>
      <c r="P177" s="43"/>
      <c r="Q177" s="39" t="s">
        <v>1304</v>
      </c>
      <c r="R177" s="42">
        <v>45292.0</v>
      </c>
      <c r="S177" s="39" t="s">
        <v>143</v>
      </c>
      <c r="T177" s="44"/>
      <c r="U177" s="39" t="s">
        <v>144</v>
      </c>
      <c r="V177" s="39" t="s">
        <v>89</v>
      </c>
      <c r="W177" s="39" t="s">
        <v>218</v>
      </c>
      <c r="X177" s="39" t="s">
        <v>1496</v>
      </c>
      <c r="Y177" s="39" t="s">
        <v>1497</v>
      </c>
      <c r="Z177" s="43"/>
      <c r="AA177" s="45">
        <v>50051.0</v>
      </c>
      <c r="AB177" s="46"/>
      <c r="AC177" s="23">
        <v>68.0</v>
      </c>
      <c r="AD177" s="39" t="s">
        <v>66</v>
      </c>
      <c r="AE177" s="39" t="s">
        <v>311</v>
      </c>
      <c r="AF177" s="39" t="s">
        <v>92</v>
      </c>
      <c r="AG177" s="39" t="s">
        <v>130</v>
      </c>
      <c r="AH177" s="39" t="s">
        <v>131</v>
      </c>
      <c r="AI177" s="39">
        <v>8.13700254E10</v>
      </c>
      <c r="AJ177" s="39" t="s">
        <v>1498</v>
      </c>
      <c r="AK177" s="39" t="s">
        <v>1499</v>
      </c>
      <c r="AL177" s="39" t="s">
        <v>1500</v>
      </c>
      <c r="AM177" s="39" t="s">
        <v>96</v>
      </c>
      <c r="AN177" s="39" t="s">
        <v>97</v>
      </c>
      <c r="AO177" s="39" t="s">
        <v>1501</v>
      </c>
      <c r="AP177" s="39" t="s">
        <v>1502</v>
      </c>
      <c r="AQ177" s="43"/>
      <c r="AR177" s="43"/>
    </row>
    <row r="178">
      <c r="A178" s="21">
        <f t="shared" si="3"/>
        <v>27</v>
      </c>
      <c r="B178" s="39" t="s">
        <v>1503</v>
      </c>
      <c r="C178" s="57" t="s">
        <v>1504</v>
      </c>
      <c r="D178" s="39">
        <v>11.0</v>
      </c>
      <c r="E178" s="39">
        <v>5.0</v>
      </c>
      <c r="F178" s="39" t="s">
        <v>50</v>
      </c>
      <c r="G178" s="39" t="s">
        <v>51</v>
      </c>
      <c r="H178" s="42">
        <v>40179.0</v>
      </c>
      <c r="I178" s="39" t="s">
        <v>102</v>
      </c>
      <c r="J178" s="39" t="s">
        <v>103</v>
      </c>
      <c r="K178" s="39" t="s">
        <v>1505</v>
      </c>
      <c r="L178" s="39" t="s">
        <v>88</v>
      </c>
      <c r="M178" s="42">
        <v>44287.0</v>
      </c>
      <c r="N178" s="39" t="s">
        <v>141</v>
      </c>
      <c r="O178" s="39" t="s">
        <v>173</v>
      </c>
      <c r="P178" s="43"/>
      <c r="Q178" s="39" t="s">
        <v>1304</v>
      </c>
      <c r="R178" s="42">
        <v>45292.0</v>
      </c>
      <c r="S178" s="39" t="s">
        <v>143</v>
      </c>
      <c r="T178" s="44"/>
      <c r="U178" s="39" t="s">
        <v>144</v>
      </c>
      <c r="V178" s="39" t="s">
        <v>89</v>
      </c>
      <c r="W178" s="39" t="s">
        <v>90</v>
      </c>
      <c r="X178" s="39" t="s">
        <v>1506</v>
      </c>
      <c r="Y178" s="67">
        <v>39023.0</v>
      </c>
      <c r="Z178" s="46"/>
      <c r="AA178" s="45">
        <v>51507.0</v>
      </c>
      <c r="AB178" s="46"/>
      <c r="AC178" s="23">
        <v>69.0</v>
      </c>
      <c r="AD178" s="39" t="s">
        <v>66</v>
      </c>
      <c r="AE178" s="39" t="s">
        <v>67</v>
      </c>
      <c r="AF178" s="39" t="s">
        <v>92</v>
      </c>
      <c r="AG178" s="39" t="s">
        <v>68</v>
      </c>
      <c r="AH178" s="39" t="s">
        <v>131</v>
      </c>
      <c r="AI178" s="39">
        <v>8.536116228E10</v>
      </c>
      <c r="AJ178" s="39" t="s">
        <v>1507</v>
      </c>
      <c r="AK178" s="39" t="s">
        <v>1508</v>
      </c>
      <c r="AL178" s="39" t="s">
        <v>1509</v>
      </c>
      <c r="AM178" s="39" t="s">
        <v>96</v>
      </c>
      <c r="AN178" s="39" t="s">
        <v>1510</v>
      </c>
      <c r="AO178" s="39" t="s">
        <v>1511</v>
      </c>
      <c r="AP178" s="39" t="s">
        <v>1145</v>
      </c>
      <c r="AQ178" s="43"/>
      <c r="AR178" s="43"/>
    </row>
    <row r="179">
      <c r="A179" s="21">
        <f t="shared" si="3"/>
        <v>28</v>
      </c>
      <c r="B179" s="39" t="s">
        <v>1512</v>
      </c>
      <c r="C179" s="57" t="s">
        <v>1513</v>
      </c>
      <c r="D179" s="39">
        <v>19.0</v>
      </c>
      <c r="E179" s="39">
        <v>10.0</v>
      </c>
      <c r="F179" s="39" t="s">
        <v>50</v>
      </c>
      <c r="G179" s="39" t="s">
        <v>51</v>
      </c>
      <c r="H179" s="42">
        <v>39448.0</v>
      </c>
      <c r="I179" s="39" t="s">
        <v>82</v>
      </c>
      <c r="J179" s="39" t="s">
        <v>83</v>
      </c>
      <c r="K179" s="39" t="s">
        <v>140</v>
      </c>
      <c r="L179" s="39" t="s">
        <v>105</v>
      </c>
      <c r="M179" s="42">
        <v>45809.0</v>
      </c>
      <c r="N179" s="39" t="s">
        <v>141</v>
      </c>
      <c r="O179" s="39" t="s">
        <v>173</v>
      </c>
      <c r="P179" s="43"/>
      <c r="Q179" s="39" t="s">
        <v>1304</v>
      </c>
      <c r="R179" s="42">
        <v>45292.0</v>
      </c>
      <c r="S179" s="39" t="s">
        <v>143</v>
      </c>
      <c r="T179" s="44"/>
      <c r="U179" s="39" t="s">
        <v>144</v>
      </c>
      <c r="V179" s="39" t="s">
        <v>89</v>
      </c>
      <c r="W179" s="43"/>
      <c r="X179" s="39" t="s">
        <v>1514</v>
      </c>
      <c r="Y179" s="47">
        <v>41174.0</v>
      </c>
      <c r="Z179" s="39" t="s">
        <v>114</v>
      </c>
      <c r="AA179" s="45">
        <v>50407.0</v>
      </c>
      <c r="AB179" s="46"/>
      <c r="AC179" s="23">
        <v>70.0</v>
      </c>
      <c r="AD179" s="39" t="s">
        <v>66</v>
      </c>
      <c r="AE179" s="39" t="s">
        <v>67</v>
      </c>
      <c r="AF179" s="39" t="s">
        <v>92</v>
      </c>
      <c r="AG179" s="39" t="s">
        <v>130</v>
      </c>
      <c r="AH179" s="39" t="s">
        <v>131</v>
      </c>
      <c r="AI179" s="39">
        <v>8.139733198E10</v>
      </c>
      <c r="AJ179" s="43"/>
      <c r="AK179" s="39" t="s">
        <v>1515</v>
      </c>
      <c r="AL179" s="39" t="s">
        <v>1516</v>
      </c>
      <c r="AM179" s="39" t="s">
        <v>96</v>
      </c>
      <c r="AN179" s="39" t="s">
        <v>97</v>
      </c>
      <c r="AO179" s="39" t="s">
        <v>379</v>
      </c>
      <c r="AP179" s="39" t="s">
        <v>1517</v>
      </c>
      <c r="AQ179" s="43"/>
      <c r="AR179" s="43"/>
    </row>
    <row r="180">
      <c r="A180" s="21">
        <f t="shared" si="3"/>
        <v>29</v>
      </c>
      <c r="B180" s="39" t="s">
        <v>1518</v>
      </c>
      <c r="C180" s="57" t="s">
        <v>1519</v>
      </c>
      <c r="D180" s="39">
        <v>18.0</v>
      </c>
      <c r="E180" s="39">
        <v>5.0</v>
      </c>
      <c r="F180" s="39" t="s">
        <v>171</v>
      </c>
      <c r="G180" s="39" t="s">
        <v>172</v>
      </c>
      <c r="H180" s="42">
        <v>40179.0</v>
      </c>
      <c r="I180" s="39" t="s">
        <v>82</v>
      </c>
      <c r="J180" s="39" t="s">
        <v>83</v>
      </c>
      <c r="K180" s="39" t="s">
        <v>140</v>
      </c>
      <c r="L180" s="39" t="s">
        <v>105</v>
      </c>
      <c r="M180" s="42">
        <v>45809.0</v>
      </c>
      <c r="N180" s="39" t="s">
        <v>141</v>
      </c>
      <c r="O180" s="39" t="s">
        <v>173</v>
      </c>
      <c r="P180" s="43"/>
      <c r="Q180" s="39" t="s">
        <v>1304</v>
      </c>
      <c r="R180" s="42">
        <v>45292.0</v>
      </c>
      <c r="S180" s="39" t="s">
        <v>143</v>
      </c>
      <c r="T180" s="44"/>
      <c r="U180" s="39" t="s">
        <v>144</v>
      </c>
      <c r="V180" s="39" t="s">
        <v>89</v>
      </c>
      <c r="W180" s="39" t="s">
        <v>1520</v>
      </c>
      <c r="X180" s="39" t="s">
        <v>1521</v>
      </c>
      <c r="Y180" s="39" t="s">
        <v>1522</v>
      </c>
      <c r="Z180" s="39" t="s">
        <v>114</v>
      </c>
      <c r="AA180" s="45">
        <v>50771.0</v>
      </c>
      <c r="AB180" s="46"/>
      <c r="AC180" s="23">
        <v>71.0</v>
      </c>
      <c r="AD180" s="39" t="s">
        <v>66</v>
      </c>
      <c r="AE180" s="39" t="s">
        <v>220</v>
      </c>
      <c r="AF180" s="39" t="s">
        <v>92</v>
      </c>
      <c r="AG180" s="39" t="s">
        <v>68</v>
      </c>
      <c r="AH180" s="39" t="s">
        <v>131</v>
      </c>
      <c r="AI180" s="39">
        <v>8.2162464946E10</v>
      </c>
      <c r="AJ180" s="39" t="s">
        <v>1523</v>
      </c>
      <c r="AK180" s="39" t="s">
        <v>1524</v>
      </c>
      <c r="AL180" s="39" t="s">
        <v>1525</v>
      </c>
      <c r="AM180" s="39" t="s">
        <v>96</v>
      </c>
      <c r="AN180" s="39" t="s">
        <v>74</v>
      </c>
      <c r="AO180" s="39" t="s">
        <v>75</v>
      </c>
      <c r="AP180" s="39" t="s">
        <v>315</v>
      </c>
      <c r="AQ180" s="43"/>
      <c r="AR180" s="43"/>
    </row>
    <row r="181">
      <c r="A181" s="21">
        <f t="shared" si="3"/>
        <v>30</v>
      </c>
      <c r="B181" s="39" t="s">
        <v>1526</v>
      </c>
      <c r="C181" s="57" t="s">
        <v>1527</v>
      </c>
      <c r="D181" s="39">
        <v>18.0</v>
      </c>
      <c r="E181" s="39">
        <v>3.0</v>
      </c>
      <c r="F181" s="39" t="s">
        <v>50</v>
      </c>
      <c r="G181" s="39" t="s">
        <v>51</v>
      </c>
      <c r="H181" s="42">
        <v>40179.0</v>
      </c>
      <c r="I181" s="39" t="s">
        <v>102</v>
      </c>
      <c r="J181" s="39" t="s">
        <v>103</v>
      </c>
      <c r="K181" s="39" t="s">
        <v>228</v>
      </c>
      <c r="L181" s="39" t="s">
        <v>105</v>
      </c>
      <c r="M181" s="42">
        <v>44652.0</v>
      </c>
      <c r="N181" s="39" t="s">
        <v>141</v>
      </c>
      <c r="O181" s="39" t="s">
        <v>173</v>
      </c>
      <c r="P181" s="43"/>
      <c r="Q181" s="39" t="s">
        <v>1304</v>
      </c>
      <c r="R181" s="42">
        <v>45292.0</v>
      </c>
      <c r="S181" s="39" t="s">
        <v>143</v>
      </c>
      <c r="T181" s="44"/>
      <c r="U181" s="39" t="s">
        <v>144</v>
      </c>
      <c r="V181" s="39" t="s">
        <v>89</v>
      </c>
      <c r="W181" s="43"/>
      <c r="X181" s="39" t="s">
        <v>1528</v>
      </c>
      <c r="Y181" s="39" t="s">
        <v>1529</v>
      </c>
      <c r="Z181" s="46"/>
      <c r="AA181" s="45">
        <v>51503.0</v>
      </c>
      <c r="AB181" s="46"/>
      <c r="AC181" s="23">
        <v>72.0</v>
      </c>
      <c r="AD181" s="39" t="s">
        <v>66</v>
      </c>
      <c r="AE181" s="39" t="s">
        <v>67</v>
      </c>
      <c r="AF181" s="39" t="s">
        <v>92</v>
      </c>
      <c r="AG181" s="39" t="s">
        <v>68</v>
      </c>
      <c r="AH181" s="39" t="s">
        <v>69</v>
      </c>
      <c r="AI181" s="39">
        <v>8.116482002E9</v>
      </c>
      <c r="AJ181" s="39" t="s">
        <v>1530</v>
      </c>
      <c r="AK181" s="39" t="s">
        <v>1531</v>
      </c>
      <c r="AL181" s="39" t="s">
        <v>1532</v>
      </c>
      <c r="AM181" s="39" t="s">
        <v>96</v>
      </c>
      <c r="AN181" s="39" t="s">
        <v>97</v>
      </c>
      <c r="AO181" s="39" t="s">
        <v>425</v>
      </c>
      <c r="AP181" s="39" t="s">
        <v>1533</v>
      </c>
      <c r="AQ181" s="43"/>
      <c r="AR181" s="43"/>
    </row>
    <row r="182">
      <c r="A182" s="21">
        <f t="shared" si="3"/>
        <v>31</v>
      </c>
      <c r="B182" s="39" t="s">
        <v>1534</v>
      </c>
      <c r="C182" s="57" t="s">
        <v>1535</v>
      </c>
      <c r="D182" s="39">
        <v>18.0</v>
      </c>
      <c r="E182" s="39">
        <v>10.0</v>
      </c>
      <c r="F182" s="39" t="s">
        <v>50</v>
      </c>
      <c r="G182" s="39" t="s">
        <v>51</v>
      </c>
      <c r="H182" s="42">
        <v>38808.0</v>
      </c>
      <c r="I182" s="39" t="s">
        <v>102</v>
      </c>
      <c r="J182" s="39" t="s">
        <v>103</v>
      </c>
      <c r="K182" s="39" t="s">
        <v>104</v>
      </c>
      <c r="L182" s="39" t="s">
        <v>105</v>
      </c>
      <c r="M182" s="42">
        <v>45017.0</v>
      </c>
      <c r="N182" s="39" t="s">
        <v>141</v>
      </c>
      <c r="O182" s="39" t="s">
        <v>173</v>
      </c>
      <c r="P182" s="43"/>
      <c r="Q182" s="39" t="s">
        <v>1304</v>
      </c>
      <c r="R182" s="42">
        <v>45292.0</v>
      </c>
      <c r="S182" s="39" t="s">
        <v>143</v>
      </c>
      <c r="T182" s="44"/>
      <c r="U182" s="39" t="s">
        <v>144</v>
      </c>
      <c r="V182" s="39" t="s">
        <v>159</v>
      </c>
      <c r="W182" s="39" t="s">
        <v>259</v>
      </c>
      <c r="X182" s="39" t="s">
        <v>745</v>
      </c>
      <c r="Y182" s="47">
        <v>43008.0</v>
      </c>
      <c r="Z182" s="39" t="s">
        <v>114</v>
      </c>
      <c r="AA182" s="45">
        <v>47855.0</v>
      </c>
      <c r="AB182" s="46"/>
      <c r="AC182" s="23">
        <v>73.0</v>
      </c>
      <c r="AD182" s="39" t="s">
        <v>66</v>
      </c>
      <c r="AE182" s="39" t="s">
        <v>67</v>
      </c>
      <c r="AF182" s="39" t="s">
        <v>92</v>
      </c>
      <c r="AG182" s="39" t="s">
        <v>68</v>
      </c>
      <c r="AH182" s="39" t="s">
        <v>246</v>
      </c>
      <c r="AI182" s="39">
        <v>8.5358808803E10</v>
      </c>
      <c r="AJ182" s="39" t="s">
        <v>1536</v>
      </c>
      <c r="AK182" s="39" t="s">
        <v>1537</v>
      </c>
      <c r="AL182" s="39" t="s">
        <v>1538</v>
      </c>
      <c r="AM182" s="39" t="s">
        <v>96</v>
      </c>
      <c r="AN182" s="39" t="s">
        <v>150</v>
      </c>
      <c r="AO182" s="39" t="s">
        <v>281</v>
      </c>
      <c r="AP182" s="39" t="s">
        <v>1539</v>
      </c>
      <c r="AQ182" s="39">
        <v>5.0</v>
      </c>
      <c r="AR182" s="39">
        <v>3.0</v>
      </c>
    </row>
    <row r="183">
      <c r="A183" s="21">
        <f t="shared" si="3"/>
        <v>32</v>
      </c>
      <c r="B183" s="39" t="s">
        <v>1540</v>
      </c>
      <c r="C183" s="57" t="s">
        <v>1541</v>
      </c>
      <c r="D183" s="39">
        <v>13.0</v>
      </c>
      <c r="E183" s="39">
        <v>0.0</v>
      </c>
      <c r="F183" s="39" t="s">
        <v>171</v>
      </c>
      <c r="G183" s="39" t="s">
        <v>172</v>
      </c>
      <c r="H183" s="42">
        <v>41091.0</v>
      </c>
      <c r="I183" s="39" t="s">
        <v>102</v>
      </c>
      <c r="J183" s="39" t="s">
        <v>103</v>
      </c>
      <c r="K183" s="39" t="s">
        <v>195</v>
      </c>
      <c r="L183" s="39" t="s">
        <v>105</v>
      </c>
      <c r="M183" s="42">
        <v>44835.0</v>
      </c>
      <c r="N183" s="39" t="s">
        <v>141</v>
      </c>
      <c r="O183" s="39" t="s">
        <v>173</v>
      </c>
      <c r="P183" s="43"/>
      <c r="Q183" s="39" t="s">
        <v>1304</v>
      </c>
      <c r="R183" s="42">
        <v>45292.0</v>
      </c>
      <c r="S183" s="39" t="s">
        <v>143</v>
      </c>
      <c r="T183" s="44"/>
      <c r="U183" s="39" t="s">
        <v>144</v>
      </c>
      <c r="V183" s="39" t="s">
        <v>159</v>
      </c>
      <c r="W183" s="39" t="s">
        <v>230</v>
      </c>
      <c r="X183" s="39" t="s">
        <v>231</v>
      </c>
      <c r="Y183" s="47">
        <v>43054.0</v>
      </c>
      <c r="Z183" s="46"/>
      <c r="AA183" s="45">
        <v>50782.0</v>
      </c>
      <c r="AB183" s="46"/>
      <c r="AC183" s="23">
        <v>74.0</v>
      </c>
      <c r="AD183" s="39" t="s">
        <v>66</v>
      </c>
      <c r="AE183" s="39" t="s">
        <v>67</v>
      </c>
      <c r="AF183" s="39" t="s">
        <v>421</v>
      </c>
      <c r="AG183" s="39" t="s">
        <v>130</v>
      </c>
      <c r="AH183" s="39" t="s">
        <v>131</v>
      </c>
      <c r="AI183" s="39">
        <v>8.2162924404E10</v>
      </c>
      <c r="AJ183" s="39" t="s">
        <v>1542</v>
      </c>
      <c r="AK183" s="39" t="s">
        <v>1543</v>
      </c>
      <c r="AL183" s="39" t="s">
        <v>1544</v>
      </c>
      <c r="AM183" s="39" t="s">
        <v>96</v>
      </c>
      <c r="AN183" s="43"/>
      <c r="AO183" s="39" t="s">
        <v>1511</v>
      </c>
      <c r="AP183" s="39" t="s">
        <v>1145</v>
      </c>
      <c r="AQ183" s="43"/>
      <c r="AR183" s="43"/>
    </row>
    <row r="184">
      <c r="A184" s="21">
        <f t="shared" si="3"/>
        <v>33</v>
      </c>
      <c r="B184" s="39" t="s">
        <v>1545</v>
      </c>
      <c r="C184" s="57" t="s">
        <v>1546</v>
      </c>
      <c r="D184" s="39">
        <v>18.0</v>
      </c>
      <c r="E184" s="39">
        <v>7.0</v>
      </c>
      <c r="F184" s="39" t="s">
        <v>171</v>
      </c>
      <c r="G184" s="39" t="s">
        <v>172</v>
      </c>
      <c r="H184" s="42">
        <v>40179.0</v>
      </c>
      <c r="I184" s="39" t="s">
        <v>82</v>
      </c>
      <c r="J184" s="39" t="s">
        <v>83</v>
      </c>
      <c r="K184" s="39" t="s">
        <v>140</v>
      </c>
      <c r="L184" s="39" t="s">
        <v>105</v>
      </c>
      <c r="M184" s="42">
        <v>45809.0</v>
      </c>
      <c r="N184" s="39" t="s">
        <v>141</v>
      </c>
      <c r="O184" s="39" t="s">
        <v>173</v>
      </c>
      <c r="P184" s="43"/>
      <c r="Q184" s="39" t="s">
        <v>1297</v>
      </c>
      <c r="R184" s="42">
        <v>45292.0</v>
      </c>
      <c r="S184" s="39" t="s">
        <v>143</v>
      </c>
      <c r="T184" s="44"/>
      <c r="U184" s="39" t="s">
        <v>144</v>
      </c>
      <c r="V184" s="39" t="s">
        <v>89</v>
      </c>
      <c r="W184" s="39" t="s">
        <v>90</v>
      </c>
      <c r="X184" s="39" t="s">
        <v>1329</v>
      </c>
      <c r="Y184" s="39" t="s">
        <v>1547</v>
      </c>
      <c r="Z184" s="39" t="s">
        <v>114</v>
      </c>
      <c r="AA184" s="45">
        <v>50411.0</v>
      </c>
      <c r="AB184" s="46"/>
      <c r="AC184" s="23">
        <v>75.0</v>
      </c>
      <c r="AD184" s="39" t="s">
        <v>66</v>
      </c>
      <c r="AE184" s="39" t="s">
        <v>67</v>
      </c>
      <c r="AF184" s="39" t="s">
        <v>92</v>
      </c>
      <c r="AG184" s="39" t="s">
        <v>130</v>
      </c>
      <c r="AH184" s="39" t="s">
        <v>246</v>
      </c>
      <c r="AI184" s="39">
        <v>8.116000359E9</v>
      </c>
      <c r="AJ184" s="39" t="s">
        <v>1548</v>
      </c>
      <c r="AK184" s="39" t="s">
        <v>1549</v>
      </c>
      <c r="AL184" s="39" t="s">
        <v>1550</v>
      </c>
      <c r="AM184" s="39" t="s">
        <v>96</v>
      </c>
      <c r="AN184" s="39" t="s">
        <v>135</v>
      </c>
      <c r="AO184" s="39" t="s">
        <v>236</v>
      </c>
      <c r="AP184" s="39" t="s">
        <v>237</v>
      </c>
      <c r="AQ184" s="43"/>
      <c r="AR184" s="43"/>
    </row>
    <row r="185">
      <c r="A185" s="21">
        <f t="shared" si="3"/>
        <v>34</v>
      </c>
      <c r="B185" s="39" t="s">
        <v>1551</v>
      </c>
      <c r="C185" s="57" t="s">
        <v>1552</v>
      </c>
      <c r="D185" s="39">
        <v>10.0</v>
      </c>
      <c r="E185" s="39">
        <v>3.0</v>
      </c>
      <c r="F185" s="39" t="s">
        <v>171</v>
      </c>
      <c r="G185" s="39" t="s">
        <v>172</v>
      </c>
      <c r="H185" s="42">
        <v>40179.0</v>
      </c>
      <c r="I185" s="39" t="s">
        <v>102</v>
      </c>
      <c r="J185" s="39" t="s">
        <v>103</v>
      </c>
      <c r="K185" s="39" t="s">
        <v>228</v>
      </c>
      <c r="L185" s="39" t="s">
        <v>105</v>
      </c>
      <c r="M185" s="42">
        <v>44652.0</v>
      </c>
      <c r="N185" s="39" t="s">
        <v>141</v>
      </c>
      <c r="O185" s="39" t="s">
        <v>173</v>
      </c>
      <c r="P185" s="43"/>
      <c r="Q185" s="39" t="s">
        <v>1297</v>
      </c>
      <c r="R185" s="42">
        <v>45292.0</v>
      </c>
      <c r="S185" s="39" t="s">
        <v>143</v>
      </c>
      <c r="T185" s="44"/>
      <c r="U185" s="39" t="s">
        <v>144</v>
      </c>
      <c r="V185" s="39" t="s">
        <v>89</v>
      </c>
      <c r="W185" s="39" t="s">
        <v>218</v>
      </c>
      <c r="X185" s="39" t="s">
        <v>1553</v>
      </c>
      <c r="Y185" s="39" t="s">
        <v>1554</v>
      </c>
      <c r="Z185" s="39" t="s">
        <v>114</v>
      </c>
      <c r="AA185" s="45">
        <v>52607.0</v>
      </c>
      <c r="AB185" s="46"/>
      <c r="AC185" s="23">
        <v>76.0</v>
      </c>
      <c r="AD185" s="39" t="s">
        <v>66</v>
      </c>
      <c r="AE185" s="39" t="s">
        <v>67</v>
      </c>
      <c r="AF185" s="39" t="s">
        <v>92</v>
      </c>
      <c r="AG185" s="39" t="s">
        <v>130</v>
      </c>
      <c r="AH185" s="39" t="s">
        <v>131</v>
      </c>
      <c r="AI185" s="39">
        <v>8.116299007E9</v>
      </c>
      <c r="AJ185" s="39" t="s">
        <v>1555</v>
      </c>
      <c r="AK185" s="39" t="s">
        <v>1556</v>
      </c>
      <c r="AL185" s="39" t="s">
        <v>1557</v>
      </c>
      <c r="AM185" s="39" t="s">
        <v>73</v>
      </c>
      <c r="AN185" s="39" t="s">
        <v>74</v>
      </c>
      <c r="AO185" s="39" t="s">
        <v>191</v>
      </c>
      <c r="AP185" s="39" t="s">
        <v>1558</v>
      </c>
      <c r="AQ185" s="43"/>
      <c r="AR185" s="43"/>
    </row>
    <row r="186">
      <c r="A186" s="21">
        <f t="shared" si="3"/>
        <v>35</v>
      </c>
      <c r="B186" s="39" t="s">
        <v>1559</v>
      </c>
      <c r="C186" s="57" t="s">
        <v>1560</v>
      </c>
      <c r="D186" s="39">
        <v>8.0</v>
      </c>
      <c r="E186" s="39">
        <v>9.0</v>
      </c>
      <c r="F186" s="39" t="s">
        <v>50</v>
      </c>
      <c r="G186" s="39" t="s">
        <v>51</v>
      </c>
      <c r="H186" s="42">
        <v>40179.0</v>
      </c>
      <c r="I186" s="39" t="s">
        <v>102</v>
      </c>
      <c r="J186" s="39" t="s">
        <v>103</v>
      </c>
      <c r="K186" s="39" t="s">
        <v>1561</v>
      </c>
      <c r="L186" s="39" t="s">
        <v>105</v>
      </c>
      <c r="M186" s="42">
        <v>45200.0</v>
      </c>
      <c r="N186" s="39" t="s">
        <v>141</v>
      </c>
      <c r="O186" s="39" t="s">
        <v>173</v>
      </c>
      <c r="P186" s="43"/>
      <c r="Q186" s="39" t="s">
        <v>1316</v>
      </c>
      <c r="R186" s="42">
        <v>45292.0</v>
      </c>
      <c r="S186" s="39" t="s">
        <v>143</v>
      </c>
      <c r="T186" s="44"/>
      <c r="U186" s="39" t="s">
        <v>144</v>
      </c>
      <c r="V186" s="39" t="s">
        <v>89</v>
      </c>
      <c r="W186" s="39" t="s">
        <v>1562</v>
      </c>
      <c r="X186" s="39" t="s">
        <v>1329</v>
      </c>
      <c r="Y186" s="39" t="s">
        <v>1563</v>
      </c>
      <c r="Z186" s="39" t="s">
        <v>114</v>
      </c>
      <c r="AA186" s="45">
        <v>53701.0</v>
      </c>
      <c r="AB186" s="46"/>
      <c r="AC186" s="23">
        <v>77.0</v>
      </c>
      <c r="AD186" s="39" t="s">
        <v>66</v>
      </c>
      <c r="AE186" s="39" t="s">
        <v>67</v>
      </c>
      <c r="AF186" s="43"/>
      <c r="AG186" s="39" t="s">
        <v>130</v>
      </c>
      <c r="AH186" s="39" t="s">
        <v>69</v>
      </c>
      <c r="AI186" s="39">
        <v>8.126353734E10</v>
      </c>
      <c r="AJ186" s="39" t="s">
        <v>1564</v>
      </c>
      <c r="AK186" s="39" t="s">
        <v>1565</v>
      </c>
      <c r="AL186" s="39" t="s">
        <v>1566</v>
      </c>
      <c r="AM186" s="39" t="s">
        <v>96</v>
      </c>
      <c r="AN186" s="39" t="s">
        <v>74</v>
      </c>
      <c r="AO186" s="39" t="s">
        <v>454</v>
      </c>
      <c r="AP186" s="39" t="s">
        <v>1567</v>
      </c>
      <c r="AQ186" s="43"/>
      <c r="AR186" s="43"/>
    </row>
    <row r="187">
      <c r="A187" s="21">
        <f t="shared" si="3"/>
        <v>36</v>
      </c>
      <c r="B187" s="39" t="s">
        <v>1568</v>
      </c>
      <c r="C187" s="57" t="s">
        <v>1569</v>
      </c>
      <c r="D187" s="39">
        <v>15.0</v>
      </c>
      <c r="E187" s="39">
        <v>1.0</v>
      </c>
      <c r="F187" s="39" t="s">
        <v>50</v>
      </c>
      <c r="G187" s="39" t="s">
        <v>51</v>
      </c>
      <c r="H187" s="42">
        <v>32933.0</v>
      </c>
      <c r="I187" s="39" t="s">
        <v>182</v>
      </c>
      <c r="J187" s="39" t="s">
        <v>183</v>
      </c>
      <c r="K187" s="39" t="s">
        <v>318</v>
      </c>
      <c r="L187" s="39" t="s">
        <v>1314</v>
      </c>
      <c r="M187" s="42">
        <v>40269.0</v>
      </c>
      <c r="N187" s="39" t="s">
        <v>141</v>
      </c>
      <c r="O187" s="39" t="s">
        <v>196</v>
      </c>
      <c r="P187" s="43"/>
      <c r="Q187" s="39" t="s">
        <v>1304</v>
      </c>
      <c r="R187" s="42">
        <v>45292.0</v>
      </c>
      <c r="S187" s="39" t="s">
        <v>143</v>
      </c>
      <c r="T187" s="44"/>
      <c r="U187" s="39" t="s">
        <v>144</v>
      </c>
      <c r="V187" s="39" t="s">
        <v>285</v>
      </c>
      <c r="W187" s="39" t="s">
        <v>1570</v>
      </c>
      <c r="X187" s="39" t="s">
        <v>1571</v>
      </c>
      <c r="Y187" s="39" t="s">
        <v>1572</v>
      </c>
      <c r="Z187" s="46"/>
      <c r="AA187" s="45">
        <v>46757.0</v>
      </c>
      <c r="AB187" s="46"/>
      <c r="AC187" s="23">
        <v>78.0</v>
      </c>
      <c r="AD187" s="39" t="s">
        <v>66</v>
      </c>
      <c r="AE187" s="39" t="s">
        <v>67</v>
      </c>
      <c r="AF187" s="39" t="s">
        <v>92</v>
      </c>
      <c r="AG187" s="39" t="s">
        <v>130</v>
      </c>
      <c r="AH187" s="39" t="s">
        <v>69</v>
      </c>
      <c r="AI187" s="39">
        <v>8.126373401E9</v>
      </c>
      <c r="AJ187" s="39" t="s">
        <v>1573</v>
      </c>
      <c r="AK187" s="39" t="s">
        <v>1574</v>
      </c>
      <c r="AL187" s="39" t="s">
        <v>1575</v>
      </c>
      <c r="AM187" s="39" t="s">
        <v>96</v>
      </c>
      <c r="AN187" s="43"/>
      <c r="AO187" s="39" t="s">
        <v>1576</v>
      </c>
      <c r="AP187" s="39" t="s">
        <v>1577</v>
      </c>
      <c r="AQ187" s="43"/>
      <c r="AR187" s="43"/>
    </row>
    <row r="188">
      <c r="A188" s="21">
        <f t="shared" si="3"/>
        <v>37</v>
      </c>
      <c r="B188" s="39" t="s">
        <v>1578</v>
      </c>
      <c r="C188" s="57" t="s">
        <v>1579</v>
      </c>
      <c r="D188" s="39">
        <v>16.0</v>
      </c>
      <c r="E188" s="39">
        <v>1.0</v>
      </c>
      <c r="F188" s="39" t="s">
        <v>50</v>
      </c>
      <c r="G188" s="39" t="s">
        <v>51</v>
      </c>
      <c r="H188" s="42">
        <v>33664.0</v>
      </c>
      <c r="I188" s="39" t="s">
        <v>182</v>
      </c>
      <c r="J188" s="39" t="s">
        <v>183</v>
      </c>
      <c r="K188" s="39" t="s">
        <v>1580</v>
      </c>
      <c r="L188" s="39" t="s">
        <v>1314</v>
      </c>
      <c r="M188" s="42">
        <v>41365.0</v>
      </c>
      <c r="N188" s="39" t="s">
        <v>141</v>
      </c>
      <c r="O188" s="39" t="s">
        <v>196</v>
      </c>
      <c r="P188" s="43"/>
      <c r="Q188" s="39" t="s">
        <v>1304</v>
      </c>
      <c r="R188" s="42">
        <v>45292.0</v>
      </c>
      <c r="S188" s="39" t="s">
        <v>143</v>
      </c>
      <c r="T188" s="44"/>
      <c r="U188" s="39" t="s">
        <v>144</v>
      </c>
      <c r="V188" s="39" t="s">
        <v>285</v>
      </c>
      <c r="W188" s="43"/>
      <c r="X188" s="39" t="s">
        <v>1581</v>
      </c>
      <c r="Y188" s="39" t="s">
        <v>477</v>
      </c>
      <c r="Z188" s="39" t="s">
        <v>114</v>
      </c>
      <c r="AA188" s="45">
        <v>46763.0</v>
      </c>
      <c r="AB188" s="46"/>
      <c r="AC188" s="23">
        <v>79.0</v>
      </c>
      <c r="AD188" s="39" t="s">
        <v>66</v>
      </c>
      <c r="AE188" s="39" t="s">
        <v>67</v>
      </c>
      <c r="AF188" s="43"/>
      <c r="AG188" s="39" t="s">
        <v>130</v>
      </c>
      <c r="AH188" s="43"/>
      <c r="AI188" s="39">
        <v>8.1269908722E10</v>
      </c>
      <c r="AJ188" s="39" t="s">
        <v>1582</v>
      </c>
      <c r="AK188" s="39" t="s">
        <v>1583</v>
      </c>
      <c r="AL188" s="39" t="s">
        <v>1584</v>
      </c>
      <c r="AM188" s="39" t="s">
        <v>96</v>
      </c>
      <c r="AN188" s="39" t="s">
        <v>481</v>
      </c>
      <c r="AO188" s="39" t="s">
        <v>989</v>
      </c>
      <c r="AP188" s="39" t="s">
        <v>1585</v>
      </c>
      <c r="AQ188" s="39" t="s">
        <v>77</v>
      </c>
      <c r="AR188" s="39" t="s">
        <v>77</v>
      </c>
    </row>
    <row r="189">
      <c r="A189" s="21">
        <f t="shared" si="3"/>
        <v>38</v>
      </c>
      <c r="B189" s="39" t="s">
        <v>1586</v>
      </c>
      <c r="C189" s="57" t="s">
        <v>1587</v>
      </c>
      <c r="D189" s="39">
        <v>15.0</v>
      </c>
      <c r="E189" s="39">
        <v>1.0</v>
      </c>
      <c r="F189" s="39" t="s">
        <v>50</v>
      </c>
      <c r="G189" s="39" t="s">
        <v>51</v>
      </c>
      <c r="H189" s="42">
        <v>35855.0</v>
      </c>
      <c r="I189" s="39" t="s">
        <v>182</v>
      </c>
      <c r="J189" s="39" t="s">
        <v>183</v>
      </c>
      <c r="K189" s="39" t="s">
        <v>1588</v>
      </c>
      <c r="L189" s="39" t="s">
        <v>61</v>
      </c>
      <c r="M189" s="42">
        <v>43191.0</v>
      </c>
      <c r="N189" s="39" t="s">
        <v>141</v>
      </c>
      <c r="O189" s="39" t="s">
        <v>196</v>
      </c>
      <c r="P189" s="43"/>
      <c r="Q189" s="39" t="s">
        <v>1304</v>
      </c>
      <c r="R189" s="42">
        <v>45292.0</v>
      </c>
      <c r="S189" s="39" t="s">
        <v>143</v>
      </c>
      <c r="T189" s="44"/>
      <c r="U189" s="39" t="s">
        <v>144</v>
      </c>
      <c r="V189" s="39" t="s">
        <v>285</v>
      </c>
      <c r="W189" s="43"/>
      <c r="X189" s="39" t="s">
        <v>1589</v>
      </c>
      <c r="Y189" s="39" t="s">
        <v>1590</v>
      </c>
      <c r="Z189" s="39" t="s">
        <v>114</v>
      </c>
      <c r="AA189" s="45">
        <v>49678.0</v>
      </c>
      <c r="AB189" s="46"/>
      <c r="AC189" s="23">
        <v>80.0</v>
      </c>
      <c r="AD189" s="39" t="s">
        <v>66</v>
      </c>
      <c r="AE189" s="39" t="s">
        <v>67</v>
      </c>
      <c r="AF189" s="39" t="s">
        <v>92</v>
      </c>
      <c r="AG189" s="39" t="s">
        <v>130</v>
      </c>
      <c r="AH189" s="39" t="s">
        <v>69</v>
      </c>
      <c r="AI189" s="39">
        <v>8.126026046E9</v>
      </c>
      <c r="AJ189" s="39" t="s">
        <v>1591</v>
      </c>
      <c r="AK189" s="39" t="s">
        <v>1592</v>
      </c>
      <c r="AL189" s="39" t="s">
        <v>1593</v>
      </c>
      <c r="AM189" s="39" t="s">
        <v>96</v>
      </c>
      <c r="AN189" s="39" t="s">
        <v>74</v>
      </c>
      <c r="AO189" s="39" t="s">
        <v>203</v>
      </c>
      <c r="AP189" s="39" t="s">
        <v>204</v>
      </c>
      <c r="AQ189" s="39">
        <v>10.0</v>
      </c>
      <c r="AR189" s="39">
        <v>4.0</v>
      </c>
    </row>
    <row r="190">
      <c r="A190" s="21">
        <f t="shared" si="3"/>
        <v>39</v>
      </c>
      <c r="B190" s="39" t="s">
        <v>1594</v>
      </c>
      <c r="C190" s="57" t="s">
        <v>1595</v>
      </c>
      <c r="D190" s="39">
        <v>17.0</v>
      </c>
      <c r="E190" s="39">
        <v>1.0</v>
      </c>
      <c r="F190" s="39" t="s">
        <v>50</v>
      </c>
      <c r="G190" s="39" t="s">
        <v>51</v>
      </c>
      <c r="H190" s="42">
        <v>37135.0</v>
      </c>
      <c r="I190" s="39" t="s">
        <v>182</v>
      </c>
      <c r="J190" s="39" t="s">
        <v>183</v>
      </c>
      <c r="K190" s="39" t="s">
        <v>155</v>
      </c>
      <c r="L190" s="39" t="s">
        <v>88</v>
      </c>
      <c r="M190" s="42">
        <v>44652.0</v>
      </c>
      <c r="N190" s="39" t="s">
        <v>141</v>
      </c>
      <c r="O190" s="39" t="s">
        <v>196</v>
      </c>
      <c r="P190" s="43"/>
      <c r="Q190" s="39" t="s">
        <v>1304</v>
      </c>
      <c r="R190" s="42">
        <v>45292.0</v>
      </c>
      <c r="S190" s="39" t="s">
        <v>143</v>
      </c>
      <c r="T190" s="44"/>
      <c r="U190" s="39" t="s">
        <v>144</v>
      </c>
      <c r="V190" s="39" t="s">
        <v>285</v>
      </c>
      <c r="W190" s="39" t="s">
        <v>1596</v>
      </c>
      <c r="X190" s="39" t="s">
        <v>1597</v>
      </c>
      <c r="Y190" s="39" t="s">
        <v>1598</v>
      </c>
      <c r="Z190" s="46"/>
      <c r="AA190" s="45">
        <v>48948.0</v>
      </c>
      <c r="AB190" s="46"/>
      <c r="AC190" s="23">
        <v>81.0</v>
      </c>
      <c r="AD190" s="39" t="s">
        <v>66</v>
      </c>
      <c r="AE190" s="39" t="s">
        <v>67</v>
      </c>
      <c r="AF190" s="39" t="s">
        <v>92</v>
      </c>
      <c r="AG190" s="39" t="s">
        <v>130</v>
      </c>
      <c r="AH190" s="39" t="s">
        <v>69</v>
      </c>
      <c r="AI190" s="39">
        <v>8.2164636463E10</v>
      </c>
      <c r="AJ190" s="39" t="s">
        <v>1599</v>
      </c>
      <c r="AK190" s="39" t="s">
        <v>1600</v>
      </c>
      <c r="AL190" s="39" t="s">
        <v>1601</v>
      </c>
      <c r="AM190" s="39" t="s">
        <v>73</v>
      </c>
      <c r="AN190" s="39" t="s">
        <v>74</v>
      </c>
      <c r="AO190" s="39" t="s">
        <v>1082</v>
      </c>
      <c r="AP190" s="39" t="s">
        <v>1602</v>
      </c>
      <c r="AQ190" s="43"/>
      <c r="AR190" s="43"/>
    </row>
    <row r="191">
      <c r="A191" s="21">
        <f t="shared" si="3"/>
        <v>40</v>
      </c>
      <c r="B191" s="39" t="s">
        <v>1603</v>
      </c>
      <c r="C191" s="57" t="s">
        <v>1604</v>
      </c>
      <c r="D191" s="39">
        <v>16.0</v>
      </c>
      <c r="E191" s="39">
        <v>4.0</v>
      </c>
      <c r="F191" s="39" t="s">
        <v>50</v>
      </c>
      <c r="G191" s="39" t="s">
        <v>51</v>
      </c>
      <c r="H191" s="42">
        <v>37591.0</v>
      </c>
      <c r="I191" s="39" t="s">
        <v>182</v>
      </c>
      <c r="J191" s="39" t="s">
        <v>183</v>
      </c>
      <c r="K191" s="39" t="s">
        <v>217</v>
      </c>
      <c r="L191" s="39" t="s">
        <v>105</v>
      </c>
      <c r="M191" s="42">
        <v>45383.0</v>
      </c>
      <c r="N191" s="39" t="s">
        <v>141</v>
      </c>
      <c r="O191" s="39" t="s">
        <v>196</v>
      </c>
      <c r="P191" s="43"/>
      <c r="Q191" s="39" t="s">
        <v>1304</v>
      </c>
      <c r="R191" s="42">
        <v>45292.0</v>
      </c>
      <c r="S191" s="39" t="s">
        <v>143</v>
      </c>
      <c r="T191" s="44"/>
      <c r="U191" s="39" t="s">
        <v>144</v>
      </c>
      <c r="V191" s="39" t="s">
        <v>285</v>
      </c>
      <c r="W191" s="39" t="s">
        <v>399</v>
      </c>
      <c r="X191" s="39" t="s">
        <v>1605</v>
      </c>
      <c r="Y191" s="39" t="s">
        <v>287</v>
      </c>
      <c r="Z191" s="46"/>
      <c r="AA191" s="45">
        <v>50415.0</v>
      </c>
      <c r="AB191" s="46"/>
      <c r="AC191" s="23">
        <v>82.0</v>
      </c>
      <c r="AD191" s="39" t="s">
        <v>66</v>
      </c>
      <c r="AE191" s="39" t="s">
        <v>67</v>
      </c>
      <c r="AF191" s="39" t="s">
        <v>92</v>
      </c>
      <c r="AG191" s="39" t="s">
        <v>68</v>
      </c>
      <c r="AH191" s="39" t="s">
        <v>131</v>
      </c>
      <c r="AI191" s="39">
        <v>8.126481989E9</v>
      </c>
      <c r="AJ191" s="39" t="s">
        <v>1606</v>
      </c>
      <c r="AK191" s="39" t="s">
        <v>1607</v>
      </c>
      <c r="AL191" s="39" t="s">
        <v>1608</v>
      </c>
      <c r="AM191" s="39" t="s">
        <v>96</v>
      </c>
      <c r="AN191" s="39" t="s">
        <v>97</v>
      </c>
      <c r="AO191" s="39" t="s">
        <v>213</v>
      </c>
      <c r="AP191" s="39" t="s">
        <v>1366</v>
      </c>
      <c r="AQ191" s="43"/>
      <c r="AR191" s="43"/>
    </row>
    <row r="192">
      <c r="A192" s="21">
        <f t="shared" si="3"/>
        <v>41</v>
      </c>
      <c r="B192" s="39" t="s">
        <v>1609</v>
      </c>
      <c r="C192" s="57" t="s">
        <v>1610</v>
      </c>
      <c r="D192" s="39">
        <v>12.0</v>
      </c>
      <c r="E192" s="39">
        <v>3.0</v>
      </c>
      <c r="F192" s="39" t="s">
        <v>171</v>
      </c>
      <c r="G192" s="39" t="s">
        <v>172</v>
      </c>
      <c r="H192" s="42">
        <v>40179.0</v>
      </c>
      <c r="I192" s="39" t="s">
        <v>182</v>
      </c>
      <c r="J192" s="39" t="s">
        <v>183</v>
      </c>
      <c r="K192" s="39" t="s">
        <v>217</v>
      </c>
      <c r="L192" s="39" t="s">
        <v>105</v>
      </c>
      <c r="M192" s="42">
        <v>45383.0</v>
      </c>
      <c r="N192" s="39" t="s">
        <v>141</v>
      </c>
      <c r="O192" s="39" t="s">
        <v>229</v>
      </c>
      <c r="P192" s="43"/>
      <c r="Q192" s="39" t="s">
        <v>1304</v>
      </c>
      <c r="R192" s="42">
        <v>45292.0</v>
      </c>
      <c r="S192" s="39" t="s">
        <v>143</v>
      </c>
      <c r="T192" s="44"/>
      <c r="U192" s="39" t="s">
        <v>144</v>
      </c>
      <c r="V192" s="39" t="s">
        <v>267</v>
      </c>
      <c r="W192" s="39" t="s">
        <v>1611</v>
      </c>
      <c r="X192" s="39" t="s">
        <v>509</v>
      </c>
      <c r="Y192" s="39" t="s">
        <v>1612</v>
      </c>
      <c r="Z192" s="39" t="s">
        <v>114</v>
      </c>
      <c r="AA192" s="45">
        <v>50782.0</v>
      </c>
      <c r="AB192" s="46"/>
      <c r="AC192" s="23">
        <v>83.0</v>
      </c>
      <c r="AD192" s="39" t="s">
        <v>66</v>
      </c>
      <c r="AE192" s="39" t="s">
        <v>67</v>
      </c>
      <c r="AF192" s="39" t="s">
        <v>92</v>
      </c>
      <c r="AG192" s="39" t="s">
        <v>130</v>
      </c>
      <c r="AH192" s="39" t="s">
        <v>69</v>
      </c>
      <c r="AI192" s="39">
        <v>8.2167143633E10</v>
      </c>
      <c r="AJ192" s="39" t="s">
        <v>1613</v>
      </c>
      <c r="AK192" s="39" t="s">
        <v>1614</v>
      </c>
      <c r="AL192" s="39" t="s">
        <v>1615</v>
      </c>
      <c r="AM192" s="39" t="s">
        <v>96</v>
      </c>
      <c r="AN192" s="39" t="s">
        <v>1616</v>
      </c>
      <c r="AO192" s="39" t="s">
        <v>1617</v>
      </c>
      <c r="AP192" s="39" t="s">
        <v>1618</v>
      </c>
      <c r="AQ192" s="39">
        <v>0.0</v>
      </c>
      <c r="AR192" s="39">
        <v>0.0</v>
      </c>
    </row>
    <row r="193">
      <c r="A193" s="21">
        <f t="shared" si="3"/>
        <v>42</v>
      </c>
      <c r="B193" s="39" t="s">
        <v>1619</v>
      </c>
      <c r="C193" s="57" t="s">
        <v>1620</v>
      </c>
      <c r="D193" s="39">
        <v>10.0</v>
      </c>
      <c r="E193" s="39">
        <v>9.0</v>
      </c>
      <c r="F193" s="39" t="s">
        <v>171</v>
      </c>
      <c r="G193" s="39" t="s">
        <v>172</v>
      </c>
      <c r="H193" s="42">
        <v>40179.0</v>
      </c>
      <c r="I193" s="39" t="s">
        <v>182</v>
      </c>
      <c r="J193" s="39" t="s">
        <v>183</v>
      </c>
      <c r="K193" s="39" t="s">
        <v>195</v>
      </c>
      <c r="L193" s="39" t="s">
        <v>105</v>
      </c>
      <c r="M193" s="42">
        <v>44835.0</v>
      </c>
      <c r="N193" s="39" t="s">
        <v>141</v>
      </c>
      <c r="O193" s="39" t="s">
        <v>173</v>
      </c>
      <c r="P193" s="43"/>
      <c r="Q193" s="39" t="s">
        <v>1297</v>
      </c>
      <c r="R193" s="42">
        <v>45292.0</v>
      </c>
      <c r="S193" s="39" t="s">
        <v>143</v>
      </c>
      <c r="T193" s="44"/>
      <c r="U193" s="39" t="s">
        <v>144</v>
      </c>
      <c r="V193" s="39" t="s">
        <v>89</v>
      </c>
      <c r="W193" s="39" t="s">
        <v>230</v>
      </c>
      <c r="X193" s="39" t="s">
        <v>745</v>
      </c>
      <c r="Y193" s="47">
        <v>44469.0</v>
      </c>
      <c r="Z193" s="46"/>
      <c r="AA193" s="45">
        <v>53331.0</v>
      </c>
      <c r="AB193" s="46"/>
      <c r="AC193" s="23">
        <v>84.0</v>
      </c>
      <c r="AD193" s="39" t="s">
        <v>66</v>
      </c>
      <c r="AE193" s="39" t="s">
        <v>67</v>
      </c>
      <c r="AF193" s="39" t="s">
        <v>92</v>
      </c>
      <c r="AG193" s="39" t="s">
        <v>68</v>
      </c>
      <c r="AH193" s="39" t="s">
        <v>69</v>
      </c>
      <c r="AI193" s="39">
        <v>8.52766052E10</v>
      </c>
      <c r="AJ193" s="39" t="s">
        <v>1621</v>
      </c>
      <c r="AK193" s="39" t="s">
        <v>1622</v>
      </c>
      <c r="AL193" s="39" t="s">
        <v>1623</v>
      </c>
      <c r="AM193" s="39" t="s">
        <v>96</v>
      </c>
      <c r="AN193" s="39" t="s">
        <v>97</v>
      </c>
      <c r="AO193" s="39" t="s">
        <v>272</v>
      </c>
      <c r="AP193" s="39" t="s">
        <v>334</v>
      </c>
      <c r="AQ193" s="43"/>
      <c r="AR193" s="43"/>
    </row>
    <row r="194">
      <c r="A194" s="21">
        <f t="shared" si="3"/>
        <v>43</v>
      </c>
      <c r="B194" s="39" t="s">
        <v>1624</v>
      </c>
      <c r="C194" s="57" t="s">
        <v>1625</v>
      </c>
      <c r="D194" s="39">
        <v>12.0</v>
      </c>
      <c r="E194" s="39">
        <v>7.0</v>
      </c>
      <c r="F194" s="39" t="s">
        <v>50</v>
      </c>
      <c r="G194" s="39" t="s">
        <v>51</v>
      </c>
      <c r="H194" s="42">
        <v>39965.0</v>
      </c>
      <c r="I194" s="39" t="s">
        <v>80</v>
      </c>
      <c r="J194" s="39" t="s">
        <v>81</v>
      </c>
      <c r="K194" s="39" t="s">
        <v>155</v>
      </c>
      <c r="L194" s="39" t="s">
        <v>105</v>
      </c>
      <c r="M194" s="42">
        <v>44652.0</v>
      </c>
      <c r="N194" s="39" t="s">
        <v>141</v>
      </c>
      <c r="O194" s="39" t="s">
        <v>173</v>
      </c>
      <c r="P194" s="43"/>
      <c r="Q194" s="39" t="s">
        <v>1304</v>
      </c>
      <c r="R194" s="42">
        <v>45292.0</v>
      </c>
      <c r="S194" s="39" t="s">
        <v>143</v>
      </c>
      <c r="T194" s="44"/>
      <c r="U194" s="39" t="s">
        <v>144</v>
      </c>
      <c r="V194" s="39" t="s">
        <v>89</v>
      </c>
      <c r="W194" s="39" t="s">
        <v>218</v>
      </c>
      <c r="X194" s="39" t="s">
        <v>244</v>
      </c>
      <c r="Y194" s="39" t="s">
        <v>1626</v>
      </c>
      <c r="Z194" s="46"/>
      <c r="AA194" s="45">
        <v>51876.0</v>
      </c>
      <c r="AB194" s="46"/>
      <c r="AC194" s="23">
        <v>85.0</v>
      </c>
      <c r="AD194" s="39" t="s">
        <v>66</v>
      </c>
      <c r="AE194" s="39" t="s">
        <v>67</v>
      </c>
      <c r="AF194" s="39" t="s">
        <v>92</v>
      </c>
      <c r="AG194" s="39" t="s">
        <v>68</v>
      </c>
      <c r="AH194" s="39" t="s">
        <v>69</v>
      </c>
      <c r="AI194" s="39">
        <v>8.12630545454E11</v>
      </c>
      <c r="AJ194" s="39" t="s">
        <v>1627</v>
      </c>
      <c r="AK194" s="39" t="s">
        <v>1628</v>
      </c>
      <c r="AL194" s="39" t="s">
        <v>1629</v>
      </c>
      <c r="AM194" s="39" t="s">
        <v>96</v>
      </c>
      <c r="AN194" s="43"/>
      <c r="AO194" s="39" t="s">
        <v>236</v>
      </c>
      <c r="AP194" s="39" t="s">
        <v>1630</v>
      </c>
      <c r="AQ194" s="43"/>
      <c r="AR194" s="43"/>
    </row>
    <row r="195">
      <c r="A195" s="21">
        <f t="shared" si="3"/>
        <v>44</v>
      </c>
      <c r="B195" s="39" t="s">
        <v>1631</v>
      </c>
      <c r="C195" s="57" t="s">
        <v>1632</v>
      </c>
      <c r="D195" s="39">
        <v>12.0</v>
      </c>
      <c r="E195" s="39">
        <v>2.0</v>
      </c>
      <c r="F195" s="39" t="s">
        <v>50</v>
      </c>
      <c r="G195" s="39" t="s">
        <v>51</v>
      </c>
      <c r="H195" s="42">
        <v>38384.0</v>
      </c>
      <c r="I195" s="39" t="s">
        <v>80</v>
      </c>
      <c r="J195" s="39" t="s">
        <v>81</v>
      </c>
      <c r="K195" s="39" t="s">
        <v>155</v>
      </c>
      <c r="L195" s="39" t="s">
        <v>88</v>
      </c>
      <c r="M195" s="42">
        <v>44652.0</v>
      </c>
      <c r="N195" s="39" t="s">
        <v>141</v>
      </c>
      <c r="O195" s="39" t="s">
        <v>173</v>
      </c>
      <c r="P195" s="43"/>
      <c r="Q195" s="39" t="s">
        <v>1297</v>
      </c>
      <c r="R195" s="42">
        <v>45292.0</v>
      </c>
      <c r="S195" s="39" t="s">
        <v>143</v>
      </c>
      <c r="T195" s="44"/>
      <c r="U195" s="39" t="s">
        <v>144</v>
      </c>
      <c r="V195" s="39" t="s">
        <v>89</v>
      </c>
      <c r="W195" s="39" t="s">
        <v>1633</v>
      </c>
      <c r="X195" s="39" t="s">
        <v>1010</v>
      </c>
      <c r="Y195" s="47">
        <v>43792.0</v>
      </c>
      <c r="Z195" s="46"/>
      <c r="AA195" s="45">
        <v>52602.0</v>
      </c>
      <c r="AB195" s="46"/>
      <c r="AC195" s="23">
        <v>86.0</v>
      </c>
      <c r="AD195" s="39" t="s">
        <v>66</v>
      </c>
      <c r="AE195" s="39" t="s">
        <v>67</v>
      </c>
      <c r="AF195" s="39" t="s">
        <v>92</v>
      </c>
      <c r="AG195" s="39" t="s">
        <v>68</v>
      </c>
      <c r="AH195" s="39" t="s">
        <v>131</v>
      </c>
      <c r="AI195" s="39">
        <v>8.2366544851E10</v>
      </c>
      <c r="AJ195" s="39" t="s">
        <v>1634</v>
      </c>
      <c r="AK195" s="39" t="s">
        <v>1635</v>
      </c>
      <c r="AL195" s="39" t="s">
        <v>1636</v>
      </c>
      <c r="AM195" s="39" t="s">
        <v>96</v>
      </c>
      <c r="AN195" s="39" t="s">
        <v>74</v>
      </c>
      <c r="AO195" s="39" t="s">
        <v>925</v>
      </c>
      <c r="AP195" s="39" t="s">
        <v>1637</v>
      </c>
      <c r="AQ195" s="43"/>
      <c r="AR195" s="43"/>
    </row>
    <row r="196">
      <c r="A196" s="21">
        <f t="shared" si="3"/>
        <v>45</v>
      </c>
      <c r="B196" s="39" t="s">
        <v>1638</v>
      </c>
      <c r="C196" s="57" t="s">
        <v>1639</v>
      </c>
      <c r="D196" s="39">
        <v>28.0</v>
      </c>
      <c r="E196" s="39">
        <v>8.0</v>
      </c>
      <c r="F196" s="39" t="s">
        <v>50</v>
      </c>
      <c r="G196" s="39" t="s">
        <v>51</v>
      </c>
      <c r="H196" s="42">
        <v>39083.0</v>
      </c>
      <c r="I196" s="39" t="s">
        <v>80</v>
      </c>
      <c r="J196" s="39" t="s">
        <v>81</v>
      </c>
      <c r="K196" s="39" t="s">
        <v>1640</v>
      </c>
      <c r="L196" s="39" t="s">
        <v>105</v>
      </c>
      <c r="M196" s="42">
        <v>45017.0</v>
      </c>
      <c r="N196" s="39" t="s">
        <v>141</v>
      </c>
      <c r="O196" s="39" t="s">
        <v>196</v>
      </c>
      <c r="P196" s="43"/>
      <c r="Q196" s="39" t="s">
        <v>1304</v>
      </c>
      <c r="R196" s="42">
        <v>45292.0</v>
      </c>
      <c r="S196" s="39" t="s">
        <v>143</v>
      </c>
      <c r="T196" s="44"/>
      <c r="U196" s="39" t="s">
        <v>144</v>
      </c>
      <c r="V196" s="39" t="s">
        <v>285</v>
      </c>
      <c r="W196" s="43"/>
      <c r="X196" s="39" t="s">
        <v>1641</v>
      </c>
      <c r="Y196" s="67">
        <v>34213.0</v>
      </c>
      <c r="Z196" s="39" t="s">
        <v>114</v>
      </c>
      <c r="AA196" s="45">
        <v>46389.0</v>
      </c>
      <c r="AB196" s="46"/>
      <c r="AC196" s="23">
        <v>87.0</v>
      </c>
      <c r="AD196" s="39" t="s">
        <v>66</v>
      </c>
      <c r="AE196" s="39" t="s">
        <v>67</v>
      </c>
      <c r="AF196" s="39" t="s">
        <v>92</v>
      </c>
      <c r="AG196" s="39" t="s">
        <v>68</v>
      </c>
      <c r="AH196" s="39" t="s">
        <v>69</v>
      </c>
      <c r="AI196" s="39">
        <v>8.1376469848E10</v>
      </c>
      <c r="AJ196" s="39" t="s">
        <v>1642</v>
      </c>
      <c r="AK196" s="39" t="s">
        <v>1643</v>
      </c>
      <c r="AL196" s="39" t="s">
        <v>1644</v>
      </c>
      <c r="AM196" s="39" t="s">
        <v>96</v>
      </c>
      <c r="AN196" s="39" t="s">
        <v>97</v>
      </c>
      <c r="AO196" s="39" t="s">
        <v>213</v>
      </c>
      <c r="AP196" s="39" t="s">
        <v>1645</v>
      </c>
      <c r="AQ196" s="39" t="s">
        <v>77</v>
      </c>
      <c r="AR196" s="39" t="s">
        <v>77</v>
      </c>
    </row>
    <row r="197">
      <c r="A197" s="21">
        <f t="shared" si="3"/>
        <v>46</v>
      </c>
      <c r="B197" s="39" t="s">
        <v>1646</v>
      </c>
      <c r="C197" s="57" t="s">
        <v>1647</v>
      </c>
      <c r="D197" s="39">
        <v>20.0</v>
      </c>
      <c r="E197" s="39">
        <v>2.0</v>
      </c>
      <c r="F197" s="39" t="s">
        <v>50</v>
      </c>
      <c r="G197" s="39" t="s">
        <v>51</v>
      </c>
      <c r="H197" s="42">
        <v>39448.0</v>
      </c>
      <c r="I197" s="39" t="s">
        <v>80</v>
      </c>
      <c r="J197" s="39" t="s">
        <v>81</v>
      </c>
      <c r="K197" s="39" t="s">
        <v>417</v>
      </c>
      <c r="L197" s="39" t="s">
        <v>105</v>
      </c>
      <c r="M197" s="42">
        <v>45566.0</v>
      </c>
      <c r="N197" s="39" t="s">
        <v>141</v>
      </c>
      <c r="O197" s="39" t="s">
        <v>196</v>
      </c>
      <c r="P197" s="43"/>
      <c r="Q197" s="39" t="s">
        <v>1304</v>
      </c>
      <c r="R197" s="42">
        <v>45292.0</v>
      </c>
      <c r="S197" s="39" t="s">
        <v>143</v>
      </c>
      <c r="T197" s="44"/>
      <c r="U197" s="39" t="s">
        <v>144</v>
      </c>
      <c r="V197" s="39" t="s">
        <v>285</v>
      </c>
      <c r="W197" s="43"/>
      <c r="X197" s="39" t="s">
        <v>1648</v>
      </c>
      <c r="Y197" s="39" t="s">
        <v>1572</v>
      </c>
      <c r="Z197" s="46"/>
      <c r="AA197" s="45">
        <v>46398.0</v>
      </c>
      <c r="AB197" s="46"/>
      <c r="AC197" s="23">
        <v>88.0</v>
      </c>
      <c r="AD197" s="39" t="s">
        <v>66</v>
      </c>
      <c r="AE197" s="39" t="s">
        <v>67</v>
      </c>
      <c r="AF197" s="39" t="s">
        <v>92</v>
      </c>
      <c r="AG197" s="39" t="s">
        <v>68</v>
      </c>
      <c r="AH197" s="43"/>
      <c r="AI197" s="39">
        <v>8.1262120269E10</v>
      </c>
      <c r="AJ197" s="39" t="s">
        <v>1649</v>
      </c>
      <c r="AK197" s="39" t="s">
        <v>1650</v>
      </c>
      <c r="AL197" s="39" t="s">
        <v>1651</v>
      </c>
      <c r="AM197" s="39" t="s">
        <v>96</v>
      </c>
      <c r="AN197" s="39" t="s">
        <v>74</v>
      </c>
      <c r="AO197" s="39" t="s">
        <v>213</v>
      </c>
      <c r="AP197" s="39" t="s">
        <v>214</v>
      </c>
      <c r="AQ197" s="43"/>
      <c r="AR197" s="43"/>
    </row>
    <row r="198">
      <c r="A198" s="21">
        <f t="shared" si="3"/>
        <v>47</v>
      </c>
      <c r="B198" s="39" t="s">
        <v>1652</v>
      </c>
      <c r="C198" s="57" t="s">
        <v>1653</v>
      </c>
      <c r="D198" s="39">
        <v>7.0</v>
      </c>
      <c r="E198" s="39">
        <v>0.0</v>
      </c>
      <c r="F198" s="39" t="s">
        <v>171</v>
      </c>
      <c r="G198" s="39" t="s">
        <v>172</v>
      </c>
      <c r="H198" s="42">
        <v>44166.0</v>
      </c>
      <c r="I198" s="39" t="s">
        <v>307</v>
      </c>
      <c r="J198" s="39" t="s">
        <v>308</v>
      </c>
      <c r="K198" s="39" t="s">
        <v>1654</v>
      </c>
      <c r="L198" s="39" t="s">
        <v>105</v>
      </c>
      <c r="M198" s="42">
        <v>45627.0</v>
      </c>
      <c r="N198" s="39" t="s">
        <v>141</v>
      </c>
      <c r="O198" s="39" t="s">
        <v>196</v>
      </c>
      <c r="P198" s="43"/>
      <c r="Q198" s="39" t="s">
        <v>1304</v>
      </c>
      <c r="R198" s="42">
        <v>45292.0</v>
      </c>
      <c r="S198" s="39" t="s">
        <v>143</v>
      </c>
      <c r="T198" s="44"/>
      <c r="U198" s="39" t="s">
        <v>144</v>
      </c>
      <c r="V198" s="39" t="s">
        <v>267</v>
      </c>
      <c r="W198" s="39" t="s">
        <v>1655</v>
      </c>
      <c r="X198" s="39" t="s">
        <v>268</v>
      </c>
      <c r="Y198" s="47">
        <v>41543.0</v>
      </c>
      <c r="Z198" s="39" t="s">
        <v>114</v>
      </c>
      <c r="AA198" s="45">
        <v>54795.0</v>
      </c>
      <c r="AB198" s="46"/>
      <c r="AC198" s="23">
        <v>89.0</v>
      </c>
      <c r="AD198" s="39" t="s">
        <v>66</v>
      </c>
      <c r="AE198" s="39" t="s">
        <v>220</v>
      </c>
      <c r="AF198" s="39" t="s">
        <v>129</v>
      </c>
      <c r="AG198" s="39" t="s">
        <v>130</v>
      </c>
      <c r="AH198" s="39" t="s">
        <v>131</v>
      </c>
      <c r="AI198" s="39">
        <v>8.5361339126E10</v>
      </c>
      <c r="AJ198" s="39" t="s">
        <v>1656</v>
      </c>
      <c r="AK198" s="39" t="s">
        <v>1657</v>
      </c>
      <c r="AL198" s="39" t="s">
        <v>1658</v>
      </c>
      <c r="AM198" s="39" t="s">
        <v>96</v>
      </c>
      <c r="AN198" s="39" t="s">
        <v>1659</v>
      </c>
      <c r="AO198" s="39" t="s">
        <v>774</v>
      </c>
      <c r="AP198" s="39" t="s">
        <v>799</v>
      </c>
      <c r="AQ198" s="39">
        <v>0.0</v>
      </c>
      <c r="AR198" s="39">
        <v>0.0</v>
      </c>
    </row>
    <row r="199">
      <c r="A199" s="21">
        <f t="shared" si="3"/>
        <v>48</v>
      </c>
      <c r="B199" s="39" t="s">
        <v>1660</v>
      </c>
      <c r="C199" s="40" t="s">
        <v>1661</v>
      </c>
      <c r="D199" s="41">
        <v>12.0</v>
      </c>
      <c r="E199" s="41">
        <v>3.0</v>
      </c>
      <c r="F199" s="41" t="s">
        <v>80</v>
      </c>
      <c r="G199" s="41" t="s">
        <v>81</v>
      </c>
      <c r="H199" s="58">
        <v>40695.0</v>
      </c>
      <c r="I199" s="39" t="s">
        <v>82</v>
      </c>
      <c r="J199" s="39" t="s">
        <v>83</v>
      </c>
      <c r="K199" s="39" t="s">
        <v>1662</v>
      </c>
      <c r="L199" s="41" t="s">
        <v>105</v>
      </c>
      <c r="M199" s="42">
        <v>44652.0</v>
      </c>
      <c r="N199" s="41" t="s">
        <v>141</v>
      </c>
      <c r="O199" s="39" t="s">
        <v>173</v>
      </c>
      <c r="P199" s="59"/>
      <c r="Q199" s="39" t="s">
        <v>59</v>
      </c>
      <c r="R199" s="58">
        <v>45805.0</v>
      </c>
      <c r="S199" s="41" t="s">
        <v>1663</v>
      </c>
      <c r="T199" s="60"/>
      <c r="U199" s="41" t="s">
        <v>88</v>
      </c>
      <c r="V199" s="39" t="s">
        <v>89</v>
      </c>
      <c r="W199" s="39" t="s">
        <v>1416</v>
      </c>
      <c r="X199" s="39" t="s">
        <v>260</v>
      </c>
      <c r="Y199" s="39" t="s">
        <v>1664</v>
      </c>
      <c r="Z199" s="41" t="s">
        <v>65</v>
      </c>
      <c r="AA199" s="61">
        <v>52238.0</v>
      </c>
      <c r="AB199" s="70"/>
      <c r="AC199" s="23">
        <v>90.0</v>
      </c>
      <c r="AD199" s="41" t="s">
        <v>66</v>
      </c>
      <c r="AE199" s="39" t="s">
        <v>67</v>
      </c>
      <c r="AF199" s="39" t="s">
        <v>92</v>
      </c>
      <c r="AG199" s="39" t="s">
        <v>68</v>
      </c>
      <c r="AH199" s="41" t="s">
        <v>69</v>
      </c>
      <c r="AI199" s="39">
        <v>8.136113803E10</v>
      </c>
      <c r="AJ199" s="41" t="s">
        <v>1665</v>
      </c>
      <c r="AK199" s="41" t="s">
        <v>1666</v>
      </c>
      <c r="AL199" s="39" t="s">
        <v>1667</v>
      </c>
      <c r="AM199" s="41" t="s">
        <v>73</v>
      </c>
      <c r="AN199" s="41" t="s">
        <v>74</v>
      </c>
      <c r="AO199" s="41" t="s">
        <v>178</v>
      </c>
      <c r="AP199" s="41" t="s">
        <v>179</v>
      </c>
      <c r="AQ199" s="41" t="s">
        <v>77</v>
      </c>
      <c r="AR199" s="41" t="s">
        <v>77</v>
      </c>
    </row>
    <row r="200">
      <c r="A200" s="21">
        <f t="shared" si="3"/>
        <v>49</v>
      </c>
      <c r="B200" s="49" t="s">
        <v>1668</v>
      </c>
      <c r="C200" s="50" t="s">
        <v>1669</v>
      </c>
      <c r="D200" s="49">
        <v>0.0</v>
      </c>
      <c r="E200" s="49">
        <v>0.0</v>
      </c>
      <c r="F200" s="49" t="s">
        <v>80</v>
      </c>
      <c r="G200" s="49" t="s">
        <v>81</v>
      </c>
      <c r="H200" s="51">
        <v>45778.0</v>
      </c>
      <c r="I200" s="49" t="s">
        <v>80</v>
      </c>
      <c r="J200" s="49" t="s">
        <v>81</v>
      </c>
      <c r="K200" s="49" t="s">
        <v>240</v>
      </c>
      <c r="L200" s="49" t="s">
        <v>105</v>
      </c>
      <c r="M200" s="51">
        <v>45778.0</v>
      </c>
      <c r="N200" s="49" t="s">
        <v>141</v>
      </c>
      <c r="O200" s="49" t="s">
        <v>1670</v>
      </c>
      <c r="P200" s="52"/>
      <c r="Q200" s="49" t="s">
        <v>59</v>
      </c>
      <c r="R200" s="51">
        <v>45778.0</v>
      </c>
      <c r="S200" s="49" t="s">
        <v>242</v>
      </c>
      <c r="T200" s="53"/>
      <c r="U200" s="49" t="s">
        <v>105</v>
      </c>
      <c r="V200" s="49" t="s">
        <v>89</v>
      </c>
      <c r="W200" s="49" t="s">
        <v>230</v>
      </c>
      <c r="X200" s="49" t="s">
        <v>1671</v>
      </c>
      <c r="Y200" s="49" t="s">
        <v>1672</v>
      </c>
      <c r="Z200" s="52"/>
      <c r="AA200" s="54">
        <v>56989.0</v>
      </c>
      <c r="AB200" s="55"/>
      <c r="AC200" s="23">
        <v>91.0</v>
      </c>
      <c r="AD200" s="49" t="s">
        <v>5</v>
      </c>
      <c r="AE200" s="49" t="s">
        <v>220</v>
      </c>
      <c r="AF200" s="49" t="s">
        <v>129</v>
      </c>
      <c r="AG200" s="49" t="s">
        <v>68</v>
      </c>
      <c r="AH200" s="49" t="s">
        <v>131</v>
      </c>
      <c r="AI200" s="49">
        <v>8.2124193311E10</v>
      </c>
      <c r="AJ200" s="49" t="s">
        <v>1673</v>
      </c>
      <c r="AK200" s="49" t="s">
        <v>1674</v>
      </c>
      <c r="AL200" s="49" t="s">
        <v>1675</v>
      </c>
      <c r="AM200" s="49" t="s">
        <v>1676</v>
      </c>
      <c r="AN200" s="49" t="s">
        <v>1677</v>
      </c>
      <c r="AO200" s="49" t="s">
        <v>1678</v>
      </c>
      <c r="AP200" s="49" t="s">
        <v>1679</v>
      </c>
      <c r="AQ200" s="49">
        <v>10.0</v>
      </c>
      <c r="AR200" s="49">
        <v>3.0</v>
      </c>
    </row>
    <row r="201">
      <c r="A201" s="75">
        <v>51.0</v>
      </c>
      <c r="B201" s="72" t="s">
        <v>1680</v>
      </c>
      <c r="C201" s="73" t="s">
        <v>1681</v>
      </c>
      <c r="D201" s="74"/>
      <c r="E201" s="74"/>
      <c r="F201" s="107"/>
      <c r="G201" s="75" t="s">
        <v>550</v>
      </c>
      <c r="H201" s="76">
        <v>45901.0</v>
      </c>
      <c r="I201" s="77"/>
      <c r="J201" s="75" t="s">
        <v>550</v>
      </c>
      <c r="K201" s="75" t="s">
        <v>518</v>
      </c>
      <c r="L201" s="72" t="s">
        <v>105</v>
      </c>
      <c r="M201" s="76">
        <v>45901.0</v>
      </c>
      <c r="N201" s="74"/>
      <c r="O201" s="72" t="s">
        <v>142</v>
      </c>
      <c r="P201" s="74"/>
      <c r="Q201" s="72" t="s">
        <v>1304</v>
      </c>
      <c r="R201" s="76">
        <v>45901.0</v>
      </c>
      <c r="S201" s="72" t="s">
        <v>518</v>
      </c>
      <c r="T201" s="78">
        <v>45826.0</v>
      </c>
      <c r="U201" s="72" t="s">
        <v>144</v>
      </c>
      <c r="V201" s="72" t="s">
        <v>89</v>
      </c>
      <c r="W201" s="72" t="s">
        <v>1682</v>
      </c>
      <c r="X201" s="72" t="s">
        <v>231</v>
      </c>
      <c r="Y201" s="79">
        <v>42530.0</v>
      </c>
      <c r="Z201" s="77"/>
      <c r="AA201" s="80"/>
      <c r="AB201" s="80"/>
      <c r="AC201" s="81">
        <v>195.0</v>
      </c>
      <c r="AD201" s="72" t="s">
        <v>522</v>
      </c>
      <c r="AE201" s="72" t="s">
        <v>220</v>
      </c>
      <c r="AF201" s="77"/>
      <c r="AG201" s="72" t="s">
        <v>130</v>
      </c>
      <c r="AH201" s="77"/>
      <c r="AI201" s="82">
        <v>8.5275969337E10</v>
      </c>
      <c r="AJ201" s="82" t="s">
        <v>1683</v>
      </c>
      <c r="AK201" s="85" t="s">
        <v>1684</v>
      </c>
      <c r="AL201" s="82" t="s">
        <v>1685</v>
      </c>
      <c r="AM201" s="82" t="s">
        <v>96</v>
      </c>
      <c r="AN201" s="72" t="s">
        <v>74</v>
      </c>
      <c r="AO201" s="82" t="s">
        <v>379</v>
      </c>
      <c r="AP201" s="82" t="s">
        <v>1517</v>
      </c>
      <c r="AQ201" s="72" t="s">
        <v>77</v>
      </c>
      <c r="AR201" s="72" t="s">
        <v>77</v>
      </c>
    </row>
    <row r="202">
      <c r="A202" s="75">
        <v>52.0</v>
      </c>
      <c r="B202" s="72" t="s">
        <v>1686</v>
      </c>
      <c r="C202" s="73" t="s">
        <v>1687</v>
      </c>
      <c r="D202" s="74"/>
      <c r="E202" s="74"/>
      <c r="F202" s="74"/>
      <c r="G202" s="75" t="s">
        <v>517</v>
      </c>
      <c r="H202" s="76">
        <v>45901.0</v>
      </c>
      <c r="I202" s="77"/>
      <c r="J202" s="75" t="s">
        <v>517</v>
      </c>
      <c r="K202" s="75" t="s">
        <v>518</v>
      </c>
      <c r="L202" s="72" t="s">
        <v>105</v>
      </c>
      <c r="M202" s="76">
        <v>45901.0</v>
      </c>
      <c r="N202" s="74"/>
      <c r="O202" s="72" t="s">
        <v>519</v>
      </c>
      <c r="P202" s="74"/>
      <c r="Q202" s="72" t="s">
        <v>1316</v>
      </c>
      <c r="R202" s="76">
        <v>45901.0</v>
      </c>
      <c r="S202" s="72" t="s">
        <v>518</v>
      </c>
      <c r="T202" s="78">
        <v>45826.0</v>
      </c>
      <c r="U202" s="72" t="s">
        <v>144</v>
      </c>
      <c r="V202" s="72" t="s">
        <v>267</v>
      </c>
      <c r="W202" s="72" t="s">
        <v>1688</v>
      </c>
      <c r="X202" s="72" t="s">
        <v>231</v>
      </c>
      <c r="Y202" s="84">
        <v>40541.0</v>
      </c>
      <c r="Z202" s="77"/>
      <c r="AA202" s="80"/>
      <c r="AB202" s="80"/>
      <c r="AC202" s="81">
        <v>196.0</v>
      </c>
      <c r="AD202" s="72" t="s">
        <v>522</v>
      </c>
      <c r="AE202" s="82" t="s">
        <v>67</v>
      </c>
      <c r="AF202" s="77"/>
      <c r="AG202" s="72" t="s">
        <v>130</v>
      </c>
      <c r="AH202" s="77"/>
      <c r="AI202" s="82">
        <v>8.1163316E9</v>
      </c>
      <c r="AJ202" s="82" t="s">
        <v>1689</v>
      </c>
      <c r="AK202" s="85" t="s">
        <v>1690</v>
      </c>
      <c r="AL202" s="82" t="s">
        <v>1691</v>
      </c>
      <c r="AM202" s="82" t="s">
        <v>96</v>
      </c>
      <c r="AN202" s="72" t="s">
        <v>74</v>
      </c>
      <c r="AO202" s="82" t="s">
        <v>213</v>
      </c>
      <c r="AP202" s="82" t="s">
        <v>214</v>
      </c>
      <c r="AQ202" s="72" t="s">
        <v>77</v>
      </c>
      <c r="AR202" s="72" t="s">
        <v>77</v>
      </c>
    </row>
    <row r="203">
      <c r="A203" s="75">
        <v>53.0</v>
      </c>
      <c r="B203" s="72" t="s">
        <v>1692</v>
      </c>
      <c r="C203" s="73" t="s">
        <v>1693</v>
      </c>
      <c r="D203" s="74"/>
      <c r="E203" s="74"/>
      <c r="F203" s="74"/>
      <c r="G203" s="75" t="s">
        <v>517</v>
      </c>
      <c r="H203" s="76">
        <v>45901.0</v>
      </c>
      <c r="I203" s="77"/>
      <c r="J203" s="75" t="s">
        <v>517</v>
      </c>
      <c r="K203" s="75" t="s">
        <v>518</v>
      </c>
      <c r="L203" s="72" t="s">
        <v>105</v>
      </c>
      <c r="M203" s="76">
        <v>45901.0</v>
      </c>
      <c r="N203" s="74"/>
      <c r="O203" s="72" t="s">
        <v>519</v>
      </c>
      <c r="P203" s="74"/>
      <c r="Q203" s="72" t="s">
        <v>1304</v>
      </c>
      <c r="R203" s="76">
        <v>45901.0</v>
      </c>
      <c r="S203" s="72" t="s">
        <v>518</v>
      </c>
      <c r="T203" s="78">
        <v>45826.0</v>
      </c>
      <c r="U203" s="72" t="s">
        <v>144</v>
      </c>
      <c r="V203" s="72" t="s">
        <v>267</v>
      </c>
      <c r="W203" s="72" t="s">
        <v>1694</v>
      </c>
      <c r="X203" s="72" t="s">
        <v>1695</v>
      </c>
      <c r="Y203" s="84">
        <v>37529.0</v>
      </c>
      <c r="Z203" s="77"/>
      <c r="AA203" s="80"/>
      <c r="AB203" s="80"/>
      <c r="AC203" s="81">
        <v>197.0</v>
      </c>
      <c r="AD203" s="72" t="s">
        <v>522</v>
      </c>
      <c r="AE203" s="82" t="s">
        <v>67</v>
      </c>
      <c r="AF203" s="72" t="s">
        <v>92</v>
      </c>
      <c r="AG203" s="72" t="s">
        <v>68</v>
      </c>
      <c r="AH203" s="77"/>
      <c r="AI203" s="82">
        <v>8.5362168762E10</v>
      </c>
      <c r="AJ203" s="82">
        <v>8.5362168762E10</v>
      </c>
      <c r="AK203" s="85" t="s">
        <v>1696</v>
      </c>
      <c r="AL203" s="82" t="s">
        <v>1697</v>
      </c>
      <c r="AM203" s="82" t="s">
        <v>96</v>
      </c>
      <c r="AN203" s="72" t="s">
        <v>74</v>
      </c>
      <c r="AO203" s="82" t="s">
        <v>1698</v>
      </c>
      <c r="AP203" s="82" t="s">
        <v>1699</v>
      </c>
      <c r="AQ203" s="72" t="s">
        <v>77</v>
      </c>
      <c r="AR203" s="72" t="s">
        <v>77</v>
      </c>
    </row>
    <row r="204">
      <c r="A204" s="75">
        <v>54.0</v>
      </c>
      <c r="B204" s="72" t="s">
        <v>1700</v>
      </c>
      <c r="C204" s="73" t="s">
        <v>1701</v>
      </c>
      <c r="D204" s="74"/>
      <c r="E204" s="74"/>
      <c r="F204" s="74"/>
      <c r="G204" s="75" t="s">
        <v>531</v>
      </c>
      <c r="H204" s="76">
        <v>45901.0</v>
      </c>
      <c r="I204" s="77"/>
      <c r="J204" s="75" t="s">
        <v>531</v>
      </c>
      <c r="K204" s="75" t="s">
        <v>518</v>
      </c>
      <c r="L204" s="72" t="s">
        <v>105</v>
      </c>
      <c r="M204" s="76">
        <v>45901.0</v>
      </c>
      <c r="N204" s="74"/>
      <c r="O204" s="72" t="s">
        <v>532</v>
      </c>
      <c r="P204" s="74"/>
      <c r="Q204" s="72" t="s">
        <v>1304</v>
      </c>
      <c r="R204" s="76">
        <v>45901.0</v>
      </c>
      <c r="S204" s="72" t="s">
        <v>518</v>
      </c>
      <c r="T204" s="78">
        <v>45826.0</v>
      </c>
      <c r="U204" s="72" t="s">
        <v>144</v>
      </c>
      <c r="V204" s="72" t="s">
        <v>285</v>
      </c>
      <c r="W204" s="72" t="s">
        <v>285</v>
      </c>
      <c r="X204" s="77"/>
      <c r="Y204" s="86"/>
      <c r="Z204" s="77"/>
      <c r="AA204" s="80"/>
      <c r="AB204" s="80"/>
      <c r="AC204" s="81">
        <v>198.0</v>
      </c>
      <c r="AD204" s="72" t="s">
        <v>522</v>
      </c>
      <c r="AE204" s="82" t="s">
        <v>67</v>
      </c>
      <c r="AF204" s="77"/>
      <c r="AG204" s="72" t="s">
        <v>130</v>
      </c>
      <c r="AH204" s="77"/>
      <c r="AI204" s="82">
        <v>8.3196054666E10</v>
      </c>
      <c r="AJ204" s="82" t="s">
        <v>1702</v>
      </c>
      <c r="AK204" s="85" t="s">
        <v>1703</v>
      </c>
      <c r="AL204" s="82" t="s">
        <v>1704</v>
      </c>
      <c r="AM204" s="82" t="s">
        <v>96</v>
      </c>
      <c r="AN204" s="72" t="s">
        <v>74</v>
      </c>
      <c r="AO204" s="82" t="s">
        <v>236</v>
      </c>
      <c r="AP204" s="82" t="s">
        <v>152</v>
      </c>
      <c r="AQ204" s="72" t="s">
        <v>77</v>
      </c>
      <c r="AR204" s="72" t="s">
        <v>77</v>
      </c>
    </row>
    <row r="205">
      <c r="A205" s="89">
        <v>55.0</v>
      </c>
      <c r="B205" s="87" t="s">
        <v>1705</v>
      </c>
      <c r="C205" s="88" t="s">
        <v>1706</v>
      </c>
      <c r="D205" s="89"/>
      <c r="E205" s="89"/>
      <c r="F205" s="89"/>
      <c r="G205" s="89"/>
      <c r="H205" s="89"/>
      <c r="I205" s="90"/>
      <c r="J205" s="89"/>
      <c r="K205" s="89"/>
      <c r="L205" s="90" t="s">
        <v>88</v>
      </c>
      <c r="M205" s="91"/>
      <c r="N205" s="89"/>
      <c r="O205" s="87" t="s">
        <v>142</v>
      </c>
      <c r="P205" s="89"/>
      <c r="Q205" s="100" t="s">
        <v>1707</v>
      </c>
      <c r="R205" s="91"/>
      <c r="S205" s="90"/>
      <c r="T205" s="93"/>
      <c r="U205" s="90"/>
      <c r="V205" s="87" t="s">
        <v>89</v>
      </c>
      <c r="W205" s="87" t="s">
        <v>230</v>
      </c>
      <c r="X205" s="87" t="s">
        <v>1010</v>
      </c>
      <c r="Y205" s="94">
        <v>41629.0</v>
      </c>
      <c r="Z205" s="95"/>
      <c r="AA205" s="95"/>
      <c r="AB205" s="95"/>
      <c r="AC205" s="81">
        <v>199.0</v>
      </c>
      <c r="AD205" s="90"/>
      <c r="AE205" s="87" t="s">
        <v>311</v>
      </c>
      <c r="AF205" s="90"/>
      <c r="AG205" s="87" t="s">
        <v>68</v>
      </c>
      <c r="AH205" s="87"/>
      <c r="AI205" s="96">
        <v>8.5277494302E10</v>
      </c>
      <c r="AJ205" s="87" t="s">
        <v>1708</v>
      </c>
      <c r="AK205" s="97" t="s">
        <v>1709</v>
      </c>
      <c r="AL205" s="87" t="s">
        <v>1710</v>
      </c>
      <c r="AM205" s="87" t="s">
        <v>96</v>
      </c>
      <c r="AN205" s="87" t="s">
        <v>97</v>
      </c>
      <c r="AO205" s="87" t="s">
        <v>292</v>
      </c>
      <c r="AP205" s="87" t="s">
        <v>1711</v>
      </c>
      <c r="AQ205" s="87">
        <v>0.0</v>
      </c>
      <c r="AR205" s="87">
        <v>0.0</v>
      </c>
    </row>
    <row r="206">
      <c r="A206" s="89">
        <v>56.0</v>
      </c>
      <c r="B206" s="87" t="s">
        <v>1712</v>
      </c>
      <c r="C206" s="88" t="s">
        <v>1713</v>
      </c>
      <c r="D206" s="89"/>
      <c r="E206" s="89"/>
      <c r="F206" s="89"/>
      <c r="G206" s="89"/>
      <c r="H206" s="89"/>
      <c r="I206" s="90"/>
      <c r="J206" s="89"/>
      <c r="K206" s="89"/>
      <c r="L206" s="90" t="s">
        <v>88</v>
      </c>
      <c r="M206" s="91"/>
      <c r="N206" s="89"/>
      <c r="O206" s="87" t="s">
        <v>142</v>
      </c>
      <c r="P206" s="89"/>
      <c r="Q206" s="100" t="s">
        <v>1707</v>
      </c>
      <c r="R206" s="91"/>
      <c r="S206" s="90"/>
      <c r="T206" s="93"/>
      <c r="U206" s="90"/>
      <c r="V206" s="87" t="s">
        <v>89</v>
      </c>
      <c r="W206" s="87" t="s">
        <v>218</v>
      </c>
      <c r="X206" s="87" t="s">
        <v>641</v>
      </c>
      <c r="Y206" s="94">
        <v>44177.0</v>
      </c>
      <c r="Z206" s="90"/>
      <c r="AA206" s="95"/>
      <c r="AB206" s="95"/>
      <c r="AC206" s="81">
        <v>200.0</v>
      </c>
      <c r="AD206" s="90"/>
      <c r="AE206" s="87" t="s">
        <v>67</v>
      </c>
      <c r="AF206" s="90"/>
      <c r="AG206" s="87" t="s">
        <v>68</v>
      </c>
      <c r="AH206" s="87"/>
      <c r="AI206" s="96">
        <v>8.1370270064E10</v>
      </c>
      <c r="AJ206" s="87" t="s">
        <v>1714</v>
      </c>
      <c r="AK206" s="97" t="s">
        <v>1715</v>
      </c>
      <c r="AL206" s="87" t="s">
        <v>1716</v>
      </c>
      <c r="AM206" s="87" t="s">
        <v>96</v>
      </c>
      <c r="AN206" s="87" t="s">
        <v>97</v>
      </c>
      <c r="AO206" s="87" t="s">
        <v>213</v>
      </c>
      <c r="AP206" s="87" t="s">
        <v>556</v>
      </c>
      <c r="AQ206" s="87">
        <v>0.0</v>
      </c>
      <c r="AR206" s="87"/>
    </row>
    <row r="207">
      <c r="A207" s="89">
        <v>57.0</v>
      </c>
      <c r="B207" s="87" t="s">
        <v>1717</v>
      </c>
      <c r="C207" s="88" t="s">
        <v>1718</v>
      </c>
      <c r="D207" s="89"/>
      <c r="E207" s="89"/>
      <c r="F207" s="89"/>
      <c r="G207" s="89"/>
      <c r="H207" s="89"/>
      <c r="I207" s="90"/>
      <c r="J207" s="89"/>
      <c r="K207" s="89"/>
      <c r="L207" s="90" t="s">
        <v>88</v>
      </c>
      <c r="M207" s="91"/>
      <c r="N207" s="89"/>
      <c r="O207" s="87" t="s">
        <v>519</v>
      </c>
      <c r="P207" s="89"/>
      <c r="Q207" s="100" t="s">
        <v>1707</v>
      </c>
      <c r="R207" s="91"/>
      <c r="S207" s="90"/>
      <c r="T207" s="93"/>
      <c r="U207" s="90"/>
      <c r="V207" s="87" t="s">
        <v>267</v>
      </c>
      <c r="W207" s="87"/>
      <c r="X207" s="87" t="s">
        <v>268</v>
      </c>
      <c r="Y207" s="94">
        <v>39711.0</v>
      </c>
      <c r="Z207" s="90"/>
      <c r="AA207" s="90"/>
      <c r="AB207" s="90"/>
      <c r="AC207" s="81">
        <v>201.0</v>
      </c>
      <c r="AD207" s="90"/>
      <c r="AE207" s="87" t="s">
        <v>311</v>
      </c>
      <c r="AF207" s="90"/>
      <c r="AG207" s="87" t="s">
        <v>68</v>
      </c>
      <c r="AH207" s="87"/>
      <c r="AI207" s="96">
        <v>8.527701334E10</v>
      </c>
      <c r="AJ207" s="87" t="s">
        <v>1719</v>
      </c>
      <c r="AK207" s="97" t="s">
        <v>1720</v>
      </c>
      <c r="AL207" s="87" t="s">
        <v>1721</v>
      </c>
      <c r="AM207" s="87" t="s">
        <v>692</v>
      </c>
      <c r="AN207" s="87" t="s">
        <v>97</v>
      </c>
      <c r="AO207" s="87" t="s">
        <v>1722</v>
      </c>
      <c r="AP207" s="87" t="s">
        <v>1723</v>
      </c>
      <c r="AQ207" s="87">
        <v>0.0</v>
      </c>
      <c r="AR207" s="87">
        <v>0.0</v>
      </c>
    </row>
    <row r="208">
      <c r="A208" s="89">
        <v>58.0</v>
      </c>
      <c r="B208" s="87" t="s">
        <v>1724</v>
      </c>
      <c r="C208" s="88" t="s">
        <v>1725</v>
      </c>
      <c r="D208" s="89"/>
      <c r="E208" s="89"/>
      <c r="F208" s="89"/>
      <c r="G208" s="89"/>
      <c r="H208" s="89"/>
      <c r="I208" s="90"/>
      <c r="J208" s="89"/>
      <c r="K208" s="89"/>
      <c r="L208" s="90" t="s">
        <v>88</v>
      </c>
      <c r="M208" s="89"/>
      <c r="N208" s="89"/>
      <c r="O208" s="87" t="s">
        <v>142</v>
      </c>
      <c r="P208" s="89"/>
      <c r="Q208" s="100" t="s">
        <v>1707</v>
      </c>
      <c r="R208" s="89"/>
      <c r="S208" s="92"/>
      <c r="T208" s="89"/>
      <c r="U208" s="92"/>
      <c r="V208" s="87" t="s">
        <v>89</v>
      </c>
      <c r="W208" s="87" t="s">
        <v>1214</v>
      </c>
      <c r="X208" s="87" t="s">
        <v>1528</v>
      </c>
      <c r="Y208" s="94">
        <v>40841.0</v>
      </c>
      <c r="Z208" s="90"/>
      <c r="AA208" s="90"/>
      <c r="AB208" s="92"/>
      <c r="AC208" s="81">
        <v>202.0</v>
      </c>
      <c r="AD208" s="92"/>
      <c r="AE208" s="87" t="s">
        <v>67</v>
      </c>
      <c r="AF208" s="92"/>
      <c r="AG208" s="87" t="s">
        <v>68</v>
      </c>
      <c r="AH208" s="87"/>
      <c r="AI208" s="96">
        <v>8.116319888E9</v>
      </c>
      <c r="AJ208" s="87" t="s">
        <v>1726</v>
      </c>
      <c r="AK208" s="97" t="s">
        <v>1727</v>
      </c>
      <c r="AL208" s="87" t="s">
        <v>1728</v>
      </c>
      <c r="AM208" s="87" t="s">
        <v>96</v>
      </c>
      <c r="AN208" s="87" t="s">
        <v>150</v>
      </c>
      <c r="AO208" s="87" t="s">
        <v>1729</v>
      </c>
      <c r="AP208" s="87" t="s">
        <v>1533</v>
      </c>
      <c r="AQ208" s="87">
        <v>0.0</v>
      </c>
      <c r="AR208" s="87">
        <v>0.0</v>
      </c>
    </row>
    <row r="209">
      <c r="A209" s="89">
        <v>59.0</v>
      </c>
      <c r="B209" s="87" t="s">
        <v>1730</v>
      </c>
      <c r="C209" s="88" t="s">
        <v>1731</v>
      </c>
      <c r="D209" s="89"/>
      <c r="E209" s="89"/>
      <c r="F209" s="89"/>
      <c r="G209" s="89"/>
      <c r="H209" s="89"/>
      <c r="I209" s="90"/>
      <c r="J209" s="89"/>
      <c r="K209" s="89"/>
      <c r="L209" s="90" t="s">
        <v>88</v>
      </c>
      <c r="M209" s="89"/>
      <c r="N209" s="89"/>
      <c r="O209" s="87" t="s">
        <v>142</v>
      </c>
      <c r="P209" s="89"/>
      <c r="Q209" s="100" t="s">
        <v>1707</v>
      </c>
      <c r="R209" s="89"/>
      <c r="S209" s="92"/>
      <c r="T209" s="89"/>
      <c r="U209" s="92"/>
      <c r="V209" s="87" t="s">
        <v>89</v>
      </c>
      <c r="W209" s="87" t="s">
        <v>218</v>
      </c>
      <c r="X209" s="87" t="s">
        <v>745</v>
      </c>
      <c r="Y209" s="94">
        <v>39674.0</v>
      </c>
      <c r="Z209" s="90"/>
      <c r="AA209" s="90"/>
      <c r="AB209" s="92"/>
      <c r="AC209" s="81">
        <v>203.0</v>
      </c>
      <c r="AD209" s="92"/>
      <c r="AE209" s="87" t="s">
        <v>67</v>
      </c>
      <c r="AF209" s="92"/>
      <c r="AG209" s="87" t="s">
        <v>68</v>
      </c>
      <c r="AH209" s="87"/>
      <c r="AI209" s="96">
        <v>8.5383385612E10</v>
      </c>
      <c r="AJ209" s="87" t="s">
        <v>1732</v>
      </c>
      <c r="AK209" s="97" t="s">
        <v>1733</v>
      </c>
      <c r="AL209" s="87" t="s">
        <v>1734</v>
      </c>
      <c r="AM209" s="87" t="s">
        <v>96</v>
      </c>
      <c r="AN209" s="87" t="s">
        <v>97</v>
      </c>
      <c r="AO209" s="87" t="s">
        <v>292</v>
      </c>
      <c r="AP209" s="87" t="s">
        <v>1735</v>
      </c>
      <c r="AQ209" s="87">
        <v>0.0</v>
      </c>
      <c r="AR209" s="87">
        <v>0.0</v>
      </c>
    </row>
    <row r="210">
      <c r="A210" s="89">
        <v>60.0</v>
      </c>
      <c r="B210" s="87" t="s">
        <v>1736</v>
      </c>
      <c r="C210" s="88" t="s">
        <v>1737</v>
      </c>
      <c r="D210" s="89"/>
      <c r="E210" s="89"/>
      <c r="F210" s="89"/>
      <c r="G210" s="89"/>
      <c r="H210" s="89"/>
      <c r="I210" s="90"/>
      <c r="J210" s="89"/>
      <c r="K210" s="89"/>
      <c r="L210" s="90" t="s">
        <v>88</v>
      </c>
      <c r="M210" s="89"/>
      <c r="N210" s="89"/>
      <c r="O210" s="87" t="s">
        <v>142</v>
      </c>
      <c r="P210" s="89"/>
      <c r="Q210" s="100" t="s">
        <v>1707</v>
      </c>
      <c r="R210" s="89"/>
      <c r="S210" s="92"/>
      <c r="T210" s="89"/>
      <c r="U210" s="92"/>
      <c r="V210" s="87" t="s">
        <v>89</v>
      </c>
      <c r="W210" s="87" t="s">
        <v>418</v>
      </c>
      <c r="X210" s="87" t="s">
        <v>1738</v>
      </c>
      <c r="Y210" s="94">
        <v>42350.0</v>
      </c>
      <c r="Z210" s="90"/>
      <c r="AA210" s="90"/>
      <c r="AB210" s="92"/>
      <c r="AC210" s="81">
        <v>204.0</v>
      </c>
      <c r="AD210" s="92"/>
      <c r="AE210" s="87" t="s">
        <v>67</v>
      </c>
      <c r="AF210" s="92"/>
      <c r="AG210" s="87" t="s">
        <v>68</v>
      </c>
      <c r="AH210" s="87"/>
      <c r="AI210" s="96">
        <v>8.2272848035E10</v>
      </c>
      <c r="AJ210" s="87" t="s">
        <v>1739</v>
      </c>
      <c r="AK210" s="97" t="s">
        <v>1740</v>
      </c>
      <c r="AL210" s="87" t="s">
        <v>1741</v>
      </c>
      <c r="AM210" s="87" t="s">
        <v>73</v>
      </c>
      <c r="AN210" s="87" t="s">
        <v>481</v>
      </c>
      <c r="AO210" s="87" t="s">
        <v>932</v>
      </c>
      <c r="AP210" s="87" t="s">
        <v>933</v>
      </c>
      <c r="AQ210" s="87">
        <v>0.0</v>
      </c>
      <c r="AR210" s="87">
        <v>0.0</v>
      </c>
    </row>
    <row r="211">
      <c r="A211" s="89">
        <v>61.0</v>
      </c>
      <c r="B211" s="87" t="s">
        <v>1742</v>
      </c>
      <c r="C211" s="88" t="s">
        <v>1743</v>
      </c>
      <c r="D211" s="89"/>
      <c r="E211" s="89"/>
      <c r="F211" s="89"/>
      <c r="G211" s="89"/>
      <c r="H211" s="89"/>
      <c r="I211" s="90"/>
      <c r="J211" s="89"/>
      <c r="K211" s="89"/>
      <c r="L211" s="90" t="s">
        <v>88</v>
      </c>
      <c r="M211" s="89"/>
      <c r="N211" s="89"/>
      <c r="O211" s="87" t="s">
        <v>142</v>
      </c>
      <c r="P211" s="89"/>
      <c r="Q211" s="100" t="s">
        <v>1744</v>
      </c>
      <c r="R211" s="89"/>
      <c r="S211" s="92"/>
      <c r="T211" s="89"/>
      <c r="U211" s="92"/>
      <c r="V211" s="87" t="s">
        <v>89</v>
      </c>
      <c r="W211" s="87" t="s">
        <v>374</v>
      </c>
      <c r="X211" s="87" t="s">
        <v>1231</v>
      </c>
      <c r="Y211" s="94">
        <v>41024.0</v>
      </c>
      <c r="Z211" s="90"/>
      <c r="AA211" s="90"/>
      <c r="AB211" s="92"/>
      <c r="AC211" s="81">
        <v>205.0</v>
      </c>
      <c r="AD211" s="92"/>
      <c r="AE211" s="87" t="s">
        <v>67</v>
      </c>
      <c r="AF211" s="92"/>
      <c r="AG211" s="87" t="s">
        <v>130</v>
      </c>
      <c r="AH211" s="87"/>
      <c r="AI211" s="96">
        <v>8.116094049E9</v>
      </c>
      <c r="AJ211" s="87" t="s">
        <v>1745</v>
      </c>
      <c r="AK211" s="97" t="s">
        <v>1746</v>
      </c>
      <c r="AL211" s="87" t="s">
        <v>1747</v>
      </c>
      <c r="AM211" s="87" t="s">
        <v>96</v>
      </c>
      <c r="AN211" s="87" t="s">
        <v>135</v>
      </c>
      <c r="AO211" s="87" t="s">
        <v>213</v>
      </c>
      <c r="AP211" s="87" t="s">
        <v>556</v>
      </c>
      <c r="AQ211" s="87">
        <v>0.0</v>
      </c>
      <c r="AR211" s="87">
        <v>0.0</v>
      </c>
    </row>
    <row r="212">
      <c r="A212" s="89">
        <v>62.0</v>
      </c>
      <c r="B212" s="87" t="s">
        <v>1748</v>
      </c>
      <c r="C212" s="88" t="s">
        <v>1749</v>
      </c>
      <c r="D212" s="89"/>
      <c r="E212" s="89"/>
      <c r="F212" s="89"/>
      <c r="G212" s="89"/>
      <c r="H212" s="89"/>
      <c r="I212" s="90"/>
      <c r="J212" s="89"/>
      <c r="K212" s="89"/>
      <c r="L212" s="90" t="s">
        <v>88</v>
      </c>
      <c r="M212" s="89"/>
      <c r="N212" s="89"/>
      <c r="O212" s="87" t="s">
        <v>142</v>
      </c>
      <c r="P212" s="89"/>
      <c r="Q212" s="100" t="s">
        <v>1744</v>
      </c>
      <c r="R212" s="89"/>
      <c r="S212" s="92"/>
      <c r="T212" s="89"/>
      <c r="U212" s="92"/>
      <c r="V212" s="87" t="s">
        <v>89</v>
      </c>
      <c r="W212" s="87" t="s">
        <v>160</v>
      </c>
      <c r="X212" s="87" t="s">
        <v>1231</v>
      </c>
      <c r="Y212" s="94">
        <v>42088.0</v>
      </c>
      <c r="Z212" s="90"/>
      <c r="AA212" s="90"/>
      <c r="AB212" s="92"/>
      <c r="AC212" s="81">
        <v>206.0</v>
      </c>
      <c r="AD212" s="92"/>
      <c r="AE212" s="87" t="s">
        <v>67</v>
      </c>
      <c r="AF212" s="92"/>
      <c r="AG212" s="87" t="s">
        <v>130</v>
      </c>
      <c r="AH212" s="87"/>
      <c r="AI212" s="96">
        <v>8.1263027298E10</v>
      </c>
      <c r="AJ212" s="87" t="s">
        <v>1750</v>
      </c>
      <c r="AK212" s="97" t="s">
        <v>1751</v>
      </c>
      <c r="AL212" s="87" t="s">
        <v>1752</v>
      </c>
      <c r="AM212" s="87" t="s">
        <v>73</v>
      </c>
      <c r="AN212" s="87" t="s">
        <v>74</v>
      </c>
      <c r="AO212" s="87" t="s">
        <v>454</v>
      </c>
      <c r="AP212" s="87" t="s">
        <v>1753</v>
      </c>
      <c r="AQ212" s="87" t="s">
        <v>77</v>
      </c>
      <c r="AR212" s="87" t="s">
        <v>77</v>
      </c>
    </row>
    <row r="213">
      <c r="A213" s="89">
        <v>63.0</v>
      </c>
      <c r="B213" s="87" t="s">
        <v>1754</v>
      </c>
      <c r="C213" s="88" t="s">
        <v>1755</v>
      </c>
      <c r="D213" s="89"/>
      <c r="E213" s="89"/>
      <c r="F213" s="89"/>
      <c r="G213" s="89"/>
      <c r="H213" s="89"/>
      <c r="I213" s="90"/>
      <c r="J213" s="89"/>
      <c r="K213" s="89"/>
      <c r="L213" s="90" t="s">
        <v>88</v>
      </c>
      <c r="M213" s="89"/>
      <c r="N213" s="89"/>
      <c r="O213" s="87" t="s">
        <v>142</v>
      </c>
      <c r="P213" s="89"/>
      <c r="Q213" s="100" t="s">
        <v>1707</v>
      </c>
      <c r="R213" s="89"/>
      <c r="S213" s="92"/>
      <c r="T213" s="89"/>
      <c r="U213" s="92"/>
      <c r="V213" s="87" t="s">
        <v>89</v>
      </c>
      <c r="W213" s="87" t="s">
        <v>218</v>
      </c>
      <c r="X213" s="87" t="s">
        <v>641</v>
      </c>
      <c r="Y213" s="94">
        <v>44177.0</v>
      </c>
      <c r="Z213" s="90"/>
      <c r="AA213" s="90"/>
      <c r="AB213" s="92"/>
      <c r="AC213" s="81">
        <v>207.0</v>
      </c>
      <c r="AD213" s="92"/>
      <c r="AE213" s="87" t="s">
        <v>67</v>
      </c>
      <c r="AF213" s="92"/>
      <c r="AG213" s="87" t="s">
        <v>68</v>
      </c>
      <c r="AH213" s="87"/>
      <c r="AI213" s="96">
        <v>8.1260345353E10</v>
      </c>
      <c r="AJ213" s="87" t="s">
        <v>1756</v>
      </c>
      <c r="AK213" s="97" t="s">
        <v>1757</v>
      </c>
      <c r="AL213" s="87" t="s">
        <v>1758</v>
      </c>
      <c r="AM213" s="87" t="s">
        <v>73</v>
      </c>
      <c r="AN213" s="87" t="s">
        <v>835</v>
      </c>
      <c r="AO213" s="87" t="s">
        <v>360</v>
      </c>
      <c r="AP213" s="87" t="s">
        <v>566</v>
      </c>
      <c r="AQ213" s="87">
        <v>0.0</v>
      </c>
      <c r="AR213" s="87">
        <v>0.0</v>
      </c>
    </row>
    <row r="214">
      <c r="A214" s="89">
        <v>64.0</v>
      </c>
      <c r="B214" s="87" t="s">
        <v>1759</v>
      </c>
      <c r="C214" s="88" t="s">
        <v>1760</v>
      </c>
      <c r="D214" s="89"/>
      <c r="E214" s="89"/>
      <c r="F214" s="89"/>
      <c r="G214" s="89"/>
      <c r="H214" s="89"/>
      <c r="I214" s="90"/>
      <c r="J214" s="89"/>
      <c r="K214" s="89"/>
      <c r="L214" s="90" t="s">
        <v>88</v>
      </c>
      <c r="M214" s="89"/>
      <c r="N214" s="89"/>
      <c r="O214" s="87" t="s">
        <v>142</v>
      </c>
      <c r="P214" s="89"/>
      <c r="Q214" s="100" t="s">
        <v>1707</v>
      </c>
      <c r="R214" s="89"/>
      <c r="S214" s="92"/>
      <c r="T214" s="89"/>
      <c r="U214" s="92"/>
      <c r="V214" s="87" t="s">
        <v>89</v>
      </c>
      <c r="W214" s="87" t="s">
        <v>230</v>
      </c>
      <c r="X214" s="87" t="s">
        <v>509</v>
      </c>
      <c r="Y214" s="99">
        <v>42285.0</v>
      </c>
      <c r="Z214" s="90"/>
      <c r="AA214" s="90"/>
      <c r="AB214" s="92"/>
      <c r="AC214" s="81">
        <v>208.0</v>
      </c>
      <c r="AD214" s="92"/>
      <c r="AE214" s="87" t="s">
        <v>67</v>
      </c>
      <c r="AF214" s="92"/>
      <c r="AG214" s="87" t="s">
        <v>68</v>
      </c>
      <c r="AH214" s="87"/>
      <c r="AI214" s="96">
        <v>8.211550931E10</v>
      </c>
      <c r="AJ214" s="87" t="s">
        <v>1761</v>
      </c>
      <c r="AK214" s="97" t="s">
        <v>1762</v>
      </c>
      <c r="AL214" s="87" t="s">
        <v>1763</v>
      </c>
      <c r="AM214" s="87" t="s">
        <v>96</v>
      </c>
      <c r="AN214" s="87" t="s">
        <v>150</v>
      </c>
      <c r="AO214" s="87" t="s">
        <v>628</v>
      </c>
      <c r="AP214" s="87" t="s">
        <v>1764</v>
      </c>
      <c r="AQ214" s="87">
        <v>14.0</v>
      </c>
      <c r="AR214" s="87">
        <v>7.0</v>
      </c>
    </row>
    <row r="215">
      <c r="A215" s="89">
        <v>65.0</v>
      </c>
      <c r="B215" s="87" t="s">
        <v>1765</v>
      </c>
      <c r="C215" s="88" t="s">
        <v>1766</v>
      </c>
      <c r="D215" s="89"/>
      <c r="E215" s="89"/>
      <c r="F215" s="89"/>
      <c r="G215" s="89"/>
      <c r="H215" s="89"/>
      <c r="I215" s="90"/>
      <c r="J215" s="89"/>
      <c r="K215" s="89"/>
      <c r="L215" s="90" t="s">
        <v>88</v>
      </c>
      <c r="M215" s="89"/>
      <c r="N215" s="89"/>
      <c r="O215" s="87" t="s">
        <v>142</v>
      </c>
      <c r="P215" s="89"/>
      <c r="Q215" s="100" t="s">
        <v>1744</v>
      </c>
      <c r="R215" s="89"/>
      <c r="S215" s="92"/>
      <c r="T215" s="89"/>
      <c r="U215" s="92"/>
      <c r="V215" s="87" t="s">
        <v>89</v>
      </c>
      <c r="W215" s="87" t="s">
        <v>1214</v>
      </c>
      <c r="X215" s="87" t="s">
        <v>244</v>
      </c>
      <c r="Y215" s="94">
        <v>42306.0</v>
      </c>
      <c r="Z215" s="90"/>
      <c r="AA215" s="90"/>
      <c r="AB215" s="92"/>
      <c r="AC215" s="81">
        <v>209.0</v>
      </c>
      <c r="AD215" s="92"/>
      <c r="AE215" s="87" t="s">
        <v>67</v>
      </c>
      <c r="AF215" s="92"/>
      <c r="AG215" s="87" t="s">
        <v>130</v>
      </c>
      <c r="AH215" s="87"/>
      <c r="AI215" s="96">
        <v>8.1376018925E10</v>
      </c>
      <c r="AJ215" s="87" t="s">
        <v>1767</v>
      </c>
      <c r="AK215" s="97" t="s">
        <v>1768</v>
      </c>
      <c r="AL215" s="87" t="s">
        <v>1769</v>
      </c>
      <c r="AM215" s="87" t="s">
        <v>96</v>
      </c>
      <c r="AN215" s="87" t="s">
        <v>97</v>
      </c>
      <c r="AO215" s="87" t="s">
        <v>292</v>
      </c>
      <c r="AP215" s="87" t="s">
        <v>1770</v>
      </c>
      <c r="AQ215" s="87" t="s">
        <v>77</v>
      </c>
      <c r="AR215" s="87" t="s">
        <v>77</v>
      </c>
    </row>
    <row r="216">
      <c r="A216" s="89">
        <v>66.0</v>
      </c>
      <c r="B216" s="87" t="s">
        <v>1771</v>
      </c>
      <c r="C216" s="88" t="s">
        <v>1772</v>
      </c>
      <c r="D216" s="89"/>
      <c r="E216" s="89"/>
      <c r="F216" s="89"/>
      <c r="G216" s="89"/>
      <c r="H216" s="89"/>
      <c r="I216" s="90"/>
      <c r="J216" s="89"/>
      <c r="K216" s="89"/>
      <c r="L216" s="90" t="s">
        <v>88</v>
      </c>
      <c r="M216" s="89"/>
      <c r="N216" s="89"/>
      <c r="O216" s="87" t="s">
        <v>519</v>
      </c>
      <c r="P216" s="89"/>
      <c r="Q216" s="100" t="s">
        <v>1744</v>
      </c>
      <c r="R216" s="89"/>
      <c r="S216" s="92"/>
      <c r="T216" s="89"/>
      <c r="U216" s="92"/>
      <c r="V216" s="87" t="s">
        <v>267</v>
      </c>
      <c r="W216" s="87" t="s">
        <v>1773</v>
      </c>
      <c r="X216" s="87" t="s">
        <v>592</v>
      </c>
      <c r="Y216" s="94">
        <v>38609.0</v>
      </c>
      <c r="Z216" s="90"/>
      <c r="AA216" s="90"/>
      <c r="AB216" s="92"/>
      <c r="AC216" s="81">
        <v>210.0</v>
      </c>
      <c r="AD216" s="92"/>
      <c r="AE216" s="87" t="s">
        <v>67</v>
      </c>
      <c r="AF216" s="92"/>
      <c r="AG216" s="87" t="s">
        <v>130</v>
      </c>
      <c r="AH216" s="87"/>
      <c r="AI216" s="96">
        <v>8.136226163E10</v>
      </c>
      <c r="AJ216" s="87" t="s">
        <v>1774</v>
      </c>
      <c r="AK216" s="97" t="s">
        <v>1775</v>
      </c>
      <c r="AL216" s="87" t="s">
        <v>1776</v>
      </c>
      <c r="AM216" s="87" t="s">
        <v>96</v>
      </c>
      <c r="AN216" s="87" t="s">
        <v>97</v>
      </c>
      <c r="AO216" s="87" t="s">
        <v>499</v>
      </c>
      <c r="AP216" s="87" t="s">
        <v>1479</v>
      </c>
      <c r="AQ216" s="87"/>
      <c r="AR216" s="87"/>
    </row>
    <row r="217">
      <c r="A217" s="89">
        <v>67.0</v>
      </c>
      <c r="B217" s="87" t="s">
        <v>1777</v>
      </c>
      <c r="C217" s="88" t="s">
        <v>1778</v>
      </c>
      <c r="D217" s="89"/>
      <c r="E217" s="89"/>
      <c r="F217" s="89"/>
      <c r="G217" s="89"/>
      <c r="H217" s="89"/>
      <c r="I217" s="90"/>
      <c r="J217" s="89"/>
      <c r="K217" s="89"/>
      <c r="L217" s="90" t="s">
        <v>88</v>
      </c>
      <c r="M217" s="89"/>
      <c r="N217" s="89"/>
      <c r="O217" s="87" t="s">
        <v>142</v>
      </c>
      <c r="P217" s="89"/>
      <c r="Q217" s="100" t="s">
        <v>1707</v>
      </c>
      <c r="R217" s="89"/>
      <c r="S217" s="92"/>
      <c r="T217" s="89"/>
      <c r="U217" s="92"/>
      <c r="V217" s="87" t="s">
        <v>89</v>
      </c>
      <c r="W217" s="87" t="s">
        <v>1779</v>
      </c>
      <c r="X217" s="87" t="s">
        <v>1780</v>
      </c>
      <c r="Y217" s="94">
        <v>38523.0</v>
      </c>
      <c r="Z217" s="90"/>
      <c r="AA217" s="90"/>
      <c r="AB217" s="92"/>
      <c r="AC217" s="81">
        <v>211.0</v>
      </c>
      <c r="AD217" s="92"/>
      <c r="AE217" s="87" t="s">
        <v>67</v>
      </c>
      <c r="AF217" s="92"/>
      <c r="AG217" s="87" t="s">
        <v>68</v>
      </c>
      <c r="AH217" s="87"/>
      <c r="AI217" s="96">
        <v>8.2165959502E10</v>
      </c>
      <c r="AJ217" s="87" t="s">
        <v>1781</v>
      </c>
      <c r="AK217" s="97" t="s">
        <v>1782</v>
      </c>
      <c r="AL217" s="87" t="s">
        <v>1783</v>
      </c>
      <c r="AM217" s="87" t="s">
        <v>96</v>
      </c>
      <c r="AN217" s="87" t="s">
        <v>97</v>
      </c>
      <c r="AO217" s="87" t="s">
        <v>1784</v>
      </c>
      <c r="AP217" s="87" t="s">
        <v>1785</v>
      </c>
      <c r="AQ217" s="87">
        <v>0.0</v>
      </c>
      <c r="AR217" s="87">
        <v>0.0</v>
      </c>
    </row>
    <row r="218">
      <c r="A218" s="89">
        <v>68.0</v>
      </c>
      <c r="B218" s="87" t="s">
        <v>1786</v>
      </c>
      <c r="C218" s="88" t="s">
        <v>1787</v>
      </c>
      <c r="D218" s="89"/>
      <c r="E218" s="89"/>
      <c r="F218" s="89"/>
      <c r="G218" s="89"/>
      <c r="H218" s="89"/>
      <c r="I218" s="90"/>
      <c r="J218" s="89"/>
      <c r="K218" s="89"/>
      <c r="L218" s="90" t="s">
        <v>88</v>
      </c>
      <c r="M218" s="89"/>
      <c r="N218" s="89"/>
      <c r="O218" s="87" t="s">
        <v>142</v>
      </c>
      <c r="P218" s="89"/>
      <c r="Q218" s="100" t="s">
        <v>1744</v>
      </c>
      <c r="R218" s="89"/>
      <c r="S218" s="92"/>
      <c r="T218" s="89"/>
      <c r="U218" s="92"/>
      <c r="V218" s="87" t="s">
        <v>89</v>
      </c>
      <c r="W218" s="87"/>
      <c r="X218" s="87" t="s">
        <v>1788</v>
      </c>
      <c r="Y218" s="94">
        <v>41925.0</v>
      </c>
      <c r="Z218" s="90"/>
      <c r="AA218" s="90"/>
      <c r="AB218" s="92"/>
      <c r="AC218" s="81">
        <v>212.0</v>
      </c>
      <c r="AD218" s="92"/>
      <c r="AE218" s="87" t="s">
        <v>220</v>
      </c>
      <c r="AF218" s="92"/>
      <c r="AG218" s="87" t="s">
        <v>130</v>
      </c>
      <c r="AH218" s="92"/>
      <c r="AI218" s="96">
        <v>8.2364307151E10</v>
      </c>
      <c r="AJ218" s="87" t="s">
        <v>1789</v>
      </c>
      <c r="AK218" s="97" t="s">
        <v>1790</v>
      </c>
      <c r="AL218" s="87" t="s">
        <v>1791</v>
      </c>
      <c r="AM218" s="87" t="s">
        <v>96</v>
      </c>
      <c r="AN218" s="87" t="s">
        <v>1792</v>
      </c>
      <c r="AO218" s="87" t="s">
        <v>1793</v>
      </c>
      <c r="AP218" s="87" t="s">
        <v>1794</v>
      </c>
      <c r="AQ218" s="87"/>
      <c r="AR218" s="87"/>
    </row>
    <row r="219">
      <c r="A219" s="89">
        <v>69.0</v>
      </c>
      <c r="B219" s="87" t="s">
        <v>1795</v>
      </c>
      <c r="C219" s="88" t="s">
        <v>1796</v>
      </c>
      <c r="D219" s="89"/>
      <c r="E219" s="89"/>
      <c r="F219" s="89"/>
      <c r="G219" s="89"/>
      <c r="H219" s="89"/>
      <c r="I219" s="90"/>
      <c r="J219" s="89"/>
      <c r="K219" s="89"/>
      <c r="L219" s="90" t="s">
        <v>88</v>
      </c>
      <c r="M219" s="89"/>
      <c r="N219" s="89"/>
      <c r="O219" s="87" t="s">
        <v>142</v>
      </c>
      <c r="P219" s="89"/>
      <c r="Q219" s="100" t="s">
        <v>1797</v>
      </c>
      <c r="R219" s="89"/>
      <c r="S219" s="92"/>
      <c r="T219" s="89"/>
      <c r="U219" s="92"/>
      <c r="V219" s="87" t="s">
        <v>89</v>
      </c>
      <c r="W219" s="87" t="s">
        <v>197</v>
      </c>
      <c r="X219" s="87" t="s">
        <v>1798</v>
      </c>
      <c r="Y219" s="94">
        <v>43357.0</v>
      </c>
      <c r="Z219" s="90"/>
      <c r="AA219" s="90"/>
      <c r="AB219" s="92"/>
      <c r="AC219" s="81">
        <v>213.0</v>
      </c>
      <c r="AD219" s="92"/>
      <c r="AE219" s="87" t="s">
        <v>67</v>
      </c>
      <c r="AF219" s="92"/>
      <c r="AG219" s="87" t="s">
        <v>68</v>
      </c>
      <c r="AH219" s="92"/>
      <c r="AI219" s="96">
        <v>8.1396227994E10</v>
      </c>
      <c r="AJ219" s="87" t="s">
        <v>1799</v>
      </c>
      <c r="AK219" s="97" t="s">
        <v>1800</v>
      </c>
      <c r="AL219" s="87" t="s">
        <v>1801</v>
      </c>
      <c r="AM219" s="87" t="s">
        <v>96</v>
      </c>
      <c r="AN219" s="87" t="s">
        <v>97</v>
      </c>
      <c r="AO219" s="87" t="s">
        <v>1802</v>
      </c>
      <c r="AP219" s="87" t="s">
        <v>1803</v>
      </c>
      <c r="AQ219" s="87">
        <v>0.0</v>
      </c>
      <c r="AR219" s="87">
        <v>0.0</v>
      </c>
    </row>
    <row r="220">
      <c r="A220" s="89">
        <v>70.0</v>
      </c>
      <c r="B220" s="87" t="s">
        <v>1804</v>
      </c>
      <c r="C220" s="88" t="s">
        <v>1805</v>
      </c>
      <c r="D220" s="89"/>
      <c r="E220" s="89"/>
      <c r="F220" s="89"/>
      <c r="G220" s="89"/>
      <c r="H220" s="89"/>
      <c r="I220" s="90"/>
      <c r="J220" s="89"/>
      <c r="K220" s="89"/>
      <c r="L220" s="90" t="s">
        <v>88</v>
      </c>
      <c r="M220" s="89"/>
      <c r="N220" s="89"/>
      <c r="O220" s="87" t="s">
        <v>142</v>
      </c>
      <c r="P220" s="89"/>
      <c r="Q220" s="100" t="s">
        <v>1744</v>
      </c>
      <c r="R220" s="89"/>
      <c r="S220" s="92"/>
      <c r="T220" s="89"/>
      <c r="U220" s="92"/>
      <c r="V220" s="87" t="s">
        <v>89</v>
      </c>
      <c r="W220" s="87" t="s">
        <v>1214</v>
      </c>
      <c r="X220" s="87" t="s">
        <v>1231</v>
      </c>
      <c r="Y220" s="99">
        <v>42282.0</v>
      </c>
      <c r="Z220" s="90"/>
      <c r="AA220" s="90"/>
      <c r="AB220" s="92"/>
      <c r="AC220" s="81">
        <v>214.0</v>
      </c>
      <c r="AD220" s="92"/>
      <c r="AE220" s="87" t="s">
        <v>67</v>
      </c>
      <c r="AF220" s="92"/>
      <c r="AG220" s="87" t="s">
        <v>130</v>
      </c>
      <c r="AH220" s="92"/>
      <c r="AI220" s="96">
        <v>8.1260363024E10</v>
      </c>
      <c r="AJ220" s="87" t="s">
        <v>1806</v>
      </c>
      <c r="AK220" s="97" t="s">
        <v>1807</v>
      </c>
      <c r="AL220" s="87" t="s">
        <v>1808</v>
      </c>
      <c r="AM220" s="87" t="s">
        <v>73</v>
      </c>
      <c r="AN220" s="87" t="s">
        <v>74</v>
      </c>
      <c r="AO220" s="87" t="s">
        <v>178</v>
      </c>
      <c r="AP220" s="87" t="s">
        <v>998</v>
      </c>
      <c r="AQ220" s="87">
        <v>0.0</v>
      </c>
      <c r="AR220" s="87">
        <v>0.0</v>
      </c>
    </row>
    <row r="221">
      <c r="A221" s="89">
        <v>71.0</v>
      </c>
      <c r="B221" s="87" t="s">
        <v>1809</v>
      </c>
      <c r="C221" s="88" t="s">
        <v>1810</v>
      </c>
      <c r="D221" s="89"/>
      <c r="E221" s="89"/>
      <c r="F221" s="89"/>
      <c r="G221" s="89"/>
      <c r="H221" s="89"/>
      <c r="I221" s="90"/>
      <c r="J221" s="89"/>
      <c r="K221" s="89"/>
      <c r="L221" s="90" t="s">
        <v>88</v>
      </c>
      <c r="M221" s="89"/>
      <c r="N221" s="89"/>
      <c r="O221" s="87" t="s">
        <v>142</v>
      </c>
      <c r="P221" s="89"/>
      <c r="Q221" s="100" t="s">
        <v>1744</v>
      </c>
      <c r="R221" s="89"/>
      <c r="S221" s="92"/>
      <c r="T221" s="89"/>
      <c r="U221" s="92"/>
      <c r="V221" s="87" t="s">
        <v>89</v>
      </c>
      <c r="W221" s="87" t="s">
        <v>1811</v>
      </c>
      <c r="X221" s="87" t="s">
        <v>1812</v>
      </c>
      <c r="Y221" s="94">
        <v>38273.0</v>
      </c>
      <c r="Z221" s="90"/>
      <c r="AA221" s="90"/>
      <c r="AB221" s="92"/>
      <c r="AC221" s="81">
        <v>215.0</v>
      </c>
      <c r="AD221" s="92"/>
      <c r="AE221" s="87" t="s">
        <v>67</v>
      </c>
      <c r="AF221" s="92"/>
      <c r="AG221" s="87" t="s">
        <v>130</v>
      </c>
      <c r="AH221" s="92"/>
      <c r="AI221" s="96">
        <v>8.5261410004E10</v>
      </c>
      <c r="AJ221" s="87" t="s">
        <v>1813</v>
      </c>
      <c r="AK221" s="97" t="s">
        <v>1814</v>
      </c>
      <c r="AL221" s="87" t="s">
        <v>1815</v>
      </c>
      <c r="AM221" s="87" t="s">
        <v>96</v>
      </c>
      <c r="AN221" s="87" t="s">
        <v>835</v>
      </c>
      <c r="AO221" s="87" t="s">
        <v>98</v>
      </c>
      <c r="AP221" s="87" t="s">
        <v>1816</v>
      </c>
      <c r="AQ221" s="87">
        <v>1.0</v>
      </c>
      <c r="AR221" s="87">
        <v>3.0</v>
      </c>
    </row>
    <row r="222">
      <c r="A222" s="89">
        <v>72.0</v>
      </c>
      <c r="B222" s="87" t="s">
        <v>1817</v>
      </c>
      <c r="C222" s="88" t="s">
        <v>1818</v>
      </c>
      <c r="D222" s="89"/>
      <c r="E222" s="89"/>
      <c r="F222" s="89"/>
      <c r="G222" s="89"/>
      <c r="H222" s="89"/>
      <c r="I222" s="90"/>
      <c r="J222" s="89"/>
      <c r="K222" s="89"/>
      <c r="L222" s="90" t="s">
        <v>88</v>
      </c>
      <c r="M222" s="89"/>
      <c r="N222" s="89"/>
      <c r="O222" s="87" t="s">
        <v>142</v>
      </c>
      <c r="P222" s="89"/>
      <c r="Q222" s="100" t="s">
        <v>1744</v>
      </c>
      <c r="R222" s="89"/>
      <c r="S222" s="92"/>
      <c r="T222" s="89"/>
      <c r="U222" s="92"/>
      <c r="V222" s="87" t="s">
        <v>89</v>
      </c>
      <c r="W222" s="87" t="s">
        <v>1520</v>
      </c>
      <c r="X222" s="87" t="s">
        <v>1819</v>
      </c>
      <c r="Y222" s="99">
        <v>41981.0</v>
      </c>
      <c r="Z222" s="90"/>
      <c r="AA222" s="90"/>
      <c r="AB222" s="92"/>
      <c r="AC222" s="81">
        <v>216.0</v>
      </c>
      <c r="AD222" s="92"/>
      <c r="AE222" s="87" t="s">
        <v>67</v>
      </c>
      <c r="AF222" s="92"/>
      <c r="AG222" s="87" t="s">
        <v>130</v>
      </c>
      <c r="AH222" s="92"/>
      <c r="AI222" s="96">
        <v>8.1277030181E10</v>
      </c>
      <c r="AJ222" s="87" t="s">
        <v>1820</v>
      </c>
      <c r="AK222" s="97" t="s">
        <v>1821</v>
      </c>
      <c r="AL222" s="87" t="s">
        <v>1822</v>
      </c>
      <c r="AM222" s="87" t="s">
        <v>96</v>
      </c>
      <c r="AN222" s="87" t="s">
        <v>835</v>
      </c>
      <c r="AO222" s="87" t="s">
        <v>191</v>
      </c>
      <c r="AP222" s="87" t="s">
        <v>1823</v>
      </c>
      <c r="AQ222" s="87">
        <v>0.0</v>
      </c>
      <c r="AR222" s="87">
        <v>0.0</v>
      </c>
    </row>
    <row r="223">
      <c r="A223" s="89">
        <v>73.0</v>
      </c>
      <c r="B223" s="87" t="s">
        <v>1824</v>
      </c>
      <c r="C223" s="88" t="s">
        <v>1825</v>
      </c>
      <c r="D223" s="89"/>
      <c r="E223" s="89"/>
      <c r="F223" s="89"/>
      <c r="G223" s="89"/>
      <c r="H223" s="89"/>
      <c r="I223" s="90"/>
      <c r="J223" s="89"/>
      <c r="K223" s="89"/>
      <c r="L223" s="90" t="s">
        <v>88</v>
      </c>
      <c r="M223" s="89"/>
      <c r="N223" s="89"/>
      <c r="O223" s="87" t="s">
        <v>142</v>
      </c>
      <c r="P223" s="89"/>
      <c r="Q223" s="100" t="s">
        <v>1797</v>
      </c>
      <c r="R223" s="89"/>
      <c r="S223" s="92"/>
      <c r="T223" s="89"/>
      <c r="U223" s="92"/>
      <c r="V223" s="87" t="s">
        <v>89</v>
      </c>
      <c r="W223" s="87" t="s">
        <v>1826</v>
      </c>
      <c r="X223" s="87" t="s">
        <v>1827</v>
      </c>
      <c r="Y223" s="94">
        <v>41200.0</v>
      </c>
      <c r="Z223" s="90"/>
      <c r="AA223" s="90"/>
      <c r="AB223" s="92"/>
      <c r="AC223" s="81">
        <v>217.0</v>
      </c>
      <c r="AD223" s="92"/>
      <c r="AE223" s="87" t="s">
        <v>67</v>
      </c>
      <c r="AF223" s="92"/>
      <c r="AG223" s="87" t="s">
        <v>68</v>
      </c>
      <c r="AH223" s="92"/>
      <c r="AI223" s="96">
        <v>8.5372252615E10</v>
      </c>
      <c r="AJ223" s="87" t="s">
        <v>1828</v>
      </c>
      <c r="AK223" s="97" t="s">
        <v>1829</v>
      </c>
      <c r="AL223" s="87" t="s">
        <v>1830</v>
      </c>
      <c r="AM223" s="87" t="s">
        <v>73</v>
      </c>
      <c r="AN223" s="87" t="s">
        <v>835</v>
      </c>
      <c r="AO223" s="87" t="s">
        <v>989</v>
      </c>
      <c r="AP223" s="87" t="s">
        <v>1585</v>
      </c>
      <c r="AQ223" s="87">
        <v>0.0</v>
      </c>
      <c r="AR223" s="87">
        <v>0.0</v>
      </c>
    </row>
    <row r="224">
      <c r="A224" s="89">
        <v>74.0</v>
      </c>
      <c r="B224" s="87" t="s">
        <v>1831</v>
      </c>
      <c r="C224" s="88" t="s">
        <v>1832</v>
      </c>
      <c r="D224" s="89"/>
      <c r="E224" s="89"/>
      <c r="F224" s="89"/>
      <c r="G224" s="89"/>
      <c r="H224" s="89"/>
      <c r="I224" s="90"/>
      <c r="J224" s="89"/>
      <c r="K224" s="89"/>
      <c r="L224" s="90" t="s">
        <v>88</v>
      </c>
      <c r="M224" s="89"/>
      <c r="N224" s="89"/>
      <c r="O224" s="87" t="s">
        <v>142</v>
      </c>
      <c r="P224" s="89"/>
      <c r="Q224" s="100" t="s">
        <v>1797</v>
      </c>
      <c r="R224" s="89"/>
      <c r="S224" s="92"/>
      <c r="T224" s="89"/>
      <c r="U224" s="92"/>
      <c r="V224" s="87" t="s">
        <v>89</v>
      </c>
      <c r="W224" s="87" t="s">
        <v>1833</v>
      </c>
      <c r="X224" s="87" t="s">
        <v>509</v>
      </c>
      <c r="Y224" s="94">
        <v>41750.0</v>
      </c>
      <c r="Z224" s="90"/>
      <c r="AA224" s="90"/>
      <c r="AB224" s="92"/>
      <c r="AC224" s="81">
        <v>218.0</v>
      </c>
      <c r="AD224" s="92"/>
      <c r="AE224" s="87" t="s">
        <v>67</v>
      </c>
      <c r="AF224" s="92"/>
      <c r="AG224" s="87" t="s">
        <v>68</v>
      </c>
      <c r="AH224" s="92"/>
      <c r="AI224" s="96">
        <v>8.5231856665E10</v>
      </c>
      <c r="AJ224" s="87" t="s">
        <v>1834</v>
      </c>
      <c r="AK224" s="97" t="s">
        <v>1835</v>
      </c>
      <c r="AL224" s="87" t="s">
        <v>1836</v>
      </c>
      <c r="AM224" s="87" t="s">
        <v>96</v>
      </c>
      <c r="AN224" s="87" t="s">
        <v>97</v>
      </c>
      <c r="AO224" s="87" t="s">
        <v>1429</v>
      </c>
      <c r="AP224" s="87" t="s">
        <v>1430</v>
      </c>
      <c r="AQ224" s="87">
        <v>0.0</v>
      </c>
      <c r="AR224" s="87">
        <v>0.0</v>
      </c>
    </row>
    <row r="225">
      <c r="A225" s="89">
        <v>75.0</v>
      </c>
      <c r="B225" s="87" t="s">
        <v>1837</v>
      </c>
      <c r="C225" s="88" t="s">
        <v>1838</v>
      </c>
      <c r="D225" s="89"/>
      <c r="E225" s="89"/>
      <c r="F225" s="89"/>
      <c r="G225" s="89"/>
      <c r="H225" s="89"/>
      <c r="I225" s="90"/>
      <c r="J225" s="89"/>
      <c r="K225" s="89"/>
      <c r="L225" s="90" t="s">
        <v>88</v>
      </c>
      <c r="M225" s="89"/>
      <c r="N225" s="89"/>
      <c r="O225" s="87" t="s">
        <v>142</v>
      </c>
      <c r="P225" s="89"/>
      <c r="Q225" s="100" t="s">
        <v>1707</v>
      </c>
      <c r="R225" s="89"/>
      <c r="S225" s="92"/>
      <c r="T225" s="89"/>
      <c r="U225" s="92"/>
      <c r="V225" s="87" t="s">
        <v>89</v>
      </c>
      <c r="W225" s="87" t="s">
        <v>90</v>
      </c>
      <c r="X225" s="87" t="s">
        <v>648</v>
      </c>
      <c r="Y225" s="94">
        <v>44737.0</v>
      </c>
      <c r="Z225" s="90"/>
      <c r="AA225" s="90"/>
      <c r="AB225" s="92"/>
      <c r="AC225" s="81">
        <v>219.0</v>
      </c>
      <c r="AD225" s="92"/>
      <c r="AE225" s="87" t="s">
        <v>67</v>
      </c>
      <c r="AF225" s="92"/>
      <c r="AG225" s="87" t="s">
        <v>68</v>
      </c>
      <c r="AH225" s="92"/>
      <c r="AI225" s="96">
        <v>8.2275956171E10</v>
      </c>
      <c r="AJ225" s="87" t="s">
        <v>1839</v>
      </c>
      <c r="AK225" s="97" t="s">
        <v>1840</v>
      </c>
      <c r="AL225" s="87" t="s">
        <v>1841</v>
      </c>
      <c r="AM225" s="87" t="s">
        <v>73</v>
      </c>
      <c r="AN225" s="87" t="s">
        <v>166</v>
      </c>
      <c r="AO225" s="87" t="s">
        <v>596</v>
      </c>
      <c r="AP225" s="87" t="s">
        <v>1842</v>
      </c>
      <c r="AQ225" s="87" t="s">
        <v>77</v>
      </c>
      <c r="AR225" s="87" t="s">
        <v>77</v>
      </c>
    </row>
    <row r="226">
      <c r="A226" s="89">
        <v>76.0</v>
      </c>
      <c r="B226" s="87" t="s">
        <v>1843</v>
      </c>
      <c r="C226" s="88" t="s">
        <v>1844</v>
      </c>
      <c r="D226" s="89"/>
      <c r="E226" s="89"/>
      <c r="F226" s="89"/>
      <c r="G226" s="89"/>
      <c r="H226" s="89"/>
      <c r="I226" s="90"/>
      <c r="J226" s="89"/>
      <c r="K226" s="89"/>
      <c r="L226" s="90" t="s">
        <v>88</v>
      </c>
      <c r="M226" s="89"/>
      <c r="N226" s="89"/>
      <c r="O226" s="87" t="s">
        <v>142</v>
      </c>
      <c r="P226" s="89"/>
      <c r="Q226" s="100" t="s">
        <v>1797</v>
      </c>
      <c r="R226" s="89"/>
      <c r="S226" s="92"/>
      <c r="T226" s="89"/>
      <c r="U226" s="92"/>
      <c r="V226" s="87" t="s">
        <v>89</v>
      </c>
      <c r="W226" s="87" t="s">
        <v>90</v>
      </c>
      <c r="X226" s="87" t="s">
        <v>1231</v>
      </c>
      <c r="Y226" s="99">
        <v>42279.0</v>
      </c>
      <c r="Z226" s="90"/>
      <c r="AA226" s="90"/>
      <c r="AB226" s="92"/>
      <c r="AC226" s="81">
        <v>220.0</v>
      </c>
      <c r="AD226" s="92"/>
      <c r="AE226" s="87" t="s">
        <v>67</v>
      </c>
      <c r="AF226" s="92"/>
      <c r="AG226" s="87" t="s">
        <v>68</v>
      </c>
      <c r="AH226" s="92"/>
      <c r="AI226" s="96">
        <v>8.1314052276E10</v>
      </c>
      <c r="AJ226" s="87" t="s">
        <v>1845</v>
      </c>
      <c r="AK226" s="97" t="s">
        <v>1846</v>
      </c>
      <c r="AL226" s="87" t="s">
        <v>1847</v>
      </c>
      <c r="AM226" s="87" t="s">
        <v>73</v>
      </c>
      <c r="AN226" s="87" t="s">
        <v>74</v>
      </c>
      <c r="AO226" s="87" t="s">
        <v>118</v>
      </c>
      <c r="AP226" s="87" t="s">
        <v>1848</v>
      </c>
      <c r="AQ226" s="87">
        <v>0.0</v>
      </c>
      <c r="AR226" s="87">
        <v>0.0</v>
      </c>
    </row>
    <row r="227">
      <c r="A227" s="89">
        <v>77.0</v>
      </c>
      <c r="B227" s="87" t="s">
        <v>1849</v>
      </c>
      <c r="C227" s="88" t="s">
        <v>1850</v>
      </c>
      <c r="D227" s="89"/>
      <c r="E227" s="89"/>
      <c r="F227" s="89"/>
      <c r="G227" s="89"/>
      <c r="H227" s="89"/>
      <c r="I227" s="90"/>
      <c r="J227" s="89"/>
      <c r="K227" s="89"/>
      <c r="L227" s="90" t="s">
        <v>88</v>
      </c>
      <c r="M227" s="89"/>
      <c r="N227" s="89"/>
      <c r="O227" s="87" t="s">
        <v>142</v>
      </c>
      <c r="P227" s="89"/>
      <c r="Q227" s="100" t="s">
        <v>1707</v>
      </c>
      <c r="R227" s="89"/>
      <c r="S227" s="92"/>
      <c r="T227" s="89"/>
      <c r="U227" s="92"/>
      <c r="V227" s="87" t="s">
        <v>89</v>
      </c>
      <c r="W227" s="87" t="s">
        <v>1851</v>
      </c>
      <c r="X227" s="87" t="s">
        <v>231</v>
      </c>
      <c r="Y227" s="94">
        <v>43213.0</v>
      </c>
      <c r="Z227" s="90"/>
      <c r="AA227" s="90"/>
      <c r="AB227" s="92"/>
      <c r="AC227" s="81">
        <v>221.0</v>
      </c>
      <c r="AD227" s="92"/>
      <c r="AE227" s="87" t="s">
        <v>67</v>
      </c>
      <c r="AF227" s="92"/>
      <c r="AG227" s="87" t="s">
        <v>130</v>
      </c>
      <c r="AH227" s="92"/>
      <c r="AI227" s="96">
        <v>8.1222692134E10</v>
      </c>
      <c r="AJ227" s="87" t="s">
        <v>1852</v>
      </c>
      <c r="AK227" s="97" t="s">
        <v>1853</v>
      </c>
      <c r="AL227" s="87" t="s">
        <v>1854</v>
      </c>
      <c r="AM227" s="87" t="s">
        <v>732</v>
      </c>
      <c r="AN227" s="87" t="s">
        <v>97</v>
      </c>
      <c r="AO227" s="87" t="s">
        <v>445</v>
      </c>
      <c r="AP227" s="87" t="s">
        <v>446</v>
      </c>
      <c r="AQ227" s="87"/>
      <c r="AR227" s="87"/>
    </row>
    <row r="228">
      <c r="A228" s="89">
        <v>78.0</v>
      </c>
      <c r="B228" s="87" t="s">
        <v>1855</v>
      </c>
      <c r="C228" s="88" t="s">
        <v>1856</v>
      </c>
      <c r="D228" s="89"/>
      <c r="E228" s="89"/>
      <c r="F228" s="89"/>
      <c r="G228" s="89"/>
      <c r="H228" s="89"/>
      <c r="I228" s="90"/>
      <c r="J228" s="89"/>
      <c r="K228" s="89"/>
      <c r="L228" s="90" t="s">
        <v>88</v>
      </c>
      <c r="M228" s="89"/>
      <c r="N228" s="89"/>
      <c r="O228" s="87" t="s">
        <v>142</v>
      </c>
      <c r="P228" s="89"/>
      <c r="Q228" s="100" t="s">
        <v>1707</v>
      </c>
      <c r="R228" s="89"/>
      <c r="S228" s="92"/>
      <c r="T228" s="89"/>
      <c r="U228" s="92"/>
      <c r="V228" s="87" t="s">
        <v>89</v>
      </c>
      <c r="W228" s="87" t="s">
        <v>1857</v>
      </c>
      <c r="X228" s="87" t="s">
        <v>219</v>
      </c>
      <c r="Y228" s="94">
        <v>41176.0</v>
      </c>
      <c r="Z228" s="90"/>
      <c r="AA228" s="90"/>
      <c r="AB228" s="92"/>
      <c r="AC228" s="81">
        <v>222.0</v>
      </c>
      <c r="AD228" s="92"/>
      <c r="AE228" s="87" t="s">
        <v>67</v>
      </c>
      <c r="AF228" s="92"/>
      <c r="AG228" s="87" t="s">
        <v>130</v>
      </c>
      <c r="AH228" s="92"/>
      <c r="AI228" s="96">
        <v>8.1370569637E10</v>
      </c>
      <c r="AJ228" s="87" t="s">
        <v>1858</v>
      </c>
      <c r="AK228" s="97" t="s">
        <v>1859</v>
      </c>
      <c r="AL228" s="87" t="s">
        <v>1860</v>
      </c>
      <c r="AM228" s="87" t="s">
        <v>96</v>
      </c>
      <c r="AN228" s="87" t="s">
        <v>97</v>
      </c>
      <c r="AO228" s="87" t="s">
        <v>1429</v>
      </c>
      <c r="AP228" s="87" t="s">
        <v>1861</v>
      </c>
      <c r="AQ228" s="87">
        <v>0.0</v>
      </c>
      <c r="AR228" s="87">
        <v>0.0</v>
      </c>
    </row>
    <row r="229">
      <c r="A229" s="89">
        <v>79.0</v>
      </c>
      <c r="B229" s="87" t="s">
        <v>1862</v>
      </c>
      <c r="C229" s="88" t="s">
        <v>1863</v>
      </c>
      <c r="D229" s="89"/>
      <c r="E229" s="89"/>
      <c r="F229" s="89"/>
      <c r="G229" s="89"/>
      <c r="H229" s="89"/>
      <c r="I229" s="90"/>
      <c r="J229" s="89"/>
      <c r="K229" s="89"/>
      <c r="L229" s="90" t="s">
        <v>88</v>
      </c>
      <c r="M229" s="89"/>
      <c r="N229" s="89"/>
      <c r="O229" s="87" t="s">
        <v>142</v>
      </c>
      <c r="P229" s="89"/>
      <c r="Q229" s="100" t="s">
        <v>1707</v>
      </c>
      <c r="R229" s="89"/>
      <c r="S229" s="92"/>
      <c r="T229" s="89"/>
      <c r="U229" s="92"/>
      <c r="V229" s="87" t="s">
        <v>89</v>
      </c>
      <c r="W229" s="87" t="s">
        <v>218</v>
      </c>
      <c r="X229" s="87" t="s">
        <v>1864</v>
      </c>
      <c r="Y229" s="94">
        <v>40567.0</v>
      </c>
      <c r="Z229" s="90"/>
      <c r="AA229" s="90"/>
      <c r="AB229" s="92"/>
      <c r="AC229" s="81">
        <v>223.0</v>
      </c>
      <c r="AD229" s="92"/>
      <c r="AE229" s="87" t="s">
        <v>67</v>
      </c>
      <c r="AF229" s="92"/>
      <c r="AG229" s="87" t="s">
        <v>68</v>
      </c>
      <c r="AH229" s="92"/>
      <c r="AI229" s="96">
        <v>8.1264800606E10</v>
      </c>
      <c r="AJ229" s="87" t="s">
        <v>1865</v>
      </c>
      <c r="AK229" s="97" t="s">
        <v>1866</v>
      </c>
      <c r="AL229" s="87" t="s">
        <v>1867</v>
      </c>
      <c r="AM229" s="87" t="s">
        <v>96</v>
      </c>
      <c r="AN229" s="87" t="s">
        <v>97</v>
      </c>
      <c r="AO229" s="87" t="s">
        <v>236</v>
      </c>
      <c r="AP229" s="87" t="s">
        <v>1868</v>
      </c>
      <c r="AQ229" s="87">
        <v>0.0</v>
      </c>
      <c r="AR229" s="87">
        <v>0.0</v>
      </c>
    </row>
    <row r="230">
      <c r="A230" s="89">
        <v>80.0</v>
      </c>
      <c r="B230" s="87" t="s">
        <v>1869</v>
      </c>
      <c r="C230" s="88" t="s">
        <v>1870</v>
      </c>
      <c r="D230" s="89"/>
      <c r="E230" s="89"/>
      <c r="F230" s="89"/>
      <c r="G230" s="89"/>
      <c r="H230" s="89"/>
      <c r="I230" s="90"/>
      <c r="J230" s="89"/>
      <c r="K230" s="89"/>
      <c r="L230" s="90" t="s">
        <v>88</v>
      </c>
      <c r="M230" s="89"/>
      <c r="N230" s="89"/>
      <c r="O230" s="87" t="s">
        <v>142</v>
      </c>
      <c r="P230" s="89"/>
      <c r="Q230" s="100" t="s">
        <v>1744</v>
      </c>
      <c r="R230" s="89"/>
      <c r="S230" s="92"/>
      <c r="T230" s="89"/>
      <c r="U230" s="92"/>
      <c r="V230" s="87" t="s">
        <v>89</v>
      </c>
      <c r="W230" s="87" t="s">
        <v>1214</v>
      </c>
      <c r="X230" s="87" t="s">
        <v>1871</v>
      </c>
      <c r="Y230" s="94">
        <v>41440.0</v>
      </c>
      <c r="Z230" s="90"/>
      <c r="AA230" s="90"/>
      <c r="AB230" s="92"/>
      <c r="AC230" s="81">
        <v>224.0</v>
      </c>
      <c r="AD230" s="92"/>
      <c r="AE230" s="87" t="s">
        <v>67</v>
      </c>
      <c r="AF230" s="92"/>
      <c r="AG230" s="87" t="s">
        <v>68</v>
      </c>
      <c r="AH230" s="92"/>
      <c r="AI230" s="96" t="s">
        <v>1872</v>
      </c>
      <c r="AJ230" s="87" t="s">
        <v>1873</v>
      </c>
      <c r="AK230" s="97" t="s">
        <v>1874</v>
      </c>
      <c r="AL230" s="87" t="s">
        <v>1875</v>
      </c>
      <c r="AM230" s="87" t="s">
        <v>73</v>
      </c>
      <c r="AN230" s="87" t="s">
        <v>74</v>
      </c>
      <c r="AO230" s="87" t="s">
        <v>360</v>
      </c>
      <c r="AP230" s="87" t="s">
        <v>566</v>
      </c>
      <c r="AQ230" s="87" t="s">
        <v>77</v>
      </c>
      <c r="AR230" s="87" t="s">
        <v>77</v>
      </c>
    </row>
    <row r="231">
      <c r="A231" s="89">
        <v>81.0</v>
      </c>
      <c r="B231" s="87" t="s">
        <v>1876</v>
      </c>
      <c r="C231" s="88" t="s">
        <v>1877</v>
      </c>
      <c r="D231" s="89"/>
      <c r="E231" s="89"/>
      <c r="F231" s="89"/>
      <c r="G231" s="89"/>
      <c r="H231" s="89"/>
      <c r="I231" s="90"/>
      <c r="J231" s="89"/>
      <c r="K231" s="89"/>
      <c r="L231" s="90" t="s">
        <v>88</v>
      </c>
      <c r="M231" s="89"/>
      <c r="N231" s="89"/>
      <c r="O231" s="87" t="s">
        <v>142</v>
      </c>
      <c r="P231" s="89"/>
      <c r="Q231" s="92" t="s">
        <v>1878</v>
      </c>
      <c r="R231" s="89"/>
      <c r="S231" s="92"/>
      <c r="T231" s="89"/>
      <c r="U231" s="92"/>
      <c r="V231" s="87" t="s">
        <v>89</v>
      </c>
      <c r="W231" s="87"/>
      <c r="X231" s="87" t="s">
        <v>648</v>
      </c>
      <c r="Y231" s="94">
        <v>45985.0</v>
      </c>
      <c r="Z231" s="90"/>
      <c r="AA231" s="90"/>
      <c r="AB231" s="92"/>
      <c r="AC231" s="81">
        <v>225.0</v>
      </c>
      <c r="AD231" s="92"/>
      <c r="AE231" s="87" t="s">
        <v>67</v>
      </c>
      <c r="AF231" s="92"/>
      <c r="AG231" s="87" t="s">
        <v>130</v>
      </c>
      <c r="AH231" s="92"/>
      <c r="AI231" s="96" t="s">
        <v>1879</v>
      </c>
      <c r="AJ231" s="87" t="s">
        <v>1880</v>
      </c>
      <c r="AK231" s="97" t="s">
        <v>1881</v>
      </c>
      <c r="AL231" s="87" t="s">
        <v>1882</v>
      </c>
      <c r="AM231" s="87" t="s">
        <v>96</v>
      </c>
      <c r="AN231" s="87" t="s">
        <v>150</v>
      </c>
      <c r="AO231" s="87" t="s">
        <v>281</v>
      </c>
      <c r="AP231" s="87" t="s">
        <v>1883</v>
      </c>
      <c r="AQ231" s="87"/>
      <c r="AR231" s="87"/>
    </row>
    <row r="232">
      <c r="A232" s="89">
        <v>82.0</v>
      </c>
      <c r="B232" s="87" t="s">
        <v>1884</v>
      </c>
      <c r="C232" s="88" t="s">
        <v>1885</v>
      </c>
      <c r="D232" s="89"/>
      <c r="E232" s="89"/>
      <c r="F232" s="89"/>
      <c r="G232" s="89"/>
      <c r="H232" s="89"/>
      <c r="I232" s="90"/>
      <c r="J232" s="89"/>
      <c r="K232" s="89"/>
      <c r="L232" s="90" t="s">
        <v>88</v>
      </c>
      <c r="M232" s="89"/>
      <c r="N232" s="89"/>
      <c r="O232" s="87" t="s">
        <v>142</v>
      </c>
      <c r="P232" s="89"/>
      <c r="Q232" s="100" t="s">
        <v>1886</v>
      </c>
      <c r="R232" s="89"/>
      <c r="S232" s="92"/>
      <c r="T232" s="89"/>
      <c r="U232" s="92"/>
      <c r="V232" s="87" t="s">
        <v>89</v>
      </c>
      <c r="W232" s="87" t="s">
        <v>1887</v>
      </c>
      <c r="X232" s="87" t="s">
        <v>1888</v>
      </c>
      <c r="Y232" s="94">
        <v>41881.0</v>
      </c>
      <c r="Z232" s="90"/>
      <c r="AA232" s="90"/>
      <c r="AB232" s="92"/>
      <c r="AC232" s="81">
        <v>226.0</v>
      </c>
      <c r="AD232" s="92"/>
      <c r="AE232" s="87" t="s">
        <v>67</v>
      </c>
      <c r="AF232" s="92"/>
      <c r="AG232" s="87" t="s">
        <v>130</v>
      </c>
      <c r="AH232" s="92"/>
      <c r="AI232" s="96">
        <v>8.1265070778E10</v>
      </c>
      <c r="AJ232" s="87" t="s">
        <v>1889</v>
      </c>
      <c r="AK232" s="97" t="s">
        <v>1890</v>
      </c>
      <c r="AL232" s="87" t="s">
        <v>1891</v>
      </c>
      <c r="AM232" s="87" t="s">
        <v>96</v>
      </c>
      <c r="AN232" s="87" t="s">
        <v>97</v>
      </c>
      <c r="AO232" s="87" t="s">
        <v>1429</v>
      </c>
      <c r="AP232" s="87" t="s">
        <v>1892</v>
      </c>
      <c r="AQ232" s="87">
        <v>0.0</v>
      </c>
      <c r="AR232" s="87">
        <v>0.0</v>
      </c>
    </row>
    <row r="233">
      <c r="A233" s="89">
        <v>83.0</v>
      </c>
      <c r="B233" s="87" t="s">
        <v>1893</v>
      </c>
      <c r="C233" s="88" t="s">
        <v>1894</v>
      </c>
      <c r="D233" s="89"/>
      <c r="E233" s="89"/>
      <c r="F233" s="89"/>
      <c r="G233" s="89"/>
      <c r="H233" s="89"/>
      <c r="I233" s="90"/>
      <c r="J233" s="89"/>
      <c r="K233" s="89"/>
      <c r="L233" s="90" t="s">
        <v>88</v>
      </c>
      <c r="M233" s="89"/>
      <c r="N233" s="89"/>
      <c r="O233" s="87" t="s">
        <v>142</v>
      </c>
      <c r="P233" s="89"/>
      <c r="Q233" s="100" t="s">
        <v>1707</v>
      </c>
      <c r="R233" s="89"/>
      <c r="S233" s="92"/>
      <c r="T233" s="89"/>
      <c r="U233" s="92"/>
      <c r="V233" s="87" t="s">
        <v>89</v>
      </c>
      <c r="W233" s="87" t="s">
        <v>90</v>
      </c>
      <c r="X233" s="87" t="s">
        <v>1119</v>
      </c>
      <c r="Y233" s="99">
        <v>44169.0</v>
      </c>
      <c r="Z233" s="90"/>
      <c r="AA233" s="90"/>
      <c r="AB233" s="92"/>
      <c r="AC233" s="81">
        <v>227.0</v>
      </c>
      <c r="AD233" s="92"/>
      <c r="AE233" s="87" t="s">
        <v>67</v>
      </c>
      <c r="AF233" s="92"/>
      <c r="AG233" s="87" t="s">
        <v>68</v>
      </c>
      <c r="AH233" s="92"/>
      <c r="AI233" s="96">
        <v>8.1319573648E10</v>
      </c>
      <c r="AJ233" s="87" t="s">
        <v>1895</v>
      </c>
      <c r="AK233" s="97" t="s">
        <v>1896</v>
      </c>
      <c r="AL233" s="87" t="s">
        <v>1897</v>
      </c>
      <c r="AM233" s="87" t="s">
        <v>96</v>
      </c>
      <c r="AN233" s="87" t="s">
        <v>97</v>
      </c>
      <c r="AO233" s="87" t="s">
        <v>236</v>
      </c>
      <c r="AP233" s="87" t="s">
        <v>1898</v>
      </c>
      <c r="AQ233" s="87">
        <v>0.0</v>
      </c>
      <c r="AR233" s="87">
        <v>0.0</v>
      </c>
    </row>
    <row r="234">
      <c r="A234" s="89">
        <v>84.0</v>
      </c>
      <c r="B234" s="87" t="s">
        <v>1899</v>
      </c>
      <c r="C234" s="88" t="s">
        <v>1900</v>
      </c>
      <c r="D234" s="89"/>
      <c r="E234" s="89"/>
      <c r="F234" s="89"/>
      <c r="G234" s="89"/>
      <c r="H234" s="89"/>
      <c r="I234" s="90"/>
      <c r="J234" s="89"/>
      <c r="K234" s="89"/>
      <c r="L234" s="90" t="s">
        <v>88</v>
      </c>
      <c r="M234" s="89"/>
      <c r="N234" s="89"/>
      <c r="O234" s="87" t="s">
        <v>142</v>
      </c>
      <c r="P234" s="89"/>
      <c r="Q234" s="100" t="s">
        <v>1744</v>
      </c>
      <c r="R234" s="89"/>
      <c r="S234" s="92"/>
      <c r="T234" s="89"/>
      <c r="U234" s="92"/>
      <c r="V234" s="87" t="s">
        <v>89</v>
      </c>
      <c r="W234" s="87"/>
      <c r="X234" s="87" t="s">
        <v>641</v>
      </c>
      <c r="Y234" s="99">
        <v>44537.0</v>
      </c>
      <c r="Z234" s="90"/>
      <c r="AA234" s="90"/>
      <c r="AB234" s="92"/>
      <c r="AC234" s="81">
        <v>228.0</v>
      </c>
      <c r="AD234" s="92"/>
      <c r="AE234" s="87" t="s">
        <v>67</v>
      </c>
      <c r="AF234" s="92"/>
      <c r="AG234" s="87" t="s">
        <v>130</v>
      </c>
      <c r="AH234" s="92"/>
      <c r="AI234" s="96">
        <v>8.1362182666E10</v>
      </c>
      <c r="AJ234" s="87" t="s">
        <v>1901</v>
      </c>
      <c r="AK234" s="97" t="s">
        <v>1902</v>
      </c>
      <c r="AL234" s="87" t="s">
        <v>1903</v>
      </c>
      <c r="AM234" s="87" t="s">
        <v>96</v>
      </c>
      <c r="AN234" s="87" t="s">
        <v>835</v>
      </c>
      <c r="AO234" s="87" t="s">
        <v>499</v>
      </c>
      <c r="AP234" s="87" t="s">
        <v>1358</v>
      </c>
      <c r="AQ234" s="87">
        <v>0.0</v>
      </c>
      <c r="AR234" s="87">
        <v>0.0</v>
      </c>
    </row>
    <row r="235">
      <c r="A235" s="89">
        <v>85.0</v>
      </c>
      <c r="B235" s="87" t="s">
        <v>1904</v>
      </c>
      <c r="C235" s="88" t="s">
        <v>1905</v>
      </c>
      <c r="D235" s="89"/>
      <c r="E235" s="89"/>
      <c r="F235" s="89"/>
      <c r="G235" s="89"/>
      <c r="H235" s="89"/>
      <c r="I235" s="90"/>
      <c r="J235" s="89"/>
      <c r="K235" s="89"/>
      <c r="L235" s="90" t="s">
        <v>88</v>
      </c>
      <c r="M235" s="89"/>
      <c r="N235" s="89"/>
      <c r="O235" s="87" t="s">
        <v>142</v>
      </c>
      <c r="P235" s="89"/>
      <c r="Q235" s="100" t="s">
        <v>1886</v>
      </c>
      <c r="R235" s="89"/>
      <c r="S235" s="92"/>
      <c r="T235" s="89"/>
      <c r="U235" s="92"/>
      <c r="V235" s="87" t="s">
        <v>89</v>
      </c>
      <c r="W235" s="87" t="s">
        <v>1906</v>
      </c>
      <c r="X235" s="87" t="s">
        <v>1907</v>
      </c>
      <c r="Y235" s="99">
        <v>39387.0</v>
      </c>
      <c r="Z235" s="90"/>
      <c r="AA235" s="90"/>
      <c r="AB235" s="92"/>
      <c r="AC235" s="81">
        <v>229.0</v>
      </c>
      <c r="AD235" s="92"/>
      <c r="AE235" s="87" t="s">
        <v>220</v>
      </c>
      <c r="AF235" s="92"/>
      <c r="AG235" s="87" t="s">
        <v>130</v>
      </c>
      <c r="AH235" s="92"/>
      <c r="AI235" s="96">
        <v>8.5358808879E10</v>
      </c>
      <c r="AJ235" s="87" t="s">
        <v>1908</v>
      </c>
      <c r="AK235" s="97" t="s">
        <v>1909</v>
      </c>
      <c r="AL235" s="87" t="s">
        <v>1910</v>
      </c>
      <c r="AM235" s="87" t="s">
        <v>73</v>
      </c>
      <c r="AN235" s="87" t="s">
        <v>74</v>
      </c>
      <c r="AO235" s="87" t="s">
        <v>989</v>
      </c>
      <c r="AP235" s="87" t="s">
        <v>1585</v>
      </c>
      <c r="AQ235" s="87"/>
      <c r="AR235" s="87"/>
    </row>
    <row r="236">
      <c r="A236" s="89">
        <v>86.0</v>
      </c>
      <c r="B236" s="87" t="s">
        <v>1911</v>
      </c>
      <c r="C236" s="88" t="s">
        <v>1912</v>
      </c>
      <c r="D236" s="89"/>
      <c r="E236" s="89"/>
      <c r="F236" s="89"/>
      <c r="G236" s="89"/>
      <c r="H236" s="89"/>
      <c r="I236" s="90"/>
      <c r="J236" s="89"/>
      <c r="K236" s="89"/>
      <c r="L236" s="90" t="s">
        <v>88</v>
      </c>
      <c r="M236" s="89"/>
      <c r="N236" s="89"/>
      <c r="O236" s="87" t="s">
        <v>142</v>
      </c>
      <c r="P236" s="89"/>
      <c r="Q236" s="100" t="s">
        <v>1744</v>
      </c>
      <c r="R236" s="89"/>
      <c r="S236" s="92"/>
      <c r="T236" s="89"/>
      <c r="U236" s="92"/>
      <c r="V236" s="87" t="s">
        <v>89</v>
      </c>
      <c r="W236" s="87" t="s">
        <v>1913</v>
      </c>
      <c r="X236" s="87" t="s">
        <v>1914</v>
      </c>
      <c r="Y236" s="94">
        <v>43400.0</v>
      </c>
      <c r="Z236" s="90"/>
      <c r="AA236" s="90"/>
      <c r="AB236" s="92"/>
      <c r="AC236" s="81">
        <v>230.0</v>
      </c>
      <c r="AD236" s="92"/>
      <c r="AE236" s="87" t="s">
        <v>67</v>
      </c>
      <c r="AF236" s="92"/>
      <c r="AG236" s="87" t="s">
        <v>130</v>
      </c>
      <c r="AH236" s="92"/>
      <c r="AI236" s="96">
        <v>8.2168606309E10</v>
      </c>
      <c r="AJ236" s="87" t="s">
        <v>1915</v>
      </c>
      <c r="AK236" s="97" t="s">
        <v>1916</v>
      </c>
      <c r="AL236" s="87" t="s">
        <v>1917</v>
      </c>
      <c r="AM236" s="87" t="s">
        <v>96</v>
      </c>
      <c r="AN236" s="87" t="s">
        <v>97</v>
      </c>
      <c r="AO236" s="87" t="s">
        <v>272</v>
      </c>
      <c r="AP236" s="87" t="s">
        <v>334</v>
      </c>
      <c r="AQ236" s="87">
        <v>0.0</v>
      </c>
      <c r="AR236" s="87">
        <v>0.0</v>
      </c>
    </row>
    <row r="237">
      <c r="A237" s="108"/>
      <c r="B237" s="109"/>
      <c r="C237" s="110"/>
      <c r="D237" s="108"/>
      <c r="E237" s="108"/>
      <c r="F237" s="108"/>
      <c r="G237" s="108"/>
      <c r="H237" s="111"/>
      <c r="I237" s="109"/>
      <c r="J237" s="108"/>
      <c r="K237" s="108"/>
      <c r="L237" s="109"/>
      <c r="M237" s="111"/>
      <c r="N237" s="108"/>
      <c r="O237" s="109"/>
      <c r="P237" s="108"/>
      <c r="Q237" s="109"/>
      <c r="R237" s="111"/>
      <c r="S237" s="109"/>
      <c r="T237" s="112"/>
      <c r="U237" s="109"/>
      <c r="V237" s="109"/>
      <c r="W237" s="109"/>
      <c r="X237" s="109"/>
      <c r="Y237" s="113"/>
      <c r="Z237" s="109"/>
      <c r="AA237" s="114"/>
      <c r="AB237" s="114"/>
      <c r="AC237" s="81">
        <v>231.0</v>
      </c>
      <c r="AD237" s="109"/>
      <c r="AE237" s="114"/>
      <c r="AF237" s="109"/>
      <c r="AG237" s="109"/>
      <c r="AH237" s="109"/>
      <c r="AI237" s="114"/>
      <c r="AJ237" s="114"/>
      <c r="AK237" s="115"/>
      <c r="AL237" s="114"/>
      <c r="AM237" s="114"/>
      <c r="AN237" s="109"/>
      <c r="AO237" s="114"/>
      <c r="AP237" s="114"/>
      <c r="AQ237" s="109"/>
      <c r="AR237" s="109"/>
    </row>
    <row r="238">
      <c r="A238" s="12" t="s">
        <v>1918</v>
      </c>
      <c r="B238" s="116"/>
      <c r="C238" s="117"/>
      <c r="D238" s="118"/>
      <c r="E238" s="118"/>
      <c r="F238" s="118"/>
      <c r="G238" s="118"/>
      <c r="H238" s="118"/>
      <c r="I238" s="116"/>
      <c r="J238" s="118"/>
      <c r="K238" s="118"/>
      <c r="L238" s="116"/>
      <c r="M238" s="118"/>
      <c r="N238" s="118"/>
      <c r="O238" s="116"/>
      <c r="P238" s="118"/>
      <c r="Q238" s="116"/>
      <c r="R238" s="118"/>
      <c r="S238" s="116"/>
      <c r="T238" s="118"/>
      <c r="U238" s="116"/>
      <c r="V238" s="116"/>
      <c r="W238" s="116"/>
      <c r="X238" s="116"/>
      <c r="Y238" s="116"/>
      <c r="Z238" s="116"/>
      <c r="AA238" s="116"/>
      <c r="AB238" s="116"/>
      <c r="AC238" s="81">
        <v>232.0</v>
      </c>
      <c r="AD238" s="119"/>
      <c r="AE238" s="119"/>
      <c r="AF238" s="119"/>
      <c r="AG238" s="119"/>
      <c r="AH238" s="119"/>
      <c r="AI238" s="119"/>
      <c r="AJ238" s="119"/>
      <c r="AK238" s="29"/>
      <c r="AL238" s="119"/>
      <c r="AM238" s="119"/>
      <c r="AN238" s="119"/>
      <c r="AO238" s="119"/>
      <c r="AP238" s="119"/>
      <c r="AQ238" s="119"/>
      <c r="AR238" s="119"/>
    </row>
    <row r="239">
      <c r="A239" s="21">
        <f>SUM(A237+1)</f>
        <v>1</v>
      </c>
      <c r="B239" s="21" t="s">
        <v>1919</v>
      </c>
      <c r="C239" s="38" t="s">
        <v>1920</v>
      </c>
      <c r="D239" s="23">
        <v>14.0</v>
      </c>
      <c r="E239" s="23">
        <v>9.0</v>
      </c>
      <c r="F239" s="23" t="s">
        <v>50</v>
      </c>
      <c r="G239" s="23" t="s">
        <v>51</v>
      </c>
      <c r="H239" s="24">
        <v>39873.0</v>
      </c>
      <c r="I239" s="21" t="s">
        <v>82</v>
      </c>
      <c r="J239" s="21" t="s">
        <v>83</v>
      </c>
      <c r="K239" s="21" t="s">
        <v>417</v>
      </c>
      <c r="L239" s="21" t="s">
        <v>105</v>
      </c>
      <c r="M239" s="25">
        <v>45566.0</v>
      </c>
      <c r="N239" s="23" t="s">
        <v>56</v>
      </c>
      <c r="O239" s="21" t="s">
        <v>1921</v>
      </c>
      <c r="P239" s="23" t="s">
        <v>1296</v>
      </c>
      <c r="Q239" s="21" t="s">
        <v>59</v>
      </c>
      <c r="R239" s="24">
        <v>46076.0</v>
      </c>
      <c r="S239" s="23" t="s">
        <v>87</v>
      </c>
      <c r="T239" s="29"/>
      <c r="U239" s="23" t="s">
        <v>88</v>
      </c>
      <c r="V239" s="21" t="s">
        <v>159</v>
      </c>
      <c r="W239" s="21" t="s">
        <v>647</v>
      </c>
      <c r="X239" s="21" t="s">
        <v>745</v>
      </c>
      <c r="Y239" s="21" t="s">
        <v>1482</v>
      </c>
      <c r="Z239" s="23" t="s">
        <v>114</v>
      </c>
      <c r="AA239" s="28">
        <v>51870.0</v>
      </c>
      <c r="AB239" s="29"/>
      <c r="AC239" s="23">
        <v>93.0</v>
      </c>
      <c r="AD239" s="21" t="s">
        <v>66</v>
      </c>
      <c r="AE239" s="21" t="s">
        <v>67</v>
      </c>
      <c r="AF239" s="21" t="s">
        <v>92</v>
      </c>
      <c r="AG239" s="21" t="s">
        <v>68</v>
      </c>
      <c r="AH239" s="21" t="s">
        <v>69</v>
      </c>
      <c r="AI239" s="21">
        <v>8.2133338304E10</v>
      </c>
      <c r="AJ239" s="21" t="s">
        <v>1922</v>
      </c>
      <c r="AK239" s="21" t="s">
        <v>1923</v>
      </c>
      <c r="AL239" s="21" t="s">
        <v>1924</v>
      </c>
      <c r="AM239" s="21" t="s">
        <v>96</v>
      </c>
      <c r="AN239" s="21" t="s">
        <v>74</v>
      </c>
      <c r="AO239" s="21" t="s">
        <v>454</v>
      </c>
      <c r="AP239" s="21" t="s">
        <v>1753</v>
      </c>
      <c r="AQ239" s="30"/>
      <c r="AR239" s="30"/>
    </row>
    <row r="240">
      <c r="A240" s="21">
        <f t="shared" ref="A240:A278" si="4">SUM(A239+1)</f>
        <v>2</v>
      </c>
      <c r="B240" s="21" t="s">
        <v>1925</v>
      </c>
      <c r="C240" s="38" t="s">
        <v>1926</v>
      </c>
      <c r="D240" s="23">
        <v>23.0</v>
      </c>
      <c r="E240" s="23">
        <v>10.0</v>
      </c>
      <c r="F240" s="23" t="s">
        <v>50</v>
      </c>
      <c r="G240" s="23" t="s">
        <v>51</v>
      </c>
      <c r="H240" s="24">
        <v>39083.0</v>
      </c>
      <c r="I240" s="21" t="s">
        <v>82</v>
      </c>
      <c r="J240" s="21" t="s">
        <v>83</v>
      </c>
      <c r="K240" s="21" t="s">
        <v>217</v>
      </c>
      <c r="L240" s="21" t="s">
        <v>61</v>
      </c>
      <c r="M240" s="25">
        <v>45383.0</v>
      </c>
      <c r="N240" s="23" t="s">
        <v>56</v>
      </c>
      <c r="O240" s="21" t="s">
        <v>1927</v>
      </c>
      <c r="P240" s="23" t="s">
        <v>107</v>
      </c>
      <c r="Q240" s="21" t="s">
        <v>1928</v>
      </c>
      <c r="R240" s="24">
        <v>46076.0</v>
      </c>
      <c r="S240" s="23" t="s">
        <v>87</v>
      </c>
      <c r="T240" s="29"/>
      <c r="U240" s="23" t="s">
        <v>105</v>
      </c>
      <c r="V240" s="21" t="s">
        <v>89</v>
      </c>
      <c r="W240" s="21" t="s">
        <v>1214</v>
      </c>
      <c r="X240" s="21" t="s">
        <v>1929</v>
      </c>
      <c r="Y240" s="21" t="s">
        <v>1930</v>
      </c>
      <c r="Z240" s="30"/>
      <c r="AA240" s="28">
        <v>46758.0</v>
      </c>
      <c r="AB240" s="29"/>
      <c r="AC240" s="23">
        <v>94.0</v>
      </c>
      <c r="AD240" s="21" t="s">
        <v>66</v>
      </c>
      <c r="AE240" s="21" t="s">
        <v>67</v>
      </c>
      <c r="AF240" s="21" t="s">
        <v>92</v>
      </c>
      <c r="AG240" s="21" t="s">
        <v>68</v>
      </c>
      <c r="AH240" s="21" t="s">
        <v>288</v>
      </c>
      <c r="AI240" s="21">
        <v>8.116070525E9</v>
      </c>
      <c r="AJ240" s="21" t="s">
        <v>1931</v>
      </c>
      <c r="AK240" s="21" t="s">
        <v>1932</v>
      </c>
      <c r="AL240" s="21" t="s">
        <v>1933</v>
      </c>
      <c r="AM240" s="21" t="s">
        <v>96</v>
      </c>
      <c r="AN240" s="21" t="s">
        <v>481</v>
      </c>
      <c r="AO240" s="21" t="s">
        <v>1291</v>
      </c>
      <c r="AP240" s="21" t="s">
        <v>167</v>
      </c>
      <c r="AQ240" s="30"/>
      <c r="AR240" s="30"/>
    </row>
    <row r="241">
      <c r="A241" s="21">
        <f t="shared" si="4"/>
        <v>3</v>
      </c>
      <c r="B241" s="21" t="s">
        <v>1934</v>
      </c>
      <c r="C241" s="38" t="s">
        <v>1935</v>
      </c>
      <c r="D241" s="23">
        <v>15.0</v>
      </c>
      <c r="E241" s="23">
        <v>7.0</v>
      </c>
      <c r="F241" s="23" t="s">
        <v>50</v>
      </c>
      <c r="G241" s="23" t="s">
        <v>51</v>
      </c>
      <c r="H241" s="24">
        <v>40179.0</v>
      </c>
      <c r="I241" s="21" t="s">
        <v>82</v>
      </c>
      <c r="J241" s="21" t="s">
        <v>83</v>
      </c>
      <c r="K241" s="21" t="s">
        <v>184</v>
      </c>
      <c r="L241" s="21" t="s">
        <v>105</v>
      </c>
      <c r="M241" s="25">
        <v>45870.0</v>
      </c>
      <c r="N241" s="23" t="s">
        <v>56</v>
      </c>
      <c r="O241" s="21" t="s">
        <v>1936</v>
      </c>
      <c r="P241" s="23" t="s">
        <v>107</v>
      </c>
      <c r="Q241" s="21" t="s">
        <v>1937</v>
      </c>
      <c r="R241" s="24">
        <v>46076.0</v>
      </c>
      <c r="S241" s="23" t="s">
        <v>87</v>
      </c>
      <c r="T241" s="29"/>
      <c r="U241" s="23" t="s">
        <v>105</v>
      </c>
      <c r="V241" s="21" t="s">
        <v>159</v>
      </c>
      <c r="W241" s="21" t="s">
        <v>218</v>
      </c>
      <c r="X241" s="21" t="s">
        <v>198</v>
      </c>
      <c r="Y241" s="27">
        <v>43008.0</v>
      </c>
      <c r="Z241" s="56"/>
      <c r="AA241" s="28">
        <v>50412.0</v>
      </c>
      <c r="AB241" s="29"/>
      <c r="AC241" s="23">
        <v>95.0</v>
      </c>
      <c r="AD241" s="21" t="s">
        <v>66</v>
      </c>
      <c r="AE241" s="21" t="s">
        <v>67</v>
      </c>
      <c r="AF241" s="21" t="s">
        <v>92</v>
      </c>
      <c r="AG241" s="21" t="s">
        <v>68</v>
      </c>
      <c r="AH241" s="21" t="s">
        <v>69</v>
      </c>
      <c r="AI241" s="21">
        <v>8.5358990306E10</v>
      </c>
      <c r="AJ241" s="21" t="s">
        <v>1938</v>
      </c>
      <c r="AK241" s="21" t="s">
        <v>1939</v>
      </c>
      <c r="AL241" s="21" t="s">
        <v>1940</v>
      </c>
      <c r="AM241" s="21" t="s">
        <v>96</v>
      </c>
      <c r="AN241" s="21" t="s">
        <v>97</v>
      </c>
      <c r="AO241" s="21" t="s">
        <v>1941</v>
      </c>
      <c r="AP241" s="21" t="s">
        <v>1942</v>
      </c>
      <c r="AQ241" s="30"/>
      <c r="AR241" s="30"/>
    </row>
    <row r="242">
      <c r="A242" s="21">
        <f t="shared" si="4"/>
        <v>4</v>
      </c>
      <c r="B242" s="39" t="s">
        <v>1943</v>
      </c>
      <c r="C242" s="57" t="s">
        <v>1944</v>
      </c>
      <c r="D242" s="39">
        <v>17.0</v>
      </c>
      <c r="E242" s="39">
        <v>4.0</v>
      </c>
      <c r="F242" s="39" t="s">
        <v>80</v>
      </c>
      <c r="G242" s="39" t="s">
        <v>81</v>
      </c>
      <c r="H242" s="42">
        <v>37653.0</v>
      </c>
      <c r="I242" s="39" t="s">
        <v>254</v>
      </c>
      <c r="J242" s="39" t="s">
        <v>255</v>
      </c>
      <c r="K242" s="39" t="s">
        <v>1945</v>
      </c>
      <c r="L242" s="39" t="s">
        <v>55</v>
      </c>
      <c r="M242" s="42">
        <v>43556.0</v>
      </c>
      <c r="N242" s="39" t="s">
        <v>141</v>
      </c>
      <c r="O242" s="39" t="s">
        <v>229</v>
      </c>
      <c r="P242" s="43"/>
      <c r="Q242" s="39" t="s">
        <v>1937</v>
      </c>
      <c r="R242" s="42">
        <v>45292.0</v>
      </c>
      <c r="S242" s="39" t="s">
        <v>143</v>
      </c>
      <c r="T242" s="46"/>
      <c r="U242" s="39" t="s">
        <v>144</v>
      </c>
      <c r="V242" s="39" t="s">
        <v>159</v>
      </c>
      <c r="W242" s="39" t="s">
        <v>259</v>
      </c>
      <c r="X242" s="39" t="s">
        <v>198</v>
      </c>
      <c r="Y242" s="47">
        <v>42333.0</v>
      </c>
      <c r="Z242" s="39" t="s">
        <v>114</v>
      </c>
      <c r="AA242" s="45">
        <v>48218.0</v>
      </c>
      <c r="AB242" s="46"/>
      <c r="AC242" s="23">
        <v>96.0</v>
      </c>
      <c r="AD242" s="39" t="s">
        <v>66</v>
      </c>
      <c r="AE242" s="39" t="s">
        <v>67</v>
      </c>
      <c r="AF242" s="39" t="s">
        <v>92</v>
      </c>
      <c r="AG242" s="39" t="s">
        <v>68</v>
      </c>
      <c r="AH242" s="39" t="s">
        <v>69</v>
      </c>
      <c r="AI242" s="39">
        <v>8.12644094E9</v>
      </c>
      <c r="AJ242" s="39" t="s">
        <v>1946</v>
      </c>
      <c r="AK242" s="39" t="s">
        <v>1947</v>
      </c>
      <c r="AL242" s="39" t="s">
        <v>1948</v>
      </c>
      <c r="AM242" s="39" t="s">
        <v>96</v>
      </c>
      <c r="AN242" s="39" t="s">
        <v>74</v>
      </c>
      <c r="AO242" s="39" t="s">
        <v>360</v>
      </c>
      <c r="AP242" s="39">
        <v>20134.0</v>
      </c>
      <c r="AQ242" s="43"/>
      <c r="AR242" s="43"/>
    </row>
    <row r="243">
      <c r="A243" s="21">
        <f t="shared" si="4"/>
        <v>5</v>
      </c>
      <c r="B243" s="39" t="s">
        <v>1949</v>
      </c>
      <c r="C243" s="57" t="s">
        <v>1950</v>
      </c>
      <c r="D243" s="39">
        <v>20.0</v>
      </c>
      <c r="E243" s="39">
        <v>7.0</v>
      </c>
      <c r="F243" s="39" t="s">
        <v>80</v>
      </c>
      <c r="G243" s="39" t="s">
        <v>81</v>
      </c>
      <c r="H243" s="42">
        <v>37530.0</v>
      </c>
      <c r="I243" s="39" t="s">
        <v>254</v>
      </c>
      <c r="J243" s="39" t="s">
        <v>255</v>
      </c>
      <c r="K243" s="39" t="s">
        <v>1951</v>
      </c>
      <c r="L243" s="39" t="s">
        <v>55</v>
      </c>
      <c r="M243" s="42">
        <v>44835.0</v>
      </c>
      <c r="N243" s="39" t="s">
        <v>56</v>
      </c>
      <c r="O243" s="39" t="s">
        <v>173</v>
      </c>
      <c r="P243" s="43"/>
      <c r="Q243" s="39" t="s">
        <v>1952</v>
      </c>
      <c r="R243" s="42">
        <v>45665.0</v>
      </c>
      <c r="S243" s="120" t="s">
        <v>1953</v>
      </c>
      <c r="T243" s="46"/>
      <c r="U243" s="39" t="s">
        <v>1954</v>
      </c>
      <c r="V243" s="39" t="s">
        <v>159</v>
      </c>
      <c r="W243" s="39" t="s">
        <v>503</v>
      </c>
      <c r="X243" s="39" t="s">
        <v>1955</v>
      </c>
      <c r="Y243" s="39" t="s">
        <v>1956</v>
      </c>
      <c r="Z243" s="39" t="s">
        <v>65</v>
      </c>
      <c r="AA243" s="45">
        <v>48224.0</v>
      </c>
      <c r="AB243" s="46"/>
      <c r="AC243" s="23">
        <v>97.0</v>
      </c>
      <c r="AD243" s="39" t="s">
        <v>66</v>
      </c>
      <c r="AE243" s="39" t="s">
        <v>220</v>
      </c>
      <c r="AF243" s="39" t="s">
        <v>92</v>
      </c>
      <c r="AG243" s="39" t="s">
        <v>130</v>
      </c>
      <c r="AH243" s="39" t="s">
        <v>69</v>
      </c>
      <c r="AI243" s="39">
        <v>8.116507709E9</v>
      </c>
      <c r="AJ243" s="39" t="s">
        <v>1957</v>
      </c>
      <c r="AK243" s="39" t="s">
        <v>1958</v>
      </c>
      <c r="AL243" s="39" t="s">
        <v>1959</v>
      </c>
      <c r="AM243" s="39" t="s">
        <v>96</v>
      </c>
      <c r="AN243" s="43"/>
      <c r="AO243" s="39" t="s">
        <v>1429</v>
      </c>
      <c r="AP243" s="39" t="s">
        <v>1960</v>
      </c>
      <c r="AQ243" s="43"/>
      <c r="AR243" s="43"/>
    </row>
    <row r="244">
      <c r="A244" s="21">
        <f t="shared" si="4"/>
        <v>6</v>
      </c>
      <c r="B244" s="39" t="s">
        <v>1961</v>
      </c>
      <c r="C244" s="57" t="s">
        <v>1962</v>
      </c>
      <c r="D244" s="39">
        <v>16.0</v>
      </c>
      <c r="E244" s="39">
        <v>1.0</v>
      </c>
      <c r="F244" s="39" t="s">
        <v>50</v>
      </c>
      <c r="G244" s="39" t="s">
        <v>51</v>
      </c>
      <c r="H244" s="42">
        <v>35034.0</v>
      </c>
      <c r="I244" s="39" t="s">
        <v>82</v>
      </c>
      <c r="J244" s="39" t="s">
        <v>83</v>
      </c>
      <c r="K244" s="39" t="s">
        <v>1963</v>
      </c>
      <c r="L244" s="39" t="s">
        <v>61</v>
      </c>
      <c r="M244" s="42">
        <v>42095.0</v>
      </c>
      <c r="N244" s="39" t="s">
        <v>141</v>
      </c>
      <c r="O244" s="39" t="s">
        <v>229</v>
      </c>
      <c r="P244" s="43"/>
      <c r="Q244" s="39" t="s">
        <v>1937</v>
      </c>
      <c r="R244" s="42">
        <v>45292.0</v>
      </c>
      <c r="S244" s="39" t="s">
        <v>143</v>
      </c>
      <c r="T244" s="46"/>
      <c r="U244" s="39" t="s">
        <v>144</v>
      </c>
      <c r="V244" s="39" t="s">
        <v>89</v>
      </c>
      <c r="W244" s="39" t="s">
        <v>1214</v>
      </c>
      <c r="X244" s="39" t="s">
        <v>1964</v>
      </c>
      <c r="Y244" s="39" t="s">
        <v>1965</v>
      </c>
      <c r="Z244" s="39" t="s">
        <v>65</v>
      </c>
      <c r="AA244" s="45">
        <v>48222.0</v>
      </c>
      <c r="AB244" s="46"/>
      <c r="AC244" s="23">
        <v>98.0</v>
      </c>
      <c r="AD244" s="39" t="s">
        <v>66</v>
      </c>
      <c r="AE244" s="39" t="s">
        <v>67</v>
      </c>
      <c r="AF244" s="39" t="s">
        <v>92</v>
      </c>
      <c r="AG244" s="39" t="s">
        <v>130</v>
      </c>
      <c r="AH244" s="39" t="s">
        <v>69</v>
      </c>
      <c r="AI244" s="39">
        <v>8.1164082E9</v>
      </c>
      <c r="AJ244" s="39" t="s">
        <v>1966</v>
      </c>
      <c r="AK244" s="39" t="s">
        <v>1967</v>
      </c>
      <c r="AL244" s="39" t="s">
        <v>1968</v>
      </c>
      <c r="AM244" s="39" t="s">
        <v>96</v>
      </c>
      <c r="AN244" s="39" t="s">
        <v>97</v>
      </c>
      <c r="AO244" s="39" t="s">
        <v>292</v>
      </c>
      <c r="AP244" s="39" t="s">
        <v>1969</v>
      </c>
      <c r="AQ244" s="43"/>
      <c r="AR244" s="43"/>
    </row>
    <row r="245">
      <c r="A245" s="21">
        <f t="shared" si="4"/>
        <v>7</v>
      </c>
      <c r="B245" s="39" t="s">
        <v>1970</v>
      </c>
      <c r="C245" s="57" t="s">
        <v>1971</v>
      </c>
      <c r="D245" s="39">
        <v>22.0</v>
      </c>
      <c r="E245" s="39">
        <v>1.0</v>
      </c>
      <c r="F245" s="39" t="s">
        <v>50</v>
      </c>
      <c r="G245" s="39" t="s">
        <v>51</v>
      </c>
      <c r="H245" s="42">
        <v>33664.0</v>
      </c>
      <c r="I245" s="39" t="s">
        <v>82</v>
      </c>
      <c r="J245" s="39" t="s">
        <v>83</v>
      </c>
      <c r="K245" s="39" t="s">
        <v>1972</v>
      </c>
      <c r="L245" s="39" t="s">
        <v>1314</v>
      </c>
      <c r="M245" s="42">
        <v>43556.0</v>
      </c>
      <c r="N245" s="39" t="s">
        <v>141</v>
      </c>
      <c r="O245" s="39" t="s">
        <v>229</v>
      </c>
      <c r="P245" s="43"/>
      <c r="Q245" s="39" t="s">
        <v>1937</v>
      </c>
      <c r="R245" s="42">
        <v>45292.0</v>
      </c>
      <c r="S245" s="39" t="s">
        <v>143</v>
      </c>
      <c r="T245" s="46"/>
      <c r="U245" s="39" t="s">
        <v>144</v>
      </c>
      <c r="V245" s="39" t="s">
        <v>89</v>
      </c>
      <c r="W245" s="39" t="s">
        <v>218</v>
      </c>
      <c r="X245" s="39" t="s">
        <v>1973</v>
      </c>
      <c r="Y245" s="39" t="s">
        <v>1974</v>
      </c>
      <c r="Z245" s="39" t="s">
        <v>114</v>
      </c>
      <c r="AA245" s="45">
        <v>46393.0</v>
      </c>
      <c r="AB245" s="46"/>
      <c r="AC245" s="23">
        <v>99.0</v>
      </c>
      <c r="AD245" s="39" t="s">
        <v>66</v>
      </c>
      <c r="AE245" s="39" t="s">
        <v>67</v>
      </c>
      <c r="AF245" s="39" t="s">
        <v>92</v>
      </c>
      <c r="AG245" s="39" t="s">
        <v>130</v>
      </c>
      <c r="AH245" s="39" t="s">
        <v>288</v>
      </c>
      <c r="AI245" s="39">
        <v>8.1376277269E10</v>
      </c>
      <c r="AJ245" s="39" t="s">
        <v>1975</v>
      </c>
      <c r="AK245" s="39" t="s">
        <v>1976</v>
      </c>
      <c r="AL245" s="39" t="s">
        <v>1977</v>
      </c>
      <c r="AM245" s="39" t="s">
        <v>96</v>
      </c>
      <c r="AN245" s="39" t="s">
        <v>481</v>
      </c>
      <c r="AO245" s="39" t="s">
        <v>236</v>
      </c>
      <c r="AP245" s="39" t="s">
        <v>712</v>
      </c>
      <c r="AQ245" s="43"/>
      <c r="AR245" s="43"/>
    </row>
    <row r="246">
      <c r="A246" s="21">
        <f t="shared" si="4"/>
        <v>8</v>
      </c>
      <c r="B246" s="39" t="s">
        <v>1978</v>
      </c>
      <c r="C246" s="57" t="s">
        <v>1979</v>
      </c>
      <c r="D246" s="39">
        <v>20.0</v>
      </c>
      <c r="E246" s="39">
        <v>7.0</v>
      </c>
      <c r="F246" s="39" t="s">
        <v>80</v>
      </c>
      <c r="G246" s="39" t="s">
        <v>81</v>
      </c>
      <c r="H246" s="42">
        <v>39873.0</v>
      </c>
      <c r="I246" s="39" t="s">
        <v>254</v>
      </c>
      <c r="J246" s="39" t="s">
        <v>255</v>
      </c>
      <c r="K246" s="39" t="s">
        <v>1980</v>
      </c>
      <c r="L246" s="39" t="s">
        <v>55</v>
      </c>
      <c r="M246" s="42">
        <v>45870.0</v>
      </c>
      <c r="N246" s="39" t="s">
        <v>141</v>
      </c>
      <c r="O246" s="39" t="s">
        <v>229</v>
      </c>
      <c r="P246" s="43"/>
      <c r="Q246" s="39" t="s">
        <v>1937</v>
      </c>
      <c r="R246" s="42">
        <v>45292.0</v>
      </c>
      <c r="S246" s="39" t="s">
        <v>143</v>
      </c>
      <c r="T246" s="46"/>
      <c r="U246" s="39" t="s">
        <v>144</v>
      </c>
      <c r="V246" s="39" t="s">
        <v>159</v>
      </c>
      <c r="W246" s="39" t="s">
        <v>259</v>
      </c>
      <c r="X246" s="39" t="s">
        <v>260</v>
      </c>
      <c r="Y246" s="39" t="s">
        <v>1981</v>
      </c>
      <c r="Z246" s="39" t="s">
        <v>114</v>
      </c>
      <c r="AA246" s="45">
        <v>47130.0</v>
      </c>
      <c r="AB246" s="46"/>
      <c r="AC246" s="23">
        <v>100.0</v>
      </c>
      <c r="AD246" s="39" t="s">
        <v>66</v>
      </c>
      <c r="AE246" s="39" t="s">
        <v>67</v>
      </c>
      <c r="AF246" s="39" t="s">
        <v>92</v>
      </c>
      <c r="AG246" s="39" t="s">
        <v>68</v>
      </c>
      <c r="AH246" s="39" t="s">
        <v>131</v>
      </c>
      <c r="AI246" s="39">
        <v>8.1362458805E10</v>
      </c>
      <c r="AJ246" s="39" t="s">
        <v>1982</v>
      </c>
      <c r="AK246" s="39" t="s">
        <v>1983</v>
      </c>
      <c r="AL246" s="39" t="s">
        <v>1984</v>
      </c>
      <c r="AM246" s="39" t="s">
        <v>96</v>
      </c>
      <c r="AN246" s="39" t="s">
        <v>481</v>
      </c>
      <c r="AO246" s="39" t="s">
        <v>360</v>
      </c>
      <c r="AP246" s="39" t="s">
        <v>1985</v>
      </c>
      <c r="AQ246" s="43"/>
      <c r="AR246" s="43"/>
    </row>
    <row r="247">
      <c r="A247" s="21">
        <f t="shared" si="4"/>
        <v>9</v>
      </c>
      <c r="B247" s="39" t="s">
        <v>1986</v>
      </c>
      <c r="C247" s="57" t="s">
        <v>1987</v>
      </c>
      <c r="D247" s="39">
        <v>12.0</v>
      </c>
      <c r="E247" s="39">
        <v>3.0</v>
      </c>
      <c r="F247" s="39" t="s">
        <v>80</v>
      </c>
      <c r="G247" s="39" t="s">
        <v>81</v>
      </c>
      <c r="H247" s="42">
        <v>40179.0</v>
      </c>
      <c r="I247" s="39" t="s">
        <v>82</v>
      </c>
      <c r="J247" s="39" t="s">
        <v>83</v>
      </c>
      <c r="K247" s="39" t="s">
        <v>228</v>
      </c>
      <c r="L247" s="39" t="s">
        <v>105</v>
      </c>
      <c r="M247" s="42">
        <v>44652.0</v>
      </c>
      <c r="N247" s="39" t="s">
        <v>141</v>
      </c>
      <c r="O247" s="39" t="s">
        <v>229</v>
      </c>
      <c r="P247" s="43"/>
      <c r="Q247" s="39" t="s">
        <v>1937</v>
      </c>
      <c r="R247" s="42">
        <v>45292.0</v>
      </c>
      <c r="S247" s="39" t="s">
        <v>143</v>
      </c>
      <c r="T247" s="46"/>
      <c r="U247" s="39" t="s">
        <v>144</v>
      </c>
      <c r="V247" s="39" t="s">
        <v>89</v>
      </c>
      <c r="W247" s="39" t="s">
        <v>218</v>
      </c>
      <c r="X247" s="39" t="s">
        <v>1457</v>
      </c>
      <c r="Y247" s="39" t="s">
        <v>1988</v>
      </c>
      <c r="Z247" s="43"/>
      <c r="AA247" s="45">
        <v>49320.0</v>
      </c>
      <c r="AB247" s="46"/>
      <c r="AC247" s="23">
        <v>101.0</v>
      </c>
      <c r="AD247" s="39" t="s">
        <v>66</v>
      </c>
      <c r="AE247" s="39" t="s">
        <v>67</v>
      </c>
      <c r="AF247" s="39" t="s">
        <v>129</v>
      </c>
      <c r="AG247" s="39" t="s">
        <v>68</v>
      </c>
      <c r="AH247" s="39" t="s">
        <v>69</v>
      </c>
      <c r="AI247" s="39">
        <v>8.11616631E8</v>
      </c>
      <c r="AJ247" s="39" t="s">
        <v>1989</v>
      </c>
      <c r="AK247" s="39" t="s">
        <v>1990</v>
      </c>
      <c r="AL247" s="39" t="s">
        <v>1991</v>
      </c>
      <c r="AM247" s="39" t="s">
        <v>96</v>
      </c>
      <c r="AN247" s="43"/>
      <c r="AO247" s="39" t="s">
        <v>1802</v>
      </c>
      <c r="AP247" s="39" t="s">
        <v>1992</v>
      </c>
      <c r="AQ247" s="43"/>
      <c r="AR247" s="43"/>
    </row>
    <row r="248">
      <c r="A248" s="21">
        <f t="shared" si="4"/>
        <v>10</v>
      </c>
      <c r="B248" s="39" t="s">
        <v>1993</v>
      </c>
      <c r="C248" s="57" t="s">
        <v>1994</v>
      </c>
      <c r="D248" s="39">
        <v>16.0</v>
      </c>
      <c r="E248" s="39">
        <v>3.0</v>
      </c>
      <c r="F248" s="39" t="s">
        <v>80</v>
      </c>
      <c r="G248" s="39" t="s">
        <v>81</v>
      </c>
      <c r="H248" s="42">
        <v>40452.0</v>
      </c>
      <c r="I248" s="39" t="s">
        <v>82</v>
      </c>
      <c r="J248" s="39" t="s">
        <v>83</v>
      </c>
      <c r="K248" s="39" t="s">
        <v>1995</v>
      </c>
      <c r="L248" s="39" t="s">
        <v>88</v>
      </c>
      <c r="M248" s="42">
        <v>43922.0</v>
      </c>
      <c r="N248" s="39" t="s">
        <v>141</v>
      </c>
      <c r="O248" s="39" t="s">
        <v>229</v>
      </c>
      <c r="P248" s="43"/>
      <c r="Q248" s="39" t="s">
        <v>1937</v>
      </c>
      <c r="R248" s="42">
        <v>45292.0</v>
      </c>
      <c r="S248" s="39" t="s">
        <v>143</v>
      </c>
      <c r="T248" s="46"/>
      <c r="U248" s="39" t="s">
        <v>144</v>
      </c>
      <c r="V248" s="39" t="s">
        <v>89</v>
      </c>
      <c r="W248" s="43"/>
      <c r="X248" s="39" t="s">
        <v>1996</v>
      </c>
      <c r="Y248" s="39" t="s">
        <v>1997</v>
      </c>
      <c r="Z248" s="39" t="s">
        <v>114</v>
      </c>
      <c r="AA248" s="45">
        <v>47856.0</v>
      </c>
      <c r="AB248" s="46"/>
      <c r="AC248" s="23">
        <v>102.0</v>
      </c>
      <c r="AD248" s="39" t="s">
        <v>66</v>
      </c>
      <c r="AE248" s="39" t="s">
        <v>67</v>
      </c>
      <c r="AF248" s="39" t="s">
        <v>92</v>
      </c>
      <c r="AG248" s="39" t="s">
        <v>68</v>
      </c>
      <c r="AH248" s="39" t="s">
        <v>288</v>
      </c>
      <c r="AI248" s="39">
        <v>8.126520974E9</v>
      </c>
      <c r="AJ248" s="39" t="s">
        <v>1998</v>
      </c>
      <c r="AK248" s="39" t="s">
        <v>1999</v>
      </c>
      <c r="AL248" s="39" t="s">
        <v>2000</v>
      </c>
      <c r="AM248" s="39" t="s">
        <v>96</v>
      </c>
      <c r="AN248" s="39" t="s">
        <v>97</v>
      </c>
      <c r="AO248" s="39" t="s">
        <v>546</v>
      </c>
      <c r="AP248" s="39" t="s">
        <v>2001</v>
      </c>
      <c r="AQ248" s="43"/>
      <c r="AR248" s="43"/>
    </row>
    <row r="249">
      <c r="A249" s="21">
        <f t="shared" si="4"/>
        <v>11</v>
      </c>
      <c r="B249" s="39" t="s">
        <v>2002</v>
      </c>
      <c r="C249" s="57" t="s">
        <v>2003</v>
      </c>
      <c r="D249" s="39">
        <v>22.0</v>
      </c>
      <c r="E249" s="39">
        <v>7.0</v>
      </c>
      <c r="F249" s="39" t="s">
        <v>50</v>
      </c>
      <c r="G249" s="39" t="s">
        <v>51</v>
      </c>
      <c r="H249" s="42">
        <v>34029.0</v>
      </c>
      <c r="I249" s="39" t="s">
        <v>82</v>
      </c>
      <c r="J249" s="39" t="s">
        <v>83</v>
      </c>
      <c r="K249" s="39" t="s">
        <v>2004</v>
      </c>
      <c r="L249" s="39" t="s">
        <v>61</v>
      </c>
      <c r="M249" s="42">
        <v>44105.0</v>
      </c>
      <c r="N249" s="39" t="s">
        <v>141</v>
      </c>
      <c r="O249" s="39" t="s">
        <v>229</v>
      </c>
      <c r="P249" s="43"/>
      <c r="Q249" s="39" t="s">
        <v>1937</v>
      </c>
      <c r="R249" s="42">
        <v>45292.0</v>
      </c>
      <c r="S249" s="39" t="s">
        <v>143</v>
      </c>
      <c r="T249" s="46"/>
      <c r="U249" s="39" t="s">
        <v>144</v>
      </c>
      <c r="V249" s="39" t="s">
        <v>89</v>
      </c>
      <c r="W249" s="39" t="s">
        <v>218</v>
      </c>
      <c r="X249" s="39" t="s">
        <v>2005</v>
      </c>
      <c r="Y249" s="39" t="s">
        <v>2006</v>
      </c>
      <c r="Z249" s="39" t="s">
        <v>114</v>
      </c>
      <c r="AA249" s="45">
        <v>47493.0</v>
      </c>
      <c r="AB249" s="46"/>
      <c r="AC249" s="23">
        <v>103.0</v>
      </c>
      <c r="AD249" s="39" t="s">
        <v>66</v>
      </c>
      <c r="AE249" s="39" t="s">
        <v>67</v>
      </c>
      <c r="AF249" s="39" t="s">
        <v>92</v>
      </c>
      <c r="AG249" s="39" t="s">
        <v>130</v>
      </c>
      <c r="AH249" s="39" t="s">
        <v>131</v>
      </c>
      <c r="AI249" s="39">
        <v>8.116500768E9</v>
      </c>
      <c r="AJ249" s="39" t="s">
        <v>2007</v>
      </c>
      <c r="AK249" s="39" t="s">
        <v>2008</v>
      </c>
      <c r="AL249" s="39" t="s">
        <v>2009</v>
      </c>
      <c r="AM249" s="39" t="s">
        <v>96</v>
      </c>
      <c r="AN249" s="39" t="s">
        <v>135</v>
      </c>
      <c r="AO249" s="39" t="s">
        <v>292</v>
      </c>
      <c r="AP249" s="39" t="s">
        <v>2010</v>
      </c>
      <c r="AQ249" s="43"/>
      <c r="AR249" s="43"/>
    </row>
    <row r="250">
      <c r="A250" s="21">
        <f t="shared" si="4"/>
        <v>12</v>
      </c>
      <c r="B250" s="39" t="s">
        <v>2011</v>
      </c>
      <c r="C250" s="57" t="s">
        <v>2012</v>
      </c>
      <c r="D250" s="39">
        <v>12.0</v>
      </c>
      <c r="E250" s="39">
        <v>3.0</v>
      </c>
      <c r="F250" s="39" t="s">
        <v>80</v>
      </c>
      <c r="G250" s="39" t="s">
        <v>81</v>
      </c>
      <c r="H250" s="42">
        <v>39508.0</v>
      </c>
      <c r="I250" s="39" t="s">
        <v>82</v>
      </c>
      <c r="J250" s="39" t="s">
        <v>83</v>
      </c>
      <c r="K250" s="39" t="s">
        <v>2013</v>
      </c>
      <c r="L250" s="39" t="s">
        <v>61</v>
      </c>
      <c r="M250" s="42">
        <v>42644.0</v>
      </c>
      <c r="N250" s="39" t="s">
        <v>141</v>
      </c>
      <c r="O250" s="39" t="s">
        <v>229</v>
      </c>
      <c r="P250" s="43"/>
      <c r="Q250" s="39" t="s">
        <v>1937</v>
      </c>
      <c r="R250" s="42">
        <v>44986.0</v>
      </c>
      <c r="S250" s="39" t="s">
        <v>2014</v>
      </c>
      <c r="T250" s="46"/>
      <c r="U250" s="39" t="s">
        <v>2015</v>
      </c>
      <c r="V250" s="39" t="s">
        <v>89</v>
      </c>
      <c r="W250" s="39" t="s">
        <v>2016</v>
      </c>
      <c r="X250" s="39" t="s">
        <v>2017</v>
      </c>
      <c r="Y250" s="39" t="s">
        <v>2018</v>
      </c>
      <c r="Z250" s="39" t="s">
        <v>114</v>
      </c>
      <c r="AA250" s="45">
        <v>48219.0</v>
      </c>
      <c r="AB250" s="46"/>
      <c r="AC250" s="23">
        <v>104.0</v>
      </c>
      <c r="AD250" s="39" t="s">
        <v>66</v>
      </c>
      <c r="AE250" s="39" t="s">
        <v>67</v>
      </c>
      <c r="AF250" s="39" t="s">
        <v>92</v>
      </c>
      <c r="AG250" s="39" t="s">
        <v>68</v>
      </c>
      <c r="AH250" s="39" t="s">
        <v>246</v>
      </c>
      <c r="AI250" s="39">
        <v>8.126578066E9</v>
      </c>
      <c r="AJ250" s="39" t="s">
        <v>2019</v>
      </c>
      <c r="AK250" s="39" t="s">
        <v>2020</v>
      </c>
      <c r="AL250" s="39" t="s">
        <v>2021</v>
      </c>
      <c r="AM250" s="39" t="s">
        <v>73</v>
      </c>
      <c r="AN250" s="39" t="s">
        <v>74</v>
      </c>
      <c r="AO250" s="39" t="s">
        <v>360</v>
      </c>
      <c r="AP250" s="39" t="s">
        <v>566</v>
      </c>
      <c r="AQ250" s="39" t="s">
        <v>77</v>
      </c>
      <c r="AR250" s="39" t="s">
        <v>77</v>
      </c>
    </row>
    <row r="251">
      <c r="A251" s="21">
        <f t="shared" si="4"/>
        <v>13</v>
      </c>
      <c r="B251" s="39" t="s">
        <v>2022</v>
      </c>
      <c r="C251" s="57" t="s">
        <v>2023</v>
      </c>
      <c r="D251" s="39">
        <v>14.0</v>
      </c>
      <c r="E251" s="39">
        <v>1.0</v>
      </c>
      <c r="F251" s="39" t="s">
        <v>50</v>
      </c>
      <c r="G251" s="39" t="s">
        <v>51</v>
      </c>
      <c r="H251" s="42">
        <v>39873.0</v>
      </c>
      <c r="I251" s="39" t="s">
        <v>82</v>
      </c>
      <c r="J251" s="39" t="s">
        <v>83</v>
      </c>
      <c r="K251" s="39" t="s">
        <v>217</v>
      </c>
      <c r="L251" s="39" t="s">
        <v>61</v>
      </c>
      <c r="M251" s="42">
        <v>45383.0</v>
      </c>
      <c r="N251" s="39" t="s">
        <v>141</v>
      </c>
      <c r="O251" s="39" t="s">
        <v>173</v>
      </c>
      <c r="P251" s="43"/>
      <c r="Q251" s="39" t="s">
        <v>1937</v>
      </c>
      <c r="R251" s="42">
        <v>45292.0</v>
      </c>
      <c r="S251" s="39" t="s">
        <v>143</v>
      </c>
      <c r="T251" s="46"/>
      <c r="U251" s="39" t="s">
        <v>144</v>
      </c>
      <c r="V251" s="39" t="s">
        <v>89</v>
      </c>
      <c r="W251" s="39" t="s">
        <v>197</v>
      </c>
      <c r="X251" s="39" t="s">
        <v>2024</v>
      </c>
      <c r="Y251" s="39" t="s">
        <v>1930</v>
      </c>
      <c r="Z251" s="39" t="s">
        <v>114</v>
      </c>
      <c r="AA251" s="45">
        <v>51139.0</v>
      </c>
      <c r="AB251" s="46"/>
      <c r="AC251" s="23">
        <v>105.0</v>
      </c>
      <c r="AD251" s="39" t="s">
        <v>66</v>
      </c>
      <c r="AE251" s="39" t="s">
        <v>67</v>
      </c>
      <c r="AF251" s="39" t="s">
        <v>92</v>
      </c>
      <c r="AG251" s="39" t="s">
        <v>68</v>
      </c>
      <c r="AH251" s="39" t="s">
        <v>288</v>
      </c>
      <c r="AI251" s="39">
        <v>8.1265207876E10</v>
      </c>
      <c r="AJ251" s="39" t="s">
        <v>2025</v>
      </c>
      <c r="AK251" s="39" t="s">
        <v>2026</v>
      </c>
      <c r="AL251" s="39" t="s">
        <v>2027</v>
      </c>
      <c r="AM251" s="39" t="s">
        <v>96</v>
      </c>
      <c r="AN251" s="39" t="s">
        <v>481</v>
      </c>
      <c r="AO251" s="39" t="s">
        <v>1082</v>
      </c>
      <c r="AP251" s="39" t="s">
        <v>1083</v>
      </c>
      <c r="AQ251" s="43"/>
      <c r="AR251" s="43"/>
    </row>
    <row r="252">
      <c r="A252" s="21">
        <f t="shared" si="4"/>
        <v>14</v>
      </c>
      <c r="B252" s="39" t="s">
        <v>2028</v>
      </c>
      <c r="C252" s="57" t="s">
        <v>2029</v>
      </c>
      <c r="D252" s="39">
        <v>15.0</v>
      </c>
      <c r="E252" s="39">
        <v>3.0</v>
      </c>
      <c r="F252" s="39" t="s">
        <v>80</v>
      </c>
      <c r="G252" s="39" t="s">
        <v>81</v>
      </c>
      <c r="H252" s="42">
        <v>41183.0</v>
      </c>
      <c r="I252" s="39" t="s">
        <v>82</v>
      </c>
      <c r="J252" s="39" t="s">
        <v>83</v>
      </c>
      <c r="K252" s="39" t="s">
        <v>417</v>
      </c>
      <c r="L252" s="39" t="s">
        <v>105</v>
      </c>
      <c r="M252" s="42">
        <v>45566.0</v>
      </c>
      <c r="N252" s="39" t="s">
        <v>141</v>
      </c>
      <c r="O252" s="39" t="s">
        <v>229</v>
      </c>
      <c r="P252" s="43"/>
      <c r="Q252" s="39" t="s">
        <v>1937</v>
      </c>
      <c r="R252" s="42">
        <v>45292.0</v>
      </c>
      <c r="S252" s="39" t="s">
        <v>143</v>
      </c>
      <c r="T252" s="46"/>
      <c r="U252" s="39" t="s">
        <v>144</v>
      </c>
      <c r="V252" s="39" t="s">
        <v>89</v>
      </c>
      <c r="W252" s="39" t="s">
        <v>2030</v>
      </c>
      <c r="X252" s="39" t="s">
        <v>2031</v>
      </c>
      <c r="Y252" s="39" t="s">
        <v>2032</v>
      </c>
      <c r="Z252" s="39" t="s">
        <v>114</v>
      </c>
      <c r="AA252" s="45">
        <v>52236.0</v>
      </c>
      <c r="AB252" s="46"/>
      <c r="AC252" s="23">
        <v>106.0</v>
      </c>
      <c r="AD252" s="39" t="s">
        <v>66</v>
      </c>
      <c r="AE252" s="39" t="s">
        <v>67</v>
      </c>
      <c r="AF252" s="39" t="s">
        <v>92</v>
      </c>
      <c r="AG252" s="39" t="s">
        <v>68</v>
      </c>
      <c r="AH252" s="39" t="s">
        <v>69</v>
      </c>
      <c r="AI252" s="39">
        <v>8.2367694755E10</v>
      </c>
      <c r="AJ252" s="39" t="s">
        <v>2033</v>
      </c>
      <c r="AK252" s="39" t="s">
        <v>2034</v>
      </c>
      <c r="AL252" s="39" t="s">
        <v>2035</v>
      </c>
      <c r="AM252" s="39" t="s">
        <v>96</v>
      </c>
      <c r="AN252" s="39" t="s">
        <v>135</v>
      </c>
      <c r="AO252" s="39" t="s">
        <v>379</v>
      </c>
      <c r="AP252" s="39" t="s">
        <v>2036</v>
      </c>
      <c r="AQ252" s="39">
        <v>0.0</v>
      </c>
      <c r="AR252" s="39">
        <v>0.0</v>
      </c>
    </row>
    <row r="253">
      <c r="A253" s="21">
        <f t="shared" si="4"/>
        <v>15</v>
      </c>
      <c r="B253" s="39" t="s">
        <v>2037</v>
      </c>
      <c r="C253" s="57" t="s">
        <v>2038</v>
      </c>
      <c r="D253" s="39">
        <v>14.0</v>
      </c>
      <c r="E253" s="39">
        <v>7.0</v>
      </c>
      <c r="F253" s="39" t="s">
        <v>50</v>
      </c>
      <c r="G253" s="39" t="s">
        <v>51</v>
      </c>
      <c r="H253" s="42">
        <v>39873.0</v>
      </c>
      <c r="I253" s="39" t="s">
        <v>82</v>
      </c>
      <c r="J253" s="39" t="s">
        <v>83</v>
      </c>
      <c r="K253" s="39" t="s">
        <v>417</v>
      </c>
      <c r="L253" s="39" t="s">
        <v>105</v>
      </c>
      <c r="M253" s="42">
        <v>45566.0</v>
      </c>
      <c r="N253" s="39" t="s">
        <v>141</v>
      </c>
      <c r="O253" s="39" t="s">
        <v>229</v>
      </c>
      <c r="P253" s="43"/>
      <c r="Q253" s="39" t="s">
        <v>1937</v>
      </c>
      <c r="R253" s="42">
        <v>45292.0</v>
      </c>
      <c r="S253" s="39" t="s">
        <v>143</v>
      </c>
      <c r="T253" s="46"/>
      <c r="U253" s="39" t="s">
        <v>144</v>
      </c>
      <c r="V253" s="39" t="s">
        <v>89</v>
      </c>
      <c r="W253" s="39" t="s">
        <v>218</v>
      </c>
      <c r="X253" s="39" t="s">
        <v>1864</v>
      </c>
      <c r="Y253" s="47">
        <v>40864.0</v>
      </c>
      <c r="Z253" s="39" t="s">
        <v>114</v>
      </c>
      <c r="AA253" s="45">
        <v>51875.0</v>
      </c>
      <c r="AB253" s="46"/>
      <c r="AC253" s="23">
        <v>107.0</v>
      </c>
      <c r="AD253" s="39" t="s">
        <v>66</v>
      </c>
      <c r="AE253" s="39" t="s">
        <v>67</v>
      </c>
      <c r="AF253" s="39" t="s">
        <v>92</v>
      </c>
      <c r="AG253" s="39" t="s">
        <v>68</v>
      </c>
      <c r="AH253" s="39" t="s">
        <v>288</v>
      </c>
      <c r="AI253" s="39">
        <v>8.1260020255E10</v>
      </c>
      <c r="AJ253" s="39" t="s">
        <v>2039</v>
      </c>
      <c r="AK253" s="39" t="s">
        <v>2040</v>
      </c>
      <c r="AL253" s="39" t="s">
        <v>2041</v>
      </c>
      <c r="AM253" s="39" t="s">
        <v>96</v>
      </c>
      <c r="AN253" s="39" t="s">
        <v>2042</v>
      </c>
      <c r="AO253" s="39" t="s">
        <v>2043</v>
      </c>
      <c r="AP253" s="39" t="s">
        <v>2001</v>
      </c>
      <c r="AQ253" s="43"/>
      <c r="AR253" s="43"/>
    </row>
    <row r="254">
      <c r="A254" s="21">
        <f t="shared" si="4"/>
        <v>16</v>
      </c>
      <c r="B254" s="39" t="s">
        <v>2044</v>
      </c>
      <c r="C254" s="57" t="s">
        <v>2045</v>
      </c>
      <c r="D254" s="39">
        <v>27.0</v>
      </c>
      <c r="E254" s="39">
        <v>8.0</v>
      </c>
      <c r="F254" s="39" t="s">
        <v>50</v>
      </c>
      <c r="G254" s="39" t="s">
        <v>51</v>
      </c>
      <c r="H254" s="42">
        <v>39083.0</v>
      </c>
      <c r="I254" s="39" t="s">
        <v>82</v>
      </c>
      <c r="J254" s="39" t="s">
        <v>83</v>
      </c>
      <c r="K254" s="39" t="s">
        <v>417</v>
      </c>
      <c r="L254" s="39" t="s">
        <v>105</v>
      </c>
      <c r="M254" s="42">
        <v>45566.0</v>
      </c>
      <c r="N254" s="39" t="s">
        <v>141</v>
      </c>
      <c r="O254" s="39" t="s">
        <v>229</v>
      </c>
      <c r="P254" s="43"/>
      <c r="Q254" s="39" t="s">
        <v>1937</v>
      </c>
      <c r="R254" s="42">
        <v>45292.0</v>
      </c>
      <c r="S254" s="39" t="s">
        <v>143</v>
      </c>
      <c r="T254" s="46"/>
      <c r="U254" s="39" t="s">
        <v>144</v>
      </c>
      <c r="V254" s="39" t="s">
        <v>159</v>
      </c>
      <c r="W254" s="39" t="s">
        <v>160</v>
      </c>
      <c r="X254" s="39" t="s">
        <v>161</v>
      </c>
      <c r="Y254" s="39" t="s">
        <v>2046</v>
      </c>
      <c r="Z254" s="43"/>
      <c r="AA254" s="45">
        <v>46393.0</v>
      </c>
      <c r="AB254" s="46"/>
      <c r="AC254" s="23">
        <v>108.0</v>
      </c>
      <c r="AD254" s="39" t="s">
        <v>66</v>
      </c>
      <c r="AE254" s="39" t="s">
        <v>67</v>
      </c>
      <c r="AF254" s="39" t="s">
        <v>92</v>
      </c>
      <c r="AG254" s="39" t="s">
        <v>68</v>
      </c>
      <c r="AH254" s="39" t="s">
        <v>69</v>
      </c>
      <c r="AI254" s="39">
        <v>8.1361553442E10</v>
      </c>
      <c r="AJ254" s="39" t="s">
        <v>2047</v>
      </c>
      <c r="AK254" s="39" t="s">
        <v>2048</v>
      </c>
      <c r="AL254" s="39" t="s">
        <v>2049</v>
      </c>
      <c r="AM254" s="39" t="s">
        <v>96</v>
      </c>
      <c r="AN254" s="39" t="s">
        <v>135</v>
      </c>
      <c r="AO254" s="39" t="s">
        <v>292</v>
      </c>
      <c r="AP254" s="39" t="s">
        <v>2050</v>
      </c>
      <c r="AQ254" s="39" t="s">
        <v>77</v>
      </c>
      <c r="AR254" s="39" t="s">
        <v>77</v>
      </c>
    </row>
    <row r="255">
      <c r="A255" s="21">
        <f t="shared" si="4"/>
        <v>17</v>
      </c>
      <c r="B255" s="39" t="s">
        <v>2051</v>
      </c>
      <c r="C255" s="57" t="s">
        <v>2052</v>
      </c>
      <c r="D255" s="39">
        <v>24.0</v>
      </c>
      <c r="E255" s="39">
        <v>4.0</v>
      </c>
      <c r="F255" s="39" t="s">
        <v>50</v>
      </c>
      <c r="G255" s="39" t="s">
        <v>51</v>
      </c>
      <c r="H255" s="39" t="s">
        <v>2053</v>
      </c>
      <c r="I255" s="39" t="s">
        <v>82</v>
      </c>
      <c r="J255" s="39" t="s">
        <v>83</v>
      </c>
      <c r="K255" s="39" t="s">
        <v>217</v>
      </c>
      <c r="L255" s="39" t="s">
        <v>61</v>
      </c>
      <c r="M255" s="42">
        <v>45383.0</v>
      </c>
      <c r="N255" s="39" t="s">
        <v>141</v>
      </c>
      <c r="O255" s="39" t="s">
        <v>173</v>
      </c>
      <c r="P255" s="43"/>
      <c r="Q255" s="39" t="s">
        <v>1952</v>
      </c>
      <c r="R255" s="42">
        <v>45292.0</v>
      </c>
      <c r="S255" s="39" t="s">
        <v>143</v>
      </c>
      <c r="T255" s="46"/>
      <c r="U255" s="39" t="s">
        <v>144</v>
      </c>
      <c r="V255" s="39" t="s">
        <v>89</v>
      </c>
      <c r="W255" s="39" t="s">
        <v>218</v>
      </c>
      <c r="X255" s="39" t="s">
        <v>2054</v>
      </c>
      <c r="Y255" s="39" t="s">
        <v>2055</v>
      </c>
      <c r="Z255" s="43"/>
      <c r="AA255" s="45">
        <v>47859.0</v>
      </c>
      <c r="AB255" s="46"/>
      <c r="AC255" s="23">
        <v>109.0</v>
      </c>
      <c r="AD255" s="39" t="s">
        <v>66</v>
      </c>
      <c r="AE255" s="39" t="s">
        <v>67</v>
      </c>
      <c r="AF255" s="39" t="s">
        <v>92</v>
      </c>
      <c r="AG255" s="39" t="s">
        <v>130</v>
      </c>
      <c r="AH255" s="39" t="s">
        <v>246</v>
      </c>
      <c r="AI255" s="39">
        <v>8.5261902566E10</v>
      </c>
      <c r="AJ255" s="39" t="s">
        <v>2056</v>
      </c>
      <c r="AK255" s="39" t="s">
        <v>2057</v>
      </c>
      <c r="AL255" s="39" t="s">
        <v>2058</v>
      </c>
      <c r="AM255" s="39" t="s">
        <v>96</v>
      </c>
      <c r="AN255" s="39" t="s">
        <v>514</v>
      </c>
      <c r="AO255" s="39" t="s">
        <v>2059</v>
      </c>
      <c r="AP255" s="39" t="s">
        <v>2060</v>
      </c>
      <c r="AQ255" s="43"/>
      <c r="AR255" s="43"/>
    </row>
    <row r="256">
      <c r="A256" s="21">
        <f t="shared" si="4"/>
        <v>18</v>
      </c>
      <c r="B256" s="39" t="s">
        <v>2061</v>
      </c>
      <c r="C256" s="57" t="s">
        <v>2062</v>
      </c>
      <c r="D256" s="39">
        <v>13.0</v>
      </c>
      <c r="E256" s="39">
        <v>9.0</v>
      </c>
      <c r="F256" s="39" t="s">
        <v>80</v>
      </c>
      <c r="G256" s="39" t="s">
        <v>81</v>
      </c>
      <c r="H256" s="42">
        <v>40756.0</v>
      </c>
      <c r="I256" s="39" t="s">
        <v>82</v>
      </c>
      <c r="J256" s="39" t="s">
        <v>83</v>
      </c>
      <c r="K256" s="39" t="s">
        <v>1561</v>
      </c>
      <c r="L256" s="39" t="s">
        <v>105</v>
      </c>
      <c r="M256" s="42">
        <v>45200.0</v>
      </c>
      <c r="N256" s="39" t="s">
        <v>141</v>
      </c>
      <c r="O256" s="39" t="s">
        <v>229</v>
      </c>
      <c r="P256" s="43"/>
      <c r="Q256" s="39" t="s">
        <v>1937</v>
      </c>
      <c r="R256" s="42">
        <v>45292.0</v>
      </c>
      <c r="S256" s="39" t="s">
        <v>143</v>
      </c>
      <c r="T256" s="46"/>
      <c r="U256" s="39" t="s">
        <v>144</v>
      </c>
      <c r="V256" s="39" t="s">
        <v>89</v>
      </c>
      <c r="W256" s="39" t="s">
        <v>2063</v>
      </c>
      <c r="X256" s="39" t="s">
        <v>2064</v>
      </c>
      <c r="Y256" s="39" t="s">
        <v>2065</v>
      </c>
      <c r="Z256" s="39" t="s">
        <v>114</v>
      </c>
      <c r="AA256" s="45">
        <v>50781.0</v>
      </c>
      <c r="AB256" s="46"/>
      <c r="AC256" s="23">
        <v>110.0</v>
      </c>
      <c r="AD256" s="39" t="s">
        <v>66</v>
      </c>
      <c r="AE256" s="39" t="s">
        <v>67</v>
      </c>
      <c r="AF256" s="39" t="s">
        <v>92</v>
      </c>
      <c r="AG256" s="39" t="s">
        <v>68</v>
      </c>
      <c r="AH256" s="39" t="s">
        <v>69</v>
      </c>
      <c r="AI256" s="39">
        <v>8.1370831181E10</v>
      </c>
      <c r="AJ256" s="39" t="s">
        <v>2066</v>
      </c>
      <c r="AK256" s="39" t="s">
        <v>2067</v>
      </c>
      <c r="AL256" s="39" t="s">
        <v>2068</v>
      </c>
      <c r="AM256" s="39" t="s">
        <v>96</v>
      </c>
      <c r="AN256" s="39" t="s">
        <v>2069</v>
      </c>
      <c r="AO256" s="39" t="s">
        <v>2070</v>
      </c>
      <c r="AP256" s="39" t="s">
        <v>2071</v>
      </c>
      <c r="AQ256" s="39">
        <v>5.0</v>
      </c>
      <c r="AR256" s="39">
        <v>1.0</v>
      </c>
    </row>
    <row r="257">
      <c r="A257" s="21">
        <f t="shared" si="4"/>
        <v>19</v>
      </c>
      <c r="B257" s="39" t="s">
        <v>2072</v>
      </c>
      <c r="C257" s="57" t="s">
        <v>2073</v>
      </c>
      <c r="D257" s="39">
        <v>12.0</v>
      </c>
      <c r="E257" s="39">
        <v>3.0</v>
      </c>
      <c r="F257" s="39" t="s">
        <v>80</v>
      </c>
      <c r="G257" s="39" t="s">
        <v>81</v>
      </c>
      <c r="H257" s="42">
        <v>40544.0</v>
      </c>
      <c r="I257" s="39" t="s">
        <v>82</v>
      </c>
      <c r="J257" s="39" t="s">
        <v>83</v>
      </c>
      <c r="K257" s="39" t="s">
        <v>2074</v>
      </c>
      <c r="L257" s="39" t="s">
        <v>105</v>
      </c>
      <c r="M257" s="42">
        <v>45017.0</v>
      </c>
      <c r="N257" s="39" t="s">
        <v>141</v>
      </c>
      <c r="O257" s="39" t="s">
        <v>229</v>
      </c>
      <c r="P257" s="43"/>
      <c r="Q257" s="39" t="s">
        <v>1937</v>
      </c>
      <c r="R257" s="42">
        <v>45292.0</v>
      </c>
      <c r="S257" s="39" t="s">
        <v>143</v>
      </c>
      <c r="T257" s="46"/>
      <c r="U257" s="39" t="s">
        <v>144</v>
      </c>
      <c r="V257" s="39" t="s">
        <v>89</v>
      </c>
      <c r="W257" s="39" t="s">
        <v>647</v>
      </c>
      <c r="X257" s="39" t="s">
        <v>244</v>
      </c>
      <c r="Y257" s="39" t="s">
        <v>2075</v>
      </c>
      <c r="Z257" s="43"/>
      <c r="AA257" s="45">
        <v>51873.0</v>
      </c>
      <c r="AB257" s="46"/>
      <c r="AC257" s="23">
        <v>111.0</v>
      </c>
      <c r="AD257" s="39" t="s">
        <v>66</v>
      </c>
      <c r="AE257" s="39" t="s">
        <v>67</v>
      </c>
      <c r="AF257" s="43"/>
      <c r="AG257" s="39" t="s">
        <v>68</v>
      </c>
      <c r="AH257" s="39" t="s">
        <v>69</v>
      </c>
      <c r="AI257" s="39">
        <v>8.1265070111E10</v>
      </c>
      <c r="AJ257" s="39" t="s">
        <v>2076</v>
      </c>
      <c r="AK257" s="39" t="s">
        <v>2077</v>
      </c>
      <c r="AL257" s="39" t="s">
        <v>2078</v>
      </c>
      <c r="AM257" s="39" t="s">
        <v>96</v>
      </c>
      <c r="AN257" s="39" t="s">
        <v>166</v>
      </c>
      <c r="AO257" s="39" t="s">
        <v>167</v>
      </c>
      <c r="AP257" s="39" t="s">
        <v>2079</v>
      </c>
      <c r="AQ257" s="43"/>
      <c r="AR257" s="43"/>
    </row>
    <row r="258">
      <c r="A258" s="21">
        <f t="shared" si="4"/>
        <v>20</v>
      </c>
      <c r="B258" s="39" t="s">
        <v>2080</v>
      </c>
      <c r="C258" s="57" t="s">
        <v>2081</v>
      </c>
      <c r="D258" s="39">
        <v>16.0</v>
      </c>
      <c r="E258" s="39">
        <v>5.0</v>
      </c>
      <c r="F258" s="39" t="s">
        <v>80</v>
      </c>
      <c r="G258" s="39" t="s">
        <v>81</v>
      </c>
      <c r="H258" s="42">
        <v>39873.0</v>
      </c>
      <c r="I258" s="39" t="s">
        <v>82</v>
      </c>
      <c r="J258" s="39" t="s">
        <v>83</v>
      </c>
      <c r="K258" s="39" t="s">
        <v>1505</v>
      </c>
      <c r="L258" s="39" t="s">
        <v>88</v>
      </c>
      <c r="M258" s="42">
        <v>44287.0</v>
      </c>
      <c r="N258" s="39" t="s">
        <v>141</v>
      </c>
      <c r="O258" s="39" t="s">
        <v>229</v>
      </c>
      <c r="P258" s="43"/>
      <c r="Q258" s="39" t="s">
        <v>59</v>
      </c>
      <c r="R258" s="42">
        <v>45474.0</v>
      </c>
      <c r="S258" s="39" t="s">
        <v>1362</v>
      </c>
      <c r="T258" s="46"/>
      <c r="U258" s="39" t="s">
        <v>144</v>
      </c>
      <c r="V258" s="39" t="s">
        <v>89</v>
      </c>
      <c r="W258" s="39" t="s">
        <v>1214</v>
      </c>
      <c r="X258" s="39" t="s">
        <v>2082</v>
      </c>
      <c r="Y258" s="47">
        <v>37585.0</v>
      </c>
      <c r="Z258" s="43"/>
      <c r="AA258" s="45">
        <v>49685.0</v>
      </c>
      <c r="AB258" s="46"/>
      <c r="AC258" s="23">
        <v>112.0</v>
      </c>
      <c r="AD258" s="39" t="s">
        <v>66</v>
      </c>
      <c r="AE258" s="39" t="s">
        <v>67</v>
      </c>
      <c r="AF258" s="43"/>
      <c r="AG258" s="39" t="s">
        <v>68</v>
      </c>
      <c r="AH258" s="43"/>
      <c r="AI258" s="39">
        <v>8.1360135187E10</v>
      </c>
      <c r="AJ258" s="39" t="s">
        <v>2083</v>
      </c>
      <c r="AK258" s="39" t="s">
        <v>2084</v>
      </c>
      <c r="AL258" s="39" t="s">
        <v>2085</v>
      </c>
      <c r="AM258" s="39" t="s">
        <v>96</v>
      </c>
      <c r="AN258" s="39" t="s">
        <v>97</v>
      </c>
      <c r="AO258" s="39" t="s">
        <v>1006</v>
      </c>
      <c r="AP258" s="39" t="s">
        <v>2086</v>
      </c>
      <c r="AQ258" s="43"/>
      <c r="AR258" s="43"/>
    </row>
    <row r="259">
      <c r="A259" s="21">
        <f t="shared" si="4"/>
        <v>21</v>
      </c>
      <c r="B259" s="39" t="s">
        <v>2087</v>
      </c>
      <c r="C259" s="57" t="s">
        <v>2088</v>
      </c>
      <c r="D259" s="39">
        <v>12.0</v>
      </c>
      <c r="E259" s="39">
        <v>3.0</v>
      </c>
      <c r="F259" s="39" t="s">
        <v>80</v>
      </c>
      <c r="G259" s="39" t="s">
        <v>81</v>
      </c>
      <c r="H259" s="42">
        <v>40544.0</v>
      </c>
      <c r="I259" s="39" t="s">
        <v>82</v>
      </c>
      <c r="J259" s="39" t="s">
        <v>83</v>
      </c>
      <c r="K259" s="39" t="s">
        <v>2074</v>
      </c>
      <c r="L259" s="39" t="s">
        <v>105</v>
      </c>
      <c r="M259" s="42">
        <v>45017.0</v>
      </c>
      <c r="N259" s="39" t="s">
        <v>141</v>
      </c>
      <c r="O259" s="39" t="s">
        <v>173</v>
      </c>
      <c r="P259" s="43"/>
      <c r="Q259" s="39" t="s">
        <v>1937</v>
      </c>
      <c r="R259" s="42">
        <v>45292.0</v>
      </c>
      <c r="S259" s="39" t="s">
        <v>143</v>
      </c>
      <c r="T259" s="46"/>
      <c r="U259" s="39" t="s">
        <v>144</v>
      </c>
      <c r="V259" s="39" t="s">
        <v>89</v>
      </c>
      <c r="W259" s="39" t="s">
        <v>90</v>
      </c>
      <c r="X259" s="39" t="s">
        <v>244</v>
      </c>
      <c r="Y259" s="39" t="s">
        <v>2089</v>
      </c>
      <c r="Z259" s="39" t="s">
        <v>114</v>
      </c>
      <c r="AA259" s="45">
        <v>51872.0</v>
      </c>
      <c r="AB259" s="46"/>
      <c r="AC259" s="23">
        <v>113.0</v>
      </c>
      <c r="AD259" s="39" t="s">
        <v>66</v>
      </c>
      <c r="AE259" s="39" t="s">
        <v>67</v>
      </c>
      <c r="AF259" s="39" t="s">
        <v>92</v>
      </c>
      <c r="AG259" s="39" t="s">
        <v>130</v>
      </c>
      <c r="AH259" s="39" t="s">
        <v>288</v>
      </c>
      <c r="AI259" s="39">
        <v>8.2273273449E10</v>
      </c>
      <c r="AJ259" s="39" t="s">
        <v>2090</v>
      </c>
      <c r="AK259" s="39" t="s">
        <v>2091</v>
      </c>
      <c r="AL259" s="39" t="s">
        <v>2092</v>
      </c>
      <c r="AM259" s="39" t="s">
        <v>73</v>
      </c>
      <c r="AN259" s="39" t="s">
        <v>74</v>
      </c>
      <c r="AO259" s="39" t="s">
        <v>75</v>
      </c>
      <c r="AP259" s="39" t="s">
        <v>1236</v>
      </c>
      <c r="AQ259" s="39" t="s">
        <v>77</v>
      </c>
      <c r="AR259" s="39" t="s">
        <v>77</v>
      </c>
    </row>
    <row r="260">
      <c r="A260" s="21">
        <f t="shared" si="4"/>
        <v>22</v>
      </c>
      <c r="B260" s="39" t="s">
        <v>2093</v>
      </c>
      <c r="C260" s="57" t="s">
        <v>2094</v>
      </c>
      <c r="D260" s="39">
        <v>17.0</v>
      </c>
      <c r="E260" s="39">
        <v>6.0</v>
      </c>
      <c r="F260" s="39" t="s">
        <v>50</v>
      </c>
      <c r="G260" s="39" t="s">
        <v>51</v>
      </c>
      <c r="H260" s="42">
        <v>40878.0</v>
      </c>
      <c r="I260" s="39" t="s">
        <v>82</v>
      </c>
      <c r="J260" s="39" t="s">
        <v>83</v>
      </c>
      <c r="K260" s="39" t="s">
        <v>2095</v>
      </c>
      <c r="L260" s="39" t="s">
        <v>105</v>
      </c>
      <c r="M260" s="42">
        <v>44470.0</v>
      </c>
      <c r="N260" s="39" t="s">
        <v>141</v>
      </c>
      <c r="O260" s="39" t="s">
        <v>229</v>
      </c>
      <c r="P260" s="43"/>
      <c r="Q260" s="39" t="s">
        <v>1937</v>
      </c>
      <c r="R260" s="42">
        <v>45292.0</v>
      </c>
      <c r="S260" s="39" t="s">
        <v>143</v>
      </c>
      <c r="T260" s="46"/>
      <c r="U260" s="39" t="s">
        <v>144</v>
      </c>
      <c r="V260" s="39" t="s">
        <v>159</v>
      </c>
      <c r="W260" s="39" t="s">
        <v>2096</v>
      </c>
      <c r="X260" s="39" t="s">
        <v>1329</v>
      </c>
      <c r="Y260" s="39" t="s">
        <v>2097</v>
      </c>
      <c r="Z260" s="39" t="s">
        <v>114</v>
      </c>
      <c r="AA260" s="45">
        <v>50048.0</v>
      </c>
      <c r="AB260" s="46"/>
      <c r="AC260" s="23">
        <v>114.0</v>
      </c>
      <c r="AD260" s="39" t="s">
        <v>66</v>
      </c>
      <c r="AE260" s="39" t="s">
        <v>67</v>
      </c>
      <c r="AF260" s="43"/>
      <c r="AG260" s="39" t="s">
        <v>68</v>
      </c>
      <c r="AH260" s="39" t="s">
        <v>246</v>
      </c>
      <c r="AI260" s="39">
        <v>8.5261174979E10</v>
      </c>
      <c r="AJ260" s="39" t="s">
        <v>2098</v>
      </c>
      <c r="AK260" s="39" t="s">
        <v>2099</v>
      </c>
      <c r="AL260" s="39" t="s">
        <v>2100</v>
      </c>
      <c r="AM260" s="39" t="s">
        <v>96</v>
      </c>
      <c r="AN260" s="43"/>
      <c r="AO260" s="43"/>
      <c r="AP260" s="43"/>
      <c r="AQ260" s="43"/>
      <c r="AR260" s="43"/>
    </row>
    <row r="261">
      <c r="A261" s="21">
        <f t="shared" si="4"/>
        <v>23</v>
      </c>
      <c r="B261" s="39" t="s">
        <v>2101</v>
      </c>
      <c r="C261" s="57" t="s">
        <v>2102</v>
      </c>
      <c r="D261" s="39">
        <v>14.0</v>
      </c>
      <c r="E261" s="39">
        <v>7.0</v>
      </c>
      <c r="F261" s="39" t="s">
        <v>50</v>
      </c>
      <c r="G261" s="39" t="s">
        <v>51</v>
      </c>
      <c r="H261" s="42">
        <v>39873.0</v>
      </c>
      <c r="I261" s="39" t="s">
        <v>82</v>
      </c>
      <c r="J261" s="39" t="s">
        <v>83</v>
      </c>
      <c r="K261" s="39" t="s">
        <v>417</v>
      </c>
      <c r="L261" s="39" t="s">
        <v>105</v>
      </c>
      <c r="M261" s="42">
        <v>45566.0</v>
      </c>
      <c r="N261" s="39" t="s">
        <v>141</v>
      </c>
      <c r="O261" s="39" t="s">
        <v>229</v>
      </c>
      <c r="P261" s="43"/>
      <c r="Q261" s="39" t="s">
        <v>1937</v>
      </c>
      <c r="R261" s="42">
        <v>45292.0</v>
      </c>
      <c r="S261" s="39" t="s">
        <v>143</v>
      </c>
      <c r="T261" s="46"/>
      <c r="U261" s="39" t="s">
        <v>144</v>
      </c>
      <c r="V261" s="39" t="s">
        <v>89</v>
      </c>
      <c r="W261" s="39" t="s">
        <v>90</v>
      </c>
      <c r="X261" s="39" t="s">
        <v>1521</v>
      </c>
      <c r="Y261" s="47">
        <v>40497.0</v>
      </c>
      <c r="Z261" s="43"/>
      <c r="AA261" s="45">
        <v>47852.0</v>
      </c>
      <c r="AB261" s="46"/>
      <c r="AC261" s="23">
        <v>115.0</v>
      </c>
      <c r="AD261" s="39" t="s">
        <v>66</v>
      </c>
      <c r="AE261" s="39" t="s">
        <v>67</v>
      </c>
      <c r="AF261" s="39" t="s">
        <v>92</v>
      </c>
      <c r="AG261" s="39" t="s">
        <v>68</v>
      </c>
      <c r="AH261" s="39" t="s">
        <v>69</v>
      </c>
      <c r="AI261" s="39">
        <v>8.5262375051E10</v>
      </c>
      <c r="AJ261" s="39" t="s">
        <v>2103</v>
      </c>
      <c r="AK261" s="39" t="s">
        <v>2104</v>
      </c>
      <c r="AL261" s="39" t="s">
        <v>2105</v>
      </c>
      <c r="AM261" s="39" t="s">
        <v>96</v>
      </c>
      <c r="AN261" s="43"/>
      <c r="AO261" s="39" t="s">
        <v>2106</v>
      </c>
      <c r="AP261" s="39" t="s">
        <v>2107</v>
      </c>
      <c r="AQ261" s="43"/>
      <c r="AR261" s="43"/>
    </row>
    <row r="262">
      <c r="A262" s="21">
        <f t="shared" si="4"/>
        <v>24</v>
      </c>
      <c r="B262" s="39" t="s">
        <v>2108</v>
      </c>
      <c r="C262" s="57" t="s">
        <v>2109</v>
      </c>
      <c r="D262" s="39">
        <v>14.0</v>
      </c>
      <c r="E262" s="39">
        <v>7.0</v>
      </c>
      <c r="F262" s="39" t="s">
        <v>50</v>
      </c>
      <c r="G262" s="39" t="s">
        <v>51</v>
      </c>
      <c r="H262" s="42">
        <v>39873.0</v>
      </c>
      <c r="I262" s="39" t="s">
        <v>82</v>
      </c>
      <c r="J262" s="39" t="s">
        <v>83</v>
      </c>
      <c r="K262" s="39" t="s">
        <v>417</v>
      </c>
      <c r="L262" s="39" t="s">
        <v>105</v>
      </c>
      <c r="M262" s="42">
        <v>45566.0</v>
      </c>
      <c r="N262" s="39" t="s">
        <v>141</v>
      </c>
      <c r="O262" s="39" t="s">
        <v>173</v>
      </c>
      <c r="P262" s="43"/>
      <c r="Q262" s="39" t="s">
        <v>1937</v>
      </c>
      <c r="R262" s="42">
        <v>45292.0</v>
      </c>
      <c r="S262" s="39" t="s">
        <v>143</v>
      </c>
      <c r="T262" s="46"/>
      <c r="U262" s="39" t="s">
        <v>144</v>
      </c>
      <c r="V262" s="39" t="s">
        <v>89</v>
      </c>
      <c r="W262" s="39" t="s">
        <v>374</v>
      </c>
      <c r="X262" s="39" t="s">
        <v>2024</v>
      </c>
      <c r="Y262" s="39" t="s">
        <v>1930</v>
      </c>
      <c r="Z262" s="39" t="s">
        <v>114</v>
      </c>
      <c r="AA262" s="45">
        <v>50782.0</v>
      </c>
      <c r="AB262" s="43"/>
      <c r="AC262" s="23">
        <v>116.0</v>
      </c>
      <c r="AD262" s="39" t="s">
        <v>66</v>
      </c>
      <c r="AE262" s="39" t="s">
        <v>67</v>
      </c>
      <c r="AF262" s="39" t="s">
        <v>92</v>
      </c>
      <c r="AG262" s="39" t="s">
        <v>130</v>
      </c>
      <c r="AH262" s="39" t="s">
        <v>69</v>
      </c>
      <c r="AI262" s="39">
        <v>8.116326126E9</v>
      </c>
      <c r="AJ262" s="39" t="s">
        <v>2110</v>
      </c>
      <c r="AK262" s="39" t="s">
        <v>2111</v>
      </c>
      <c r="AL262" s="39" t="s">
        <v>2112</v>
      </c>
      <c r="AM262" s="39" t="s">
        <v>96</v>
      </c>
      <c r="AN262" s="39" t="s">
        <v>97</v>
      </c>
      <c r="AO262" s="39" t="s">
        <v>454</v>
      </c>
      <c r="AP262" s="39" t="s">
        <v>605</v>
      </c>
      <c r="AQ262" s="43"/>
      <c r="AR262" s="43"/>
    </row>
    <row r="263">
      <c r="A263" s="21">
        <f t="shared" si="4"/>
        <v>25</v>
      </c>
      <c r="B263" s="39" t="s">
        <v>2113</v>
      </c>
      <c r="C263" s="40" t="s">
        <v>2114</v>
      </c>
      <c r="D263" s="41">
        <v>17.0</v>
      </c>
      <c r="E263" s="41">
        <v>3.0</v>
      </c>
      <c r="F263" s="41" t="s">
        <v>171</v>
      </c>
      <c r="G263" s="41" t="s">
        <v>172</v>
      </c>
      <c r="H263" s="58">
        <v>37347.0</v>
      </c>
      <c r="I263" s="39" t="s">
        <v>82</v>
      </c>
      <c r="J263" s="39" t="s">
        <v>83</v>
      </c>
      <c r="K263" s="39" t="s">
        <v>2115</v>
      </c>
      <c r="L263" s="39" t="s">
        <v>1314</v>
      </c>
      <c r="M263" s="42">
        <v>42826.0</v>
      </c>
      <c r="N263" s="41" t="s">
        <v>141</v>
      </c>
      <c r="O263" s="39" t="s">
        <v>173</v>
      </c>
      <c r="P263" s="59"/>
      <c r="Q263" s="39" t="s">
        <v>59</v>
      </c>
      <c r="R263" s="58">
        <v>45292.0</v>
      </c>
      <c r="S263" s="41" t="s">
        <v>143</v>
      </c>
      <c r="T263" s="70"/>
      <c r="U263" s="41" t="s">
        <v>144</v>
      </c>
      <c r="V263" s="39" t="s">
        <v>159</v>
      </c>
      <c r="W263" s="39" t="s">
        <v>218</v>
      </c>
      <c r="X263" s="39" t="s">
        <v>161</v>
      </c>
      <c r="Y263" s="39" t="s">
        <v>2116</v>
      </c>
      <c r="Z263" s="41" t="s">
        <v>114</v>
      </c>
      <c r="AA263" s="61">
        <v>47121.0</v>
      </c>
      <c r="AB263" s="59"/>
      <c r="AC263" s="23">
        <v>117.0</v>
      </c>
      <c r="AD263" s="39" t="s">
        <v>66</v>
      </c>
      <c r="AE263" s="39" t="s">
        <v>67</v>
      </c>
      <c r="AF263" s="39" t="s">
        <v>2117</v>
      </c>
      <c r="AG263" s="39" t="s">
        <v>130</v>
      </c>
      <c r="AH263" s="39" t="s">
        <v>288</v>
      </c>
      <c r="AI263" s="39">
        <v>8.7889889417E10</v>
      </c>
      <c r="AJ263" s="39" t="s">
        <v>2118</v>
      </c>
      <c r="AK263" s="39" t="s">
        <v>2119</v>
      </c>
      <c r="AL263" s="39" t="s">
        <v>2120</v>
      </c>
      <c r="AM263" s="39" t="s">
        <v>96</v>
      </c>
      <c r="AN263" s="39" t="s">
        <v>97</v>
      </c>
      <c r="AO263" s="39" t="s">
        <v>379</v>
      </c>
      <c r="AP263" s="39" t="s">
        <v>1517</v>
      </c>
      <c r="AQ263" s="43"/>
      <c r="AR263" s="43"/>
    </row>
    <row r="264">
      <c r="A264" s="21">
        <f t="shared" si="4"/>
        <v>26</v>
      </c>
      <c r="B264" s="39" t="s">
        <v>2121</v>
      </c>
      <c r="C264" s="40" t="s">
        <v>2122</v>
      </c>
      <c r="D264" s="41">
        <v>14.0</v>
      </c>
      <c r="E264" s="41">
        <v>2.0</v>
      </c>
      <c r="F264" s="41" t="s">
        <v>80</v>
      </c>
      <c r="G264" s="41" t="s">
        <v>81</v>
      </c>
      <c r="H264" s="58">
        <v>38384.0</v>
      </c>
      <c r="I264" s="39" t="s">
        <v>82</v>
      </c>
      <c r="J264" s="39" t="s">
        <v>83</v>
      </c>
      <c r="K264" s="39" t="s">
        <v>2123</v>
      </c>
      <c r="L264" s="39" t="s">
        <v>105</v>
      </c>
      <c r="M264" s="42">
        <v>43556.0</v>
      </c>
      <c r="N264" s="41" t="s">
        <v>141</v>
      </c>
      <c r="O264" s="39" t="s">
        <v>173</v>
      </c>
      <c r="P264" s="59"/>
      <c r="Q264" s="39" t="s">
        <v>59</v>
      </c>
      <c r="R264" s="58">
        <v>45292.0</v>
      </c>
      <c r="S264" s="41" t="s">
        <v>143</v>
      </c>
      <c r="T264" s="70"/>
      <c r="U264" s="41" t="s">
        <v>144</v>
      </c>
      <c r="V264" s="39" t="s">
        <v>89</v>
      </c>
      <c r="W264" s="39" t="s">
        <v>218</v>
      </c>
      <c r="X264" s="39" t="s">
        <v>2124</v>
      </c>
      <c r="Y264" s="39" t="s">
        <v>2125</v>
      </c>
      <c r="Z264" s="59"/>
      <c r="AA264" s="61">
        <v>48591.0</v>
      </c>
      <c r="AB264" s="59"/>
      <c r="AC264" s="23">
        <v>118.0</v>
      </c>
      <c r="AD264" s="39" t="s">
        <v>66</v>
      </c>
      <c r="AE264" s="39" t="s">
        <v>220</v>
      </c>
      <c r="AF264" s="39" t="s">
        <v>92</v>
      </c>
      <c r="AG264" s="39" t="s">
        <v>68</v>
      </c>
      <c r="AH264" s="39" t="s">
        <v>69</v>
      </c>
      <c r="AI264" s="39">
        <v>8.1370720262E10</v>
      </c>
      <c r="AJ264" s="43"/>
      <c r="AK264" s="39" t="s">
        <v>2126</v>
      </c>
      <c r="AL264" s="39" t="s">
        <v>2127</v>
      </c>
      <c r="AM264" s="39" t="s">
        <v>96</v>
      </c>
      <c r="AN264" s="39" t="s">
        <v>74</v>
      </c>
      <c r="AO264" s="39" t="s">
        <v>203</v>
      </c>
      <c r="AP264" s="39" t="s">
        <v>2128</v>
      </c>
      <c r="AQ264" s="43"/>
      <c r="AR264" s="43"/>
    </row>
    <row r="265">
      <c r="A265" s="21">
        <f t="shared" si="4"/>
        <v>27</v>
      </c>
      <c r="B265" s="39" t="s">
        <v>2129</v>
      </c>
      <c r="C265" s="40" t="s">
        <v>2130</v>
      </c>
      <c r="D265" s="41">
        <v>16.0</v>
      </c>
      <c r="E265" s="41">
        <v>1.0</v>
      </c>
      <c r="F265" s="41" t="s">
        <v>80</v>
      </c>
      <c r="G265" s="41" t="s">
        <v>81</v>
      </c>
      <c r="H265" s="58">
        <v>35855.0</v>
      </c>
      <c r="I265" s="39" t="s">
        <v>82</v>
      </c>
      <c r="J265" s="39" t="s">
        <v>83</v>
      </c>
      <c r="K265" s="39" t="s">
        <v>2131</v>
      </c>
      <c r="L265" s="39" t="s">
        <v>1314</v>
      </c>
      <c r="M265" s="42">
        <v>41730.0</v>
      </c>
      <c r="N265" s="41" t="s">
        <v>141</v>
      </c>
      <c r="O265" s="39" t="s">
        <v>173</v>
      </c>
      <c r="P265" s="59"/>
      <c r="Q265" s="39" t="s">
        <v>59</v>
      </c>
      <c r="R265" s="58">
        <v>45292.0</v>
      </c>
      <c r="S265" s="41" t="s">
        <v>143</v>
      </c>
      <c r="T265" s="70"/>
      <c r="U265" s="41" t="s">
        <v>144</v>
      </c>
      <c r="V265" s="39" t="s">
        <v>89</v>
      </c>
      <c r="W265" s="39" t="s">
        <v>2132</v>
      </c>
      <c r="X265" s="39" t="s">
        <v>2133</v>
      </c>
      <c r="Y265" s="47">
        <v>34652.0</v>
      </c>
      <c r="Z265" s="41" t="s">
        <v>114</v>
      </c>
      <c r="AA265" s="61">
        <v>47126.0</v>
      </c>
      <c r="AB265" s="70"/>
      <c r="AC265" s="23">
        <v>119.0</v>
      </c>
      <c r="AD265" s="39" t="s">
        <v>66</v>
      </c>
      <c r="AE265" s="39" t="s">
        <v>220</v>
      </c>
      <c r="AF265" s="39" t="s">
        <v>92</v>
      </c>
      <c r="AG265" s="39" t="s">
        <v>130</v>
      </c>
      <c r="AH265" s="39" t="s">
        <v>69</v>
      </c>
      <c r="AI265" s="39">
        <v>8.5106020308E10</v>
      </c>
      <c r="AJ265" s="39" t="s">
        <v>2134</v>
      </c>
      <c r="AK265" s="39" t="s">
        <v>2135</v>
      </c>
      <c r="AL265" s="39" t="s">
        <v>2136</v>
      </c>
      <c r="AM265" s="39" t="s">
        <v>96</v>
      </c>
      <c r="AN265" s="39" t="s">
        <v>481</v>
      </c>
      <c r="AO265" s="39" t="s">
        <v>774</v>
      </c>
      <c r="AP265" s="39" t="s">
        <v>775</v>
      </c>
      <c r="AQ265" s="43"/>
      <c r="AR265" s="43"/>
    </row>
    <row r="266">
      <c r="A266" s="21">
        <f t="shared" si="4"/>
        <v>28</v>
      </c>
      <c r="B266" s="39" t="s">
        <v>2137</v>
      </c>
      <c r="C266" s="57" t="s">
        <v>2138</v>
      </c>
      <c r="D266" s="39">
        <v>14.0</v>
      </c>
      <c r="E266" s="39">
        <v>7.0</v>
      </c>
      <c r="F266" s="39" t="s">
        <v>50</v>
      </c>
      <c r="G266" s="39" t="s">
        <v>51</v>
      </c>
      <c r="H266" s="42">
        <v>39873.0</v>
      </c>
      <c r="I266" s="39" t="s">
        <v>82</v>
      </c>
      <c r="J266" s="39" t="s">
        <v>83</v>
      </c>
      <c r="K266" s="39" t="s">
        <v>417</v>
      </c>
      <c r="L266" s="39" t="s">
        <v>105</v>
      </c>
      <c r="M266" s="42">
        <v>45566.0</v>
      </c>
      <c r="N266" s="39" t="s">
        <v>141</v>
      </c>
      <c r="O266" s="39" t="s">
        <v>229</v>
      </c>
      <c r="P266" s="43"/>
      <c r="Q266" s="39" t="s">
        <v>1937</v>
      </c>
      <c r="R266" s="42">
        <v>45292.0</v>
      </c>
      <c r="S266" s="39" t="s">
        <v>143</v>
      </c>
      <c r="T266" s="46"/>
      <c r="U266" s="39" t="s">
        <v>144</v>
      </c>
      <c r="V266" s="39" t="s">
        <v>89</v>
      </c>
      <c r="W266" s="39" t="s">
        <v>90</v>
      </c>
      <c r="X266" s="39" t="s">
        <v>2005</v>
      </c>
      <c r="Y266" s="39" t="s">
        <v>1418</v>
      </c>
      <c r="Z266" s="39" t="s">
        <v>114</v>
      </c>
      <c r="AA266" s="45">
        <v>50779.0</v>
      </c>
      <c r="AB266" s="46"/>
      <c r="AC266" s="23">
        <v>120.0</v>
      </c>
      <c r="AD266" s="39" t="s">
        <v>66</v>
      </c>
      <c r="AE266" s="39" t="s">
        <v>67</v>
      </c>
      <c r="AF266" s="39" t="s">
        <v>92</v>
      </c>
      <c r="AG266" s="39" t="s">
        <v>68</v>
      </c>
      <c r="AH266" s="39" t="s">
        <v>246</v>
      </c>
      <c r="AI266" s="39">
        <v>8.5230780626E10</v>
      </c>
      <c r="AJ266" s="39" t="s">
        <v>2139</v>
      </c>
      <c r="AK266" s="39" t="s">
        <v>2140</v>
      </c>
      <c r="AL266" s="39" t="s">
        <v>2141</v>
      </c>
      <c r="AM266" s="39" t="s">
        <v>73</v>
      </c>
      <c r="AN266" s="39" t="s">
        <v>166</v>
      </c>
      <c r="AO266" s="39" t="s">
        <v>635</v>
      </c>
      <c r="AP266" s="39" t="s">
        <v>2142</v>
      </c>
      <c r="AQ266" s="43"/>
      <c r="AR266" s="43"/>
    </row>
    <row r="267">
      <c r="A267" s="21">
        <f t="shared" si="4"/>
        <v>29</v>
      </c>
      <c r="B267" s="39" t="s">
        <v>2143</v>
      </c>
      <c r="C267" s="57" t="s">
        <v>2144</v>
      </c>
      <c r="D267" s="39">
        <v>12.0</v>
      </c>
      <c r="E267" s="39">
        <v>9.0</v>
      </c>
      <c r="F267" s="39" t="s">
        <v>171</v>
      </c>
      <c r="G267" s="39" t="s">
        <v>172</v>
      </c>
      <c r="H267" s="42">
        <v>40179.0</v>
      </c>
      <c r="I267" s="39" t="s">
        <v>82</v>
      </c>
      <c r="J267" s="39" t="s">
        <v>83</v>
      </c>
      <c r="K267" s="39" t="s">
        <v>417</v>
      </c>
      <c r="L267" s="39" t="s">
        <v>105</v>
      </c>
      <c r="M267" s="42">
        <v>45566.0</v>
      </c>
      <c r="N267" s="39" t="s">
        <v>141</v>
      </c>
      <c r="O267" s="39" t="s">
        <v>173</v>
      </c>
      <c r="P267" s="43"/>
      <c r="Q267" s="39" t="s">
        <v>1937</v>
      </c>
      <c r="R267" s="42">
        <v>45292.0</v>
      </c>
      <c r="S267" s="39" t="s">
        <v>143</v>
      </c>
      <c r="T267" s="46"/>
      <c r="U267" s="39" t="s">
        <v>144</v>
      </c>
      <c r="V267" s="39" t="s">
        <v>159</v>
      </c>
      <c r="W267" s="39" t="s">
        <v>218</v>
      </c>
      <c r="X267" s="39" t="s">
        <v>2145</v>
      </c>
      <c r="Y267" s="39" t="s">
        <v>2146</v>
      </c>
      <c r="Z267" s="43"/>
      <c r="AA267" s="45">
        <v>52237.0</v>
      </c>
      <c r="AB267" s="43"/>
      <c r="AC267" s="23">
        <v>121.0</v>
      </c>
      <c r="AD267" s="39" t="s">
        <v>66</v>
      </c>
      <c r="AE267" s="39" t="s">
        <v>67</v>
      </c>
      <c r="AF267" s="39" t="s">
        <v>92</v>
      </c>
      <c r="AG267" s="39" t="s">
        <v>130</v>
      </c>
      <c r="AH267" s="39" t="s">
        <v>69</v>
      </c>
      <c r="AI267" s="39">
        <v>8.5261051542E10</v>
      </c>
      <c r="AJ267" s="39" t="s">
        <v>2147</v>
      </c>
      <c r="AK267" s="39" t="s">
        <v>2148</v>
      </c>
      <c r="AL267" s="39" t="s">
        <v>2149</v>
      </c>
      <c r="AM267" s="39" t="s">
        <v>96</v>
      </c>
      <c r="AN267" s="39" t="s">
        <v>97</v>
      </c>
      <c r="AO267" s="39" t="s">
        <v>151</v>
      </c>
      <c r="AP267" s="39" t="s">
        <v>2150</v>
      </c>
      <c r="AQ267" s="43"/>
      <c r="AR267" s="43"/>
    </row>
    <row r="268">
      <c r="A268" s="21">
        <f t="shared" si="4"/>
        <v>30</v>
      </c>
      <c r="B268" s="39" t="s">
        <v>2151</v>
      </c>
      <c r="C268" s="40" t="s">
        <v>2152</v>
      </c>
      <c r="D268" s="41">
        <v>21.0</v>
      </c>
      <c r="E268" s="41">
        <v>1.0</v>
      </c>
      <c r="F268" s="41" t="s">
        <v>2153</v>
      </c>
      <c r="G268" s="41" t="s">
        <v>2154</v>
      </c>
      <c r="H268" s="58">
        <v>33086.0</v>
      </c>
      <c r="I268" s="39" t="s">
        <v>102</v>
      </c>
      <c r="J268" s="39" t="s">
        <v>103</v>
      </c>
      <c r="K268" s="39" t="s">
        <v>2155</v>
      </c>
      <c r="L268" s="39" t="s">
        <v>88</v>
      </c>
      <c r="M268" s="42">
        <v>43191.0</v>
      </c>
      <c r="N268" s="41" t="s">
        <v>141</v>
      </c>
      <c r="O268" s="39" t="s">
        <v>229</v>
      </c>
      <c r="P268" s="59"/>
      <c r="Q268" s="39" t="s">
        <v>59</v>
      </c>
      <c r="R268" s="58">
        <v>45292.0</v>
      </c>
      <c r="S268" s="41" t="s">
        <v>143</v>
      </c>
      <c r="T268" s="60"/>
      <c r="U268" s="41" t="s">
        <v>144</v>
      </c>
      <c r="V268" s="39" t="s">
        <v>267</v>
      </c>
      <c r="W268" s="39" t="s">
        <v>218</v>
      </c>
      <c r="X268" s="39" t="s">
        <v>2156</v>
      </c>
      <c r="Y268" s="39" t="s">
        <v>2157</v>
      </c>
      <c r="Z268" s="41" t="s">
        <v>114</v>
      </c>
      <c r="AA268" s="61">
        <v>46395.0</v>
      </c>
      <c r="AB268" s="70"/>
      <c r="AC268" s="23">
        <v>122.0</v>
      </c>
      <c r="AD268" s="39" t="s">
        <v>66</v>
      </c>
      <c r="AE268" s="39" t="s">
        <v>220</v>
      </c>
      <c r="AF268" s="39" t="s">
        <v>92</v>
      </c>
      <c r="AG268" s="39" t="s">
        <v>130</v>
      </c>
      <c r="AH268" s="39" t="s">
        <v>69</v>
      </c>
      <c r="AI268" s="39">
        <v>8.1361220669E10</v>
      </c>
      <c r="AJ268" s="39" t="s">
        <v>2158</v>
      </c>
      <c r="AK268" s="39" t="s">
        <v>2159</v>
      </c>
      <c r="AL268" s="39" t="s">
        <v>2160</v>
      </c>
      <c r="AM268" s="39" t="s">
        <v>96</v>
      </c>
      <c r="AN268" s="39" t="s">
        <v>135</v>
      </c>
      <c r="AO268" s="39" t="s">
        <v>213</v>
      </c>
      <c r="AP268" s="39" t="s">
        <v>556</v>
      </c>
      <c r="AQ268" s="43"/>
      <c r="AR268" s="43"/>
    </row>
    <row r="269">
      <c r="A269" s="21">
        <f t="shared" si="4"/>
        <v>31</v>
      </c>
      <c r="B269" s="39" t="s">
        <v>2161</v>
      </c>
      <c r="C269" s="40" t="s">
        <v>2162</v>
      </c>
      <c r="D269" s="41">
        <v>10.0</v>
      </c>
      <c r="E269" s="41">
        <v>9.0</v>
      </c>
      <c r="F269" s="41" t="s">
        <v>171</v>
      </c>
      <c r="G269" s="41" t="s">
        <v>172</v>
      </c>
      <c r="H269" s="58">
        <v>40179.0</v>
      </c>
      <c r="I269" s="39" t="s">
        <v>102</v>
      </c>
      <c r="J269" s="39" t="s">
        <v>103</v>
      </c>
      <c r="K269" s="39" t="s">
        <v>2163</v>
      </c>
      <c r="L269" s="39" t="s">
        <v>105</v>
      </c>
      <c r="M269" s="42">
        <v>44835.0</v>
      </c>
      <c r="N269" s="41" t="s">
        <v>141</v>
      </c>
      <c r="O269" s="39" t="s">
        <v>229</v>
      </c>
      <c r="P269" s="59"/>
      <c r="Q269" s="39" t="s">
        <v>59</v>
      </c>
      <c r="R269" s="58">
        <v>45677.0</v>
      </c>
      <c r="S269" s="41" t="s">
        <v>2164</v>
      </c>
      <c r="T269" s="70"/>
      <c r="U269" s="41" t="s">
        <v>144</v>
      </c>
      <c r="V269" s="39" t="s">
        <v>89</v>
      </c>
      <c r="W269" s="39" t="s">
        <v>2165</v>
      </c>
      <c r="X269" s="39" t="s">
        <v>2166</v>
      </c>
      <c r="Y269" s="67">
        <v>43795.0</v>
      </c>
      <c r="Z269" s="121"/>
      <c r="AA269" s="122">
        <v>52603.0</v>
      </c>
      <c r="AB269" s="70"/>
      <c r="AC269" s="23">
        <v>123.0</v>
      </c>
      <c r="AD269" s="39" t="s">
        <v>66</v>
      </c>
      <c r="AE269" s="39" t="s">
        <v>67</v>
      </c>
      <c r="AF269" s="43"/>
      <c r="AG269" s="39" t="s">
        <v>130</v>
      </c>
      <c r="AH269" s="39" t="s">
        <v>131</v>
      </c>
      <c r="AI269" s="39">
        <v>8.5263446181E10</v>
      </c>
      <c r="AJ269" s="39" t="s">
        <v>2167</v>
      </c>
      <c r="AK269" s="39" t="s">
        <v>2168</v>
      </c>
      <c r="AL269" s="39" t="s">
        <v>2169</v>
      </c>
      <c r="AM269" s="39" t="s">
        <v>96</v>
      </c>
      <c r="AN269" s="39" t="s">
        <v>166</v>
      </c>
      <c r="AO269" s="39" t="s">
        <v>596</v>
      </c>
      <c r="AP269" s="39" t="s">
        <v>2170</v>
      </c>
      <c r="AQ269" s="43"/>
      <c r="AR269" s="43"/>
    </row>
    <row r="270">
      <c r="A270" s="21">
        <f t="shared" si="4"/>
        <v>32</v>
      </c>
      <c r="B270" s="39" t="s">
        <v>2171</v>
      </c>
      <c r="C270" s="57" t="s">
        <v>2172</v>
      </c>
      <c r="D270" s="39">
        <v>11.0</v>
      </c>
      <c r="E270" s="39">
        <v>3.0</v>
      </c>
      <c r="F270" s="39" t="s">
        <v>171</v>
      </c>
      <c r="G270" s="39" t="s">
        <v>172</v>
      </c>
      <c r="H270" s="42">
        <v>40544.0</v>
      </c>
      <c r="I270" s="39" t="s">
        <v>182</v>
      </c>
      <c r="J270" s="39" t="s">
        <v>183</v>
      </c>
      <c r="K270" s="39" t="s">
        <v>217</v>
      </c>
      <c r="L270" s="39" t="s">
        <v>105</v>
      </c>
      <c r="M270" s="42">
        <v>45383.0</v>
      </c>
      <c r="N270" s="39" t="s">
        <v>141</v>
      </c>
      <c r="O270" s="39" t="s">
        <v>229</v>
      </c>
      <c r="P270" s="43"/>
      <c r="Q270" s="39" t="s">
        <v>1928</v>
      </c>
      <c r="R270" s="42">
        <v>45292.0</v>
      </c>
      <c r="S270" s="39" t="s">
        <v>143</v>
      </c>
      <c r="T270" s="46"/>
      <c r="U270" s="39" t="s">
        <v>144</v>
      </c>
      <c r="V270" s="39" t="s">
        <v>89</v>
      </c>
      <c r="W270" s="39" t="s">
        <v>218</v>
      </c>
      <c r="X270" s="39" t="s">
        <v>231</v>
      </c>
      <c r="Y270" s="39" t="s">
        <v>2173</v>
      </c>
      <c r="Z270" s="43"/>
      <c r="AA270" s="45">
        <v>52242.0</v>
      </c>
      <c r="AB270" s="46"/>
      <c r="AC270" s="23">
        <v>124.0</v>
      </c>
      <c r="AD270" s="39" t="s">
        <v>66</v>
      </c>
      <c r="AE270" s="39" t="s">
        <v>67</v>
      </c>
      <c r="AF270" s="39" t="s">
        <v>129</v>
      </c>
      <c r="AG270" s="39" t="s">
        <v>68</v>
      </c>
      <c r="AH270" s="39" t="s">
        <v>69</v>
      </c>
      <c r="AI270" s="39">
        <v>8.1375004604E10</v>
      </c>
      <c r="AJ270" s="39" t="s">
        <v>2174</v>
      </c>
      <c r="AK270" s="39" t="s">
        <v>2175</v>
      </c>
      <c r="AL270" s="39" t="s">
        <v>2176</v>
      </c>
      <c r="AM270" s="39" t="s">
        <v>96</v>
      </c>
      <c r="AN270" s="39" t="s">
        <v>97</v>
      </c>
      <c r="AO270" s="39" t="s">
        <v>272</v>
      </c>
      <c r="AP270" s="39" t="s">
        <v>334</v>
      </c>
      <c r="AQ270" s="43"/>
      <c r="AR270" s="43"/>
    </row>
    <row r="271">
      <c r="A271" s="21">
        <f t="shared" si="4"/>
        <v>33</v>
      </c>
      <c r="B271" s="39" t="s">
        <v>2177</v>
      </c>
      <c r="C271" s="57" t="s">
        <v>2178</v>
      </c>
      <c r="D271" s="39">
        <v>15.0</v>
      </c>
      <c r="E271" s="39">
        <v>6.0</v>
      </c>
      <c r="F271" s="39" t="s">
        <v>50</v>
      </c>
      <c r="G271" s="39" t="s">
        <v>51</v>
      </c>
      <c r="H271" s="42">
        <v>39845.0</v>
      </c>
      <c r="I271" s="39" t="s">
        <v>80</v>
      </c>
      <c r="J271" s="39" t="s">
        <v>81</v>
      </c>
      <c r="K271" s="39" t="s">
        <v>104</v>
      </c>
      <c r="L271" s="39" t="s">
        <v>105</v>
      </c>
      <c r="M271" s="42">
        <v>45017.0</v>
      </c>
      <c r="N271" s="39" t="s">
        <v>141</v>
      </c>
      <c r="O271" s="39" t="s">
        <v>229</v>
      </c>
      <c r="P271" s="43"/>
      <c r="Q271" s="39" t="s">
        <v>1937</v>
      </c>
      <c r="R271" s="42">
        <v>45292.0</v>
      </c>
      <c r="S271" s="39" t="s">
        <v>143</v>
      </c>
      <c r="T271" s="46"/>
      <c r="U271" s="39" t="s">
        <v>144</v>
      </c>
      <c r="V271" s="39" t="s">
        <v>285</v>
      </c>
      <c r="W271" s="43"/>
      <c r="X271" s="39" t="s">
        <v>2179</v>
      </c>
      <c r="Y271" s="39" t="s">
        <v>287</v>
      </c>
      <c r="Z271" s="39" t="s">
        <v>114</v>
      </c>
      <c r="AA271" s="45">
        <v>50776.0</v>
      </c>
      <c r="AB271" s="46"/>
      <c r="AC271" s="23">
        <v>125.0</v>
      </c>
      <c r="AD271" s="39" t="s">
        <v>66</v>
      </c>
      <c r="AE271" s="39" t="s">
        <v>67</v>
      </c>
      <c r="AF271" s="39" t="s">
        <v>92</v>
      </c>
      <c r="AG271" s="39" t="s">
        <v>130</v>
      </c>
      <c r="AH271" s="39" t="s">
        <v>288</v>
      </c>
      <c r="AI271" s="39">
        <v>8.116591005E9</v>
      </c>
      <c r="AJ271" s="39" t="s">
        <v>2180</v>
      </c>
      <c r="AK271" s="39" t="s">
        <v>2181</v>
      </c>
      <c r="AL271" s="39" t="s">
        <v>2182</v>
      </c>
      <c r="AM271" s="39" t="s">
        <v>96</v>
      </c>
      <c r="AN271" s="39" t="s">
        <v>97</v>
      </c>
      <c r="AO271" s="39" t="s">
        <v>98</v>
      </c>
      <c r="AP271" s="39" t="s">
        <v>1376</v>
      </c>
      <c r="AQ271" s="43"/>
      <c r="AR271" s="43"/>
    </row>
    <row r="272">
      <c r="A272" s="21">
        <f t="shared" si="4"/>
        <v>34</v>
      </c>
      <c r="B272" s="39" t="s">
        <v>2183</v>
      </c>
      <c r="C272" s="57" t="s">
        <v>2184</v>
      </c>
      <c r="D272" s="39">
        <v>10.0</v>
      </c>
      <c r="E272" s="39">
        <v>3.0</v>
      </c>
      <c r="F272" s="39" t="s">
        <v>171</v>
      </c>
      <c r="G272" s="39" t="s">
        <v>172</v>
      </c>
      <c r="H272" s="42">
        <v>40544.0</v>
      </c>
      <c r="I272" s="39" t="s">
        <v>80</v>
      </c>
      <c r="J272" s="39" t="s">
        <v>81</v>
      </c>
      <c r="K272" s="39" t="s">
        <v>104</v>
      </c>
      <c r="L272" s="39" t="s">
        <v>105</v>
      </c>
      <c r="M272" s="42">
        <v>45017.0</v>
      </c>
      <c r="N272" s="39" t="s">
        <v>141</v>
      </c>
      <c r="O272" s="39" t="s">
        <v>229</v>
      </c>
      <c r="P272" s="43"/>
      <c r="Q272" s="39" t="s">
        <v>1937</v>
      </c>
      <c r="R272" s="42">
        <v>45292.0</v>
      </c>
      <c r="S272" s="39" t="s">
        <v>143</v>
      </c>
      <c r="T272" s="46"/>
      <c r="U272" s="39" t="s">
        <v>144</v>
      </c>
      <c r="V272" s="39" t="s">
        <v>267</v>
      </c>
      <c r="W272" s="39" t="s">
        <v>2185</v>
      </c>
      <c r="X272" s="39" t="s">
        <v>2186</v>
      </c>
      <c r="Y272" s="39" t="s">
        <v>2187</v>
      </c>
      <c r="Z272" s="39" t="s">
        <v>114</v>
      </c>
      <c r="AA272" s="45">
        <v>53700.0</v>
      </c>
      <c r="AB272" s="46"/>
      <c r="AC272" s="23">
        <v>126.0</v>
      </c>
      <c r="AD272" s="39" t="s">
        <v>66</v>
      </c>
      <c r="AE272" s="39" t="s">
        <v>67</v>
      </c>
      <c r="AF272" s="39" t="s">
        <v>92</v>
      </c>
      <c r="AG272" s="39" t="s">
        <v>68</v>
      </c>
      <c r="AH272" s="39" t="s">
        <v>69</v>
      </c>
      <c r="AI272" s="39">
        <v>8.1262292298E10</v>
      </c>
      <c r="AJ272" s="39" t="s">
        <v>2188</v>
      </c>
      <c r="AK272" s="39" t="s">
        <v>2189</v>
      </c>
      <c r="AL272" s="39" t="s">
        <v>2190</v>
      </c>
      <c r="AM272" s="39" t="s">
        <v>96</v>
      </c>
      <c r="AN272" s="39" t="s">
        <v>97</v>
      </c>
      <c r="AO272" s="39" t="s">
        <v>379</v>
      </c>
      <c r="AP272" s="39" t="s">
        <v>2191</v>
      </c>
      <c r="AQ272" s="43"/>
      <c r="AR272" s="43"/>
    </row>
    <row r="273">
      <c r="A273" s="21">
        <f t="shared" si="4"/>
        <v>35</v>
      </c>
      <c r="B273" s="39" t="s">
        <v>2192</v>
      </c>
      <c r="C273" s="57" t="s">
        <v>2193</v>
      </c>
      <c r="D273" s="39">
        <v>20.0</v>
      </c>
      <c r="E273" s="39">
        <v>9.0</v>
      </c>
      <c r="F273" s="39" t="s">
        <v>50</v>
      </c>
      <c r="G273" s="39" t="s">
        <v>51</v>
      </c>
      <c r="H273" s="42">
        <v>40452.0</v>
      </c>
      <c r="I273" s="39" t="s">
        <v>80</v>
      </c>
      <c r="J273" s="39" t="s">
        <v>81</v>
      </c>
      <c r="K273" s="39" t="s">
        <v>417</v>
      </c>
      <c r="L273" s="39" t="s">
        <v>105</v>
      </c>
      <c r="M273" s="42">
        <v>45566.0</v>
      </c>
      <c r="N273" s="39" t="s">
        <v>141</v>
      </c>
      <c r="O273" s="39" t="s">
        <v>196</v>
      </c>
      <c r="P273" s="43"/>
      <c r="Q273" s="39" t="s">
        <v>59</v>
      </c>
      <c r="R273" s="42">
        <v>45537.0</v>
      </c>
      <c r="S273" s="39" t="s">
        <v>185</v>
      </c>
      <c r="T273" s="44"/>
      <c r="U273" s="39" t="s">
        <v>144</v>
      </c>
      <c r="V273" s="39" t="s">
        <v>285</v>
      </c>
      <c r="W273" s="43"/>
      <c r="X273" s="39" t="s">
        <v>2194</v>
      </c>
      <c r="Y273" s="39" t="s">
        <v>2195</v>
      </c>
      <c r="Z273" s="46"/>
      <c r="AA273" s="45">
        <v>50043.0</v>
      </c>
      <c r="AB273" s="43"/>
      <c r="AC273" s="23">
        <v>127.0</v>
      </c>
      <c r="AD273" s="39" t="s">
        <v>66</v>
      </c>
      <c r="AE273" s="39" t="s">
        <v>67</v>
      </c>
      <c r="AF273" s="39" t="s">
        <v>92</v>
      </c>
      <c r="AG273" s="39" t="s">
        <v>68</v>
      </c>
      <c r="AH273" s="39" t="s">
        <v>69</v>
      </c>
      <c r="AI273" s="39">
        <v>8.136109913E10</v>
      </c>
      <c r="AJ273" s="43"/>
      <c r="AK273" s="39" t="s">
        <v>2196</v>
      </c>
      <c r="AL273" s="39" t="s">
        <v>2197</v>
      </c>
      <c r="AM273" s="39" t="s">
        <v>73</v>
      </c>
      <c r="AN273" s="39" t="s">
        <v>74</v>
      </c>
      <c r="AO273" s="39" t="s">
        <v>989</v>
      </c>
      <c r="AP273" s="39" t="s">
        <v>2198</v>
      </c>
      <c r="AQ273" s="43"/>
      <c r="AR273" s="43"/>
    </row>
    <row r="274">
      <c r="A274" s="21">
        <f t="shared" si="4"/>
        <v>36</v>
      </c>
      <c r="B274" s="39" t="s">
        <v>2199</v>
      </c>
      <c r="C274" s="40" t="s">
        <v>2200</v>
      </c>
      <c r="D274" s="41">
        <v>20.0</v>
      </c>
      <c r="E274" s="41">
        <v>1.0</v>
      </c>
      <c r="F274" s="41" t="s">
        <v>50</v>
      </c>
      <c r="G274" s="41" t="s">
        <v>51</v>
      </c>
      <c r="H274" s="58">
        <v>39448.0</v>
      </c>
      <c r="I274" s="39" t="s">
        <v>80</v>
      </c>
      <c r="J274" s="39" t="s">
        <v>81</v>
      </c>
      <c r="K274" s="39" t="s">
        <v>1399</v>
      </c>
      <c r="L274" s="39" t="s">
        <v>105</v>
      </c>
      <c r="M274" s="42">
        <v>44835.0</v>
      </c>
      <c r="N274" s="41" t="s">
        <v>141</v>
      </c>
      <c r="O274" s="39" t="s">
        <v>196</v>
      </c>
      <c r="P274" s="59"/>
      <c r="Q274" s="39" t="s">
        <v>59</v>
      </c>
      <c r="R274" s="58">
        <v>45292.0</v>
      </c>
      <c r="S274" s="41" t="s">
        <v>143</v>
      </c>
      <c r="T274" s="60"/>
      <c r="U274" s="41" t="s">
        <v>144</v>
      </c>
      <c r="V274" s="39" t="s">
        <v>285</v>
      </c>
      <c r="W274" s="43"/>
      <c r="X274" s="39" t="s">
        <v>2201</v>
      </c>
      <c r="Y274" s="39" t="s">
        <v>2195</v>
      </c>
      <c r="Z274" s="59"/>
      <c r="AA274" s="61">
        <v>49678.0</v>
      </c>
      <c r="AB274" s="59"/>
      <c r="AC274" s="23">
        <v>128.0</v>
      </c>
      <c r="AD274" s="39" t="s">
        <v>66</v>
      </c>
      <c r="AE274" s="39" t="s">
        <v>220</v>
      </c>
      <c r="AF274" s="39" t="s">
        <v>92</v>
      </c>
      <c r="AG274" s="39" t="s">
        <v>68</v>
      </c>
      <c r="AH274" s="39" t="s">
        <v>69</v>
      </c>
      <c r="AI274" s="39">
        <v>8.2161646233E10</v>
      </c>
      <c r="AJ274" s="39" t="s">
        <v>2202</v>
      </c>
      <c r="AK274" s="39" t="s">
        <v>2203</v>
      </c>
      <c r="AL274" s="39" t="s">
        <v>2204</v>
      </c>
      <c r="AM274" s="39" t="s">
        <v>96</v>
      </c>
      <c r="AN274" s="39" t="s">
        <v>135</v>
      </c>
      <c r="AO274" s="39" t="s">
        <v>379</v>
      </c>
      <c r="AP274" s="39" t="s">
        <v>2205</v>
      </c>
      <c r="AQ274" s="43"/>
      <c r="AR274" s="43"/>
    </row>
    <row r="275">
      <c r="A275" s="21">
        <f t="shared" si="4"/>
        <v>37</v>
      </c>
      <c r="B275" s="39" t="s">
        <v>2206</v>
      </c>
      <c r="C275" s="40" t="s">
        <v>2207</v>
      </c>
      <c r="D275" s="41">
        <v>17.0</v>
      </c>
      <c r="E275" s="41">
        <v>11.0</v>
      </c>
      <c r="F275" s="41" t="s">
        <v>50</v>
      </c>
      <c r="G275" s="41" t="s">
        <v>51</v>
      </c>
      <c r="H275" s="58">
        <v>40179.0</v>
      </c>
      <c r="I275" s="39" t="s">
        <v>80</v>
      </c>
      <c r="J275" s="39" t="s">
        <v>81</v>
      </c>
      <c r="K275" s="39" t="s">
        <v>1399</v>
      </c>
      <c r="L275" s="39" t="s">
        <v>105</v>
      </c>
      <c r="M275" s="42">
        <v>44835.0</v>
      </c>
      <c r="N275" s="41" t="s">
        <v>141</v>
      </c>
      <c r="O275" s="39" t="s">
        <v>196</v>
      </c>
      <c r="P275" s="59"/>
      <c r="Q275" s="39" t="s">
        <v>59</v>
      </c>
      <c r="R275" s="58">
        <v>45292.0</v>
      </c>
      <c r="S275" s="41" t="s">
        <v>143</v>
      </c>
      <c r="T275" s="70"/>
      <c r="U275" s="41" t="s">
        <v>144</v>
      </c>
      <c r="V275" s="39" t="s">
        <v>285</v>
      </c>
      <c r="W275" s="43"/>
      <c r="X275" s="39" t="s">
        <v>2208</v>
      </c>
      <c r="Y275" s="39" t="s">
        <v>487</v>
      </c>
      <c r="Z275" s="41" t="s">
        <v>114</v>
      </c>
      <c r="AA275" s="61">
        <v>50416.0</v>
      </c>
      <c r="AB275" s="70"/>
      <c r="AC275" s="23">
        <v>129.0</v>
      </c>
      <c r="AD275" s="39" t="s">
        <v>66</v>
      </c>
      <c r="AE275" s="39" t="s">
        <v>67</v>
      </c>
      <c r="AF275" s="43"/>
      <c r="AG275" s="39" t="s">
        <v>68</v>
      </c>
      <c r="AH275" s="39" t="s">
        <v>69</v>
      </c>
      <c r="AI275" s="39">
        <v>8.1375113733E10</v>
      </c>
      <c r="AJ275" s="39" t="s">
        <v>2209</v>
      </c>
      <c r="AK275" s="39" t="s">
        <v>2210</v>
      </c>
      <c r="AL275" s="39" t="s">
        <v>2211</v>
      </c>
      <c r="AM275" s="39" t="s">
        <v>96</v>
      </c>
      <c r="AN275" s="39" t="s">
        <v>97</v>
      </c>
      <c r="AO275" s="39" t="s">
        <v>213</v>
      </c>
      <c r="AP275" s="39" t="s">
        <v>2212</v>
      </c>
      <c r="AQ275" s="43"/>
      <c r="AR275" s="43"/>
    </row>
    <row r="276">
      <c r="A276" s="21">
        <f t="shared" si="4"/>
        <v>38</v>
      </c>
      <c r="B276" s="39" t="s">
        <v>2213</v>
      </c>
      <c r="C276" s="57" t="s">
        <v>2214</v>
      </c>
      <c r="D276" s="39">
        <v>15.0</v>
      </c>
      <c r="E276" s="39">
        <v>1.0</v>
      </c>
      <c r="F276" s="39" t="s">
        <v>50</v>
      </c>
      <c r="G276" s="39" t="s">
        <v>51</v>
      </c>
      <c r="H276" s="42">
        <v>39873.0</v>
      </c>
      <c r="I276" s="39" t="s">
        <v>80</v>
      </c>
      <c r="J276" s="39" t="s">
        <v>81</v>
      </c>
      <c r="K276" s="39" t="s">
        <v>2215</v>
      </c>
      <c r="L276" s="39" t="s">
        <v>105</v>
      </c>
      <c r="M276" s="42">
        <v>45748.0</v>
      </c>
      <c r="N276" s="39" t="s">
        <v>141</v>
      </c>
      <c r="O276" s="39" t="s">
        <v>196</v>
      </c>
      <c r="P276" s="43"/>
      <c r="Q276" s="39" t="s">
        <v>1937</v>
      </c>
      <c r="R276" s="42">
        <v>45292.0</v>
      </c>
      <c r="S276" s="39" t="s">
        <v>143</v>
      </c>
      <c r="T276" s="46"/>
      <c r="U276" s="39" t="s">
        <v>144</v>
      </c>
      <c r="V276" s="39" t="s">
        <v>285</v>
      </c>
      <c r="W276" s="39" t="s">
        <v>399</v>
      </c>
      <c r="X276" s="39" t="s">
        <v>2216</v>
      </c>
      <c r="Y276" s="39" t="s">
        <v>2195</v>
      </c>
      <c r="Z276" s="43"/>
      <c r="AA276" s="45">
        <v>49311.0</v>
      </c>
      <c r="AB276" s="46"/>
      <c r="AC276" s="23">
        <v>130.0</v>
      </c>
      <c r="AD276" s="39" t="s">
        <v>66</v>
      </c>
      <c r="AE276" s="39" t="s">
        <v>67</v>
      </c>
      <c r="AF276" s="39" t="s">
        <v>92</v>
      </c>
      <c r="AG276" s="39" t="s">
        <v>68</v>
      </c>
      <c r="AH276" s="39" t="s">
        <v>131</v>
      </c>
      <c r="AI276" s="39">
        <v>8.1375385812E10</v>
      </c>
      <c r="AJ276" s="39" t="s">
        <v>2217</v>
      </c>
      <c r="AK276" s="39" t="s">
        <v>2218</v>
      </c>
      <c r="AL276" s="39" t="s">
        <v>2219</v>
      </c>
      <c r="AM276" s="39" t="s">
        <v>96</v>
      </c>
      <c r="AN276" s="39" t="s">
        <v>97</v>
      </c>
      <c r="AO276" s="39" t="s">
        <v>98</v>
      </c>
      <c r="AP276" s="39" t="s">
        <v>2220</v>
      </c>
      <c r="AQ276" s="43"/>
      <c r="AR276" s="43"/>
    </row>
    <row r="277">
      <c r="A277" s="21">
        <f t="shared" si="4"/>
        <v>39</v>
      </c>
      <c r="B277" s="39" t="s">
        <v>2221</v>
      </c>
      <c r="C277" s="57" t="s">
        <v>2222</v>
      </c>
      <c r="D277" s="39">
        <v>17.0</v>
      </c>
      <c r="E277" s="39">
        <v>9.0</v>
      </c>
      <c r="F277" s="39" t="s">
        <v>50</v>
      </c>
      <c r="G277" s="39" t="s">
        <v>51</v>
      </c>
      <c r="H277" s="42">
        <v>39845.0</v>
      </c>
      <c r="I277" s="39" t="s">
        <v>80</v>
      </c>
      <c r="J277" s="39" t="s">
        <v>81</v>
      </c>
      <c r="K277" s="39" t="s">
        <v>2223</v>
      </c>
      <c r="L277" s="39" t="s">
        <v>105</v>
      </c>
      <c r="M277" s="42">
        <v>45992.0</v>
      </c>
      <c r="N277" s="39" t="s">
        <v>141</v>
      </c>
      <c r="O277" s="39" t="s">
        <v>196</v>
      </c>
      <c r="P277" s="43"/>
      <c r="Q277" s="39" t="s">
        <v>1937</v>
      </c>
      <c r="R277" s="42">
        <v>45292.0</v>
      </c>
      <c r="S277" s="39" t="s">
        <v>143</v>
      </c>
      <c r="T277" s="46"/>
      <c r="U277" s="39" t="s">
        <v>144</v>
      </c>
      <c r="V277" s="39" t="s">
        <v>285</v>
      </c>
      <c r="W277" s="39" t="s">
        <v>2224</v>
      </c>
      <c r="X277" s="39" t="s">
        <v>2225</v>
      </c>
      <c r="Y277" s="39" t="s">
        <v>2226</v>
      </c>
      <c r="Z277" s="43"/>
      <c r="AA277" s="45">
        <v>51871.0</v>
      </c>
      <c r="AB277" s="46"/>
      <c r="AC277" s="23">
        <v>131.0</v>
      </c>
      <c r="AD277" s="39" t="s">
        <v>66</v>
      </c>
      <c r="AE277" s="39" t="s">
        <v>67</v>
      </c>
      <c r="AF277" s="39" t="s">
        <v>92</v>
      </c>
      <c r="AG277" s="39" t="s">
        <v>130</v>
      </c>
      <c r="AH277" s="39" t="s">
        <v>69</v>
      </c>
      <c r="AI277" s="39">
        <v>8.116053113E9</v>
      </c>
      <c r="AJ277" s="39" t="s">
        <v>2227</v>
      </c>
      <c r="AK277" s="39" t="s">
        <v>2228</v>
      </c>
      <c r="AL277" s="39" t="s">
        <v>2229</v>
      </c>
      <c r="AM277" s="39" t="s">
        <v>96</v>
      </c>
      <c r="AN277" s="43"/>
      <c r="AO277" s="39" t="s">
        <v>191</v>
      </c>
      <c r="AP277" s="39" t="s">
        <v>836</v>
      </c>
      <c r="AQ277" s="43"/>
      <c r="AR277" s="43"/>
    </row>
    <row r="278">
      <c r="A278" s="21">
        <f t="shared" si="4"/>
        <v>40</v>
      </c>
      <c r="B278" s="39" t="s">
        <v>2230</v>
      </c>
      <c r="C278" s="57" t="s">
        <v>2231</v>
      </c>
      <c r="D278" s="43"/>
      <c r="E278" s="43"/>
      <c r="F278" s="39" t="s">
        <v>50</v>
      </c>
      <c r="G278" s="39" t="s">
        <v>51</v>
      </c>
      <c r="H278" s="42">
        <v>39845.0</v>
      </c>
      <c r="I278" s="39" t="s">
        <v>296</v>
      </c>
      <c r="J278" s="39" t="s">
        <v>297</v>
      </c>
      <c r="K278" s="39" t="s">
        <v>2232</v>
      </c>
      <c r="L278" s="39" t="s">
        <v>1314</v>
      </c>
      <c r="M278" s="42">
        <v>41365.0</v>
      </c>
      <c r="N278" s="39" t="s">
        <v>141</v>
      </c>
      <c r="O278" s="39" t="s">
        <v>196</v>
      </c>
      <c r="P278" s="43"/>
      <c r="Q278" s="39" t="s">
        <v>1937</v>
      </c>
      <c r="R278" s="42">
        <v>45292.0</v>
      </c>
      <c r="S278" s="39" t="s">
        <v>2233</v>
      </c>
      <c r="T278" s="46"/>
      <c r="U278" s="39" t="s">
        <v>144</v>
      </c>
      <c r="V278" s="39" t="s">
        <v>285</v>
      </c>
      <c r="W278" s="43"/>
      <c r="X278" s="39" t="s">
        <v>2234</v>
      </c>
      <c r="Y278" s="39" t="s">
        <v>287</v>
      </c>
      <c r="Z278" s="43"/>
      <c r="AA278" s="45">
        <v>49683.0</v>
      </c>
      <c r="AB278" s="46"/>
      <c r="AC278" s="23">
        <v>132.0</v>
      </c>
      <c r="AD278" s="39" t="s">
        <v>66</v>
      </c>
      <c r="AE278" s="39" t="s">
        <v>67</v>
      </c>
      <c r="AF278" s="39" t="s">
        <v>92</v>
      </c>
      <c r="AG278" s="39" t="s">
        <v>68</v>
      </c>
      <c r="AH278" s="39" t="s">
        <v>246</v>
      </c>
      <c r="AI278" s="39">
        <v>8.5765913239E10</v>
      </c>
      <c r="AJ278" s="43"/>
      <c r="AK278" s="39" t="s">
        <v>2235</v>
      </c>
      <c r="AL278" s="39" t="s">
        <v>2236</v>
      </c>
      <c r="AM278" s="39" t="s">
        <v>96</v>
      </c>
      <c r="AN278" s="39" t="s">
        <v>74</v>
      </c>
      <c r="AO278" s="39" t="s">
        <v>360</v>
      </c>
      <c r="AP278" s="39" t="s">
        <v>1985</v>
      </c>
      <c r="AQ278" s="43"/>
      <c r="AR278" s="43"/>
    </row>
    <row r="279">
      <c r="A279" s="75">
        <v>42.0</v>
      </c>
      <c r="B279" s="72" t="s">
        <v>2237</v>
      </c>
      <c r="C279" s="73" t="s">
        <v>2238</v>
      </c>
      <c r="D279" s="74"/>
      <c r="E279" s="74"/>
      <c r="F279" s="74"/>
      <c r="G279" s="75" t="s">
        <v>550</v>
      </c>
      <c r="H279" s="76">
        <v>45901.0</v>
      </c>
      <c r="I279" s="77"/>
      <c r="J279" s="75" t="s">
        <v>550</v>
      </c>
      <c r="K279" s="75" t="s">
        <v>518</v>
      </c>
      <c r="L279" s="72" t="s">
        <v>1314</v>
      </c>
      <c r="M279" s="76">
        <v>45901.0</v>
      </c>
      <c r="N279" s="74"/>
      <c r="O279" s="72" t="s">
        <v>142</v>
      </c>
      <c r="P279" s="74"/>
      <c r="Q279" s="72" t="s">
        <v>1937</v>
      </c>
      <c r="R279" s="76">
        <v>45901.0</v>
      </c>
      <c r="S279" s="72" t="s">
        <v>518</v>
      </c>
      <c r="T279" s="78">
        <v>45826.0</v>
      </c>
      <c r="U279" s="72" t="s">
        <v>144</v>
      </c>
      <c r="V279" s="72" t="s">
        <v>89</v>
      </c>
      <c r="W279" s="72" t="s">
        <v>2239</v>
      </c>
      <c r="X279" s="72" t="s">
        <v>1231</v>
      </c>
      <c r="Y279" s="84">
        <v>41195.0</v>
      </c>
      <c r="Z279" s="77"/>
      <c r="AA279" s="80"/>
      <c r="AB279" s="80"/>
      <c r="AC279" s="81">
        <v>274.0</v>
      </c>
      <c r="AD279" s="72" t="s">
        <v>522</v>
      </c>
      <c r="AE279" s="82" t="s">
        <v>67</v>
      </c>
      <c r="AF279" s="77"/>
      <c r="AG279" s="72" t="s">
        <v>68</v>
      </c>
      <c r="AH279" s="77"/>
      <c r="AI279" s="82">
        <v>8.1396618001E10</v>
      </c>
      <c r="AJ279" s="82" t="s">
        <v>2240</v>
      </c>
      <c r="AK279" s="85" t="s">
        <v>2241</v>
      </c>
      <c r="AL279" s="82" t="s">
        <v>2242</v>
      </c>
      <c r="AM279" s="72" t="s">
        <v>96</v>
      </c>
      <c r="AN279" s="72" t="s">
        <v>74</v>
      </c>
      <c r="AO279" s="82" t="s">
        <v>2243</v>
      </c>
      <c r="AP279" s="82" t="s">
        <v>2244</v>
      </c>
      <c r="AQ279" s="77"/>
      <c r="AR279" s="77"/>
    </row>
    <row r="280">
      <c r="A280" s="75">
        <v>43.0</v>
      </c>
      <c r="B280" s="72" t="s">
        <v>2245</v>
      </c>
      <c r="C280" s="73" t="s">
        <v>2246</v>
      </c>
      <c r="D280" s="74"/>
      <c r="E280" s="74"/>
      <c r="F280" s="74"/>
      <c r="G280" s="75" t="s">
        <v>517</v>
      </c>
      <c r="H280" s="76">
        <v>45901.0</v>
      </c>
      <c r="I280" s="77"/>
      <c r="J280" s="75" t="s">
        <v>517</v>
      </c>
      <c r="K280" s="75" t="s">
        <v>518</v>
      </c>
      <c r="L280" s="72" t="s">
        <v>1314</v>
      </c>
      <c r="M280" s="76">
        <v>45901.0</v>
      </c>
      <c r="N280" s="74"/>
      <c r="O280" s="72" t="s">
        <v>519</v>
      </c>
      <c r="P280" s="74"/>
      <c r="Q280" s="72" t="s">
        <v>1928</v>
      </c>
      <c r="R280" s="76">
        <v>45901.0</v>
      </c>
      <c r="S280" s="72" t="s">
        <v>518</v>
      </c>
      <c r="T280" s="78">
        <v>45826.0</v>
      </c>
      <c r="U280" s="72" t="s">
        <v>144</v>
      </c>
      <c r="V280" s="72" t="s">
        <v>267</v>
      </c>
      <c r="W280" s="72" t="s">
        <v>267</v>
      </c>
      <c r="X280" s="77"/>
      <c r="Y280" s="123"/>
      <c r="Z280" s="80"/>
      <c r="AA280" s="80"/>
      <c r="AB280" s="80"/>
      <c r="AC280" s="81">
        <v>275.0</v>
      </c>
      <c r="AD280" s="72" t="s">
        <v>522</v>
      </c>
      <c r="AE280" s="82" t="s">
        <v>67</v>
      </c>
      <c r="AF280" s="77"/>
      <c r="AG280" s="72" t="s">
        <v>130</v>
      </c>
      <c r="AH280" s="77"/>
      <c r="AI280" s="82">
        <v>8.216490891E10</v>
      </c>
      <c r="AJ280" s="82" t="s">
        <v>2247</v>
      </c>
      <c r="AK280" s="85" t="s">
        <v>2248</v>
      </c>
      <c r="AL280" s="82" t="s">
        <v>2249</v>
      </c>
      <c r="AM280" s="72" t="s">
        <v>96</v>
      </c>
      <c r="AN280" s="72" t="s">
        <v>74</v>
      </c>
      <c r="AO280" s="82" t="s">
        <v>932</v>
      </c>
      <c r="AP280" s="82" t="s">
        <v>2250</v>
      </c>
      <c r="AQ280" s="77"/>
      <c r="AR280" s="77"/>
    </row>
    <row r="281">
      <c r="A281" s="75">
        <v>44.0</v>
      </c>
      <c r="B281" s="72" t="s">
        <v>2251</v>
      </c>
      <c r="C281" s="73" t="s">
        <v>2252</v>
      </c>
      <c r="D281" s="74"/>
      <c r="E281" s="74"/>
      <c r="F281" s="74"/>
      <c r="G281" s="75" t="s">
        <v>517</v>
      </c>
      <c r="H281" s="76">
        <v>45901.0</v>
      </c>
      <c r="I281" s="77"/>
      <c r="J281" s="75" t="s">
        <v>517</v>
      </c>
      <c r="K281" s="75" t="s">
        <v>518</v>
      </c>
      <c r="L281" s="72" t="s">
        <v>1314</v>
      </c>
      <c r="M281" s="76">
        <v>45901.0</v>
      </c>
      <c r="N281" s="74"/>
      <c r="O281" s="72" t="s">
        <v>519</v>
      </c>
      <c r="P281" s="74"/>
      <c r="Q281" s="72" t="s">
        <v>1928</v>
      </c>
      <c r="R281" s="76">
        <v>45901.0</v>
      </c>
      <c r="S281" s="72" t="s">
        <v>518</v>
      </c>
      <c r="T281" s="78">
        <v>45826.0</v>
      </c>
      <c r="U281" s="72" t="s">
        <v>144</v>
      </c>
      <c r="V281" s="72" t="s">
        <v>267</v>
      </c>
      <c r="W281" s="72" t="s">
        <v>2253</v>
      </c>
      <c r="X281" s="72" t="s">
        <v>2254</v>
      </c>
      <c r="Y281" s="84">
        <v>38716.0</v>
      </c>
      <c r="Z281" s="80"/>
      <c r="AA281" s="80"/>
      <c r="AB281" s="80"/>
      <c r="AC281" s="81">
        <v>276.0</v>
      </c>
      <c r="AD281" s="72" t="s">
        <v>522</v>
      </c>
      <c r="AE281" s="82" t="s">
        <v>220</v>
      </c>
      <c r="AF281" s="77"/>
      <c r="AG281" s="82" t="s">
        <v>130</v>
      </c>
      <c r="AH281" s="77"/>
      <c r="AI281" s="82">
        <v>8.2286306187E10</v>
      </c>
      <c r="AJ281" s="82" t="s">
        <v>2255</v>
      </c>
      <c r="AK281" s="85" t="s">
        <v>2256</v>
      </c>
      <c r="AL281" s="82" t="s">
        <v>2257</v>
      </c>
      <c r="AM281" s="72" t="s">
        <v>96</v>
      </c>
      <c r="AN281" s="72" t="s">
        <v>74</v>
      </c>
      <c r="AO281" s="82" t="s">
        <v>1784</v>
      </c>
      <c r="AP281" s="82" t="s">
        <v>2258</v>
      </c>
      <c r="AQ281" s="77"/>
      <c r="AR281" s="77"/>
    </row>
    <row r="282">
      <c r="A282" s="75">
        <v>45.0</v>
      </c>
      <c r="B282" s="72" t="s">
        <v>2259</v>
      </c>
      <c r="C282" s="73" t="s">
        <v>2260</v>
      </c>
      <c r="D282" s="74"/>
      <c r="E282" s="74"/>
      <c r="F282" s="74"/>
      <c r="G282" s="75" t="s">
        <v>531</v>
      </c>
      <c r="H282" s="76">
        <v>45901.0</v>
      </c>
      <c r="I282" s="77"/>
      <c r="J282" s="75" t="s">
        <v>531</v>
      </c>
      <c r="K282" s="75" t="s">
        <v>518</v>
      </c>
      <c r="L282" s="72" t="s">
        <v>1314</v>
      </c>
      <c r="M282" s="76">
        <v>45901.0</v>
      </c>
      <c r="N282" s="74"/>
      <c r="O282" s="72" t="s">
        <v>532</v>
      </c>
      <c r="P282" s="74"/>
      <c r="Q282" s="72" t="s">
        <v>1937</v>
      </c>
      <c r="R282" s="76">
        <v>45901.0</v>
      </c>
      <c r="S282" s="72" t="s">
        <v>518</v>
      </c>
      <c r="T282" s="78">
        <v>45826.0</v>
      </c>
      <c r="U282" s="72" t="s">
        <v>144</v>
      </c>
      <c r="V282" s="72" t="s">
        <v>285</v>
      </c>
      <c r="W282" s="72" t="s">
        <v>541</v>
      </c>
      <c r="X282" s="72" t="s">
        <v>2261</v>
      </c>
      <c r="Y282" s="86"/>
      <c r="Z282" s="77"/>
      <c r="AA282" s="80"/>
      <c r="AB282" s="80"/>
      <c r="AC282" s="81">
        <v>277.0</v>
      </c>
      <c r="AD282" s="72" t="s">
        <v>522</v>
      </c>
      <c r="AE282" s="82" t="s">
        <v>67</v>
      </c>
      <c r="AF282" s="77"/>
      <c r="AG282" s="72" t="s">
        <v>68</v>
      </c>
      <c r="AH282" s="77"/>
      <c r="AI282" s="82">
        <v>8.5126811125E10</v>
      </c>
      <c r="AJ282" s="82" t="s">
        <v>2262</v>
      </c>
      <c r="AK282" s="85" t="s">
        <v>2263</v>
      </c>
      <c r="AL282" s="82" t="s">
        <v>2264</v>
      </c>
      <c r="AM282" s="82" t="s">
        <v>2265</v>
      </c>
      <c r="AN282" s="82" t="s">
        <v>2266</v>
      </c>
      <c r="AO282" s="82" t="s">
        <v>1941</v>
      </c>
      <c r="AP282" s="82" t="s">
        <v>2267</v>
      </c>
      <c r="AQ282" s="77"/>
      <c r="AR282" s="77"/>
    </row>
    <row r="283">
      <c r="A283" s="75">
        <v>46.0</v>
      </c>
      <c r="B283" s="72" t="s">
        <v>2268</v>
      </c>
      <c r="C283" s="73" t="s">
        <v>2269</v>
      </c>
      <c r="D283" s="74"/>
      <c r="E283" s="74"/>
      <c r="F283" s="74"/>
      <c r="G283" s="75" t="s">
        <v>531</v>
      </c>
      <c r="H283" s="76">
        <v>45901.0</v>
      </c>
      <c r="I283" s="77"/>
      <c r="J283" s="75" t="s">
        <v>531</v>
      </c>
      <c r="K283" s="75" t="s">
        <v>518</v>
      </c>
      <c r="L283" s="72" t="s">
        <v>1314</v>
      </c>
      <c r="M283" s="76">
        <v>45901.0</v>
      </c>
      <c r="N283" s="74"/>
      <c r="O283" s="72" t="s">
        <v>532</v>
      </c>
      <c r="P283" s="74"/>
      <c r="Q283" s="72" t="s">
        <v>1937</v>
      </c>
      <c r="R283" s="76">
        <v>45901.0</v>
      </c>
      <c r="S283" s="72" t="s">
        <v>518</v>
      </c>
      <c r="T283" s="78">
        <v>45826.0</v>
      </c>
      <c r="U283" s="72" t="s">
        <v>144</v>
      </c>
      <c r="V283" s="72" t="s">
        <v>285</v>
      </c>
      <c r="W283" s="72" t="s">
        <v>2270</v>
      </c>
      <c r="X283" s="72" t="s">
        <v>2271</v>
      </c>
      <c r="Y283" s="84">
        <v>39613.0</v>
      </c>
      <c r="Z283" s="77"/>
      <c r="AA283" s="80"/>
      <c r="AB283" s="80"/>
      <c r="AC283" s="81">
        <v>278.0</v>
      </c>
      <c r="AD283" s="72" t="s">
        <v>522</v>
      </c>
      <c r="AE283" s="82" t="s">
        <v>67</v>
      </c>
      <c r="AF283" s="80"/>
      <c r="AG283" s="72" t="s">
        <v>68</v>
      </c>
      <c r="AH283" s="77"/>
      <c r="AI283" s="82">
        <v>8.2276886768E10</v>
      </c>
      <c r="AJ283" s="82" t="s">
        <v>2272</v>
      </c>
      <c r="AK283" s="85" t="s">
        <v>2273</v>
      </c>
      <c r="AL283" s="82" t="s">
        <v>2274</v>
      </c>
      <c r="AM283" s="82" t="s">
        <v>2265</v>
      </c>
      <c r="AN283" s="72" t="s">
        <v>74</v>
      </c>
      <c r="AO283" s="82" t="s">
        <v>1511</v>
      </c>
      <c r="AP283" s="82" t="s">
        <v>2275</v>
      </c>
      <c r="AQ283" s="77"/>
      <c r="AR283" s="77"/>
    </row>
    <row r="284">
      <c r="A284" s="89">
        <v>47.0</v>
      </c>
      <c r="B284" s="87" t="s">
        <v>2276</v>
      </c>
      <c r="C284" s="88" t="s">
        <v>2277</v>
      </c>
      <c r="D284" s="89"/>
      <c r="E284" s="89"/>
      <c r="F284" s="89"/>
      <c r="G284" s="89"/>
      <c r="H284" s="89"/>
      <c r="I284" s="90"/>
      <c r="J284" s="89"/>
      <c r="K284" s="89"/>
      <c r="L284" s="90"/>
      <c r="M284" s="91"/>
      <c r="N284" s="89"/>
      <c r="O284" s="87" t="s">
        <v>142</v>
      </c>
      <c r="P284" s="89"/>
      <c r="Q284" s="100" t="s">
        <v>2278</v>
      </c>
      <c r="R284" s="91"/>
      <c r="S284" s="90"/>
      <c r="T284" s="93"/>
      <c r="U284" s="90"/>
      <c r="V284" s="87" t="s">
        <v>89</v>
      </c>
      <c r="W284" s="87"/>
      <c r="X284" s="87" t="s">
        <v>260</v>
      </c>
      <c r="Y284" s="99">
        <v>36222.0</v>
      </c>
      <c r="Z284" s="95"/>
      <c r="AA284" s="95"/>
      <c r="AB284" s="95"/>
      <c r="AC284" s="81">
        <v>279.0</v>
      </c>
      <c r="AD284" s="90"/>
      <c r="AE284" s="87" t="s">
        <v>67</v>
      </c>
      <c r="AF284" s="90"/>
      <c r="AG284" s="87" t="s">
        <v>130</v>
      </c>
      <c r="AH284" s="87"/>
      <c r="AI284" s="96">
        <v>8.116142112E9</v>
      </c>
      <c r="AJ284" s="87" t="s">
        <v>2279</v>
      </c>
      <c r="AK284" s="97" t="s">
        <v>2280</v>
      </c>
      <c r="AL284" s="87" t="s">
        <v>2281</v>
      </c>
      <c r="AM284" s="87" t="s">
        <v>73</v>
      </c>
      <c r="AN284" s="87" t="s">
        <v>481</v>
      </c>
      <c r="AO284" s="87" t="s">
        <v>191</v>
      </c>
      <c r="AP284" s="87" t="s">
        <v>836</v>
      </c>
      <c r="AQ284" s="87">
        <v>0.0</v>
      </c>
      <c r="AR284" s="87">
        <v>0.0</v>
      </c>
    </row>
    <row r="285">
      <c r="A285" s="89">
        <v>48.0</v>
      </c>
      <c r="B285" s="87" t="s">
        <v>2282</v>
      </c>
      <c r="C285" s="88" t="s">
        <v>2283</v>
      </c>
      <c r="D285" s="89"/>
      <c r="E285" s="89"/>
      <c r="F285" s="89"/>
      <c r="G285" s="89"/>
      <c r="H285" s="89"/>
      <c r="I285" s="90"/>
      <c r="J285" s="89"/>
      <c r="K285" s="89"/>
      <c r="L285" s="90"/>
      <c r="M285" s="91"/>
      <c r="N285" s="89"/>
      <c r="O285" s="87" t="s">
        <v>142</v>
      </c>
      <c r="P285" s="89"/>
      <c r="Q285" s="100" t="s">
        <v>2278</v>
      </c>
      <c r="R285" s="91"/>
      <c r="S285" s="90"/>
      <c r="T285" s="93"/>
      <c r="U285" s="90"/>
      <c r="V285" s="87" t="s">
        <v>89</v>
      </c>
      <c r="W285" s="87"/>
      <c r="X285" s="87" t="s">
        <v>648</v>
      </c>
      <c r="Y285" s="94">
        <v>42028.0</v>
      </c>
      <c r="Z285" s="95"/>
      <c r="AA285" s="95"/>
      <c r="AB285" s="95"/>
      <c r="AC285" s="81">
        <v>280.0</v>
      </c>
      <c r="AD285" s="90"/>
      <c r="AE285" s="87" t="s">
        <v>67</v>
      </c>
      <c r="AF285" s="90"/>
      <c r="AG285" s="87" t="s">
        <v>130</v>
      </c>
      <c r="AH285" s="87"/>
      <c r="AI285" s="96">
        <v>8.1240007317E10</v>
      </c>
      <c r="AJ285" s="87" t="s">
        <v>2284</v>
      </c>
      <c r="AK285" s="97" t="s">
        <v>2285</v>
      </c>
      <c r="AL285" s="87" t="s">
        <v>2286</v>
      </c>
      <c r="AM285" s="87" t="s">
        <v>1029</v>
      </c>
      <c r="AN285" s="87" t="s">
        <v>2287</v>
      </c>
      <c r="AO285" s="87" t="s">
        <v>2288</v>
      </c>
      <c r="AP285" s="87" t="s">
        <v>2289</v>
      </c>
      <c r="AQ285" s="87"/>
      <c r="AR285" s="87"/>
    </row>
    <row r="286">
      <c r="A286" s="89">
        <v>49.0</v>
      </c>
      <c r="B286" s="87" t="s">
        <v>2290</v>
      </c>
      <c r="C286" s="88" t="s">
        <v>2291</v>
      </c>
      <c r="D286" s="89"/>
      <c r="E286" s="89"/>
      <c r="F286" s="89"/>
      <c r="G286" s="89"/>
      <c r="H286" s="89"/>
      <c r="I286" s="90"/>
      <c r="J286" s="89"/>
      <c r="K286" s="89"/>
      <c r="L286" s="90"/>
      <c r="M286" s="91"/>
      <c r="N286" s="89"/>
      <c r="O286" s="87" t="s">
        <v>142</v>
      </c>
      <c r="P286" s="89"/>
      <c r="Q286" s="100" t="s">
        <v>2278</v>
      </c>
      <c r="R286" s="91"/>
      <c r="S286" s="90"/>
      <c r="T286" s="93"/>
      <c r="U286" s="90"/>
      <c r="V286" s="87" t="s">
        <v>89</v>
      </c>
      <c r="W286" s="87" t="s">
        <v>207</v>
      </c>
      <c r="X286" s="87" t="s">
        <v>745</v>
      </c>
      <c r="Y286" s="94">
        <v>39247.0</v>
      </c>
      <c r="Z286" s="90"/>
      <c r="AA286" s="95"/>
      <c r="AB286" s="95"/>
      <c r="AC286" s="81">
        <v>281.0</v>
      </c>
      <c r="AD286" s="95"/>
      <c r="AE286" s="87" t="s">
        <v>67</v>
      </c>
      <c r="AF286" s="95"/>
      <c r="AG286" s="87" t="s">
        <v>68</v>
      </c>
      <c r="AH286" s="87"/>
      <c r="AI286" s="96">
        <v>8.1264857985E10</v>
      </c>
      <c r="AJ286" s="87" t="s">
        <v>2292</v>
      </c>
      <c r="AK286" s="97" t="s">
        <v>2293</v>
      </c>
      <c r="AL286" s="87" t="s">
        <v>2294</v>
      </c>
      <c r="AM286" s="87" t="s">
        <v>96</v>
      </c>
      <c r="AN286" s="87" t="s">
        <v>97</v>
      </c>
      <c r="AO286" s="87" t="s">
        <v>236</v>
      </c>
      <c r="AP286" s="87" t="s">
        <v>237</v>
      </c>
      <c r="AQ286" s="87" t="s">
        <v>77</v>
      </c>
      <c r="AR286" s="87" t="s">
        <v>77</v>
      </c>
    </row>
    <row r="287">
      <c r="A287" s="89">
        <v>50.0</v>
      </c>
      <c r="B287" s="87" t="s">
        <v>2295</v>
      </c>
      <c r="C287" s="88" t="s">
        <v>2296</v>
      </c>
      <c r="D287" s="89"/>
      <c r="E287" s="89"/>
      <c r="F287" s="89"/>
      <c r="G287" s="89"/>
      <c r="H287" s="89"/>
      <c r="I287" s="90"/>
      <c r="J287" s="89"/>
      <c r="K287" s="89"/>
      <c r="L287" s="90"/>
      <c r="M287" s="91"/>
      <c r="N287" s="89"/>
      <c r="O287" s="87" t="s">
        <v>142</v>
      </c>
      <c r="P287" s="89"/>
      <c r="Q287" s="100" t="s">
        <v>2278</v>
      </c>
      <c r="R287" s="91"/>
      <c r="S287" s="90"/>
      <c r="T287" s="93"/>
      <c r="U287" s="90"/>
      <c r="V287" s="87" t="s">
        <v>89</v>
      </c>
      <c r="W287" s="87" t="s">
        <v>218</v>
      </c>
      <c r="X287" s="87" t="s">
        <v>2297</v>
      </c>
      <c r="Y287" s="94">
        <v>44499.0</v>
      </c>
      <c r="Z287" s="90"/>
      <c r="AA287" s="95"/>
      <c r="AB287" s="95"/>
      <c r="AC287" s="81">
        <v>282.0</v>
      </c>
      <c r="AD287" s="90"/>
      <c r="AE287" s="87" t="s">
        <v>67</v>
      </c>
      <c r="AF287" s="90"/>
      <c r="AG287" s="87" t="s">
        <v>68</v>
      </c>
      <c r="AH287" s="87"/>
      <c r="AI287" s="96">
        <v>8.2385868017E10</v>
      </c>
      <c r="AJ287" s="87" t="s">
        <v>2298</v>
      </c>
      <c r="AK287" s="97" t="s">
        <v>2299</v>
      </c>
      <c r="AL287" s="87" t="s">
        <v>2300</v>
      </c>
      <c r="AM287" s="87" t="s">
        <v>732</v>
      </c>
      <c r="AN287" s="87" t="s">
        <v>97</v>
      </c>
      <c r="AO287" s="87" t="s">
        <v>2043</v>
      </c>
      <c r="AP287" s="87" t="s">
        <v>2301</v>
      </c>
      <c r="AQ287" s="87">
        <v>0.0</v>
      </c>
      <c r="AR287" s="87">
        <v>0.0</v>
      </c>
    </row>
    <row r="288">
      <c r="A288" s="89">
        <v>51.0</v>
      </c>
      <c r="B288" s="87" t="s">
        <v>2302</v>
      </c>
      <c r="C288" s="88" t="s">
        <v>2303</v>
      </c>
      <c r="D288" s="89"/>
      <c r="E288" s="89"/>
      <c r="F288" s="89"/>
      <c r="G288" s="89"/>
      <c r="H288" s="89"/>
      <c r="I288" s="90"/>
      <c r="J288" s="89"/>
      <c r="K288" s="89"/>
      <c r="L288" s="90"/>
      <c r="M288" s="91"/>
      <c r="N288" s="89"/>
      <c r="O288" s="87" t="s">
        <v>142</v>
      </c>
      <c r="P288" s="89"/>
      <c r="Q288" s="100" t="s">
        <v>2278</v>
      </c>
      <c r="R288" s="91"/>
      <c r="S288" s="90"/>
      <c r="T288" s="93"/>
      <c r="U288" s="90"/>
      <c r="V288" s="87" t="s">
        <v>89</v>
      </c>
      <c r="W288" s="87" t="s">
        <v>2304</v>
      </c>
      <c r="X288" s="87" t="s">
        <v>2305</v>
      </c>
      <c r="Y288" s="94">
        <v>39373.0</v>
      </c>
      <c r="Z288" s="90"/>
      <c r="AA288" s="90"/>
      <c r="AB288" s="90"/>
      <c r="AC288" s="81">
        <v>283.0</v>
      </c>
      <c r="AD288" s="90"/>
      <c r="AE288" s="87" t="s">
        <v>67</v>
      </c>
      <c r="AF288" s="90"/>
      <c r="AG288" s="87" t="s">
        <v>68</v>
      </c>
      <c r="AH288" s="87"/>
      <c r="AI288" s="96">
        <v>8.1260270122E10</v>
      </c>
      <c r="AJ288" s="87" t="s">
        <v>2306</v>
      </c>
      <c r="AK288" s="97" t="s">
        <v>2307</v>
      </c>
      <c r="AL288" s="87" t="s">
        <v>2308</v>
      </c>
      <c r="AM288" s="87" t="s">
        <v>1029</v>
      </c>
      <c r="AN288" s="87" t="s">
        <v>514</v>
      </c>
      <c r="AO288" s="87" t="s">
        <v>1243</v>
      </c>
      <c r="AP288" s="87" t="s">
        <v>1244</v>
      </c>
      <c r="AQ288" s="87">
        <v>0.0</v>
      </c>
      <c r="AR288" s="87">
        <v>0.0</v>
      </c>
    </row>
    <row r="289">
      <c r="A289" s="89">
        <v>52.0</v>
      </c>
      <c r="B289" s="87" t="s">
        <v>2309</v>
      </c>
      <c r="C289" s="88" t="s">
        <v>2310</v>
      </c>
      <c r="D289" s="89"/>
      <c r="E289" s="89"/>
      <c r="F289" s="89"/>
      <c r="G289" s="89"/>
      <c r="H289" s="89"/>
      <c r="I289" s="90"/>
      <c r="J289" s="89"/>
      <c r="K289" s="89"/>
      <c r="L289" s="90"/>
      <c r="M289" s="91"/>
      <c r="N289" s="89"/>
      <c r="O289" s="87" t="s">
        <v>142</v>
      </c>
      <c r="P289" s="89"/>
      <c r="Q289" s="100" t="s">
        <v>2311</v>
      </c>
      <c r="R289" s="91"/>
      <c r="S289" s="90"/>
      <c r="T289" s="93"/>
      <c r="U289" s="90"/>
      <c r="V289" s="87" t="s">
        <v>89</v>
      </c>
      <c r="W289" s="87"/>
      <c r="X289" s="87" t="s">
        <v>1819</v>
      </c>
      <c r="Y289" s="94">
        <v>44130.0</v>
      </c>
      <c r="Z289" s="90"/>
      <c r="AA289" s="90"/>
      <c r="AB289" s="90"/>
      <c r="AC289" s="81">
        <v>284.0</v>
      </c>
      <c r="AD289" s="90"/>
      <c r="AE289" s="87" t="s">
        <v>67</v>
      </c>
      <c r="AF289" s="90"/>
      <c r="AG289" s="87" t="s">
        <v>130</v>
      </c>
      <c r="AH289" s="87"/>
      <c r="AI289" s="96">
        <v>8.1998444446E10</v>
      </c>
      <c r="AJ289" s="87" t="s">
        <v>2312</v>
      </c>
      <c r="AK289" s="97" t="s">
        <v>2313</v>
      </c>
      <c r="AL289" s="87" t="s">
        <v>2314</v>
      </c>
      <c r="AM289" s="87" t="s">
        <v>96</v>
      </c>
      <c r="AN289" s="87" t="s">
        <v>135</v>
      </c>
      <c r="AO289" s="87" t="s">
        <v>1576</v>
      </c>
      <c r="AP289" s="87" t="s">
        <v>2315</v>
      </c>
      <c r="AQ289" s="87"/>
      <c r="AR289" s="87"/>
    </row>
    <row r="290">
      <c r="A290" s="89">
        <v>53.0</v>
      </c>
      <c r="B290" s="87" t="s">
        <v>2316</v>
      </c>
      <c r="C290" s="88" t="s">
        <v>2317</v>
      </c>
      <c r="D290" s="89"/>
      <c r="E290" s="89"/>
      <c r="F290" s="89"/>
      <c r="G290" s="89"/>
      <c r="H290" s="89"/>
      <c r="I290" s="90"/>
      <c r="J290" s="89"/>
      <c r="K290" s="89"/>
      <c r="L290" s="90"/>
      <c r="M290" s="89"/>
      <c r="N290" s="89"/>
      <c r="O290" s="87" t="s">
        <v>142</v>
      </c>
      <c r="P290" s="89"/>
      <c r="Q290" s="100" t="s">
        <v>2278</v>
      </c>
      <c r="R290" s="89"/>
      <c r="S290" s="90"/>
      <c r="T290" s="89"/>
      <c r="U290" s="90"/>
      <c r="V290" s="87" t="s">
        <v>89</v>
      </c>
      <c r="W290" s="87" t="s">
        <v>2318</v>
      </c>
      <c r="X290" s="87" t="s">
        <v>1231</v>
      </c>
      <c r="Y290" s="94">
        <v>42086.0</v>
      </c>
      <c r="Z290" s="90"/>
      <c r="AA290" s="90"/>
      <c r="AB290" s="90"/>
      <c r="AC290" s="81">
        <v>285.0</v>
      </c>
      <c r="AD290" s="90"/>
      <c r="AE290" s="87" t="s">
        <v>67</v>
      </c>
      <c r="AF290" s="90"/>
      <c r="AG290" s="87" t="s">
        <v>68</v>
      </c>
      <c r="AH290" s="87"/>
      <c r="AI290" s="96">
        <v>8.5371559487E10</v>
      </c>
      <c r="AJ290" s="87" t="s">
        <v>2319</v>
      </c>
      <c r="AK290" s="97" t="s">
        <v>2320</v>
      </c>
      <c r="AL290" s="87" t="s">
        <v>2321</v>
      </c>
      <c r="AM290" s="87" t="s">
        <v>73</v>
      </c>
      <c r="AN290" s="87" t="s">
        <v>835</v>
      </c>
      <c r="AO290" s="87" t="s">
        <v>1220</v>
      </c>
      <c r="AP290" s="87" t="s">
        <v>1277</v>
      </c>
      <c r="AQ290" s="87">
        <v>0.0</v>
      </c>
      <c r="AR290" s="87">
        <v>0.0</v>
      </c>
    </row>
    <row r="291">
      <c r="A291" s="89">
        <v>54.0</v>
      </c>
      <c r="B291" s="87" t="s">
        <v>2322</v>
      </c>
      <c r="C291" s="88" t="s">
        <v>2323</v>
      </c>
      <c r="D291" s="89"/>
      <c r="E291" s="89"/>
      <c r="F291" s="89"/>
      <c r="G291" s="89"/>
      <c r="H291" s="89"/>
      <c r="I291" s="90"/>
      <c r="J291" s="89"/>
      <c r="K291" s="89"/>
      <c r="L291" s="90"/>
      <c r="M291" s="89"/>
      <c r="N291" s="89"/>
      <c r="O291" s="87" t="s">
        <v>142</v>
      </c>
      <c r="P291" s="89"/>
      <c r="Q291" s="100" t="s">
        <v>2278</v>
      </c>
      <c r="R291" s="89"/>
      <c r="S291" s="92"/>
      <c r="T291" s="89"/>
      <c r="U291" s="92"/>
      <c r="V291" s="87" t="s">
        <v>89</v>
      </c>
      <c r="W291" s="87"/>
      <c r="X291" s="87" t="s">
        <v>2082</v>
      </c>
      <c r="Y291" s="99">
        <v>43103.0</v>
      </c>
      <c r="Z291" s="90"/>
      <c r="AA291" s="90"/>
      <c r="AB291" s="92"/>
      <c r="AC291" s="81">
        <v>286.0</v>
      </c>
      <c r="AD291" s="92"/>
      <c r="AE291" s="87" t="s">
        <v>67</v>
      </c>
      <c r="AF291" s="92"/>
      <c r="AG291" s="87" t="s">
        <v>130</v>
      </c>
      <c r="AH291" s="87"/>
      <c r="AI291" s="96">
        <v>8.5833865401E10</v>
      </c>
      <c r="AJ291" s="87" t="s">
        <v>2324</v>
      </c>
      <c r="AK291" s="97" t="s">
        <v>2325</v>
      </c>
      <c r="AL291" s="87" t="s">
        <v>2326</v>
      </c>
      <c r="AM291" s="87" t="s">
        <v>73</v>
      </c>
      <c r="AN291" s="87" t="s">
        <v>481</v>
      </c>
      <c r="AO291" s="87" t="s">
        <v>1082</v>
      </c>
      <c r="AP291" s="87" t="s">
        <v>1083</v>
      </c>
      <c r="AQ291" s="87">
        <v>0.0</v>
      </c>
      <c r="AR291" s="87">
        <v>0.0</v>
      </c>
    </row>
    <row r="292">
      <c r="A292" s="89">
        <v>55.0</v>
      </c>
      <c r="B292" s="87" t="s">
        <v>2327</v>
      </c>
      <c r="C292" s="88" t="s">
        <v>2328</v>
      </c>
      <c r="D292" s="89"/>
      <c r="E292" s="89"/>
      <c r="F292" s="89"/>
      <c r="G292" s="89"/>
      <c r="H292" s="89"/>
      <c r="I292" s="90"/>
      <c r="J292" s="89"/>
      <c r="K292" s="89"/>
      <c r="L292" s="90"/>
      <c r="M292" s="89"/>
      <c r="N292" s="89"/>
      <c r="O292" s="87" t="s">
        <v>142</v>
      </c>
      <c r="P292" s="89"/>
      <c r="Q292" s="100" t="s">
        <v>2278</v>
      </c>
      <c r="R292" s="89"/>
      <c r="S292" s="92"/>
      <c r="T292" s="89"/>
      <c r="U292" s="92"/>
      <c r="V292" s="87" t="s">
        <v>89</v>
      </c>
      <c r="W292" s="87" t="s">
        <v>2329</v>
      </c>
      <c r="X292" s="87" t="s">
        <v>219</v>
      </c>
      <c r="Y292" s="94">
        <v>44040.0</v>
      </c>
      <c r="Z292" s="90"/>
      <c r="AA292" s="90"/>
      <c r="AB292" s="92"/>
      <c r="AC292" s="81">
        <v>287.0</v>
      </c>
      <c r="AD292" s="92"/>
      <c r="AE292" s="87" t="s">
        <v>67</v>
      </c>
      <c r="AF292" s="92"/>
      <c r="AG292" s="87" t="s">
        <v>68</v>
      </c>
      <c r="AH292" s="87"/>
      <c r="AI292" s="96">
        <v>8.1262151437E10</v>
      </c>
      <c r="AJ292" s="87" t="s">
        <v>2330</v>
      </c>
      <c r="AK292" s="97" t="s">
        <v>2331</v>
      </c>
      <c r="AL292" s="87" t="s">
        <v>2332</v>
      </c>
      <c r="AM292" s="87" t="s">
        <v>96</v>
      </c>
      <c r="AN292" s="87" t="s">
        <v>97</v>
      </c>
      <c r="AO292" s="87" t="s">
        <v>213</v>
      </c>
      <c r="AP292" s="87" t="s">
        <v>556</v>
      </c>
      <c r="AQ292" s="87">
        <v>0.0</v>
      </c>
      <c r="AR292" s="87">
        <v>0.0</v>
      </c>
    </row>
    <row r="293">
      <c r="A293" s="89">
        <v>56.0</v>
      </c>
      <c r="B293" s="87" t="s">
        <v>2333</v>
      </c>
      <c r="C293" s="88" t="s">
        <v>2334</v>
      </c>
      <c r="D293" s="89"/>
      <c r="E293" s="89"/>
      <c r="F293" s="89"/>
      <c r="G293" s="89"/>
      <c r="H293" s="89"/>
      <c r="I293" s="90"/>
      <c r="J293" s="89"/>
      <c r="K293" s="89"/>
      <c r="L293" s="90"/>
      <c r="M293" s="89"/>
      <c r="N293" s="89"/>
      <c r="O293" s="87" t="s">
        <v>142</v>
      </c>
      <c r="P293" s="89"/>
      <c r="Q293" s="100" t="s">
        <v>2278</v>
      </c>
      <c r="R293" s="89"/>
      <c r="S293" s="92"/>
      <c r="T293" s="89"/>
      <c r="U293" s="92"/>
      <c r="V293" s="87" t="s">
        <v>89</v>
      </c>
      <c r="W293" s="87" t="s">
        <v>2318</v>
      </c>
      <c r="X293" s="87" t="s">
        <v>1231</v>
      </c>
      <c r="Y293" s="99">
        <v>41030.0</v>
      </c>
      <c r="Z293" s="90"/>
      <c r="AA293" s="90"/>
      <c r="AB293" s="92"/>
      <c r="AC293" s="81">
        <v>288.0</v>
      </c>
      <c r="AD293" s="92"/>
      <c r="AE293" s="87" t="s">
        <v>67</v>
      </c>
      <c r="AF293" s="92"/>
      <c r="AG293" s="87" t="s">
        <v>130</v>
      </c>
      <c r="AH293" s="87"/>
      <c r="AI293" s="96">
        <v>8.1269720542E10</v>
      </c>
      <c r="AJ293" s="87" t="s">
        <v>2335</v>
      </c>
      <c r="AK293" s="97" t="s">
        <v>2336</v>
      </c>
      <c r="AL293" s="87" t="s">
        <v>2337</v>
      </c>
      <c r="AM293" s="87" t="s">
        <v>73</v>
      </c>
      <c r="AN293" s="87" t="s">
        <v>2338</v>
      </c>
      <c r="AO293" s="87" t="s">
        <v>2339</v>
      </c>
      <c r="AP293" s="87" t="s">
        <v>2340</v>
      </c>
      <c r="AQ293" s="87">
        <v>0.0</v>
      </c>
      <c r="AR293" s="87">
        <v>0.0</v>
      </c>
    </row>
    <row r="294">
      <c r="A294" s="89">
        <v>57.0</v>
      </c>
      <c r="B294" s="87" t="s">
        <v>2341</v>
      </c>
      <c r="C294" s="88" t="s">
        <v>2342</v>
      </c>
      <c r="D294" s="89"/>
      <c r="E294" s="89"/>
      <c r="F294" s="89"/>
      <c r="G294" s="89"/>
      <c r="H294" s="89"/>
      <c r="I294" s="90"/>
      <c r="J294" s="89"/>
      <c r="K294" s="89"/>
      <c r="L294" s="90"/>
      <c r="M294" s="89"/>
      <c r="N294" s="89"/>
      <c r="O294" s="87" t="s">
        <v>142</v>
      </c>
      <c r="P294" s="89"/>
      <c r="Q294" s="100" t="s">
        <v>2278</v>
      </c>
      <c r="R294" s="89"/>
      <c r="S294" s="92"/>
      <c r="T294" s="89"/>
      <c r="U294" s="92"/>
      <c r="V294" s="87" t="s">
        <v>89</v>
      </c>
      <c r="W294" s="87"/>
      <c r="X294" s="87" t="s">
        <v>2024</v>
      </c>
      <c r="Y294" s="94">
        <v>39434.0</v>
      </c>
      <c r="Z294" s="90"/>
      <c r="AA294" s="90"/>
      <c r="AB294" s="92"/>
      <c r="AC294" s="81">
        <v>289.0</v>
      </c>
      <c r="AD294" s="92"/>
      <c r="AE294" s="87" t="s">
        <v>67</v>
      </c>
      <c r="AF294" s="92"/>
      <c r="AG294" s="87" t="s">
        <v>68</v>
      </c>
      <c r="AH294" s="87"/>
      <c r="AI294" s="96">
        <v>8.126472302E9</v>
      </c>
      <c r="AJ294" s="87" t="s">
        <v>2343</v>
      </c>
      <c r="AK294" s="97" t="s">
        <v>2344</v>
      </c>
      <c r="AL294" s="87" t="s">
        <v>2345</v>
      </c>
      <c r="AM294" s="87" t="s">
        <v>73</v>
      </c>
      <c r="AN294" s="87" t="s">
        <v>481</v>
      </c>
      <c r="AO294" s="87" t="s">
        <v>454</v>
      </c>
      <c r="AP294" s="87" t="s">
        <v>982</v>
      </c>
      <c r="AQ294" s="87">
        <v>0.0</v>
      </c>
      <c r="AR294" s="87">
        <v>0.0</v>
      </c>
    </row>
    <row r="295">
      <c r="A295" s="89">
        <v>58.0</v>
      </c>
      <c r="B295" s="87" t="s">
        <v>2346</v>
      </c>
      <c r="C295" s="88" t="s">
        <v>2347</v>
      </c>
      <c r="D295" s="89"/>
      <c r="E295" s="89"/>
      <c r="F295" s="89"/>
      <c r="G295" s="89"/>
      <c r="H295" s="89"/>
      <c r="I295" s="90"/>
      <c r="J295" s="89"/>
      <c r="K295" s="89"/>
      <c r="L295" s="90"/>
      <c r="M295" s="89"/>
      <c r="N295" s="89"/>
      <c r="O295" s="87" t="s">
        <v>142</v>
      </c>
      <c r="P295" s="89"/>
      <c r="Q295" s="100" t="s">
        <v>2278</v>
      </c>
      <c r="R295" s="89"/>
      <c r="S295" s="92"/>
      <c r="T295" s="89"/>
      <c r="U295" s="92"/>
      <c r="V295" s="87" t="s">
        <v>89</v>
      </c>
      <c r="W295" s="87" t="s">
        <v>374</v>
      </c>
      <c r="X295" s="87" t="s">
        <v>1231</v>
      </c>
      <c r="Y295" s="94">
        <v>42081.0</v>
      </c>
      <c r="Z295" s="90"/>
      <c r="AA295" s="90"/>
      <c r="AB295" s="92"/>
      <c r="AC295" s="81">
        <v>290.0</v>
      </c>
      <c r="AD295" s="92"/>
      <c r="AE295" s="87" t="s">
        <v>67</v>
      </c>
      <c r="AF295" s="92"/>
      <c r="AG295" s="87" t="s">
        <v>130</v>
      </c>
      <c r="AH295" s="87"/>
      <c r="AI295" s="96">
        <v>8.5372345249E10</v>
      </c>
      <c r="AJ295" s="87" t="s">
        <v>2348</v>
      </c>
      <c r="AK295" s="97" t="s">
        <v>2349</v>
      </c>
      <c r="AL295" s="87" t="s">
        <v>2350</v>
      </c>
      <c r="AM295" s="87" t="s">
        <v>73</v>
      </c>
      <c r="AN295" s="87" t="s">
        <v>74</v>
      </c>
      <c r="AO295" s="87" t="s">
        <v>454</v>
      </c>
      <c r="AP295" s="87" t="s">
        <v>491</v>
      </c>
      <c r="AQ295" s="87"/>
      <c r="AR295" s="87"/>
    </row>
    <row r="296">
      <c r="A296" s="89">
        <v>59.0</v>
      </c>
      <c r="B296" s="87" t="s">
        <v>2351</v>
      </c>
      <c r="C296" s="88" t="s">
        <v>2352</v>
      </c>
      <c r="D296" s="89"/>
      <c r="E296" s="89"/>
      <c r="F296" s="89"/>
      <c r="G296" s="89"/>
      <c r="H296" s="89"/>
      <c r="I296" s="90"/>
      <c r="J296" s="89"/>
      <c r="K296" s="89"/>
      <c r="L296" s="90"/>
      <c r="M296" s="89"/>
      <c r="N296" s="89"/>
      <c r="O296" s="87" t="s">
        <v>142</v>
      </c>
      <c r="P296" s="89"/>
      <c r="Q296" s="100" t="s">
        <v>2278</v>
      </c>
      <c r="R296" s="89"/>
      <c r="S296" s="92"/>
      <c r="T296" s="89"/>
      <c r="U296" s="92"/>
      <c r="V296" s="87" t="s">
        <v>89</v>
      </c>
      <c r="W296" s="87" t="s">
        <v>374</v>
      </c>
      <c r="X296" s="87" t="s">
        <v>2353</v>
      </c>
      <c r="Y296" s="94">
        <v>41173.0</v>
      </c>
      <c r="Z296" s="90"/>
      <c r="AA296" s="90"/>
      <c r="AB296" s="92"/>
      <c r="AC296" s="81">
        <v>291.0</v>
      </c>
      <c r="AD296" s="92"/>
      <c r="AE296" s="87" t="s">
        <v>220</v>
      </c>
      <c r="AF296" s="92"/>
      <c r="AG296" s="87" t="s">
        <v>130</v>
      </c>
      <c r="AH296" s="87"/>
      <c r="AI296" s="96">
        <v>8.7786173664E10</v>
      </c>
      <c r="AJ296" s="87" t="s">
        <v>2354</v>
      </c>
      <c r="AK296" s="97" t="s">
        <v>2355</v>
      </c>
      <c r="AL296" s="87" t="s">
        <v>2356</v>
      </c>
      <c r="AM296" s="87" t="s">
        <v>73</v>
      </c>
      <c r="AN296" s="87" t="s">
        <v>835</v>
      </c>
      <c r="AO296" s="87" t="s">
        <v>178</v>
      </c>
      <c r="AP296" s="87" t="s">
        <v>179</v>
      </c>
      <c r="AQ296" s="87">
        <v>0.0</v>
      </c>
      <c r="AR296" s="87">
        <v>0.0</v>
      </c>
    </row>
    <row r="297">
      <c r="A297" s="89">
        <v>60.0</v>
      </c>
      <c r="B297" s="87" t="s">
        <v>2357</v>
      </c>
      <c r="C297" s="88" t="s">
        <v>2358</v>
      </c>
      <c r="D297" s="89"/>
      <c r="E297" s="89"/>
      <c r="F297" s="89"/>
      <c r="G297" s="89"/>
      <c r="H297" s="89"/>
      <c r="I297" s="90"/>
      <c r="J297" s="89"/>
      <c r="K297" s="89"/>
      <c r="L297" s="90"/>
      <c r="M297" s="89"/>
      <c r="N297" s="89"/>
      <c r="O297" s="87" t="s">
        <v>142</v>
      </c>
      <c r="P297" s="89"/>
      <c r="Q297" s="100" t="s">
        <v>2359</v>
      </c>
      <c r="R297" s="89"/>
      <c r="S297" s="92"/>
      <c r="T297" s="89"/>
      <c r="U297" s="92"/>
      <c r="V297" s="87" t="s">
        <v>89</v>
      </c>
      <c r="W297" s="87" t="s">
        <v>374</v>
      </c>
      <c r="X297" s="87" t="s">
        <v>2360</v>
      </c>
      <c r="Y297" s="94">
        <v>42569.0</v>
      </c>
      <c r="Z297" s="90"/>
      <c r="AA297" s="90"/>
      <c r="AB297" s="92"/>
      <c r="AC297" s="81">
        <v>292.0</v>
      </c>
      <c r="AD297" s="92"/>
      <c r="AE297" s="87" t="s">
        <v>67</v>
      </c>
      <c r="AF297" s="92"/>
      <c r="AG297" s="87" t="s">
        <v>68</v>
      </c>
      <c r="AH297" s="87"/>
      <c r="AI297" s="96">
        <v>8.1287767967E10</v>
      </c>
      <c r="AJ297" s="87" t="s">
        <v>2361</v>
      </c>
      <c r="AK297" s="97" t="s">
        <v>2362</v>
      </c>
      <c r="AL297" s="87" t="s">
        <v>2363</v>
      </c>
      <c r="AM297" s="87" t="s">
        <v>73</v>
      </c>
      <c r="AN297" s="87" t="s">
        <v>481</v>
      </c>
      <c r="AO297" s="87" t="s">
        <v>203</v>
      </c>
      <c r="AP297" s="87" t="s">
        <v>2128</v>
      </c>
      <c r="AQ297" s="87">
        <v>0.0</v>
      </c>
      <c r="AR297" s="87">
        <v>13.0</v>
      </c>
    </row>
    <row r="298">
      <c r="A298" s="89">
        <v>61.0</v>
      </c>
      <c r="B298" s="87" t="s">
        <v>2364</v>
      </c>
      <c r="C298" s="88" t="s">
        <v>2365</v>
      </c>
      <c r="D298" s="89"/>
      <c r="E298" s="89"/>
      <c r="F298" s="89"/>
      <c r="G298" s="89"/>
      <c r="H298" s="89"/>
      <c r="I298" s="90"/>
      <c r="J298" s="89"/>
      <c r="K298" s="89"/>
      <c r="L298" s="90"/>
      <c r="M298" s="89"/>
      <c r="N298" s="89"/>
      <c r="O298" s="87" t="s">
        <v>142</v>
      </c>
      <c r="P298" s="89"/>
      <c r="Q298" s="100" t="s">
        <v>2278</v>
      </c>
      <c r="R298" s="89"/>
      <c r="S298" s="92"/>
      <c r="T298" s="89"/>
      <c r="U298" s="92"/>
      <c r="V298" s="87" t="s">
        <v>89</v>
      </c>
      <c r="W298" s="87" t="s">
        <v>795</v>
      </c>
      <c r="X298" s="87" t="s">
        <v>1231</v>
      </c>
      <c r="Y298" s="94">
        <v>44151.0</v>
      </c>
      <c r="Z298" s="90"/>
      <c r="AA298" s="90"/>
      <c r="AB298" s="92"/>
      <c r="AC298" s="81">
        <v>293.0</v>
      </c>
      <c r="AD298" s="92"/>
      <c r="AE298" s="87" t="s">
        <v>67</v>
      </c>
      <c r="AF298" s="92"/>
      <c r="AG298" s="87" t="s">
        <v>130</v>
      </c>
      <c r="AH298" s="87"/>
      <c r="AI298" s="96">
        <v>8.5276913398E10</v>
      </c>
      <c r="AJ298" s="87" t="s">
        <v>2366</v>
      </c>
      <c r="AK298" s="97" t="s">
        <v>2367</v>
      </c>
      <c r="AL298" s="87" t="s">
        <v>2368</v>
      </c>
      <c r="AM298" s="87" t="s">
        <v>73</v>
      </c>
      <c r="AN298" s="87" t="s">
        <v>481</v>
      </c>
      <c r="AO298" s="87" t="s">
        <v>454</v>
      </c>
      <c r="AP298" s="87" t="s">
        <v>455</v>
      </c>
      <c r="AQ298" s="87">
        <v>0.0</v>
      </c>
      <c r="AR298" s="87">
        <v>0.0</v>
      </c>
    </row>
    <row r="299">
      <c r="A299" s="89">
        <v>62.0</v>
      </c>
      <c r="B299" s="87" t="s">
        <v>2369</v>
      </c>
      <c r="C299" s="88" t="s">
        <v>2370</v>
      </c>
      <c r="D299" s="89"/>
      <c r="E299" s="89"/>
      <c r="F299" s="89"/>
      <c r="G299" s="89"/>
      <c r="H299" s="89"/>
      <c r="I299" s="90"/>
      <c r="J299" s="89"/>
      <c r="K299" s="89"/>
      <c r="L299" s="90"/>
      <c r="M299" s="89"/>
      <c r="N299" s="89"/>
      <c r="O299" s="87" t="s">
        <v>532</v>
      </c>
      <c r="P299" s="89"/>
      <c r="Q299" s="100" t="s">
        <v>2278</v>
      </c>
      <c r="R299" s="89"/>
      <c r="S299" s="92"/>
      <c r="T299" s="89"/>
      <c r="U299" s="92"/>
      <c r="V299" s="87" t="s">
        <v>285</v>
      </c>
      <c r="W299" s="87"/>
      <c r="X299" s="87" t="s">
        <v>2371</v>
      </c>
      <c r="Y299" s="99">
        <v>42857.0</v>
      </c>
      <c r="Z299" s="90"/>
      <c r="AA299" s="90"/>
      <c r="AB299" s="92"/>
      <c r="AC299" s="81">
        <v>294.0</v>
      </c>
      <c r="AD299" s="92"/>
      <c r="AE299" s="87" t="s">
        <v>67</v>
      </c>
      <c r="AF299" s="92"/>
      <c r="AG299" s="87" t="s">
        <v>130</v>
      </c>
      <c r="AH299" s="87"/>
      <c r="AI299" s="96">
        <v>8.2166238686E10</v>
      </c>
      <c r="AJ299" s="87" t="s">
        <v>2372</v>
      </c>
      <c r="AK299" s="97" t="s">
        <v>2373</v>
      </c>
      <c r="AL299" s="87" t="s">
        <v>2374</v>
      </c>
      <c r="AM299" s="87" t="s">
        <v>1029</v>
      </c>
      <c r="AN299" s="87" t="s">
        <v>514</v>
      </c>
      <c r="AO299" s="87" t="s">
        <v>1030</v>
      </c>
      <c r="AP299" s="87" t="s">
        <v>1031</v>
      </c>
      <c r="AQ299" s="87">
        <v>0.0</v>
      </c>
      <c r="AR299" s="87">
        <v>0.0</v>
      </c>
    </row>
    <row r="300">
      <c r="A300" s="89">
        <v>63.0</v>
      </c>
      <c r="B300" s="87" t="s">
        <v>2375</v>
      </c>
      <c r="C300" s="88" t="s">
        <v>2376</v>
      </c>
      <c r="D300" s="89"/>
      <c r="E300" s="89"/>
      <c r="F300" s="89"/>
      <c r="G300" s="89"/>
      <c r="H300" s="89"/>
      <c r="I300" s="90"/>
      <c r="J300" s="89"/>
      <c r="K300" s="89"/>
      <c r="L300" s="90"/>
      <c r="M300" s="89"/>
      <c r="N300" s="89"/>
      <c r="O300" s="87" t="s">
        <v>142</v>
      </c>
      <c r="P300" s="89"/>
      <c r="Q300" s="100" t="s">
        <v>2278</v>
      </c>
      <c r="R300" s="89"/>
      <c r="S300" s="92"/>
      <c r="T300" s="89"/>
      <c r="U300" s="92"/>
      <c r="V300" s="87" t="s">
        <v>89</v>
      </c>
      <c r="W300" s="87" t="s">
        <v>640</v>
      </c>
      <c r="X300" s="87" t="s">
        <v>231</v>
      </c>
      <c r="Y300" s="94">
        <v>38896.0</v>
      </c>
      <c r="Z300" s="90"/>
      <c r="AA300" s="90"/>
      <c r="AB300" s="92"/>
      <c r="AC300" s="81">
        <v>295.0</v>
      </c>
      <c r="AD300" s="92"/>
      <c r="AE300" s="87" t="s">
        <v>67</v>
      </c>
      <c r="AF300" s="92"/>
      <c r="AG300" s="87" t="s">
        <v>68</v>
      </c>
      <c r="AH300" s="87"/>
      <c r="AI300" s="96">
        <v>8.1397366466E10</v>
      </c>
      <c r="AJ300" s="87" t="s">
        <v>2377</v>
      </c>
      <c r="AK300" s="97" t="s">
        <v>2378</v>
      </c>
      <c r="AL300" s="87" t="s">
        <v>2379</v>
      </c>
      <c r="AM300" s="87" t="s">
        <v>96</v>
      </c>
      <c r="AN300" s="87" t="s">
        <v>97</v>
      </c>
      <c r="AO300" s="87" t="s">
        <v>292</v>
      </c>
      <c r="AP300" s="87" t="s">
        <v>2380</v>
      </c>
      <c r="AQ300" s="87">
        <v>0.0</v>
      </c>
      <c r="AR300" s="87">
        <v>0.0</v>
      </c>
    </row>
    <row r="301">
      <c r="A301" s="89">
        <v>64.0</v>
      </c>
      <c r="B301" s="87" t="s">
        <v>2381</v>
      </c>
      <c r="C301" s="88" t="s">
        <v>2382</v>
      </c>
      <c r="D301" s="89"/>
      <c r="E301" s="89"/>
      <c r="F301" s="89"/>
      <c r="G301" s="89"/>
      <c r="H301" s="89"/>
      <c r="I301" s="90"/>
      <c r="J301" s="89"/>
      <c r="K301" s="89"/>
      <c r="L301" s="90"/>
      <c r="M301" s="89"/>
      <c r="N301" s="89"/>
      <c r="O301" s="87" t="s">
        <v>142</v>
      </c>
      <c r="P301" s="89"/>
      <c r="Q301" s="100" t="s">
        <v>2278</v>
      </c>
      <c r="R301" s="89"/>
      <c r="S301" s="92"/>
      <c r="T301" s="89"/>
      <c r="U301" s="92"/>
      <c r="V301" s="87" t="s">
        <v>89</v>
      </c>
      <c r="W301" s="87"/>
      <c r="X301" s="87" t="s">
        <v>260</v>
      </c>
      <c r="Y301" s="99">
        <v>39545.0</v>
      </c>
      <c r="Z301" s="90"/>
      <c r="AA301" s="90"/>
      <c r="AB301" s="92"/>
      <c r="AC301" s="81">
        <v>296.0</v>
      </c>
      <c r="AD301" s="92"/>
      <c r="AE301" s="87" t="s">
        <v>67</v>
      </c>
      <c r="AF301" s="92"/>
      <c r="AG301" s="87" t="s">
        <v>68</v>
      </c>
      <c r="AH301" s="87"/>
      <c r="AI301" s="96" t="s">
        <v>77</v>
      </c>
      <c r="AJ301" s="87" t="s">
        <v>2383</v>
      </c>
      <c r="AK301" s="97" t="s">
        <v>2384</v>
      </c>
      <c r="AL301" s="87" t="s">
        <v>2385</v>
      </c>
      <c r="AM301" s="87" t="s">
        <v>96</v>
      </c>
      <c r="AN301" s="87" t="s">
        <v>97</v>
      </c>
      <c r="AO301" s="87" t="s">
        <v>272</v>
      </c>
      <c r="AP301" s="87" t="s">
        <v>334</v>
      </c>
      <c r="AQ301" s="87" t="s">
        <v>77</v>
      </c>
      <c r="AR301" s="87" t="s">
        <v>77</v>
      </c>
    </row>
    <row r="302">
      <c r="A302" s="89">
        <v>65.0</v>
      </c>
      <c r="B302" s="87" t="s">
        <v>2386</v>
      </c>
      <c r="C302" s="88" t="s">
        <v>2387</v>
      </c>
      <c r="D302" s="89"/>
      <c r="E302" s="89"/>
      <c r="F302" s="89"/>
      <c r="G302" s="89"/>
      <c r="H302" s="89"/>
      <c r="I302" s="90"/>
      <c r="J302" s="89"/>
      <c r="K302" s="89"/>
      <c r="L302" s="90"/>
      <c r="M302" s="89"/>
      <c r="N302" s="89"/>
      <c r="O302" s="87" t="s">
        <v>142</v>
      </c>
      <c r="P302" s="89"/>
      <c r="Q302" s="100" t="s">
        <v>2278</v>
      </c>
      <c r="R302" s="89"/>
      <c r="S302" s="92"/>
      <c r="T302" s="89"/>
      <c r="U302" s="92"/>
      <c r="V302" s="87" t="s">
        <v>89</v>
      </c>
      <c r="W302" s="87" t="s">
        <v>374</v>
      </c>
      <c r="X302" s="87" t="s">
        <v>2353</v>
      </c>
      <c r="Y302" s="99">
        <v>38997.0</v>
      </c>
      <c r="Z302" s="90"/>
      <c r="AA302" s="90"/>
      <c r="AB302" s="92"/>
      <c r="AC302" s="81">
        <v>297.0</v>
      </c>
      <c r="AD302" s="92"/>
      <c r="AE302" s="87" t="s">
        <v>220</v>
      </c>
      <c r="AF302" s="92"/>
      <c r="AG302" s="87" t="s">
        <v>68</v>
      </c>
      <c r="AH302" s="87"/>
      <c r="AI302" s="96">
        <v>8.1362096211E10</v>
      </c>
      <c r="AJ302" s="87" t="s">
        <v>2388</v>
      </c>
      <c r="AK302" s="97" t="s">
        <v>2389</v>
      </c>
      <c r="AL302" s="87" t="s">
        <v>2390</v>
      </c>
      <c r="AM302" s="87" t="s">
        <v>73</v>
      </c>
      <c r="AN302" s="87" t="s">
        <v>166</v>
      </c>
      <c r="AO302" s="87" t="s">
        <v>596</v>
      </c>
      <c r="AP302" s="87" t="s">
        <v>2170</v>
      </c>
      <c r="AQ302" s="87">
        <v>0.0</v>
      </c>
      <c r="AR302" s="87">
        <v>0.0</v>
      </c>
    </row>
    <row r="303">
      <c r="A303" s="89">
        <v>66.0</v>
      </c>
      <c r="B303" s="87" t="s">
        <v>2391</v>
      </c>
      <c r="C303" s="88" t="s">
        <v>2392</v>
      </c>
      <c r="D303" s="89"/>
      <c r="E303" s="89"/>
      <c r="F303" s="89"/>
      <c r="G303" s="89"/>
      <c r="H303" s="89"/>
      <c r="I303" s="90"/>
      <c r="J303" s="89"/>
      <c r="K303" s="89"/>
      <c r="L303" s="90"/>
      <c r="M303" s="89"/>
      <c r="N303" s="89"/>
      <c r="O303" s="87" t="s">
        <v>142</v>
      </c>
      <c r="P303" s="89"/>
      <c r="Q303" s="100" t="s">
        <v>2278</v>
      </c>
      <c r="R303" s="89"/>
      <c r="S303" s="92"/>
      <c r="T303" s="89"/>
      <c r="U303" s="92"/>
      <c r="V303" s="87" t="s">
        <v>89</v>
      </c>
      <c r="W303" s="87" t="s">
        <v>795</v>
      </c>
      <c r="X303" s="87" t="s">
        <v>2393</v>
      </c>
      <c r="Y303" s="99">
        <v>44354.0</v>
      </c>
      <c r="Z303" s="90"/>
      <c r="AA303" s="90"/>
      <c r="AB303" s="92"/>
      <c r="AC303" s="81">
        <v>298.0</v>
      </c>
      <c r="AD303" s="92"/>
      <c r="AE303" s="87" t="s">
        <v>67</v>
      </c>
      <c r="AF303" s="92"/>
      <c r="AG303" s="87" t="s">
        <v>68</v>
      </c>
      <c r="AH303" s="87"/>
      <c r="AI303" s="96">
        <v>8.1376042436E10</v>
      </c>
      <c r="AJ303" s="87"/>
      <c r="AK303" s="97" t="s">
        <v>2394</v>
      </c>
      <c r="AL303" s="87" t="s">
        <v>2395</v>
      </c>
      <c r="AM303" s="87" t="s">
        <v>96</v>
      </c>
      <c r="AN303" s="87" t="s">
        <v>97</v>
      </c>
      <c r="AO303" s="87" t="s">
        <v>292</v>
      </c>
      <c r="AP303" s="87" t="s">
        <v>1711</v>
      </c>
      <c r="AQ303" s="87">
        <v>0.0</v>
      </c>
      <c r="AR303" s="87">
        <v>0.0</v>
      </c>
    </row>
    <row r="304">
      <c r="A304" s="89">
        <v>67.0</v>
      </c>
      <c r="B304" s="87" t="s">
        <v>2396</v>
      </c>
      <c r="C304" s="88" t="s">
        <v>2397</v>
      </c>
      <c r="D304" s="89"/>
      <c r="E304" s="89"/>
      <c r="F304" s="89"/>
      <c r="G304" s="89"/>
      <c r="H304" s="89"/>
      <c r="I304" s="90"/>
      <c r="J304" s="89"/>
      <c r="K304" s="89"/>
      <c r="L304" s="90"/>
      <c r="M304" s="89"/>
      <c r="N304" s="89"/>
      <c r="O304" s="87" t="s">
        <v>142</v>
      </c>
      <c r="P304" s="89"/>
      <c r="Q304" s="100" t="s">
        <v>2278</v>
      </c>
      <c r="R304" s="89"/>
      <c r="S304" s="92"/>
      <c r="T304" s="89"/>
      <c r="U304" s="92"/>
      <c r="V304" s="87" t="s">
        <v>89</v>
      </c>
      <c r="W304" s="87" t="s">
        <v>2398</v>
      </c>
      <c r="X304" s="87" t="s">
        <v>2399</v>
      </c>
      <c r="Y304" s="94">
        <v>44302.0</v>
      </c>
      <c r="Z304" s="90"/>
      <c r="AA304" s="90"/>
      <c r="AB304" s="92"/>
      <c r="AC304" s="81">
        <v>299.0</v>
      </c>
      <c r="AD304" s="92"/>
      <c r="AE304" s="87" t="s">
        <v>67</v>
      </c>
      <c r="AF304" s="92"/>
      <c r="AG304" s="87" t="s">
        <v>68</v>
      </c>
      <c r="AH304" s="87"/>
      <c r="AI304" s="96">
        <v>8.2163077707E10</v>
      </c>
      <c r="AJ304" s="87" t="s">
        <v>2400</v>
      </c>
      <c r="AK304" s="97" t="s">
        <v>2401</v>
      </c>
      <c r="AL304" s="87" t="s">
        <v>2402</v>
      </c>
      <c r="AM304" s="87" t="s">
        <v>1029</v>
      </c>
      <c r="AN304" s="87" t="s">
        <v>2403</v>
      </c>
      <c r="AO304" s="87" t="s">
        <v>2404</v>
      </c>
      <c r="AP304" s="87" t="s">
        <v>2405</v>
      </c>
      <c r="AQ304" s="87">
        <v>5.0</v>
      </c>
      <c r="AR304" s="87">
        <v>1.0</v>
      </c>
    </row>
    <row r="305">
      <c r="A305" s="89">
        <v>68.0</v>
      </c>
      <c r="B305" s="87" t="s">
        <v>2406</v>
      </c>
      <c r="C305" s="88" t="s">
        <v>2407</v>
      </c>
      <c r="D305" s="89"/>
      <c r="E305" s="89"/>
      <c r="F305" s="89"/>
      <c r="G305" s="89"/>
      <c r="H305" s="89"/>
      <c r="I305" s="90"/>
      <c r="J305" s="89"/>
      <c r="K305" s="89"/>
      <c r="L305" s="90"/>
      <c r="M305" s="89"/>
      <c r="N305" s="89"/>
      <c r="O305" s="87" t="s">
        <v>142</v>
      </c>
      <c r="P305" s="89"/>
      <c r="Q305" s="100" t="s">
        <v>2278</v>
      </c>
      <c r="R305" s="89"/>
      <c r="S305" s="92"/>
      <c r="T305" s="89"/>
      <c r="U305" s="92"/>
      <c r="V305" s="87" t="s">
        <v>89</v>
      </c>
      <c r="W305" s="87" t="s">
        <v>90</v>
      </c>
      <c r="X305" s="87" t="s">
        <v>1819</v>
      </c>
      <c r="Y305" s="94">
        <v>43759.0</v>
      </c>
      <c r="Z305" s="90"/>
      <c r="AA305" s="90"/>
      <c r="AB305" s="92"/>
      <c r="AC305" s="81">
        <v>300.0</v>
      </c>
      <c r="AD305" s="92"/>
      <c r="AE305" s="87" t="s">
        <v>67</v>
      </c>
      <c r="AF305" s="92"/>
      <c r="AG305" s="87" t="s">
        <v>68</v>
      </c>
      <c r="AH305" s="87"/>
      <c r="AI305" s="96">
        <v>8.5179890695E10</v>
      </c>
      <c r="AJ305" s="87" t="s">
        <v>2408</v>
      </c>
      <c r="AK305" s="97" t="s">
        <v>2409</v>
      </c>
      <c r="AL305" s="87" t="s">
        <v>2410</v>
      </c>
      <c r="AM305" s="87" t="s">
        <v>73</v>
      </c>
      <c r="AN305" s="87" t="s">
        <v>74</v>
      </c>
      <c r="AO305" s="87" t="s">
        <v>989</v>
      </c>
      <c r="AP305" s="87" t="s">
        <v>2411</v>
      </c>
      <c r="AQ305" s="87">
        <v>1.0</v>
      </c>
      <c r="AR305" s="87">
        <v>1.0</v>
      </c>
    </row>
    <row r="306">
      <c r="A306" s="89">
        <v>69.0</v>
      </c>
      <c r="B306" s="87" t="s">
        <v>2412</v>
      </c>
      <c r="C306" s="88" t="s">
        <v>2413</v>
      </c>
      <c r="D306" s="89"/>
      <c r="E306" s="89"/>
      <c r="F306" s="89"/>
      <c r="G306" s="89"/>
      <c r="H306" s="89"/>
      <c r="I306" s="90"/>
      <c r="J306" s="89"/>
      <c r="K306" s="89"/>
      <c r="L306" s="90"/>
      <c r="M306" s="89"/>
      <c r="N306" s="89"/>
      <c r="O306" s="87" t="s">
        <v>142</v>
      </c>
      <c r="P306" s="89"/>
      <c r="Q306" s="100" t="s">
        <v>2278</v>
      </c>
      <c r="R306" s="89"/>
      <c r="S306" s="92"/>
      <c r="T306" s="89"/>
      <c r="U306" s="92"/>
      <c r="V306" s="87" t="s">
        <v>89</v>
      </c>
      <c r="W306" s="87" t="s">
        <v>230</v>
      </c>
      <c r="X306" s="87" t="s">
        <v>745</v>
      </c>
      <c r="Y306" s="94">
        <v>41272.0</v>
      </c>
      <c r="Z306" s="90"/>
      <c r="AA306" s="90"/>
      <c r="AB306" s="92"/>
      <c r="AC306" s="81">
        <v>301.0</v>
      </c>
      <c r="AD306" s="92"/>
      <c r="AE306" s="87" t="s">
        <v>67</v>
      </c>
      <c r="AF306" s="92"/>
      <c r="AG306" s="87" t="s">
        <v>68</v>
      </c>
      <c r="AH306" s="87"/>
      <c r="AI306" s="96">
        <v>8.5361780289E10</v>
      </c>
      <c r="AJ306" s="87" t="s">
        <v>2414</v>
      </c>
      <c r="AK306" s="97" t="s">
        <v>2415</v>
      </c>
      <c r="AL306" s="87" t="s">
        <v>2416</v>
      </c>
      <c r="AM306" s="87" t="s">
        <v>96</v>
      </c>
      <c r="AN306" s="87" t="s">
        <v>97</v>
      </c>
      <c r="AO306" s="87" t="s">
        <v>213</v>
      </c>
      <c r="AP306" s="87" t="s">
        <v>556</v>
      </c>
      <c r="AQ306" s="87"/>
      <c r="AR306" s="87"/>
    </row>
    <row r="307">
      <c r="A307" s="89">
        <v>70.0</v>
      </c>
      <c r="B307" s="87" t="s">
        <v>2417</v>
      </c>
      <c r="C307" s="88" t="s">
        <v>2418</v>
      </c>
      <c r="D307" s="89"/>
      <c r="E307" s="89"/>
      <c r="F307" s="89"/>
      <c r="G307" s="89"/>
      <c r="H307" s="89"/>
      <c r="I307" s="90"/>
      <c r="J307" s="89"/>
      <c r="K307" s="89"/>
      <c r="L307" s="90"/>
      <c r="M307" s="89"/>
      <c r="N307" s="89"/>
      <c r="O307" s="87" t="s">
        <v>142</v>
      </c>
      <c r="P307" s="89"/>
      <c r="Q307" s="100" t="s">
        <v>2278</v>
      </c>
      <c r="R307" s="89"/>
      <c r="S307" s="92"/>
      <c r="T307" s="89"/>
      <c r="U307" s="92"/>
      <c r="V307" s="87" t="s">
        <v>89</v>
      </c>
      <c r="W307" s="87" t="s">
        <v>2419</v>
      </c>
      <c r="X307" s="87" t="s">
        <v>1194</v>
      </c>
      <c r="Y307" s="99">
        <v>40733.0</v>
      </c>
      <c r="Z307" s="90"/>
      <c r="AA307" s="90"/>
      <c r="AB307" s="92"/>
      <c r="AC307" s="81">
        <v>302.0</v>
      </c>
      <c r="AD307" s="92"/>
      <c r="AE307" s="87" t="s">
        <v>220</v>
      </c>
      <c r="AF307" s="92"/>
      <c r="AG307" s="87" t="s">
        <v>130</v>
      </c>
      <c r="AH307" s="87"/>
      <c r="AI307" s="96">
        <v>8.2191315621E10</v>
      </c>
      <c r="AJ307" s="87" t="s">
        <v>2420</v>
      </c>
      <c r="AK307" s="97" t="s">
        <v>2421</v>
      </c>
      <c r="AL307" s="87" t="s">
        <v>2422</v>
      </c>
      <c r="AM307" s="87" t="s">
        <v>73</v>
      </c>
      <c r="AN307" s="87" t="s">
        <v>166</v>
      </c>
      <c r="AO307" s="87" t="s">
        <v>635</v>
      </c>
      <c r="AP307" s="87" t="s">
        <v>2142</v>
      </c>
      <c r="AQ307" s="87">
        <v>0.0</v>
      </c>
      <c r="AR307" s="87">
        <v>0.0</v>
      </c>
    </row>
    <row r="308">
      <c r="A308" s="89">
        <v>71.0</v>
      </c>
      <c r="B308" s="87" t="s">
        <v>2423</v>
      </c>
      <c r="C308" s="88" t="s">
        <v>2424</v>
      </c>
      <c r="D308" s="89"/>
      <c r="E308" s="89"/>
      <c r="F308" s="89"/>
      <c r="G308" s="89"/>
      <c r="H308" s="89"/>
      <c r="I308" s="90"/>
      <c r="J308" s="89"/>
      <c r="K308" s="89"/>
      <c r="L308" s="90"/>
      <c r="M308" s="89"/>
      <c r="N308" s="89"/>
      <c r="O308" s="87" t="s">
        <v>142</v>
      </c>
      <c r="P308" s="89"/>
      <c r="Q308" s="100" t="s">
        <v>2311</v>
      </c>
      <c r="R308" s="89"/>
      <c r="S308" s="92"/>
      <c r="T308" s="89"/>
      <c r="U308" s="92"/>
      <c r="V308" s="87" t="s">
        <v>89</v>
      </c>
      <c r="W308" s="87" t="s">
        <v>647</v>
      </c>
      <c r="X308" s="87" t="s">
        <v>231</v>
      </c>
      <c r="Y308" s="99">
        <v>43195.0</v>
      </c>
      <c r="Z308" s="90"/>
      <c r="AA308" s="90"/>
      <c r="AB308" s="92"/>
      <c r="AC308" s="81">
        <v>303.0</v>
      </c>
      <c r="AD308" s="92"/>
      <c r="AE308" s="87"/>
      <c r="AF308" s="92"/>
      <c r="AG308" s="87" t="s">
        <v>68</v>
      </c>
      <c r="AH308" s="92"/>
      <c r="AI308" s="96"/>
      <c r="AJ308" s="87"/>
      <c r="AK308" s="97" t="s">
        <v>2425</v>
      </c>
      <c r="AL308" s="87"/>
      <c r="AM308" s="87"/>
      <c r="AN308" s="87"/>
      <c r="AO308" s="87"/>
      <c r="AP308" s="87"/>
      <c r="AQ308" s="87"/>
      <c r="AR308" s="87"/>
    </row>
    <row r="309">
      <c r="A309" s="89">
        <v>72.0</v>
      </c>
      <c r="B309" s="87" t="s">
        <v>2426</v>
      </c>
      <c r="C309" s="88" t="s">
        <v>2427</v>
      </c>
      <c r="D309" s="89"/>
      <c r="E309" s="89"/>
      <c r="F309" s="89"/>
      <c r="G309" s="89"/>
      <c r="H309" s="89"/>
      <c r="I309" s="90"/>
      <c r="J309" s="89"/>
      <c r="K309" s="89"/>
      <c r="L309" s="90"/>
      <c r="M309" s="89"/>
      <c r="N309" s="89"/>
      <c r="O309" s="87" t="s">
        <v>142</v>
      </c>
      <c r="P309" s="89"/>
      <c r="Q309" s="100" t="s">
        <v>2311</v>
      </c>
      <c r="R309" s="89"/>
      <c r="S309" s="92"/>
      <c r="T309" s="89"/>
      <c r="U309" s="92"/>
      <c r="V309" s="87" t="s">
        <v>89</v>
      </c>
      <c r="W309" s="87" t="s">
        <v>374</v>
      </c>
      <c r="X309" s="87" t="s">
        <v>2024</v>
      </c>
      <c r="Y309" s="99">
        <v>42339.0</v>
      </c>
      <c r="Z309" s="90"/>
      <c r="AA309" s="90"/>
      <c r="AB309" s="92"/>
      <c r="AC309" s="81">
        <v>304.0</v>
      </c>
      <c r="AD309" s="92"/>
      <c r="AE309" s="87" t="s">
        <v>67</v>
      </c>
      <c r="AF309" s="92"/>
      <c r="AG309" s="87" t="s">
        <v>130</v>
      </c>
      <c r="AH309" s="92"/>
      <c r="AI309" s="96">
        <v>8.537113417E10</v>
      </c>
      <c r="AJ309" s="87" t="s">
        <v>2428</v>
      </c>
      <c r="AK309" s="97" t="s">
        <v>2429</v>
      </c>
      <c r="AL309" s="87" t="s">
        <v>2430</v>
      </c>
      <c r="AM309" s="87" t="s">
        <v>73</v>
      </c>
      <c r="AN309" s="87" t="s">
        <v>74</v>
      </c>
      <c r="AO309" s="87" t="s">
        <v>741</v>
      </c>
      <c r="AP309" s="87" t="s">
        <v>819</v>
      </c>
      <c r="AQ309" s="87">
        <v>0.0</v>
      </c>
      <c r="AR309" s="87">
        <v>0.0</v>
      </c>
    </row>
    <row r="310">
      <c r="A310" s="89">
        <v>73.0</v>
      </c>
      <c r="B310" s="87" t="s">
        <v>2431</v>
      </c>
      <c r="C310" s="88" t="s">
        <v>2432</v>
      </c>
      <c r="D310" s="89"/>
      <c r="E310" s="89"/>
      <c r="F310" s="89"/>
      <c r="G310" s="89"/>
      <c r="H310" s="89"/>
      <c r="I310" s="90"/>
      <c r="J310" s="89"/>
      <c r="K310" s="89"/>
      <c r="L310" s="90"/>
      <c r="M310" s="89"/>
      <c r="N310" s="89"/>
      <c r="O310" s="87" t="s">
        <v>142</v>
      </c>
      <c r="P310" s="89"/>
      <c r="Q310" s="100" t="s">
        <v>2278</v>
      </c>
      <c r="R310" s="89"/>
      <c r="S310" s="92"/>
      <c r="T310" s="89"/>
      <c r="U310" s="92"/>
      <c r="V310" s="87" t="s">
        <v>89</v>
      </c>
      <c r="W310" s="87" t="s">
        <v>374</v>
      </c>
      <c r="X310" s="87" t="s">
        <v>260</v>
      </c>
      <c r="Y310" s="94">
        <v>43251.0</v>
      </c>
      <c r="Z310" s="90"/>
      <c r="AA310" s="90"/>
      <c r="AB310" s="92"/>
      <c r="AC310" s="81">
        <v>305.0</v>
      </c>
      <c r="AD310" s="92"/>
      <c r="AE310" s="87" t="s">
        <v>67</v>
      </c>
      <c r="AF310" s="92"/>
      <c r="AG310" s="87" t="s">
        <v>130</v>
      </c>
      <c r="AH310" s="92"/>
      <c r="AI310" s="96">
        <v>8.5370980764E10</v>
      </c>
      <c r="AJ310" s="87" t="s">
        <v>2433</v>
      </c>
      <c r="AK310" s="97" t="s">
        <v>2434</v>
      </c>
      <c r="AL310" s="87" t="s">
        <v>2435</v>
      </c>
      <c r="AM310" s="87" t="s">
        <v>73</v>
      </c>
      <c r="AN310" s="87" t="s">
        <v>2436</v>
      </c>
      <c r="AO310" s="87" t="s">
        <v>1092</v>
      </c>
      <c r="AP310" s="87" t="s">
        <v>2437</v>
      </c>
      <c r="AQ310" s="87">
        <v>0.0</v>
      </c>
      <c r="AR310" s="87">
        <v>0.0</v>
      </c>
    </row>
    <row r="311">
      <c r="A311" s="89">
        <v>74.0</v>
      </c>
      <c r="B311" s="87" t="s">
        <v>2438</v>
      </c>
      <c r="C311" s="88" t="s">
        <v>2439</v>
      </c>
      <c r="D311" s="89"/>
      <c r="E311" s="89"/>
      <c r="F311" s="89"/>
      <c r="G311" s="89"/>
      <c r="H311" s="89"/>
      <c r="I311" s="90"/>
      <c r="J311" s="89"/>
      <c r="K311" s="89"/>
      <c r="L311" s="90"/>
      <c r="M311" s="89"/>
      <c r="N311" s="89"/>
      <c r="O311" s="87" t="s">
        <v>532</v>
      </c>
      <c r="P311" s="89"/>
      <c r="Q311" s="100" t="s">
        <v>2278</v>
      </c>
      <c r="R311" s="89"/>
      <c r="S311" s="92"/>
      <c r="T311" s="89"/>
      <c r="U311" s="92"/>
      <c r="V311" s="87" t="s">
        <v>285</v>
      </c>
      <c r="W311" s="87" t="s">
        <v>2440</v>
      </c>
      <c r="X311" s="87" t="s">
        <v>2441</v>
      </c>
      <c r="Y311" s="94">
        <v>40679.0</v>
      </c>
      <c r="Z311" s="90"/>
      <c r="AA311" s="90"/>
      <c r="AB311" s="92"/>
      <c r="AC311" s="81">
        <v>306.0</v>
      </c>
      <c r="AD311" s="92"/>
      <c r="AE311" s="87" t="s">
        <v>67</v>
      </c>
      <c r="AF311" s="92"/>
      <c r="AG311" s="87" t="s">
        <v>68</v>
      </c>
      <c r="AH311" s="92"/>
      <c r="AI311" s="96">
        <v>8.1363603257E10</v>
      </c>
      <c r="AJ311" s="87" t="s">
        <v>2442</v>
      </c>
      <c r="AK311" s="97" t="s">
        <v>2443</v>
      </c>
      <c r="AL311" s="87" t="s">
        <v>2444</v>
      </c>
      <c r="AM311" s="87" t="s">
        <v>96</v>
      </c>
      <c r="AN311" s="87" t="s">
        <v>150</v>
      </c>
      <c r="AO311" s="87" t="s">
        <v>151</v>
      </c>
      <c r="AP311" s="87" t="s">
        <v>472</v>
      </c>
      <c r="AQ311" s="87">
        <v>0.0</v>
      </c>
      <c r="AR311" s="87">
        <v>0.0</v>
      </c>
    </row>
    <row r="312">
      <c r="A312" s="89">
        <v>75.0</v>
      </c>
      <c r="B312" s="87" t="s">
        <v>2445</v>
      </c>
      <c r="C312" s="88" t="s">
        <v>2446</v>
      </c>
      <c r="D312" s="89"/>
      <c r="E312" s="89"/>
      <c r="F312" s="89"/>
      <c r="G312" s="89"/>
      <c r="H312" s="89"/>
      <c r="I312" s="90"/>
      <c r="J312" s="89"/>
      <c r="K312" s="89"/>
      <c r="L312" s="90"/>
      <c r="M312" s="89"/>
      <c r="N312" s="89"/>
      <c r="O312" s="87" t="s">
        <v>519</v>
      </c>
      <c r="P312" s="89"/>
      <c r="Q312" s="100" t="s">
        <v>2359</v>
      </c>
      <c r="R312" s="89"/>
      <c r="S312" s="92"/>
      <c r="T312" s="89"/>
      <c r="U312" s="92"/>
      <c r="V312" s="87" t="s">
        <v>267</v>
      </c>
      <c r="W312" s="87"/>
      <c r="X312" s="87" t="s">
        <v>592</v>
      </c>
      <c r="Y312" s="94">
        <v>41901.0</v>
      </c>
      <c r="Z312" s="90"/>
      <c r="AA312" s="90"/>
      <c r="AB312" s="92"/>
      <c r="AC312" s="81">
        <v>307.0</v>
      </c>
      <c r="AD312" s="92"/>
      <c r="AE312" s="87" t="s">
        <v>220</v>
      </c>
      <c r="AF312" s="92"/>
      <c r="AG312" s="87" t="s">
        <v>130</v>
      </c>
      <c r="AH312" s="92"/>
      <c r="AI312" s="96">
        <v>8.5262473892E10</v>
      </c>
      <c r="AJ312" s="87" t="s">
        <v>2447</v>
      </c>
      <c r="AK312" s="97" t="s">
        <v>2448</v>
      </c>
      <c r="AL312" s="87" t="s">
        <v>2449</v>
      </c>
      <c r="AM312" s="87" t="s">
        <v>73</v>
      </c>
      <c r="AN312" s="87" t="s">
        <v>74</v>
      </c>
      <c r="AO312" s="87" t="s">
        <v>203</v>
      </c>
      <c r="AP312" s="87" t="s">
        <v>2128</v>
      </c>
      <c r="AQ312" s="87">
        <v>0.0</v>
      </c>
      <c r="AR312" s="87">
        <v>0.0</v>
      </c>
    </row>
    <row r="313">
      <c r="A313" s="89">
        <v>76.0</v>
      </c>
      <c r="B313" s="87" t="s">
        <v>2450</v>
      </c>
      <c r="C313" s="88" t="s">
        <v>2451</v>
      </c>
      <c r="D313" s="89"/>
      <c r="E313" s="89"/>
      <c r="F313" s="89"/>
      <c r="G313" s="89"/>
      <c r="H313" s="89"/>
      <c r="I313" s="90"/>
      <c r="J313" s="89"/>
      <c r="K313" s="89"/>
      <c r="L313" s="90"/>
      <c r="M313" s="89"/>
      <c r="N313" s="89"/>
      <c r="O313" s="87" t="s">
        <v>142</v>
      </c>
      <c r="P313" s="89"/>
      <c r="Q313" s="100" t="s">
        <v>2278</v>
      </c>
      <c r="R313" s="89"/>
      <c r="S313" s="92"/>
      <c r="T313" s="89"/>
      <c r="U313" s="92"/>
      <c r="V313" s="87" t="s">
        <v>89</v>
      </c>
      <c r="W313" s="87" t="s">
        <v>374</v>
      </c>
      <c r="X313" s="87" t="s">
        <v>1215</v>
      </c>
      <c r="Y313" s="94">
        <v>43215.0</v>
      </c>
      <c r="Z313" s="90"/>
      <c r="AA313" s="90"/>
      <c r="AB313" s="92"/>
      <c r="AC313" s="81">
        <v>308.0</v>
      </c>
      <c r="AD313" s="92"/>
      <c r="AE313" s="87" t="s">
        <v>67</v>
      </c>
      <c r="AF313" s="92"/>
      <c r="AG313" s="87" t="s">
        <v>68</v>
      </c>
      <c r="AH313" s="92"/>
      <c r="AI313" s="96">
        <v>8.1397446605E10</v>
      </c>
      <c r="AJ313" s="87" t="s">
        <v>2452</v>
      </c>
      <c r="AK313" s="97" t="s">
        <v>2453</v>
      </c>
      <c r="AL313" s="87" t="s">
        <v>2454</v>
      </c>
      <c r="AM313" s="87" t="s">
        <v>96</v>
      </c>
      <c r="AN313" s="87" t="s">
        <v>97</v>
      </c>
      <c r="AO313" s="87" t="s">
        <v>236</v>
      </c>
      <c r="AP313" s="87" t="s">
        <v>237</v>
      </c>
      <c r="AQ313" s="87"/>
      <c r="AR313" s="87"/>
    </row>
    <row r="314">
      <c r="A314" s="89">
        <v>77.0</v>
      </c>
      <c r="B314" s="87" t="s">
        <v>2455</v>
      </c>
      <c r="C314" s="88" t="s">
        <v>2456</v>
      </c>
      <c r="D314" s="89"/>
      <c r="E314" s="89"/>
      <c r="F314" s="89"/>
      <c r="G314" s="89"/>
      <c r="H314" s="89"/>
      <c r="I314" s="90"/>
      <c r="J314" s="89"/>
      <c r="K314" s="89"/>
      <c r="L314" s="90"/>
      <c r="M314" s="89"/>
      <c r="N314" s="89"/>
      <c r="O314" s="87" t="s">
        <v>142</v>
      </c>
      <c r="P314" s="89"/>
      <c r="Q314" s="100" t="s">
        <v>2359</v>
      </c>
      <c r="R314" s="89"/>
      <c r="S314" s="92"/>
      <c r="T314" s="89"/>
      <c r="U314" s="92"/>
      <c r="V314" s="87" t="s">
        <v>89</v>
      </c>
      <c r="W314" s="87"/>
      <c r="X314" s="87" t="s">
        <v>1231</v>
      </c>
      <c r="Y314" s="99">
        <v>42279.0</v>
      </c>
      <c r="Z314" s="90"/>
      <c r="AA314" s="90"/>
      <c r="AB314" s="92"/>
      <c r="AC314" s="81">
        <v>309.0</v>
      </c>
      <c r="AD314" s="92"/>
      <c r="AE314" s="87" t="s">
        <v>67</v>
      </c>
      <c r="AF314" s="92"/>
      <c r="AG314" s="87" t="s">
        <v>68</v>
      </c>
      <c r="AH314" s="92"/>
      <c r="AI314" s="96">
        <v>8.1260629469E10</v>
      </c>
      <c r="AJ314" s="87" t="s">
        <v>2457</v>
      </c>
      <c r="AK314" s="97" t="s">
        <v>2458</v>
      </c>
      <c r="AL314" s="87" t="s">
        <v>2459</v>
      </c>
      <c r="AM314" s="87" t="s">
        <v>73</v>
      </c>
      <c r="AN314" s="87" t="s">
        <v>481</v>
      </c>
      <c r="AO314" s="87" t="s">
        <v>360</v>
      </c>
      <c r="AP314" s="87" t="s">
        <v>893</v>
      </c>
      <c r="AQ314" s="87">
        <v>0.0</v>
      </c>
      <c r="AR314" s="87">
        <v>0.0</v>
      </c>
    </row>
    <row r="315">
      <c r="A315" s="89">
        <v>78.0</v>
      </c>
      <c r="B315" s="87" t="s">
        <v>2460</v>
      </c>
      <c r="C315" s="88" t="s">
        <v>2461</v>
      </c>
      <c r="D315" s="89"/>
      <c r="E315" s="89"/>
      <c r="F315" s="89"/>
      <c r="G315" s="89"/>
      <c r="H315" s="89"/>
      <c r="I315" s="90"/>
      <c r="J315" s="89"/>
      <c r="K315" s="89"/>
      <c r="L315" s="90"/>
      <c r="M315" s="89"/>
      <c r="N315" s="89"/>
      <c r="O315" s="87" t="s">
        <v>142</v>
      </c>
      <c r="P315" s="89"/>
      <c r="Q315" s="100" t="s">
        <v>2278</v>
      </c>
      <c r="R315" s="89"/>
      <c r="S315" s="92"/>
      <c r="T315" s="89"/>
      <c r="U315" s="92"/>
      <c r="V315" s="87" t="s">
        <v>89</v>
      </c>
      <c r="W315" s="87" t="s">
        <v>1887</v>
      </c>
      <c r="X315" s="87" t="s">
        <v>2462</v>
      </c>
      <c r="Y315" s="94">
        <v>42851.0</v>
      </c>
      <c r="Z315" s="90"/>
      <c r="AA315" s="90"/>
      <c r="AB315" s="92"/>
      <c r="AC315" s="81">
        <v>310.0</v>
      </c>
      <c r="AD315" s="92"/>
      <c r="AE315" s="87" t="s">
        <v>67</v>
      </c>
      <c r="AF315" s="92"/>
      <c r="AG315" s="87" t="s">
        <v>68</v>
      </c>
      <c r="AH315" s="92"/>
      <c r="AI315" s="96">
        <v>8.7719841987E10</v>
      </c>
      <c r="AJ315" s="87" t="s">
        <v>2463</v>
      </c>
      <c r="AK315" s="97" t="s">
        <v>2464</v>
      </c>
      <c r="AL315" s="87" t="s">
        <v>2465</v>
      </c>
      <c r="AM315" s="87" t="s">
        <v>96</v>
      </c>
      <c r="AN315" s="87" t="s">
        <v>97</v>
      </c>
      <c r="AO315" s="87" t="s">
        <v>499</v>
      </c>
      <c r="AP315" s="87" t="s">
        <v>2466</v>
      </c>
      <c r="AQ315" s="87"/>
      <c r="AR315" s="87"/>
    </row>
    <row r="316">
      <c r="A316" s="89">
        <v>79.0</v>
      </c>
      <c r="B316" s="87" t="s">
        <v>2467</v>
      </c>
      <c r="C316" s="88" t="s">
        <v>2468</v>
      </c>
      <c r="D316" s="89"/>
      <c r="E316" s="89"/>
      <c r="F316" s="89"/>
      <c r="G316" s="89"/>
      <c r="H316" s="89"/>
      <c r="I316" s="90"/>
      <c r="J316" s="89"/>
      <c r="K316" s="89"/>
      <c r="L316" s="90"/>
      <c r="M316" s="89"/>
      <c r="N316" s="89"/>
      <c r="O316" s="87" t="s">
        <v>142</v>
      </c>
      <c r="P316" s="89"/>
      <c r="Q316" s="100" t="s">
        <v>2359</v>
      </c>
      <c r="R316" s="89"/>
      <c r="S316" s="92"/>
      <c r="T316" s="89"/>
      <c r="U316" s="92"/>
      <c r="V316" s="87" t="s">
        <v>89</v>
      </c>
      <c r="W316" s="87" t="s">
        <v>1193</v>
      </c>
      <c r="X316" s="87" t="s">
        <v>2469</v>
      </c>
      <c r="Y316" s="99">
        <v>42315.0</v>
      </c>
      <c r="Z316" s="90"/>
      <c r="AA316" s="90"/>
      <c r="AB316" s="92"/>
      <c r="AC316" s="81">
        <v>311.0</v>
      </c>
      <c r="AD316" s="92"/>
      <c r="AE316" s="87" t="s">
        <v>67</v>
      </c>
      <c r="AF316" s="92"/>
      <c r="AG316" s="87" t="s">
        <v>68</v>
      </c>
      <c r="AH316" s="92"/>
      <c r="AI316" s="96">
        <v>8.116141191E9</v>
      </c>
      <c r="AJ316" s="87" t="s">
        <v>2470</v>
      </c>
      <c r="AK316" s="97" t="s">
        <v>2471</v>
      </c>
      <c r="AL316" s="87" t="s">
        <v>2472</v>
      </c>
      <c r="AM316" s="87" t="s">
        <v>2473</v>
      </c>
      <c r="AN316" s="87" t="s">
        <v>74</v>
      </c>
      <c r="AO316" s="87" t="s">
        <v>582</v>
      </c>
      <c r="AP316" s="87" t="s">
        <v>2474</v>
      </c>
      <c r="AQ316" s="87"/>
      <c r="AR316" s="87"/>
    </row>
    <row r="317">
      <c r="A317" s="89">
        <v>80.0</v>
      </c>
      <c r="B317" s="87" t="s">
        <v>2475</v>
      </c>
      <c r="C317" s="88" t="s">
        <v>2476</v>
      </c>
      <c r="D317" s="89"/>
      <c r="E317" s="89"/>
      <c r="F317" s="89"/>
      <c r="G317" s="89"/>
      <c r="H317" s="89"/>
      <c r="I317" s="90"/>
      <c r="J317" s="89"/>
      <c r="K317" s="89"/>
      <c r="L317" s="90"/>
      <c r="M317" s="89"/>
      <c r="N317" s="89"/>
      <c r="O317" s="87" t="s">
        <v>142</v>
      </c>
      <c r="P317" s="89"/>
      <c r="Q317" s="100" t="s">
        <v>2278</v>
      </c>
      <c r="R317" s="89"/>
      <c r="S317" s="92"/>
      <c r="T317" s="89"/>
      <c r="U317" s="92"/>
      <c r="V317" s="87" t="s">
        <v>89</v>
      </c>
      <c r="W317" s="87"/>
      <c r="X317" s="87" t="s">
        <v>1231</v>
      </c>
      <c r="Y317" s="94">
        <v>41748.0</v>
      </c>
      <c r="Z317" s="90"/>
      <c r="AA317" s="90"/>
      <c r="AB317" s="92"/>
      <c r="AC317" s="81">
        <v>312.0</v>
      </c>
      <c r="AD317" s="92"/>
      <c r="AE317" s="87" t="s">
        <v>67</v>
      </c>
      <c r="AF317" s="92"/>
      <c r="AG317" s="87" t="s">
        <v>68</v>
      </c>
      <c r="AH317" s="92"/>
      <c r="AI317" s="96">
        <v>8.2277932751E10</v>
      </c>
      <c r="AJ317" s="87" t="s">
        <v>2477</v>
      </c>
      <c r="AK317" s="97" t="s">
        <v>2478</v>
      </c>
      <c r="AL317" s="87" t="s">
        <v>2479</v>
      </c>
      <c r="AM317" s="87" t="s">
        <v>96</v>
      </c>
      <c r="AN317" s="87" t="s">
        <v>97</v>
      </c>
      <c r="AO317" s="87" t="s">
        <v>1136</v>
      </c>
      <c r="AP317" s="87" t="s">
        <v>1137</v>
      </c>
      <c r="AQ317" s="87"/>
      <c r="AR317" s="87"/>
    </row>
    <row r="318">
      <c r="A318" s="89">
        <v>81.0</v>
      </c>
      <c r="B318" s="87" t="s">
        <v>2480</v>
      </c>
      <c r="C318" s="88" t="s">
        <v>2481</v>
      </c>
      <c r="D318" s="89"/>
      <c r="E318" s="89"/>
      <c r="F318" s="89"/>
      <c r="G318" s="89"/>
      <c r="H318" s="89"/>
      <c r="I318" s="90"/>
      <c r="J318" s="89"/>
      <c r="K318" s="89"/>
      <c r="L318" s="90"/>
      <c r="M318" s="89"/>
      <c r="N318" s="89"/>
      <c r="O318" s="87" t="s">
        <v>142</v>
      </c>
      <c r="P318" s="89"/>
      <c r="Q318" s="100" t="s">
        <v>2278</v>
      </c>
      <c r="R318" s="89"/>
      <c r="S318" s="92"/>
      <c r="T318" s="89"/>
      <c r="U318" s="92"/>
      <c r="V318" s="87" t="s">
        <v>89</v>
      </c>
      <c r="W318" s="87"/>
      <c r="X318" s="87" t="s">
        <v>2482</v>
      </c>
      <c r="Y318" s="99">
        <v>42340.0</v>
      </c>
      <c r="Z318" s="90"/>
      <c r="AA318" s="90"/>
      <c r="AB318" s="92"/>
      <c r="AC318" s="81">
        <v>313.0</v>
      </c>
      <c r="AD318" s="92"/>
      <c r="AE318" s="87" t="s">
        <v>67</v>
      </c>
      <c r="AF318" s="92"/>
      <c r="AG318" s="87" t="s">
        <v>130</v>
      </c>
      <c r="AH318" s="92"/>
      <c r="AI318" s="96">
        <v>8.2362018685E10</v>
      </c>
      <c r="AJ318" s="87" t="s">
        <v>2483</v>
      </c>
      <c r="AK318" s="97" t="s">
        <v>2484</v>
      </c>
      <c r="AL318" s="87" t="s">
        <v>2485</v>
      </c>
      <c r="AM318" s="87" t="s">
        <v>73</v>
      </c>
      <c r="AN318" s="87" t="s">
        <v>481</v>
      </c>
      <c r="AO318" s="87" t="s">
        <v>178</v>
      </c>
      <c r="AP318" s="87" t="s">
        <v>304</v>
      </c>
      <c r="AQ318" s="87">
        <v>0.0</v>
      </c>
      <c r="AR318" s="87">
        <v>0.0</v>
      </c>
    </row>
    <row r="319">
      <c r="A319" s="89">
        <v>82.0</v>
      </c>
      <c r="B319" s="87" t="s">
        <v>2486</v>
      </c>
      <c r="C319" s="88" t="s">
        <v>2487</v>
      </c>
      <c r="D319" s="89"/>
      <c r="E319" s="89"/>
      <c r="F319" s="89"/>
      <c r="G319" s="89"/>
      <c r="H319" s="89"/>
      <c r="I319" s="90"/>
      <c r="J319" s="89"/>
      <c r="K319" s="89"/>
      <c r="L319" s="90"/>
      <c r="M319" s="89"/>
      <c r="N319" s="89"/>
      <c r="O319" s="87" t="s">
        <v>142</v>
      </c>
      <c r="P319" s="89"/>
      <c r="Q319" s="100" t="s">
        <v>2278</v>
      </c>
      <c r="R319" s="89"/>
      <c r="S319" s="92"/>
      <c r="T319" s="89"/>
      <c r="U319" s="92"/>
      <c r="V319" s="87" t="s">
        <v>89</v>
      </c>
      <c r="W319" s="87"/>
      <c r="X319" s="87" t="s">
        <v>244</v>
      </c>
      <c r="Y319" s="94">
        <v>42320.0</v>
      </c>
      <c r="Z319" s="90"/>
      <c r="AA319" s="90"/>
      <c r="AB319" s="92"/>
      <c r="AC319" s="81">
        <v>314.0</v>
      </c>
      <c r="AD319" s="92"/>
      <c r="AE319" s="87" t="s">
        <v>67</v>
      </c>
      <c r="AF319" s="92"/>
      <c r="AG319" s="87" t="s">
        <v>130</v>
      </c>
      <c r="AH319" s="92"/>
      <c r="AI319" s="96">
        <v>8.2165501464E10</v>
      </c>
      <c r="AJ319" s="87" t="s">
        <v>2488</v>
      </c>
      <c r="AK319" s="97" t="s">
        <v>2489</v>
      </c>
      <c r="AL319" s="87" t="s">
        <v>2490</v>
      </c>
      <c r="AM319" s="87" t="s">
        <v>73</v>
      </c>
      <c r="AN319" s="87" t="s">
        <v>835</v>
      </c>
      <c r="AO319" s="87" t="s">
        <v>925</v>
      </c>
      <c r="AP319" s="87" t="s">
        <v>1637</v>
      </c>
      <c r="AQ319" s="87"/>
      <c r="AR319" s="87"/>
    </row>
    <row r="320">
      <c r="A320" s="89">
        <v>83.0</v>
      </c>
      <c r="B320" s="87" t="s">
        <v>2491</v>
      </c>
      <c r="C320" s="88" t="s">
        <v>2492</v>
      </c>
      <c r="D320" s="89"/>
      <c r="E320" s="89"/>
      <c r="F320" s="89"/>
      <c r="G320" s="89"/>
      <c r="H320" s="89"/>
      <c r="I320" s="90"/>
      <c r="J320" s="89"/>
      <c r="K320" s="89"/>
      <c r="L320" s="90"/>
      <c r="M320" s="89"/>
      <c r="N320" s="89"/>
      <c r="O320" s="87" t="s">
        <v>532</v>
      </c>
      <c r="P320" s="89"/>
      <c r="Q320" s="100" t="s">
        <v>2278</v>
      </c>
      <c r="R320" s="89"/>
      <c r="S320" s="92"/>
      <c r="T320" s="89"/>
      <c r="U320" s="92"/>
      <c r="V320" s="87" t="s">
        <v>285</v>
      </c>
      <c r="W320" s="87" t="s">
        <v>2493</v>
      </c>
      <c r="X320" s="87" t="s">
        <v>2494</v>
      </c>
      <c r="Y320" s="99">
        <v>37777.0</v>
      </c>
      <c r="Z320" s="90"/>
      <c r="AA320" s="90"/>
      <c r="AB320" s="92"/>
      <c r="AC320" s="81">
        <v>315.0</v>
      </c>
      <c r="AD320" s="92"/>
      <c r="AE320" s="87" t="s">
        <v>67</v>
      </c>
      <c r="AF320" s="92"/>
      <c r="AG320" s="87" t="s">
        <v>68</v>
      </c>
      <c r="AH320" s="92"/>
      <c r="AI320" s="96">
        <v>8.2363039823E10</v>
      </c>
      <c r="AJ320" s="87" t="s">
        <v>2495</v>
      </c>
      <c r="AK320" s="97" t="s">
        <v>2496</v>
      </c>
      <c r="AL320" s="87" t="s">
        <v>2497</v>
      </c>
      <c r="AM320" s="87" t="s">
        <v>73</v>
      </c>
      <c r="AN320" s="87" t="s">
        <v>166</v>
      </c>
      <c r="AO320" s="87" t="s">
        <v>167</v>
      </c>
      <c r="AP320" s="87" t="s">
        <v>2498</v>
      </c>
      <c r="AQ320" s="87">
        <v>95.0</v>
      </c>
      <c r="AR320" s="87">
        <v>46.0</v>
      </c>
    </row>
    <row r="321">
      <c r="A321" s="89">
        <v>84.0</v>
      </c>
      <c r="B321" s="87" t="s">
        <v>2499</v>
      </c>
      <c r="C321" s="88" t="s">
        <v>2500</v>
      </c>
      <c r="D321" s="89"/>
      <c r="E321" s="89"/>
      <c r="F321" s="89"/>
      <c r="G321" s="89"/>
      <c r="H321" s="89"/>
      <c r="I321" s="90"/>
      <c r="J321" s="89"/>
      <c r="K321" s="89"/>
      <c r="L321" s="90"/>
      <c r="M321" s="89"/>
      <c r="N321" s="89"/>
      <c r="O321" s="87" t="s">
        <v>142</v>
      </c>
      <c r="P321" s="89"/>
      <c r="Q321" s="100" t="s">
        <v>2278</v>
      </c>
      <c r="R321" s="89"/>
      <c r="S321" s="92"/>
      <c r="T321" s="89"/>
      <c r="U321" s="92"/>
      <c r="V321" s="87" t="s">
        <v>89</v>
      </c>
      <c r="W321" s="87" t="s">
        <v>2501</v>
      </c>
      <c r="X321" s="87" t="s">
        <v>2502</v>
      </c>
      <c r="Y321" s="94">
        <v>44098.0</v>
      </c>
      <c r="Z321" s="90"/>
      <c r="AA321" s="90"/>
      <c r="AB321" s="92"/>
      <c r="AC321" s="81">
        <v>316.0</v>
      </c>
      <c r="AD321" s="92"/>
      <c r="AE321" s="87" t="s">
        <v>67</v>
      </c>
      <c r="AF321" s="92"/>
      <c r="AG321" s="87" t="s">
        <v>130</v>
      </c>
      <c r="AH321" s="92"/>
      <c r="AI321" s="96">
        <v>8.1362885356E10</v>
      </c>
      <c r="AJ321" s="87" t="s">
        <v>2503</v>
      </c>
      <c r="AK321" s="97" t="s">
        <v>2504</v>
      </c>
      <c r="AL321" s="87" t="s">
        <v>2505</v>
      </c>
      <c r="AM321" s="87" t="s">
        <v>73</v>
      </c>
      <c r="AN321" s="87" t="s">
        <v>74</v>
      </c>
      <c r="AO321" s="87" t="s">
        <v>203</v>
      </c>
      <c r="AP321" s="87" t="s">
        <v>2506</v>
      </c>
      <c r="AQ321" s="87">
        <v>0.0</v>
      </c>
      <c r="AR321" s="87">
        <v>0.0</v>
      </c>
    </row>
    <row r="322">
      <c r="A322" s="89">
        <v>85.0</v>
      </c>
      <c r="B322" s="87" t="s">
        <v>2507</v>
      </c>
      <c r="C322" s="88" t="s">
        <v>2508</v>
      </c>
      <c r="D322" s="89"/>
      <c r="E322" s="89"/>
      <c r="F322" s="89"/>
      <c r="G322" s="89"/>
      <c r="H322" s="89"/>
      <c r="I322" s="90"/>
      <c r="J322" s="89"/>
      <c r="K322" s="89"/>
      <c r="L322" s="90"/>
      <c r="M322" s="89"/>
      <c r="N322" s="89"/>
      <c r="O322" s="87" t="s">
        <v>142</v>
      </c>
      <c r="P322" s="89"/>
      <c r="Q322" s="100" t="s">
        <v>2278</v>
      </c>
      <c r="R322" s="89"/>
      <c r="S322" s="92"/>
      <c r="T322" s="89"/>
      <c r="U322" s="92"/>
      <c r="V322" s="87" t="s">
        <v>89</v>
      </c>
      <c r="W322" s="87" t="s">
        <v>1520</v>
      </c>
      <c r="X322" s="87" t="s">
        <v>1215</v>
      </c>
      <c r="Y322" s="94">
        <v>44237.0</v>
      </c>
      <c r="Z322" s="90"/>
      <c r="AA322" s="90"/>
      <c r="AB322" s="92"/>
      <c r="AC322" s="81">
        <v>317.0</v>
      </c>
      <c r="AD322" s="92"/>
      <c r="AE322" s="87" t="s">
        <v>67</v>
      </c>
      <c r="AF322" s="92"/>
      <c r="AG322" s="87" t="s">
        <v>130</v>
      </c>
      <c r="AH322" s="92"/>
      <c r="AI322" s="96">
        <v>8.5830017742E10</v>
      </c>
      <c r="AJ322" s="87" t="s">
        <v>2509</v>
      </c>
      <c r="AK322" s="97" t="s">
        <v>2510</v>
      </c>
      <c r="AL322" s="87" t="s">
        <v>2511</v>
      </c>
      <c r="AM322" s="87" t="s">
        <v>73</v>
      </c>
      <c r="AN322" s="87" t="s">
        <v>74</v>
      </c>
      <c r="AO322" s="87" t="s">
        <v>1047</v>
      </c>
      <c r="AP322" s="87" t="s">
        <v>2512</v>
      </c>
      <c r="AQ322" s="87">
        <v>0.0</v>
      </c>
      <c r="AR322" s="87">
        <v>0.0</v>
      </c>
    </row>
    <row r="323">
      <c r="A323" s="89">
        <v>86.0</v>
      </c>
      <c r="B323" s="87" t="s">
        <v>2513</v>
      </c>
      <c r="C323" s="88" t="s">
        <v>2514</v>
      </c>
      <c r="D323" s="89"/>
      <c r="E323" s="89"/>
      <c r="F323" s="89"/>
      <c r="G323" s="89"/>
      <c r="H323" s="89"/>
      <c r="I323" s="90"/>
      <c r="J323" s="89"/>
      <c r="K323" s="89"/>
      <c r="L323" s="90"/>
      <c r="M323" s="89"/>
      <c r="N323" s="89"/>
      <c r="O323" s="87" t="s">
        <v>142</v>
      </c>
      <c r="P323" s="89"/>
      <c r="Q323" s="100" t="s">
        <v>2278</v>
      </c>
      <c r="R323" s="89"/>
      <c r="S323" s="92"/>
      <c r="T323" s="89"/>
      <c r="U323" s="92"/>
      <c r="V323" s="87" t="s">
        <v>89</v>
      </c>
      <c r="W323" s="87"/>
      <c r="X323" s="87" t="s">
        <v>2064</v>
      </c>
      <c r="Y323" s="94">
        <v>42662.0</v>
      </c>
      <c r="Z323" s="90"/>
      <c r="AA323" s="90"/>
      <c r="AB323" s="92"/>
      <c r="AC323" s="81">
        <v>318.0</v>
      </c>
      <c r="AD323" s="92"/>
      <c r="AE323" s="87" t="s">
        <v>220</v>
      </c>
      <c r="AF323" s="92"/>
      <c r="AG323" s="87" t="s">
        <v>68</v>
      </c>
      <c r="AH323" s="92"/>
      <c r="AI323" s="96">
        <v>8.529644185E10</v>
      </c>
      <c r="AJ323" s="87"/>
      <c r="AK323" s="97" t="s">
        <v>2515</v>
      </c>
      <c r="AL323" s="87" t="s">
        <v>2516</v>
      </c>
      <c r="AM323" s="87" t="s">
        <v>73</v>
      </c>
      <c r="AN323" s="87" t="s">
        <v>74</v>
      </c>
      <c r="AO323" s="87" t="s">
        <v>191</v>
      </c>
      <c r="AP323" s="87" t="s">
        <v>2517</v>
      </c>
      <c r="AQ323" s="87"/>
      <c r="AR323" s="87"/>
    </row>
    <row r="324">
      <c r="A324" s="89">
        <v>87.0</v>
      </c>
      <c r="B324" s="87" t="s">
        <v>2518</v>
      </c>
      <c r="C324" s="88" t="s">
        <v>2519</v>
      </c>
      <c r="D324" s="89"/>
      <c r="E324" s="89"/>
      <c r="F324" s="89"/>
      <c r="G324" s="89"/>
      <c r="H324" s="89"/>
      <c r="I324" s="90"/>
      <c r="J324" s="89"/>
      <c r="K324" s="89"/>
      <c r="L324" s="90"/>
      <c r="M324" s="89"/>
      <c r="N324" s="89"/>
      <c r="O324" s="87" t="s">
        <v>142</v>
      </c>
      <c r="P324" s="89"/>
      <c r="Q324" s="100" t="s">
        <v>2359</v>
      </c>
      <c r="R324" s="89"/>
      <c r="S324" s="92"/>
      <c r="T324" s="89"/>
      <c r="U324" s="92"/>
      <c r="V324" s="87" t="s">
        <v>89</v>
      </c>
      <c r="W324" s="87" t="s">
        <v>160</v>
      </c>
      <c r="X324" s="87" t="s">
        <v>1827</v>
      </c>
      <c r="Y324" s="94">
        <v>41600.0</v>
      </c>
      <c r="Z324" s="90"/>
      <c r="AA324" s="90"/>
      <c r="AB324" s="92"/>
      <c r="AC324" s="81">
        <v>319.0</v>
      </c>
      <c r="AD324" s="92"/>
      <c r="AE324" s="87" t="s">
        <v>67</v>
      </c>
      <c r="AF324" s="92"/>
      <c r="AG324" s="87" t="s">
        <v>130</v>
      </c>
      <c r="AH324" s="92"/>
      <c r="AI324" s="96">
        <v>8.5270150706E10</v>
      </c>
      <c r="AJ324" s="87" t="s">
        <v>2520</v>
      </c>
      <c r="AK324" s="97" t="s">
        <v>2521</v>
      </c>
      <c r="AL324" s="87" t="s">
        <v>1830</v>
      </c>
      <c r="AM324" s="87" t="s">
        <v>96</v>
      </c>
      <c r="AN324" s="87" t="s">
        <v>97</v>
      </c>
      <c r="AO324" s="87" t="s">
        <v>379</v>
      </c>
      <c r="AP324" s="87" t="s">
        <v>389</v>
      </c>
      <c r="AQ324" s="87">
        <v>0.0</v>
      </c>
      <c r="AR324" s="87">
        <v>0.0</v>
      </c>
    </row>
    <row r="325">
      <c r="A325" s="89">
        <v>88.0</v>
      </c>
      <c r="B325" s="87" t="s">
        <v>2522</v>
      </c>
      <c r="C325" s="88" t="s">
        <v>2523</v>
      </c>
      <c r="D325" s="89"/>
      <c r="E325" s="89"/>
      <c r="F325" s="89"/>
      <c r="G325" s="89"/>
      <c r="H325" s="89"/>
      <c r="I325" s="90"/>
      <c r="J325" s="89"/>
      <c r="K325" s="89"/>
      <c r="L325" s="90"/>
      <c r="M325" s="89"/>
      <c r="N325" s="89"/>
      <c r="O325" s="87" t="s">
        <v>142</v>
      </c>
      <c r="P325" s="89"/>
      <c r="Q325" s="100" t="s">
        <v>2278</v>
      </c>
      <c r="R325" s="89"/>
      <c r="S325" s="92"/>
      <c r="T325" s="89"/>
      <c r="U325" s="92"/>
      <c r="V325" s="87" t="s">
        <v>89</v>
      </c>
      <c r="W325" s="87"/>
      <c r="X325" s="87" t="s">
        <v>2524</v>
      </c>
      <c r="Y325" s="94">
        <v>42723.0</v>
      </c>
      <c r="Z325" s="90"/>
      <c r="AA325" s="90"/>
      <c r="AB325" s="92"/>
      <c r="AC325" s="81">
        <v>320.0</v>
      </c>
      <c r="AD325" s="92"/>
      <c r="AE325" s="87" t="s">
        <v>67</v>
      </c>
      <c r="AF325" s="92"/>
      <c r="AG325" s="87" t="s">
        <v>130</v>
      </c>
      <c r="AH325" s="92"/>
      <c r="AI325" s="96">
        <v>8.136163362E10</v>
      </c>
      <c r="AJ325" s="87" t="s">
        <v>2525</v>
      </c>
      <c r="AK325" s="97" t="s">
        <v>2526</v>
      </c>
      <c r="AL325" s="87" t="s">
        <v>2527</v>
      </c>
      <c r="AM325" s="87" t="s">
        <v>73</v>
      </c>
      <c r="AN325" s="87" t="s">
        <v>481</v>
      </c>
      <c r="AO325" s="87" t="s">
        <v>1698</v>
      </c>
      <c r="AP325" s="87" t="s">
        <v>2528</v>
      </c>
      <c r="AQ325" s="87">
        <v>0.0</v>
      </c>
      <c r="AR325" s="87">
        <v>0.0</v>
      </c>
    </row>
    <row r="326">
      <c r="A326" s="89">
        <v>89.0</v>
      </c>
      <c r="B326" s="87" t="s">
        <v>2529</v>
      </c>
      <c r="C326" s="88" t="s">
        <v>2530</v>
      </c>
      <c r="D326" s="89"/>
      <c r="E326" s="89"/>
      <c r="F326" s="89"/>
      <c r="G326" s="89"/>
      <c r="H326" s="89"/>
      <c r="I326" s="90"/>
      <c r="J326" s="89"/>
      <c r="K326" s="89"/>
      <c r="L326" s="90"/>
      <c r="M326" s="89"/>
      <c r="N326" s="89"/>
      <c r="O326" s="87" t="s">
        <v>142</v>
      </c>
      <c r="P326" s="89"/>
      <c r="Q326" s="100" t="s">
        <v>2278</v>
      </c>
      <c r="R326" s="89"/>
      <c r="S326" s="92"/>
      <c r="T326" s="89"/>
      <c r="U326" s="92"/>
      <c r="V326" s="87" t="s">
        <v>89</v>
      </c>
      <c r="W326" s="87" t="s">
        <v>1214</v>
      </c>
      <c r="X326" s="87" t="s">
        <v>260</v>
      </c>
      <c r="Y326" s="94">
        <v>40376.0</v>
      </c>
      <c r="Z326" s="90"/>
      <c r="AA326" s="90"/>
      <c r="AB326" s="92"/>
      <c r="AC326" s="81">
        <v>321.0</v>
      </c>
      <c r="AD326" s="92"/>
      <c r="AE326" s="87" t="s">
        <v>67</v>
      </c>
      <c r="AF326" s="92"/>
      <c r="AG326" s="87" t="s">
        <v>68</v>
      </c>
      <c r="AH326" s="92"/>
      <c r="AI326" s="96">
        <v>8.1262800068E10</v>
      </c>
      <c r="AJ326" s="87" t="s">
        <v>2531</v>
      </c>
      <c r="AK326" s="97" t="s">
        <v>2532</v>
      </c>
      <c r="AL326" s="87" t="s">
        <v>2533</v>
      </c>
      <c r="AM326" s="87" t="s">
        <v>73</v>
      </c>
      <c r="AN326" s="87" t="s">
        <v>835</v>
      </c>
      <c r="AO326" s="87" t="s">
        <v>75</v>
      </c>
      <c r="AP326" s="87" t="s">
        <v>1198</v>
      </c>
      <c r="AQ326" s="87">
        <v>0.0</v>
      </c>
      <c r="AR326" s="87">
        <v>0.0</v>
      </c>
    </row>
    <row r="327">
      <c r="A327" s="89">
        <v>90.0</v>
      </c>
      <c r="B327" s="87" t="s">
        <v>2534</v>
      </c>
      <c r="C327" s="88" t="s">
        <v>2535</v>
      </c>
      <c r="D327" s="89"/>
      <c r="E327" s="89"/>
      <c r="F327" s="89"/>
      <c r="G327" s="89"/>
      <c r="H327" s="89"/>
      <c r="I327" s="90"/>
      <c r="J327" s="89"/>
      <c r="K327" s="89"/>
      <c r="L327" s="90"/>
      <c r="M327" s="89"/>
      <c r="N327" s="89"/>
      <c r="O327" s="87" t="s">
        <v>142</v>
      </c>
      <c r="P327" s="89"/>
      <c r="Q327" s="100" t="s">
        <v>2536</v>
      </c>
      <c r="R327" s="89"/>
      <c r="S327" s="92"/>
      <c r="T327" s="89"/>
      <c r="U327" s="92"/>
      <c r="V327" s="87" t="s">
        <v>89</v>
      </c>
      <c r="W327" s="87"/>
      <c r="X327" s="87" t="s">
        <v>671</v>
      </c>
      <c r="Y327" s="94">
        <v>41965.0</v>
      </c>
      <c r="Z327" s="90"/>
      <c r="AA327" s="90"/>
      <c r="AB327" s="92"/>
      <c r="AC327" s="81">
        <v>322.0</v>
      </c>
      <c r="AD327" s="92"/>
      <c r="AE327" s="87" t="s">
        <v>67</v>
      </c>
      <c r="AF327" s="92"/>
      <c r="AG327" s="87" t="s">
        <v>130</v>
      </c>
      <c r="AH327" s="92"/>
      <c r="AI327" s="96">
        <v>8.2164074793E10</v>
      </c>
      <c r="AJ327" s="87" t="s">
        <v>2537</v>
      </c>
      <c r="AK327" s="97" t="s">
        <v>2538</v>
      </c>
      <c r="AL327" s="87" t="s">
        <v>2539</v>
      </c>
      <c r="AM327" s="87" t="s">
        <v>73</v>
      </c>
      <c r="AN327" s="87" t="s">
        <v>481</v>
      </c>
      <c r="AO327" s="87" t="s">
        <v>582</v>
      </c>
      <c r="AP327" s="87" t="s">
        <v>900</v>
      </c>
      <c r="AQ327" s="87">
        <v>0.0</v>
      </c>
      <c r="AR327" s="87">
        <v>0.0</v>
      </c>
    </row>
    <row r="328">
      <c r="A328" s="89">
        <v>91.0</v>
      </c>
      <c r="B328" s="87" t="s">
        <v>2540</v>
      </c>
      <c r="C328" s="88" t="s">
        <v>2541</v>
      </c>
      <c r="D328" s="89"/>
      <c r="E328" s="89"/>
      <c r="F328" s="89"/>
      <c r="G328" s="89"/>
      <c r="H328" s="89"/>
      <c r="I328" s="90"/>
      <c r="J328" s="89"/>
      <c r="K328" s="89"/>
      <c r="L328" s="90"/>
      <c r="M328" s="89"/>
      <c r="N328" s="89"/>
      <c r="O328" s="87" t="s">
        <v>142</v>
      </c>
      <c r="P328" s="89"/>
      <c r="Q328" s="100" t="s">
        <v>2359</v>
      </c>
      <c r="R328" s="89"/>
      <c r="S328" s="92"/>
      <c r="T328" s="89"/>
      <c r="U328" s="92"/>
      <c r="V328" s="87" t="s">
        <v>89</v>
      </c>
      <c r="W328" s="87" t="s">
        <v>2542</v>
      </c>
      <c r="X328" s="87" t="s">
        <v>2543</v>
      </c>
      <c r="Y328" s="94">
        <v>45209.0</v>
      </c>
      <c r="Z328" s="90"/>
      <c r="AA328" s="90"/>
      <c r="AB328" s="92"/>
      <c r="AC328" s="81">
        <v>323.0</v>
      </c>
      <c r="AD328" s="92"/>
      <c r="AE328" s="87" t="s">
        <v>220</v>
      </c>
      <c r="AF328" s="92"/>
      <c r="AG328" s="87" t="s">
        <v>68</v>
      </c>
      <c r="AH328" s="92"/>
      <c r="AI328" s="96">
        <v>8.5261061291E10</v>
      </c>
      <c r="AJ328" s="87" t="s">
        <v>2544</v>
      </c>
      <c r="AK328" s="97" t="s">
        <v>2545</v>
      </c>
      <c r="AL328" s="87" t="s">
        <v>2546</v>
      </c>
      <c r="AM328" s="87" t="s">
        <v>732</v>
      </c>
      <c r="AN328" s="87" t="s">
        <v>97</v>
      </c>
      <c r="AO328" s="87" t="s">
        <v>1501</v>
      </c>
      <c r="AP328" s="87" t="s">
        <v>2547</v>
      </c>
      <c r="AQ328" s="87"/>
      <c r="AR328" s="87"/>
    </row>
    <row r="329">
      <c r="A329" s="89">
        <v>92.0</v>
      </c>
      <c r="B329" s="87" t="s">
        <v>2548</v>
      </c>
      <c r="C329" s="88" t="s">
        <v>2549</v>
      </c>
      <c r="D329" s="89"/>
      <c r="E329" s="89"/>
      <c r="F329" s="89"/>
      <c r="G329" s="89"/>
      <c r="H329" s="89"/>
      <c r="I329" s="90"/>
      <c r="J329" s="89"/>
      <c r="K329" s="89"/>
      <c r="L329" s="90"/>
      <c r="M329" s="89"/>
      <c r="N329" s="89"/>
      <c r="O329" s="87" t="s">
        <v>142</v>
      </c>
      <c r="P329" s="89"/>
      <c r="Q329" s="100" t="s">
        <v>2278</v>
      </c>
      <c r="R329" s="89"/>
      <c r="S329" s="92"/>
      <c r="T329" s="89"/>
      <c r="U329" s="92"/>
      <c r="V329" s="87" t="s">
        <v>89</v>
      </c>
      <c r="W329" s="87" t="s">
        <v>795</v>
      </c>
      <c r="X329" s="87" t="s">
        <v>1231</v>
      </c>
      <c r="Y329" s="94">
        <v>41390.0</v>
      </c>
      <c r="Z329" s="90"/>
      <c r="AA329" s="90"/>
      <c r="AB329" s="92"/>
      <c r="AC329" s="81">
        <v>324.0</v>
      </c>
      <c r="AD329" s="92"/>
      <c r="AE329" s="87" t="s">
        <v>67</v>
      </c>
      <c r="AF329" s="92"/>
      <c r="AG329" s="87" t="s">
        <v>130</v>
      </c>
      <c r="AH329" s="92"/>
      <c r="AI329" s="96">
        <v>8.2165178438E10</v>
      </c>
      <c r="AJ329" s="87" t="s">
        <v>2550</v>
      </c>
      <c r="AK329" s="97" t="s">
        <v>2551</v>
      </c>
      <c r="AL329" s="87" t="s">
        <v>2552</v>
      </c>
      <c r="AM329" s="87" t="s">
        <v>73</v>
      </c>
      <c r="AN329" s="87" t="s">
        <v>74</v>
      </c>
      <c r="AO329" s="87" t="s">
        <v>191</v>
      </c>
      <c r="AP329" s="87" t="s">
        <v>192</v>
      </c>
      <c r="AQ329" s="87">
        <v>0.0</v>
      </c>
      <c r="AR329" s="87">
        <v>0.0</v>
      </c>
    </row>
    <row r="330">
      <c r="A330" s="89">
        <v>93.0</v>
      </c>
      <c r="B330" s="87" t="s">
        <v>2553</v>
      </c>
      <c r="C330" s="88" t="s">
        <v>2554</v>
      </c>
      <c r="D330" s="89"/>
      <c r="E330" s="89"/>
      <c r="F330" s="89"/>
      <c r="G330" s="89"/>
      <c r="H330" s="89"/>
      <c r="I330" s="90"/>
      <c r="J330" s="89"/>
      <c r="K330" s="89"/>
      <c r="L330" s="90"/>
      <c r="M330" s="89"/>
      <c r="N330" s="89"/>
      <c r="O330" s="87" t="s">
        <v>142</v>
      </c>
      <c r="P330" s="89"/>
      <c r="Q330" s="100" t="s">
        <v>2278</v>
      </c>
      <c r="R330" s="89"/>
      <c r="S330" s="92"/>
      <c r="T330" s="89"/>
      <c r="U330" s="92"/>
      <c r="V330" s="87" t="s">
        <v>89</v>
      </c>
      <c r="W330" s="87"/>
      <c r="X330" s="87" t="s">
        <v>260</v>
      </c>
      <c r="Y330" s="94">
        <v>40896.0</v>
      </c>
      <c r="Z330" s="90"/>
      <c r="AA330" s="90"/>
      <c r="AB330" s="92"/>
      <c r="AC330" s="81">
        <v>325.0</v>
      </c>
      <c r="AD330" s="92"/>
      <c r="AE330" s="87" t="s">
        <v>67</v>
      </c>
      <c r="AF330" s="92"/>
      <c r="AG330" s="87" t="s">
        <v>68</v>
      </c>
      <c r="AH330" s="92"/>
      <c r="AI330" s="96">
        <v>8.7763314865E10</v>
      </c>
      <c r="AJ330" s="87" t="s">
        <v>2555</v>
      </c>
      <c r="AK330" s="97" t="s">
        <v>2556</v>
      </c>
      <c r="AL330" s="87" t="s">
        <v>2557</v>
      </c>
      <c r="AM330" s="87" t="s">
        <v>73</v>
      </c>
      <c r="AN330" s="87" t="s">
        <v>74</v>
      </c>
      <c r="AO330" s="87" t="s">
        <v>360</v>
      </c>
      <c r="AP330" s="87" t="s">
        <v>361</v>
      </c>
      <c r="AQ330" s="87"/>
      <c r="AR330" s="87"/>
    </row>
    <row r="331">
      <c r="A331" s="124"/>
      <c r="B331" s="125"/>
      <c r="C331" s="117"/>
      <c r="D331" s="118"/>
      <c r="E331" s="118"/>
      <c r="F331" s="118"/>
      <c r="G331" s="118"/>
      <c r="H331" s="126"/>
      <c r="I331" s="125"/>
      <c r="J331" s="110"/>
      <c r="K331" s="110"/>
      <c r="L331" s="127"/>
      <c r="M331" s="128"/>
      <c r="N331" s="118"/>
      <c r="O331" s="127"/>
      <c r="P331" s="118"/>
      <c r="Q331" s="127"/>
      <c r="R331" s="126"/>
      <c r="S331" s="116"/>
      <c r="T331" s="129"/>
      <c r="U331" s="116"/>
      <c r="V331" s="127"/>
      <c r="W331" s="127"/>
      <c r="X331" s="127"/>
      <c r="Y331" s="130"/>
      <c r="Z331" s="116"/>
      <c r="AA331" s="131"/>
      <c r="AB331" s="131"/>
      <c r="AC331" s="81">
        <v>326.0</v>
      </c>
      <c r="AD331" s="127"/>
      <c r="AE331" s="127"/>
      <c r="AF331" s="127"/>
      <c r="AG331" s="127"/>
      <c r="AH331" s="127"/>
      <c r="AI331" s="127"/>
      <c r="AJ331" s="127"/>
      <c r="AK331" s="43"/>
      <c r="AL331" s="127"/>
      <c r="AM331" s="127"/>
      <c r="AN331" s="127"/>
      <c r="AO331" s="127"/>
      <c r="AP331" s="127"/>
      <c r="AQ331" s="127"/>
      <c r="AR331" s="127"/>
    </row>
    <row r="332">
      <c r="A332" s="12" t="s">
        <v>2558</v>
      </c>
      <c r="B332" s="116"/>
      <c r="C332" s="117"/>
      <c r="D332" s="118"/>
      <c r="E332" s="118"/>
      <c r="F332" s="118"/>
      <c r="G332" s="118"/>
      <c r="H332" s="118"/>
      <c r="I332" s="116"/>
      <c r="J332" s="118"/>
      <c r="K332" s="118"/>
      <c r="L332" s="116"/>
      <c r="M332" s="118"/>
      <c r="N332" s="118"/>
      <c r="O332" s="116"/>
      <c r="P332" s="118"/>
      <c r="Q332" s="116"/>
      <c r="R332" s="118"/>
      <c r="S332" s="116"/>
      <c r="T332" s="118"/>
      <c r="U332" s="116"/>
      <c r="V332" s="116"/>
      <c r="W332" s="116"/>
      <c r="X332" s="116"/>
      <c r="Y332" s="116"/>
      <c r="Z332" s="116"/>
      <c r="AA332" s="116"/>
      <c r="AB332" s="116"/>
      <c r="AC332" s="81">
        <v>327.0</v>
      </c>
      <c r="AD332" s="119"/>
      <c r="AE332" s="119"/>
      <c r="AF332" s="119"/>
      <c r="AG332" s="119"/>
      <c r="AH332" s="119"/>
      <c r="AI332" s="119"/>
      <c r="AJ332" s="119"/>
      <c r="AK332" s="29"/>
      <c r="AL332" s="119"/>
      <c r="AM332" s="119"/>
      <c r="AN332" s="119"/>
      <c r="AO332" s="119"/>
      <c r="AP332" s="119"/>
      <c r="AQ332" s="119"/>
      <c r="AR332" s="119"/>
    </row>
    <row r="333">
      <c r="A333" s="21">
        <f>SUM(A331+1)</f>
        <v>1</v>
      </c>
      <c r="B333" s="21" t="s">
        <v>2559</v>
      </c>
      <c r="C333" s="38" t="s">
        <v>2560</v>
      </c>
      <c r="D333" s="23">
        <v>8.0</v>
      </c>
      <c r="E333" s="23">
        <v>3.0</v>
      </c>
      <c r="F333" s="23" t="s">
        <v>80</v>
      </c>
      <c r="G333" s="23" t="s">
        <v>81</v>
      </c>
      <c r="H333" s="24">
        <v>42186.0</v>
      </c>
      <c r="I333" s="21" t="s">
        <v>102</v>
      </c>
      <c r="J333" s="21" t="s">
        <v>103</v>
      </c>
      <c r="K333" s="21" t="s">
        <v>1561</v>
      </c>
      <c r="L333" s="21" t="s">
        <v>105</v>
      </c>
      <c r="M333" s="25">
        <v>45200.0</v>
      </c>
      <c r="N333" s="23" t="s">
        <v>56</v>
      </c>
      <c r="O333" s="21" t="s">
        <v>2561</v>
      </c>
      <c r="P333" s="23" t="s">
        <v>1296</v>
      </c>
      <c r="Q333" s="21" t="s">
        <v>266</v>
      </c>
      <c r="R333" s="24">
        <v>46076.0</v>
      </c>
      <c r="S333" s="23" t="s">
        <v>87</v>
      </c>
      <c r="T333" s="29"/>
      <c r="U333" s="23" t="s">
        <v>88</v>
      </c>
      <c r="V333" s="21" t="s">
        <v>110</v>
      </c>
      <c r="W333" s="21" t="s">
        <v>111</v>
      </c>
      <c r="X333" s="21" t="s">
        <v>112</v>
      </c>
      <c r="Y333" s="21" t="s">
        <v>1306</v>
      </c>
      <c r="Z333" s="56"/>
      <c r="AA333" s="28">
        <v>55521.0</v>
      </c>
      <c r="AB333" s="29"/>
      <c r="AC333" s="23">
        <v>134.0</v>
      </c>
      <c r="AD333" s="21" t="s">
        <v>66</v>
      </c>
      <c r="AE333" s="21" t="s">
        <v>67</v>
      </c>
      <c r="AF333" s="30"/>
      <c r="AG333" s="21" t="s">
        <v>68</v>
      </c>
      <c r="AH333" s="21" t="s">
        <v>69</v>
      </c>
      <c r="AI333" s="21">
        <v>8.1260093256E10</v>
      </c>
      <c r="AJ333" s="21" t="s">
        <v>2562</v>
      </c>
      <c r="AK333" s="21" t="s">
        <v>2563</v>
      </c>
      <c r="AL333" s="21" t="s">
        <v>2564</v>
      </c>
      <c r="AM333" s="21" t="s">
        <v>96</v>
      </c>
      <c r="AN333" s="21" t="s">
        <v>74</v>
      </c>
      <c r="AO333" s="21" t="s">
        <v>1291</v>
      </c>
      <c r="AP333" s="21" t="s">
        <v>2565</v>
      </c>
      <c r="AQ333" s="30"/>
      <c r="AR333" s="30"/>
    </row>
    <row r="334">
      <c r="A334" s="21">
        <f t="shared" ref="A334:A382" si="5">SUM(A333+1)</f>
        <v>2</v>
      </c>
      <c r="B334" s="21" t="s">
        <v>2566</v>
      </c>
      <c r="C334" s="38" t="s">
        <v>2567</v>
      </c>
      <c r="D334" s="23">
        <v>9.0</v>
      </c>
      <c r="E334" s="23">
        <v>9.0</v>
      </c>
      <c r="F334" s="23" t="s">
        <v>171</v>
      </c>
      <c r="G334" s="23" t="s">
        <v>172</v>
      </c>
      <c r="H334" s="24">
        <v>40544.0</v>
      </c>
      <c r="I334" s="21" t="s">
        <v>102</v>
      </c>
      <c r="J334" s="21" t="s">
        <v>103</v>
      </c>
      <c r="K334" s="21" t="s">
        <v>2568</v>
      </c>
      <c r="L334" s="21" t="s">
        <v>88</v>
      </c>
      <c r="M334" s="25">
        <v>44835.0</v>
      </c>
      <c r="N334" s="23" t="s">
        <v>56</v>
      </c>
      <c r="O334" s="21" t="s">
        <v>2569</v>
      </c>
      <c r="P334" s="23" t="s">
        <v>107</v>
      </c>
      <c r="Q334" s="21" t="s">
        <v>2570</v>
      </c>
      <c r="R334" s="24">
        <v>45628.0</v>
      </c>
      <c r="S334" s="23" t="s">
        <v>2571</v>
      </c>
      <c r="T334" s="29"/>
      <c r="U334" s="23" t="s">
        <v>88</v>
      </c>
      <c r="V334" s="21" t="s">
        <v>159</v>
      </c>
      <c r="W334" s="21" t="s">
        <v>2572</v>
      </c>
      <c r="X334" s="21" t="s">
        <v>1010</v>
      </c>
      <c r="Y334" s="27">
        <v>43792.0</v>
      </c>
      <c r="Z334" s="23" t="s">
        <v>65</v>
      </c>
      <c r="AA334" s="28">
        <v>51137.0</v>
      </c>
      <c r="AB334" s="29"/>
      <c r="AC334" s="23">
        <v>135.0</v>
      </c>
      <c r="AD334" s="21" t="s">
        <v>66</v>
      </c>
      <c r="AE334" s="21" t="s">
        <v>67</v>
      </c>
      <c r="AF334" s="21" t="s">
        <v>129</v>
      </c>
      <c r="AG334" s="21" t="s">
        <v>68</v>
      </c>
      <c r="AH334" s="21" t="s">
        <v>288</v>
      </c>
      <c r="AI334" s="21">
        <v>8.139612412E10</v>
      </c>
      <c r="AJ334" s="21" t="s">
        <v>2573</v>
      </c>
      <c r="AK334" s="21" t="s">
        <v>2574</v>
      </c>
      <c r="AL334" s="21" t="s">
        <v>2575</v>
      </c>
      <c r="AM334" s="21" t="s">
        <v>96</v>
      </c>
      <c r="AN334" s="21" t="s">
        <v>74</v>
      </c>
      <c r="AO334" s="21" t="s">
        <v>454</v>
      </c>
      <c r="AP334" s="21" t="s">
        <v>1753</v>
      </c>
      <c r="AQ334" s="30"/>
      <c r="AR334" s="30"/>
    </row>
    <row r="335">
      <c r="A335" s="21">
        <f t="shared" si="5"/>
        <v>3</v>
      </c>
      <c r="B335" s="21" t="s">
        <v>2576</v>
      </c>
      <c r="C335" s="38" t="s">
        <v>2577</v>
      </c>
      <c r="D335" s="23">
        <v>21.0</v>
      </c>
      <c r="E335" s="23">
        <v>0.0</v>
      </c>
      <c r="F335" s="23" t="s">
        <v>50</v>
      </c>
      <c r="G335" s="23" t="s">
        <v>51</v>
      </c>
      <c r="H335" s="24">
        <v>33573.0</v>
      </c>
      <c r="I335" s="21" t="s">
        <v>52</v>
      </c>
      <c r="J335" s="21" t="s">
        <v>53</v>
      </c>
      <c r="K335" s="21" t="s">
        <v>2578</v>
      </c>
      <c r="L335" s="21" t="s">
        <v>55</v>
      </c>
      <c r="M335" s="25">
        <v>42095.0</v>
      </c>
      <c r="N335" s="23" t="s">
        <v>141</v>
      </c>
      <c r="O335" s="21" t="s">
        <v>2579</v>
      </c>
      <c r="P335" s="56"/>
      <c r="Q335" s="21" t="s">
        <v>2580</v>
      </c>
      <c r="R335" s="24">
        <v>44958.0</v>
      </c>
      <c r="S335" s="23" t="s">
        <v>2014</v>
      </c>
      <c r="T335" s="29"/>
      <c r="U335" s="23" t="s">
        <v>2015</v>
      </c>
      <c r="V335" s="21" t="s">
        <v>159</v>
      </c>
      <c r="W335" s="21" t="s">
        <v>1633</v>
      </c>
      <c r="X335" s="21" t="s">
        <v>648</v>
      </c>
      <c r="Y335" s="21" t="s">
        <v>2581</v>
      </c>
      <c r="Z335" s="23" t="s">
        <v>2582</v>
      </c>
      <c r="AA335" s="28">
        <v>46394.0</v>
      </c>
      <c r="AB335" s="29"/>
      <c r="AC335" s="23">
        <v>136.0</v>
      </c>
      <c r="AD335" s="21" t="s">
        <v>66</v>
      </c>
      <c r="AE335" s="21" t="s">
        <v>67</v>
      </c>
      <c r="AF335" s="21" t="s">
        <v>92</v>
      </c>
      <c r="AG335" s="21" t="s">
        <v>68</v>
      </c>
      <c r="AH335" s="21" t="s">
        <v>69</v>
      </c>
      <c r="AI335" s="21">
        <v>8.1263710177E10</v>
      </c>
      <c r="AJ335" s="21" t="s">
        <v>2583</v>
      </c>
      <c r="AK335" s="21" t="s">
        <v>2584</v>
      </c>
      <c r="AL335" s="21" t="s">
        <v>2585</v>
      </c>
      <c r="AM335" s="21" t="s">
        <v>96</v>
      </c>
      <c r="AN335" s="30"/>
      <c r="AO335" s="21" t="s">
        <v>236</v>
      </c>
      <c r="AP335" s="21" t="s">
        <v>152</v>
      </c>
      <c r="AQ335" s="30"/>
      <c r="AR335" s="30"/>
    </row>
    <row r="336">
      <c r="A336" s="21">
        <f t="shared" si="5"/>
        <v>4</v>
      </c>
      <c r="B336" s="39" t="s">
        <v>2586</v>
      </c>
      <c r="C336" s="57" t="s">
        <v>2587</v>
      </c>
      <c r="D336" s="39">
        <v>18.0</v>
      </c>
      <c r="E336" s="39">
        <v>8.0</v>
      </c>
      <c r="F336" s="39" t="s">
        <v>50</v>
      </c>
      <c r="G336" s="39" t="s">
        <v>51</v>
      </c>
      <c r="H336" s="42">
        <v>35462.0</v>
      </c>
      <c r="I336" s="39" t="s">
        <v>52</v>
      </c>
      <c r="J336" s="39" t="s">
        <v>53</v>
      </c>
      <c r="K336" s="39" t="s">
        <v>2588</v>
      </c>
      <c r="L336" s="39" t="s">
        <v>55</v>
      </c>
      <c r="M336" s="42">
        <v>43374.0</v>
      </c>
      <c r="N336" s="39" t="s">
        <v>56</v>
      </c>
      <c r="O336" s="39" t="s">
        <v>229</v>
      </c>
      <c r="P336" s="39" t="s">
        <v>58</v>
      </c>
      <c r="Q336" s="39" t="s">
        <v>2570</v>
      </c>
      <c r="R336" s="42">
        <v>42933.0</v>
      </c>
      <c r="S336" s="39" t="s">
        <v>2589</v>
      </c>
      <c r="T336" s="46"/>
      <c r="U336" s="39" t="s">
        <v>61</v>
      </c>
      <c r="V336" s="39" t="s">
        <v>89</v>
      </c>
      <c r="W336" s="39" t="s">
        <v>1464</v>
      </c>
      <c r="X336" s="39" t="s">
        <v>2590</v>
      </c>
      <c r="Y336" s="39" t="s">
        <v>1470</v>
      </c>
      <c r="Z336" s="39" t="s">
        <v>114</v>
      </c>
      <c r="AA336" s="45">
        <v>47856.0</v>
      </c>
      <c r="AB336" s="46"/>
      <c r="AC336" s="23">
        <v>137.0</v>
      </c>
      <c r="AD336" s="39" t="s">
        <v>66</v>
      </c>
      <c r="AE336" s="39" t="s">
        <v>67</v>
      </c>
      <c r="AF336" s="39" t="s">
        <v>92</v>
      </c>
      <c r="AG336" s="39" t="s">
        <v>68</v>
      </c>
      <c r="AH336" s="39" t="s">
        <v>246</v>
      </c>
      <c r="AI336" s="39">
        <v>8.126081102E9</v>
      </c>
      <c r="AJ336" s="39" t="s">
        <v>2591</v>
      </c>
      <c r="AK336" s="39" t="s">
        <v>2592</v>
      </c>
      <c r="AL336" s="39" t="s">
        <v>2593</v>
      </c>
      <c r="AM336" s="39" t="s">
        <v>73</v>
      </c>
      <c r="AN336" s="39" t="s">
        <v>74</v>
      </c>
      <c r="AO336" s="39" t="s">
        <v>360</v>
      </c>
      <c r="AP336" s="39" t="s">
        <v>566</v>
      </c>
      <c r="AQ336" s="43"/>
      <c r="AR336" s="43"/>
    </row>
    <row r="337">
      <c r="A337" s="21">
        <f t="shared" si="5"/>
        <v>5</v>
      </c>
      <c r="B337" s="39" t="s">
        <v>2594</v>
      </c>
      <c r="C337" s="57" t="s">
        <v>2595</v>
      </c>
      <c r="D337" s="39">
        <v>17.0</v>
      </c>
      <c r="E337" s="39">
        <v>8.0</v>
      </c>
      <c r="F337" s="39" t="s">
        <v>80</v>
      </c>
      <c r="G337" s="39" t="s">
        <v>81</v>
      </c>
      <c r="H337" s="42">
        <v>38384.0</v>
      </c>
      <c r="I337" s="39" t="s">
        <v>254</v>
      </c>
      <c r="J337" s="39" t="s">
        <v>255</v>
      </c>
      <c r="K337" s="39" t="s">
        <v>1951</v>
      </c>
      <c r="L337" s="39" t="s">
        <v>55</v>
      </c>
      <c r="M337" s="42">
        <v>44835.0</v>
      </c>
      <c r="N337" s="39" t="s">
        <v>141</v>
      </c>
      <c r="O337" s="39" t="s">
        <v>173</v>
      </c>
      <c r="P337" s="43"/>
      <c r="Q337" s="39" t="s">
        <v>59</v>
      </c>
      <c r="R337" s="42">
        <v>44958.0</v>
      </c>
      <c r="S337" s="39" t="s">
        <v>2014</v>
      </c>
      <c r="T337" s="46"/>
      <c r="U337" s="39" t="s">
        <v>2015</v>
      </c>
      <c r="V337" s="39" t="s">
        <v>159</v>
      </c>
      <c r="W337" s="39" t="s">
        <v>218</v>
      </c>
      <c r="X337" s="39" t="s">
        <v>745</v>
      </c>
      <c r="Y337" s="39" t="s">
        <v>2596</v>
      </c>
      <c r="Z337" s="39" t="s">
        <v>114</v>
      </c>
      <c r="AA337" s="45">
        <v>49679.0</v>
      </c>
      <c r="AB337" s="46"/>
      <c r="AC337" s="23">
        <v>138.0</v>
      </c>
      <c r="AD337" s="39" t="s">
        <v>66</v>
      </c>
      <c r="AE337" s="39" t="s">
        <v>67</v>
      </c>
      <c r="AF337" s="39" t="s">
        <v>92</v>
      </c>
      <c r="AG337" s="39" t="s">
        <v>68</v>
      </c>
      <c r="AH337" s="39" t="s">
        <v>246</v>
      </c>
      <c r="AI337" s="39">
        <v>8.2273086277E10</v>
      </c>
      <c r="AJ337" s="39" t="s">
        <v>2597</v>
      </c>
      <c r="AK337" s="39" t="s">
        <v>2598</v>
      </c>
      <c r="AL337" s="39" t="s">
        <v>2599</v>
      </c>
      <c r="AM337" s="39" t="s">
        <v>73</v>
      </c>
      <c r="AN337" s="39" t="s">
        <v>74</v>
      </c>
      <c r="AO337" s="39" t="s">
        <v>582</v>
      </c>
      <c r="AP337" s="39" t="s">
        <v>583</v>
      </c>
      <c r="AQ337" s="39">
        <v>22.0</v>
      </c>
      <c r="AR337" s="39">
        <v>9.0</v>
      </c>
    </row>
    <row r="338">
      <c r="A338" s="21">
        <f t="shared" si="5"/>
        <v>6</v>
      </c>
      <c r="B338" s="39" t="s">
        <v>2600</v>
      </c>
      <c r="C338" s="57" t="s">
        <v>2601</v>
      </c>
      <c r="D338" s="39">
        <v>23.0</v>
      </c>
      <c r="E338" s="39">
        <v>0.0</v>
      </c>
      <c r="F338" s="39" t="s">
        <v>80</v>
      </c>
      <c r="G338" s="39" t="s">
        <v>81</v>
      </c>
      <c r="H338" s="42">
        <v>40360.0</v>
      </c>
      <c r="I338" s="39" t="s">
        <v>254</v>
      </c>
      <c r="J338" s="39" t="s">
        <v>255</v>
      </c>
      <c r="K338" s="39" t="s">
        <v>494</v>
      </c>
      <c r="L338" s="39" t="s">
        <v>495</v>
      </c>
      <c r="M338" s="42">
        <v>45383.0</v>
      </c>
      <c r="N338" s="39" t="s">
        <v>141</v>
      </c>
      <c r="O338" s="39" t="s">
        <v>173</v>
      </c>
      <c r="P338" s="43"/>
      <c r="Q338" s="39" t="s">
        <v>59</v>
      </c>
      <c r="R338" s="42">
        <v>45292.0</v>
      </c>
      <c r="S338" s="39" t="s">
        <v>143</v>
      </c>
      <c r="T338" s="46"/>
      <c r="U338" s="39" t="s">
        <v>144</v>
      </c>
      <c r="V338" s="39" t="s">
        <v>159</v>
      </c>
      <c r="W338" s="39" t="s">
        <v>1354</v>
      </c>
      <c r="X338" s="39" t="s">
        <v>260</v>
      </c>
      <c r="Y338" s="132">
        <v>42333.0</v>
      </c>
      <c r="Z338" s="65"/>
      <c r="AA338" s="45">
        <v>47486.0</v>
      </c>
      <c r="AB338" s="46"/>
      <c r="AC338" s="23">
        <v>139.0</v>
      </c>
      <c r="AD338" s="39" t="s">
        <v>66</v>
      </c>
      <c r="AE338" s="39" t="s">
        <v>67</v>
      </c>
      <c r="AF338" s="39" t="s">
        <v>92</v>
      </c>
      <c r="AG338" s="39" t="s">
        <v>130</v>
      </c>
      <c r="AH338" s="39" t="s">
        <v>131</v>
      </c>
      <c r="AI338" s="39">
        <v>8.1375155884E10</v>
      </c>
      <c r="AJ338" s="39" t="s">
        <v>2602</v>
      </c>
      <c r="AK338" s="39" t="s">
        <v>2603</v>
      </c>
      <c r="AL338" s="39" t="s">
        <v>2604</v>
      </c>
      <c r="AM338" s="39" t="s">
        <v>96</v>
      </c>
      <c r="AN338" s="39" t="s">
        <v>74</v>
      </c>
      <c r="AO338" s="39" t="s">
        <v>774</v>
      </c>
      <c r="AP338" s="39" t="s">
        <v>942</v>
      </c>
      <c r="AQ338" s="43"/>
      <c r="AR338" s="43"/>
    </row>
    <row r="339">
      <c r="A339" s="21">
        <f t="shared" si="5"/>
        <v>7</v>
      </c>
      <c r="B339" s="39" t="s">
        <v>2605</v>
      </c>
      <c r="C339" s="57" t="s">
        <v>2606</v>
      </c>
      <c r="D339" s="39">
        <v>17.0</v>
      </c>
      <c r="E339" s="39">
        <v>7.0</v>
      </c>
      <c r="F339" s="39" t="s">
        <v>50</v>
      </c>
      <c r="G339" s="39" t="s">
        <v>51</v>
      </c>
      <c r="H339" s="42">
        <v>33664.0</v>
      </c>
      <c r="I339" s="39" t="s">
        <v>82</v>
      </c>
      <c r="J339" s="39" t="s">
        <v>83</v>
      </c>
      <c r="K339" s="39" t="s">
        <v>2607</v>
      </c>
      <c r="L339" s="39" t="s">
        <v>61</v>
      </c>
      <c r="M339" s="42">
        <v>41913.0</v>
      </c>
      <c r="N339" s="39" t="s">
        <v>141</v>
      </c>
      <c r="O339" s="39" t="s">
        <v>229</v>
      </c>
      <c r="P339" s="43"/>
      <c r="Q339" s="39" t="s">
        <v>2570</v>
      </c>
      <c r="R339" s="42">
        <v>45292.0</v>
      </c>
      <c r="S339" s="39" t="s">
        <v>143</v>
      </c>
      <c r="T339" s="46"/>
      <c r="U339" s="39" t="s">
        <v>144</v>
      </c>
      <c r="V339" s="39" t="s">
        <v>89</v>
      </c>
      <c r="W339" s="39" t="s">
        <v>2318</v>
      </c>
      <c r="X339" s="39" t="s">
        <v>198</v>
      </c>
      <c r="Y339" s="39" t="s">
        <v>2608</v>
      </c>
      <c r="Z339" s="39" t="s">
        <v>114</v>
      </c>
      <c r="AA339" s="45">
        <v>47488.0</v>
      </c>
      <c r="AB339" s="46"/>
      <c r="AC339" s="23">
        <v>140.0</v>
      </c>
      <c r="AD339" s="39" t="s">
        <v>66</v>
      </c>
      <c r="AE339" s="39" t="s">
        <v>67</v>
      </c>
      <c r="AF339" s="39" t="s">
        <v>92</v>
      </c>
      <c r="AG339" s="39" t="s">
        <v>130</v>
      </c>
      <c r="AH339" s="39" t="s">
        <v>246</v>
      </c>
      <c r="AI339" s="39">
        <v>8.1370795365E10</v>
      </c>
      <c r="AJ339" s="39" t="s">
        <v>2609</v>
      </c>
      <c r="AK339" s="39" t="s">
        <v>2610</v>
      </c>
      <c r="AL339" s="39" t="s">
        <v>2611</v>
      </c>
      <c r="AM339" s="39" t="s">
        <v>73</v>
      </c>
      <c r="AN339" s="39" t="s">
        <v>74</v>
      </c>
      <c r="AO339" s="39" t="s">
        <v>774</v>
      </c>
      <c r="AP339" s="39" t="s">
        <v>775</v>
      </c>
      <c r="AQ339" s="43"/>
      <c r="AR339" s="43"/>
    </row>
    <row r="340">
      <c r="A340" s="21">
        <f t="shared" si="5"/>
        <v>8</v>
      </c>
      <c r="B340" s="39" t="s">
        <v>2612</v>
      </c>
      <c r="C340" s="57" t="s">
        <v>2613</v>
      </c>
      <c r="D340" s="39">
        <v>17.0</v>
      </c>
      <c r="E340" s="39">
        <v>7.0</v>
      </c>
      <c r="F340" s="39" t="s">
        <v>50</v>
      </c>
      <c r="G340" s="39" t="s">
        <v>51</v>
      </c>
      <c r="H340" s="42">
        <v>33664.0</v>
      </c>
      <c r="I340" s="39" t="s">
        <v>82</v>
      </c>
      <c r="J340" s="39" t="s">
        <v>83</v>
      </c>
      <c r="K340" s="39" t="s">
        <v>2607</v>
      </c>
      <c r="L340" s="39" t="s">
        <v>61</v>
      </c>
      <c r="M340" s="42">
        <v>41913.0</v>
      </c>
      <c r="N340" s="39" t="s">
        <v>141</v>
      </c>
      <c r="O340" s="39" t="s">
        <v>229</v>
      </c>
      <c r="P340" s="43"/>
      <c r="Q340" s="39" t="s">
        <v>2570</v>
      </c>
      <c r="R340" s="42">
        <v>45292.0</v>
      </c>
      <c r="S340" s="39" t="s">
        <v>143</v>
      </c>
      <c r="T340" s="46"/>
      <c r="U340" s="39" t="s">
        <v>144</v>
      </c>
      <c r="V340" s="39" t="s">
        <v>89</v>
      </c>
      <c r="W340" s="39" t="s">
        <v>1520</v>
      </c>
      <c r="X340" s="39" t="s">
        <v>198</v>
      </c>
      <c r="Y340" s="39" t="s">
        <v>2614</v>
      </c>
      <c r="Z340" s="39" t="s">
        <v>114</v>
      </c>
      <c r="AA340" s="45">
        <v>46759.0</v>
      </c>
      <c r="AB340" s="46"/>
      <c r="AC340" s="23">
        <v>141.0</v>
      </c>
      <c r="AD340" s="39" t="s">
        <v>66</v>
      </c>
      <c r="AE340" s="39" t="s">
        <v>67</v>
      </c>
      <c r="AF340" s="39" t="s">
        <v>92</v>
      </c>
      <c r="AG340" s="39" t="s">
        <v>130</v>
      </c>
      <c r="AH340" s="39" t="s">
        <v>131</v>
      </c>
      <c r="AI340" s="39">
        <v>8.137001087E10</v>
      </c>
      <c r="AJ340" s="39" t="s">
        <v>2615</v>
      </c>
      <c r="AK340" s="39" t="s">
        <v>2616</v>
      </c>
      <c r="AL340" s="39" t="s">
        <v>2617</v>
      </c>
      <c r="AM340" s="39" t="s">
        <v>96</v>
      </c>
      <c r="AN340" s="39" t="s">
        <v>135</v>
      </c>
      <c r="AO340" s="39" t="s">
        <v>379</v>
      </c>
      <c r="AP340" s="39" t="s">
        <v>389</v>
      </c>
      <c r="AQ340" s="43"/>
      <c r="AR340" s="43"/>
    </row>
    <row r="341">
      <c r="A341" s="21">
        <f t="shared" si="5"/>
        <v>9</v>
      </c>
      <c r="B341" s="39" t="s">
        <v>2618</v>
      </c>
      <c r="C341" s="57" t="s">
        <v>2619</v>
      </c>
      <c r="D341" s="39">
        <v>13.0</v>
      </c>
      <c r="E341" s="39">
        <v>4.0</v>
      </c>
      <c r="F341" s="39" t="s">
        <v>80</v>
      </c>
      <c r="G341" s="39" t="s">
        <v>81</v>
      </c>
      <c r="H341" s="42">
        <v>37956.0</v>
      </c>
      <c r="I341" s="39" t="s">
        <v>82</v>
      </c>
      <c r="J341" s="39" t="s">
        <v>83</v>
      </c>
      <c r="K341" s="39" t="s">
        <v>2620</v>
      </c>
      <c r="L341" s="39" t="s">
        <v>2621</v>
      </c>
      <c r="M341" s="42">
        <v>42826.0</v>
      </c>
      <c r="N341" s="39" t="s">
        <v>141</v>
      </c>
      <c r="O341" s="39" t="s">
        <v>229</v>
      </c>
      <c r="P341" s="43"/>
      <c r="Q341" s="39" t="s">
        <v>2570</v>
      </c>
      <c r="R341" s="42">
        <v>45292.0</v>
      </c>
      <c r="S341" s="39" t="s">
        <v>143</v>
      </c>
      <c r="T341" s="46"/>
      <c r="U341" s="39" t="s">
        <v>144</v>
      </c>
      <c r="V341" s="39" t="s">
        <v>89</v>
      </c>
      <c r="W341" s="39" t="s">
        <v>1214</v>
      </c>
      <c r="X341" s="39" t="s">
        <v>2622</v>
      </c>
      <c r="Y341" s="47">
        <v>37572.0</v>
      </c>
      <c r="Z341" s="46"/>
      <c r="AA341" s="45">
        <v>48586.0</v>
      </c>
      <c r="AB341" s="46"/>
      <c r="AC341" s="23">
        <v>142.0</v>
      </c>
      <c r="AD341" s="39" t="s">
        <v>66</v>
      </c>
      <c r="AE341" s="39" t="s">
        <v>67</v>
      </c>
      <c r="AF341" s="39" t="s">
        <v>92</v>
      </c>
      <c r="AG341" s="39" t="s">
        <v>130</v>
      </c>
      <c r="AH341" s="39" t="s">
        <v>131</v>
      </c>
      <c r="AI341" s="39">
        <v>8.1261156118E10</v>
      </c>
      <c r="AJ341" s="39" t="s">
        <v>2623</v>
      </c>
      <c r="AK341" s="39" t="s">
        <v>2624</v>
      </c>
      <c r="AL341" s="39" t="s">
        <v>2625</v>
      </c>
      <c r="AM341" s="39" t="s">
        <v>96</v>
      </c>
      <c r="AN341" s="39" t="s">
        <v>166</v>
      </c>
      <c r="AO341" s="39" t="s">
        <v>178</v>
      </c>
      <c r="AP341" s="39" t="s">
        <v>304</v>
      </c>
      <c r="AQ341" s="43"/>
      <c r="AR341" s="43"/>
    </row>
    <row r="342">
      <c r="A342" s="21">
        <f t="shared" si="5"/>
        <v>10</v>
      </c>
      <c r="B342" s="39" t="s">
        <v>2626</v>
      </c>
      <c r="C342" s="57" t="s">
        <v>2627</v>
      </c>
      <c r="D342" s="39">
        <v>22.0</v>
      </c>
      <c r="E342" s="39">
        <v>1.0</v>
      </c>
      <c r="F342" s="39" t="s">
        <v>80</v>
      </c>
      <c r="G342" s="39" t="s">
        <v>81</v>
      </c>
      <c r="H342" s="42">
        <v>39448.0</v>
      </c>
      <c r="I342" s="39" t="s">
        <v>82</v>
      </c>
      <c r="J342" s="39" t="s">
        <v>83</v>
      </c>
      <c r="K342" s="39" t="s">
        <v>1995</v>
      </c>
      <c r="L342" s="39" t="s">
        <v>1314</v>
      </c>
      <c r="M342" s="42">
        <v>43922.0</v>
      </c>
      <c r="N342" s="39" t="s">
        <v>141</v>
      </c>
      <c r="O342" s="39" t="s">
        <v>229</v>
      </c>
      <c r="P342" s="43"/>
      <c r="Q342" s="39" t="s">
        <v>2570</v>
      </c>
      <c r="R342" s="42">
        <v>45292.0</v>
      </c>
      <c r="S342" s="39" t="s">
        <v>143</v>
      </c>
      <c r="T342" s="46"/>
      <c r="U342" s="39" t="s">
        <v>144</v>
      </c>
      <c r="V342" s="39" t="s">
        <v>89</v>
      </c>
      <c r="W342" s="39" t="s">
        <v>2628</v>
      </c>
      <c r="X342" s="39" t="s">
        <v>2629</v>
      </c>
      <c r="Y342" s="47">
        <v>35385.0</v>
      </c>
      <c r="Z342" s="39" t="s">
        <v>114</v>
      </c>
      <c r="AA342" s="45">
        <v>46753.0</v>
      </c>
      <c r="AB342" s="46"/>
      <c r="AC342" s="23">
        <v>143.0</v>
      </c>
      <c r="AD342" s="39" t="s">
        <v>66</v>
      </c>
      <c r="AE342" s="39" t="s">
        <v>67</v>
      </c>
      <c r="AF342" s="39" t="s">
        <v>92</v>
      </c>
      <c r="AG342" s="39" t="s">
        <v>68</v>
      </c>
      <c r="AH342" s="39" t="s">
        <v>69</v>
      </c>
      <c r="AI342" s="39">
        <v>8.5762266553E10</v>
      </c>
      <c r="AJ342" s="39" t="s">
        <v>2630</v>
      </c>
      <c r="AK342" s="39" t="s">
        <v>2631</v>
      </c>
      <c r="AL342" s="39" t="s">
        <v>2632</v>
      </c>
      <c r="AM342" s="39" t="s">
        <v>96</v>
      </c>
      <c r="AN342" s="39" t="s">
        <v>150</v>
      </c>
      <c r="AO342" s="39" t="s">
        <v>925</v>
      </c>
      <c r="AP342" s="39" t="s">
        <v>2633</v>
      </c>
      <c r="AQ342" s="43"/>
      <c r="AR342" s="43"/>
    </row>
    <row r="343">
      <c r="A343" s="21">
        <f t="shared" si="5"/>
        <v>11</v>
      </c>
      <c r="B343" s="39" t="s">
        <v>2634</v>
      </c>
      <c r="C343" s="57" t="s">
        <v>2635</v>
      </c>
      <c r="D343" s="39">
        <v>18.0</v>
      </c>
      <c r="E343" s="39">
        <v>4.0</v>
      </c>
      <c r="F343" s="39" t="s">
        <v>80</v>
      </c>
      <c r="G343" s="39" t="s">
        <v>81</v>
      </c>
      <c r="H343" s="42">
        <v>39448.0</v>
      </c>
      <c r="I343" s="39" t="s">
        <v>82</v>
      </c>
      <c r="J343" s="39" t="s">
        <v>83</v>
      </c>
      <c r="K343" s="39" t="s">
        <v>1995</v>
      </c>
      <c r="L343" s="39" t="s">
        <v>105</v>
      </c>
      <c r="M343" s="42">
        <v>43922.0</v>
      </c>
      <c r="N343" s="39" t="s">
        <v>141</v>
      </c>
      <c r="O343" s="39" t="s">
        <v>229</v>
      </c>
      <c r="P343" s="43"/>
      <c r="Q343" s="39" t="s">
        <v>266</v>
      </c>
      <c r="R343" s="42">
        <v>45292.0</v>
      </c>
      <c r="S343" s="39" t="s">
        <v>143</v>
      </c>
      <c r="T343" s="46"/>
      <c r="U343" s="39" t="s">
        <v>144</v>
      </c>
      <c r="V343" s="39" t="s">
        <v>89</v>
      </c>
      <c r="W343" s="39" t="s">
        <v>374</v>
      </c>
      <c r="X343" s="39" t="s">
        <v>2636</v>
      </c>
      <c r="Y343" s="39" t="s">
        <v>2637</v>
      </c>
      <c r="Z343" s="39" t="s">
        <v>114</v>
      </c>
      <c r="AA343" s="45">
        <v>48947.0</v>
      </c>
      <c r="AB343" s="46"/>
      <c r="AC343" s="23">
        <v>144.0</v>
      </c>
      <c r="AD343" s="39" t="s">
        <v>66</v>
      </c>
      <c r="AE343" s="39" t="s">
        <v>220</v>
      </c>
      <c r="AF343" s="39" t="s">
        <v>92</v>
      </c>
      <c r="AG343" s="39" t="s">
        <v>130</v>
      </c>
      <c r="AH343" s="39" t="s">
        <v>131</v>
      </c>
      <c r="AI343" s="39">
        <v>8.2165609713E10</v>
      </c>
      <c r="AJ343" s="39" t="s">
        <v>2638</v>
      </c>
      <c r="AK343" s="39" t="s">
        <v>2639</v>
      </c>
      <c r="AL343" s="39" t="s">
        <v>2640</v>
      </c>
      <c r="AM343" s="39" t="s">
        <v>96</v>
      </c>
      <c r="AN343" s="39" t="s">
        <v>481</v>
      </c>
      <c r="AO343" s="39" t="s">
        <v>75</v>
      </c>
      <c r="AP343" s="39" t="s">
        <v>76</v>
      </c>
      <c r="AQ343" s="43"/>
      <c r="AR343" s="43"/>
    </row>
    <row r="344">
      <c r="A344" s="21">
        <f t="shared" si="5"/>
        <v>12</v>
      </c>
      <c r="B344" s="39" t="s">
        <v>2641</v>
      </c>
      <c r="C344" s="57" t="s">
        <v>2642</v>
      </c>
      <c r="D344" s="39">
        <v>15.0</v>
      </c>
      <c r="E344" s="39">
        <v>9.0</v>
      </c>
      <c r="F344" s="39" t="s">
        <v>80</v>
      </c>
      <c r="G344" s="39" t="s">
        <v>81</v>
      </c>
      <c r="H344" s="42">
        <v>39873.0</v>
      </c>
      <c r="I344" s="39" t="s">
        <v>82</v>
      </c>
      <c r="J344" s="39" t="s">
        <v>83</v>
      </c>
      <c r="K344" s="39" t="s">
        <v>2643</v>
      </c>
      <c r="L344" s="39" t="s">
        <v>105</v>
      </c>
      <c r="M344" s="42">
        <v>44105.0</v>
      </c>
      <c r="N344" s="39" t="s">
        <v>141</v>
      </c>
      <c r="O344" s="39" t="s">
        <v>229</v>
      </c>
      <c r="P344" s="43"/>
      <c r="Q344" s="39" t="s">
        <v>2570</v>
      </c>
      <c r="R344" s="42">
        <v>44958.0</v>
      </c>
      <c r="S344" s="39" t="s">
        <v>2014</v>
      </c>
      <c r="T344" s="46"/>
      <c r="U344" s="39" t="s">
        <v>2015</v>
      </c>
      <c r="V344" s="39" t="s">
        <v>89</v>
      </c>
      <c r="W344" s="39" t="s">
        <v>2644</v>
      </c>
      <c r="X344" s="39" t="s">
        <v>1231</v>
      </c>
      <c r="Y344" s="39" t="s">
        <v>2645</v>
      </c>
      <c r="Z344" s="39" t="s">
        <v>114</v>
      </c>
      <c r="AA344" s="45">
        <v>48947.0</v>
      </c>
      <c r="AB344" s="46"/>
      <c r="AC344" s="23">
        <v>145.0</v>
      </c>
      <c r="AD344" s="39" t="s">
        <v>66</v>
      </c>
      <c r="AE344" s="39" t="s">
        <v>67</v>
      </c>
      <c r="AF344" s="43"/>
      <c r="AG344" s="39" t="s">
        <v>68</v>
      </c>
      <c r="AH344" s="39" t="s">
        <v>131</v>
      </c>
      <c r="AI344" s="39">
        <v>8.216884421E10</v>
      </c>
      <c r="AJ344" s="39" t="s">
        <v>2646</v>
      </c>
      <c r="AK344" s="39" t="s">
        <v>2647</v>
      </c>
      <c r="AL344" s="39" t="s">
        <v>2648</v>
      </c>
      <c r="AM344" s="39" t="s">
        <v>96</v>
      </c>
      <c r="AN344" s="39" t="s">
        <v>74</v>
      </c>
      <c r="AO344" s="39" t="s">
        <v>1030</v>
      </c>
      <c r="AP344" s="39" t="s">
        <v>2649</v>
      </c>
      <c r="AQ344" s="43"/>
      <c r="AR344" s="43"/>
    </row>
    <row r="345">
      <c r="A345" s="21">
        <f t="shared" si="5"/>
        <v>13</v>
      </c>
      <c r="B345" s="39" t="s">
        <v>2650</v>
      </c>
      <c r="C345" s="57" t="s">
        <v>2651</v>
      </c>
      <c r="D345" s="39">
        <v>15.0</v>
      </c>
      <c r="E345" s="39">
        <v>3.0</v>
      </c>
      <c r="F345" s="39" t="s">
        <v>80</v>
      </c>
      <c r="G345" s="39" t="s">
        <v>81</v>
      </c>
      <c r="H345" s="42">
        <v>39448.0</v>
      </c>
      <c r="I345" s="39" t="s">
        <v>82</v>
      </c>
      <c r="J345" s="39" t="s">
        <v>83</v>
      </c>
      <c r="K345" s="39" t="s">
        <v>1995</v>
      </c>
      <c r="L345" s="39" t="s">
        <v>105</v>
      </c>
      <c r="M345" s="42">
        <v>43922.0</v>
      </c>
      <c r="N345" s="39" t="s">
        <v>141</v>
      </c>
      <c r="O345" s="39" t="s">
        <v>173</v>
      </c>
      <c r="P345" s="43"/>
      <c r="Q345" s="39" t="s">
        <v>2570</v>
      </c>
      <c r="R345" s="42">
        <v>45292.0</v>
      </c>
      <c r="S345" s="39" t="s">
        <v>143</v>
      </c>
      <c r="T345" s="46"/>
      <c r="U345" s="39" t="s">
        <v>144</v>
      </c>
      <c r="V345" s="39" t="s">
        <v>89</v>
      </c>
      <c r="W345" s="39" t="s">
        <v>197</v>
      </c>
      <c r="X345" s="39" t="s">
        <v>198</v>
      </c>
      <c r="Y345" s="47">
        <v>35398.0</v>
      </c>
      <c r="Z345" s="46"/>
      <c r="AA345" s="45">
        <v>46763.0</v>
      </c>
      <c r="AB345" s="46"/>
      <c r="AC345" s="23">
        <v>146.0</v>
      </c>
      <c r="AD345" s="39" t="s">
        <v>66</v>
      </c>
      <c r="AE345" s="39" t="s">
        <v>67</v>
      </c>
      <c r="AF345" s="39" t="s">
        <v>92</v>
      </c>
      <c r="AG345" s="39" t="s">
        <v>130</v>
      </c>
      <c r="AH345" s="43"/>
      <c r="AI345" s="39">
        <v>8.13617807E10</v>
      </c>
      <c r="AJ345" s="39" t="s">
        <v>2652</v>
      </c>
      <c r="AK345" s="39" t="s">
        <v>2653</v>
      </c>
      <c r="AL345" s="39" t="s">
        <v>2654</v>
      </c>
      <c r="AM345" s="39" t="s">
        <v>96</v>
      </c>
      <c r="AN345" s="39" t="s">
        <v>481</v>
      </c>
      <c r="AO345" s="39" t="s">
        <v>360</v>
      </c>
      <c r="AP345" s="39" t="s">
        <v>566</v>
      </c>
      <c r="AQ345" s="43"/>
      <c r="AR345" s="43"/>
    </row>
    <row r="346">
      <c r="A346" s="21">
        <f t="shared" si="5"/>
        <v>14</v>
      </c>
      <c r="B346" s="39" t="s">
        <v>2655</v>
      </c>
      <c r="C346" s="57" t="s">
        <v>2656</v>
      </c>
      <c r="D346" s="39">
        <v>17.0</v>
      </c>
      <c r="E346" s="39">
        <v>11.0</v>
      </c>
      <c r="F346" s="39" t="s">
        <v>80</v>
      </c>
      <c r="G346" s="39" t="s">
        <v>81</v>
      </c>
      <c r="H346" s="42">
        <v>40179.0</v>
      </c>
      <c r="I346" s="39" t="s">
        <v>82</v>
      </c>
      <c r="J346" s="39" t="s">
        <v>83</v>
      </c>
      <c r="K346" s="39" t="s">
        <v>195</v>
      </c>
      <c r="L346" s="39" t="s">
        <v>105</v>
      </c>
      <c r="M346" s="42">
        <v>44835.0</v>
      </c>
      <c r="N346" s="39" t="s">
        <v>141</v>
      </c>
      <c r="O346" s="39" t="s">
        <v>173</v>
      </c>
      <c r="P346" s="43"/>
      <c r="Q346" s="39" t="s">
        <v>2570</v>
      </c>
      <c r="R346" s="42">
        <v>45292.0</v>
      </c>
      <c r="S346" s="39" t="s">
        <v>143</v>
      </c>
      <c r="T346" s="46"/>
      <c r="U346" s="39" t="s">
        <v>144</v>
      </c>
      <c r="V346" s="39" t="s">
        <v>89</v>
      </c>
      <c r="W346" s="39" t="s">
        <v>1520</v>
      </c>
      <c r="X346" s="39" t="s">
        <v>2657</v>
      </c>
      <c r="Y346" s="47">
        <v>38091.0</v>
      </c>
      <c r="Z346" s="46"/>
      <c r="AA346" s="45">
        <v>50772.0</v>
      </c>
      <c r="AB346" s="46"/>
      <c r="AC346" s="23">
        <v>147.0</v>
      </c>
      <c r="AD346" s="39" t="s">
        <v>66</v>
      </c>
      <c r="AE346" s="39" t="s">
        <v>220</v>
      </c>
      <c r="AF346" s="39" t="s">
        <v>92</v>
      </c>
      <c r="AG346" s="39" t="s">
        <v>130</v>
      </c>
      <c r="AH346" s="39" t="s">
        <v>69</v>
      </c>
      <c r="AI346" s="39">
        <v>8.5668167408E10</v>
      </c>
      <c r="AJ346" s="39" t="s">
        <v>2658</v>
      </c>
      <c r="AK346" s="39" t="s">
        <v>2659</v>
      </c>
      <c r="AL346" s="39" t="s">
        <v>2660</v>
      </c>
      <c r="AM346" s="39" t="s">
        <v>96</v>
      </c>
      <c r="AN346" s="39" t="s">
        <v>97</v>
      </c>
      <c r="AO346" s="39" t="s">
        <v>214</v>
      </c>
      <c r="AP346" s="39" t="s">
        <v>214</v>
      </c>
      <c r="AQ346" s="43"/>
      <c r="AR346" s="43"/>
    </row>
    <row r="347">
      <c r="A347" s="21">
        <f t="shared" si="5"/>
        <v>15</v>
      </c>
      <c r="B347" s="39" t="s">
        <v>2661</v>
      </c>
      <c r="C347" s="57" t="s">
        <v>2662</v>
      </c>
      <c r="D347" s="39">
        <v>12.0</v>
      </c>
      <c r="E347" s="39">
        <v>3.0</v>
      </c>
      <c r="F347" s="39" t="s">
        <v>80</v>
      </c>
      <c r="G347" s="39" t="s">
        <v>81</v>
      </c>
      <c r="H347" s="42">
        <v>40179.0</v>
      </c>
      <c r="I347" s="39" t="s">
        <v>82</v>
      </c>
      <c r="J347" s="39" t="s">
        <v>83</v>
      </c>
      <c r="K347" s="39" t="s">
        <v>228</v>
      </c>
      <c r="L347" s="39" t="s">
        <v>105</v>
      </c>
      <c r="M347" s="42">
        <v>44652.0</v>
      </c>
      <c r="N347" s="39" t="s">
        <v>141</v>
      </c>
      <c r="O347" s="39" t="s">
        <v>229</v>
      </c>
      <c r="P347" s="43"/>
      <c r="Q347" s="39" t="s">
        <v>2570</v>
      </c>
      <c r="R347" s="42">
        <v>45292.0</v>
      </c>
      <c r="S347" s="39" t="s">
        <v>143</v>
      </c>
      <c r="T347" s="46"/>
      <c r="U347" s="39" t="s">
        <v>144</v>
      </c>
      <c r="V347" s="39" t="s">
        <v>159</v>
      </c>
      <c r="W347" s="39" t="s">
        <v>2663</v>
      </c>
      <c r="X347" s="39" t="s">
        <v>244</v>
      </c>
      <c r="Y347" s="47">
        <v>39708.0</v>
      </c>
      <c r="Z347" s="46"/>
      <c r="AA347" s="45">
        <v>51137.0</v>
      </c>
      <c r="AB347" s="46"/>
      <c r="AC347" s="23">
        <v>148.0</v>
      </c>
      <c r="AD347" s="39" t="s">
        <v>66</v>
      </c>
      <c r="AE347" s="39" t="s">
        <v>67</v>
      </c>
      <c r="AF347" s="39" t="s">
        <v>92</v>
      </c>
      <c r="AG347" s="39" t="s">
        <v>130</v>
      </c>
      <c r="AH347" s="39" t="s">
        <v>246</v>
      </c>
      <c r="AI347" s="39">
        <v>8.1376151617E10</v>
      </c>
      <c r="AJ347" s="39" t="s">
        <v>2664</v>
      </c>
      <c r="AK347" s="39" t="s">
        <v>2665</v>
      </c>
      <c r="AL347" s="39" t="s">
        <v>2666</v>
      </c>
      <c r="AM347" s="39" t="s">
        <v>73</v>
      </c>
      <c r="AN347" s="43"/>
      <c r="AO347" s="39" t="s">
        <v>272</v>
      </c>
      <c r="AP347" s="39" t="s">
        <v>1236</v>
      </c>
      <c r="AQ347" s="43"/>
      <c r="AR347" s="43"/>
    </row>
    <row r="348">
      <c r="A348" s="21">
        <f t="shared" si="5"/>
        <v>16</v>
      </c>
      <c r="B348" s="39" t="s">
        <v>2667</v>
      </c>
      <c r="C348" s="57" t="s">
        <v>2668</v>
      </c>
      <c r="D348" s="39">
        <v>12.0</v>
      </c>
      <c r="E348" s="39">
        <v>3.0</v>
      </c>
      <c r="F348" s="39" t="s">
        <v>80</v>
      </c>
      <c r="G348" s="39" t="s">
        <v>81</v>
      </c>
      <c r="H348" s="42">
        <v>40301.0</v>
      </c>
      <c r="I348" s="39" t="s">
        <v>82</v>
      </c>
      <c r="J348" s="39" t="s">
        <v>83</v>
      </c>
      <c r="K348" s="39" t="s">
        <v>228</v>
      </c>
      <c r="L348" s="39" t="s">
        <v>105</v>
      </c>
      <c r="M348" s="42">
        <v>44652.0</v>
      </c>
      <c r="N348" s="39" t="s">
        <v>141</v>
      </c>
      <c r="O348" s="39" t="s">
        <v>229</v>
      </c>
      <c r="P348" s="43"/>
      <c r="Q348" s="39" t="s">
        <v>2570</v>
      </c>
      <c r="R348" s="42">
        <v>45292.0</v>
      </c>
      <c r="S348" s="39" t="s">
        <v>143</v>
      </c>
      <c r="T348" s="46"/>
      <c r="U348" s="39" t="s">
        <v>144</v>
      </c>
      <c r="V348" s="39" t="s">
        <v>159</v>
      </c>
      <c r="W348" s="39" t="s">
        <v>1633</v>
      </c>
      <c r="X348" s="39" t="s">
        <v>1010</v>
      </c>
      <c r="Y348" s="39" t="s">
        <v>2669</v>
      </c>
      <c r="Z348" s="39" t="s">
        <v>114</v>
      </c>
      <c r="AA348" s="45">
        <v>49315.0</v>
      </c>
      <c r="AB348" s="46"/>
      <c r="AC348" s="23">
        <v>149.0</v>
      </c>
      <c r="AD348" s="39" t="s">
        <v>66</v>
      </c>
      <c r="AE348" s="39" t="s">
        <v>220</v>
      </c>
      <c r="AF348" s="39" t="s">
        <v>2117</v>
      </c>
      <c r="AG348" s="39" t="s">
        <v>68</v>
      </c>
      <c r="AH348" s="39" t="s">
        <v>246</v>
      </c>
      <c r="AI348" s="39">
        <v>8.116401977E9</v>
      </c>
      <c r="AJ348" s="39" t="s">
        <v>2670</v>
      </c>
      <c r="AK348" s="39" t="s">
        <v>2671</v>
      </c>
      <c r="AL348" s="39" t="s">
        <v>2672</v>
      </c>
      <c r="AM348" s="39" t="s">
        <v>96</v>
      </c>
      <c r="AN348" s="39" t="s">
        <v>135</v>
      </c>
      <c r="AO348" s="39" t="s">
        <v>1802</v>
      </c>
      <c r="AP348" s="39" t="s">
        <v>2220</v>
      </c>
      <c r="AQ348" s="43"/>
      <c r="AR348" s="43"/>
    </row>
    <row r="349">
      <c r="A349" s="21">
        <f t="shared" si="5"/>
        <v>17</v>
      </c>
      <c r="B349" s="39" t="s">
        <v>2673</v>
      </c>
      <c r="C349" s="57" t="s">
        <v>2674</v>
      </c>
      <c r="D349" s="39">
        <v>29.0</v>
      </c>
      <c r="E349" s="39">
        <v>6.0</v>
      </c>
      <c r="F349" s="39" t="s">
        <v>50</v>
      </c>
      <c r="G349" s="39" t="s">
        <v>51</v>
      </c>
      <c r="H349" s="42">
        <v>39083.0</v>
      </c>
      <c r="I349" s="39" t="s">
        <v>82</v>
      </c>
      <c r="J349" s="39" t="s">
        <v>83</v>
      </c>
      <c r="K349" s="39" t="s">
        <v>195</v>
      </c>
      <c r="L349" s="39" t="s">
        <v>105</v>
      </c>
      <c r="M349" s="42">
        <v>44835.0</v>
      </c>
      <c r="N349" s="39" t="s">
        <v>141</v>
      </c>
      <c r="O349" s="39" t="s">
        <v>229</v>
      </c>
      <c r="P349" s="43"/>
      <c r="Q349" s="39" t="s">
        <v>2570</v>
      </c>
      <c r="R349" s="42">
        <v>45292.0</v>
      </c>
      <c r="S349" s="39" t="s">
        <v>143</v>
      </c>
      <c r="T349" s="46"/>
      <c r="U349" s="39" t="s">
        <v>144</v>
      </c>
      <c r="V349" s="39" t="s">
        <v>89</v>
      </c>
      <c r="W349" s="39" t="s">
        <v>207</v>
      </c>
      <c r="X349" s="39" t="s">
        <v>174</v>
      </c>
      <c r="Y349" s="39" t="s">
        <v>450</v>
      </c>
      <c r="Z349" s="39" t="s">
        <v>114</v>
      </c>
      <c r="AA349" s="45">
        <v>46390.0</v>
      </c>
      <c r="AB349" s="46"/>
      <c r="AC349" s="23">
        <v>150.0</v>
      </c>
      <c r="AD349" s="39" t="s">
        <v>66</v>
      </c>
      <c r="AE349" s="39" t="s">
        <v>67</v>
      </c>
      <c r="AF349" s="39" t="s">
        <v>92</v>
      </c>
      <c r="AG349" s="39" t="s">
        <v>68</v>
      </c>
      <c r="AH349" s="39" t="s">
        <v>69</v>
      </c>
      <c r="AI349" s="39">
        <v>8.1361313805E10</v>
      </c>
      <c r="AJ349" s="39" t="s">
        <v>2675</v>
      </c>
      <c r="AK349" s="39" t="s">
        <v>2676</v>
      </c>
      <c r="AL349" s="39" t="s">
        <v>2677</v>
      </c>
      <c r="AM349" s="39" t="s">
        <v>96</v>
      </c>
      <c r="AN349" s="39" t="s">
        <v>2403</v>
      </c>
      <c r="AO349" s="39" t="s">
        <v>2070</v>
      </c>
      <c r="AP349" s="39" t="s">
        <v>2678</v>
      </c>
      <c r="AQ349" s="43"/>
      <c r="AR349" s="43"/>
    </row>
    <row r="350">
      <c r="A350" s="21">
        <f t="shared" si="5"/>
        <v>18</v>
      </c>
      <c r="B350" s="39" t="s">
        <v>2679</v>
      </c>
      <c r="C350" s="57" t="s">
        <v>2680</v>
      </c>
      <c r="D350" s="39">
        <v>17.0</v>
      </c>
      <c r="E350" s="39">
        <v>5.0</v>
      </c>
      <c r="F350" s="39" t="s">
        <v>80</v>
      </c>
      <c r="G350" s="39" t="s">
        <v>81</v>
      </c>
      <c r="H350" s="42">
        <v>40179.0</v>
      </c>
      <c r="I350" s="39" t="s">
        <v>82</v>
      </c>
      <c r="J350" s="39" t="s">
        <v>83</v>
      </c>
      <c r="K350" s="39" t="s">
        <v>228</v>
      </c>
      <c r="L350" s="39" t="s">
        <v>105</v>
      </c>
      <c r="M350" s="42">
        <v>44652.0</v>
      </c>
      <c r="N350" s="39" t="s">
        <v>141</v>
      </c>
      <c r="O350" s="39" t="s">
        <v>173</v>
      </c>
      <c r="P350" s="43"/>
      <c r="Q350" s="39" t="s">
        <v>2570</v>
      </c>
      <c r="R350" s="42">
        <v>45292.0</v>
      </c>
      <c r="S350" s="39" t="s">
        <v>143</v>
      </c>
      <c r="T350" s="46"/>
      <c r="U350" s="39" t="s">
        <v>144</v>
      </c>
      <c r="V350" s="39" t="s">
        <v>159</v>
      </c>
      <c r="W350" s="39" t="s">
        <v>2681</v>
      </c>
      <c r="X350" s="39" t="s">
        <v>244</v>
      </c>
      <c r="Y350" s="39" t="s">
        <v>2682</v>
      </c>
      <c r="Z350" s="46"/>
      <c r="AA350" s="45">
        <v>50775.0</v>
      </c>
      <c r="AB350" s="46"/>
      <c r="AC350" s="23">
        <v>151.0</v>
      </c>
      <c r="AD350" s="39" t="s">
        <v>66</v>
      </c>
      <c r="AE350" s="39" t="s">
        <v>67</v>
      </c>
      <c r="AF350" s="39" t="s">
        <v>92</v>
      </c>
      <c r="AG350" s="39" t="s">
        <v>130</v>
      </c>
      <c r="AH350" s="39" t="s">
        <v>246</v>
      </c>
      <c r="AI350" s="39">
        <v>8.2168881771E10</v>
      </c>
      <c r="AJ350" s="39" t="s">
        <v>2683</v>
      </c>
      <c r="AK350" s="39" t="s">
        <v>2684</v>
      </c>
      <c r="AL350" s="39" t="s">
        <v>2685</v>
      </c>
      <c r="AM350" s="39" t="s">
        <v>96</v>
      </c>
      <c r="AN350" s="39" t="s">
        <v>481</v>
      </c>
      <c r="AO350" s="39" t="s">
        <v>546</v>
      </c>
      <c r="AP350" s="39" t="s">
        <v>2686</v>
      </c>
      <c r="AQ350" s="39">
        <v>0.0</v>
      </c>
      <c r="AR350" s="39">
        <v>0.0</v>
      </c>
    </row>
    <row r="351">
      <c r="A351" s="21">
        <f t="shared" si="5"/>
        <v>19</v>
      </c>
      <c r="B351" s="39" t="s">
        <v>2687</v>
      </c>
      <c r="C351" s="57" t="s">
        <v>2688</v>
      </c>
      <c r="D351" s="39">
        <v>12.0</v>
      </c>
      <c r="E351" s="39">
        <v>3.0</v>
      </c>
      <c r="F351" s="39" t="s">
        <v>80</v>
      </c>
      <c r="G351" s="39" t="s">
        <v>81</v>
      </c>
      <c r="H351" s="42">
        <v>40544.0</v>
      </c>
      <c r="I351" s="39" t="s">
        <v>82</v>
      </c>
      <c r="J351" s="39" t="s">
        <v>83</v>
      </c>
      <c r="K351" s="39" t="s">
        <v>104</v>
      </c>
      <c r="L351" s="39" t="s">
        <v>105</v>
      </c>
      <c r="M351" s="42">
        <v>45017.0</v>
      </c>
      <c r="N351" s="39" t="s">
        <v>141</v>
      </c>
      <c r="O351" s="39" t="s">
        <v>229</v>
      </c>
      <c r="P351" s="43"/>
      <c r="Q351" s="39" t="s">
        <v>2570</v>
      </c>
      <c r="R351" s="42">
        <v>45292.0</v>
      </c>
      <c r="S351" s="39" t="s">
        <v>143</v>
      </c>
      <c r="T351" s="46"/>
      <c r="U351" s="39" t="s">
        <v>144</v>
      </c>
      <c r="V351" s="39" t="s">
        <v>159</v>
      </c>
      <c r="W351" s="43"/>
      <c r="X351" s="39" t="s">
        <v>161</v>
      </c>
      <c r="Y351" s="39" t="s">
        <v>2689</v>
      </c>
      <c r="Z351" s="46"/>
      <c r="AA351" s="45">
        <v>52239.0</v>
      </c>
      <c r="AB351" s="46"/>
      <c r="AC351" s="23">
        <v>152.0</v>
      </c>
      <c r="AD351" s="39" t="s">
        <v>66</v>
      </c>
      <c r="AE351" s="39" t="s">
        <v>311</v>
      </c>
      <c r="AF351" s="39" t="s">
        <v>92</v>
      </c>
      <c r="AG351" s="39" t="s">
        <v>68</v>
      </c>
      <c r="AH351" s="43"/>
      <c r="AI351" s="39">
        <v>8.126330598E9</v>
      </c>
      <c r="AJ351" s="39" t="s">
        <v>2690</v>
      </c>
      <c r="AK351" s="39" t="s">
        <v>2691</v>
      </c>
      <c r="AL351" s="39" t="s">
        <v>2692</v>
      </c>
      <c r="AM351" s="39" t="s">
        <v>96</v>
      </c>
      <c r="AN351" s="39" t="s">
        <v>97</v>
      </c>
      <c r="AO351" s="39" t="s">
        <v>774</v>
      </c>
      <c r="AP351" s="39" t="s">
        <v>942</v>
      </c>
      <c r="AQ351" s="43"/>
      <c r="AR351" s="43"/>
    </row>
    <row r="352">
      <c r="A352" s="21">
        <f t="shared" si="5"/>
        <v>20</v>
      </c>
      <c r="B352" s="39" t="s">
        <v>2693</v>
      </c>
      <c r="C352" s="57" t="s">
        <v>2694</v>
      </c>
      <c r="D352" s="39">
        <v>20.0</v>
      </c>
      <c r="E352" s="39">
        <v>4.0</v>
      </c>
      <c r="F352" s="39" t="s">
        <v>171</v>
      </c>
      <c r="G352" s="39" t="s">
        <v>172</v>
      </c>
      <c r="H352" s="42">
        <v>39448.0</v>
      </c>
      <c r="I352" s="39" t="s">
        <v>82</v>
      </c>
      <c r="J352" s="39" t="s">
        <v>83</v>
      </c>
      <c r="K352" s="39" t="s">
        <v>217</v>
      </c>
      <c r="L352" s="39" t="s">
        <v>105</v>
      </c>
      <c r="M352" s="42">
        <v>45383.0</v>
      </c>
      <c r="N352" s="39" t="s">
        <v>141</v>
      </c>
      <c r="O352" s="39" t="s">
        <v>229</v>
      </c>
      <c r="P352" s="43"/>
      <c r="Q352" s="39" t="s">
        <v>2570</v>
      </c>
      <c r="R352" s="42">
        <v>45292.0</v>
      </c>
      <c r="S352" s="39" t="s">
        <v>143</v>
      </c>
      <c r="T352" s="46"/>
      <c r="U352" s="39" t="s">
        <v>144</v>
      </c>
      <c r="V352" s="39" t="s">
        <v>159</v>
      </c>
      <c r="W352" s="39" t="s">
        <v>1354</v>
      </c>
      <c r="X352" s="39" t="s">
        <v>260</v>
      </c>
      <c r="Y352" s="39" t="s">
        <v>2695</v>
      </c>
      <c r="Z352" s="39" t="s">
        <v>114</v>
      </c>
      <c r="AA352" s="45">
        <v>47860.0</v>
      </c>
      <c r="AB352" s="46"/>
      <c r="AC352" s="23">
        <v>153.0</v>
      </c>
      <c r="AD352" s="39" t="s">
        <v>66</v>
      </c>
      <c r="AE352" s="39" t="s">
        <v>67</v>
      </c>
      <c r="AF352" s="39" t="s">
        <v>92</v>
      </c>
      <c r="AG352" s="39" t="s">
        <v>68</v>
      </c>
      <c r="AH352" s="39" t="s">
        <v>246</v>
      </c>
      <c r="AI352" s="39">
        <v>8.5211336498E10</v>
      </c>
      <c r="AJ352" s="39" t="s">
        <v>2696</v>
      </c>
      <c r="AK352" s="39" t="s">
        <v>2697</v>
      </c>
      <c r="AL352" s="39" t="s">
        <v>2698</v>
      </c>
      <c r="AM352" s="39" t="s">
        <v>96</v>
      </c>
      <c r="AN352" s="39" t="s">
        <v>135</v>
      </c>
      <c r="AO352" s="39" t="s">
        <v>2699</v>
      </c>
      <c r="AP352" s="39" t="s">
        <v>2700</v>
      </c>
      <c r="AQ352" s="43"/>
      <c r="AR352" s="43"/>
    </row>
    <row r="353">
      <c r="A353" s="21">
        <f t="shared" si="5"/>
        <v>21</v>
      </c>
      <c r="B353" s="39" t="s">
        <v>2701</v>
      </c>
      <c r="C353" s="57" t="s">
        <v>2702</v>
      </c>
      <c r="D353" s="39">
        <v>21.0</v>
      </c>
      <c r="E353" s="39">
        <v>1.0</v>
      </c>
      <c r="F353" s="39" t="s">
        <v>50</v>
      </c>
      <c r="G353" s="39" t="s">
        <v>51</v>
      </c>
      <c r="H353" s="42">
        <v>35490.0</v>
      </c>
      <c r="I353" s="39" t="s">
        <v>82</v>
      </c>
      <c r="J353" s="39" t="s">
        <v>83</v>
      </c>
      <c r="K353" s="39" t="s">
        <v>104</v>
      </c>
      <c r="L353" s="39" t="s">
        <v>105</v>
      </c>
      <c r="M353" s="42">
        <v>45017.0</v>
      </c>
      <c r="N353" s="39" t="s">
        <v>141</v>
      </c>
      <c r="O353" s="39" t="s">
        <v>229</v>
      </c>
      <c r="P353" s="43"/>
      <c r="Q353" s="39" t="s">
        <v>2570</v>
      </c>
      <c r="R353" s="42">
        <v>45292.0</v>
      </c>
      <c r="S353" s="39" t="s">
        <v>143</v>
      </c>
      <c r="T353" s="46"/>
      <c r="U353" s="39" t="s">
        <v>144</v>
      </c>
      <c r="V353" s="39" t="s">
        <v>89</v>
      </c>
      <c r="W353" s="39" t="s">
        <v>2703</v>
      </c>
      <c r="X353" s="39" t="s">
        <v>320</v>
      </c>
      <c r="Y353" s="47">
        <v>38974.0</v>
      </c>
      <c r="Z353" s="39" t="s">
        <v>114</v>
      </c>
      <c r="AA353" s="45">
        <v>48950.0</v>
      </c>
      <c r="AB353" s="46"/>
      <c r="AC353" s="23">
        <v>154.0</v>
      </c>
      <c r="AD353" s="39" t="s">
        <v>66</v>
      </c>
      <c r="AE353" s="39" t="s">
        <v>67</v>
      </c>
      <c r="AF353" s="39" t="s">
        <v>92</v>
      </c>
      <c r="AG353" s="39" t="s">
        <v>68</v>
      </c>
      <c r="AH353" s="39" t="s">
        <v>246</v>
      </c>
      <c r="AI353" s="39">
        <v>8.1361575281E10</v>
      </c>
      <c r="AJ353" s="39" t="s">
        <v>2704</v>
      </c>
      <c r="AK353" s="39" t="s">
        <v>2705</v>
      </c>
      <c r="AL353" s="39" t="s">
        <v>2706</v>
      </c>
      <c r="AM353" s="39" t="s">
        <v>96</v>
      </c>
      <c r="AN353" s="39" t="s">
        <v>481</v>
      </c>
      <c r="AO353" s="39" t="s">
        <v>178</v>
      </c>
      <c r="AP353" s="39" t="s">
        <v>304</v>
      </c>
      <c r="AQ353" s="43"/>
      <c r="AR353" s="43"/>
    </row>
    <row r="354">
      <c r="A354" s="21">
        <f t="shared" si="5"/>
        <v>22</v>
      </c>
      <c r="B354" s="39" t="s">
        <v>2707</v>
      </c>
      <c r="C354" s="57" t="s">
        <v>2708</v>
      </c>
      <c r="D354" s="39">
        <v>12.0</v>
      </c>
      <c r="E354" s="39">
        <v>3.0</v>
      </c>
      <c r="F354" s="39" t="s">
        <v>80</v>
      </c>
      <c r="G354" s="39" t="s">
        <v>81</v>
      </c>
      <c r="H354" s="42">
        <v>40179.0</v>
      </c>
      <c r="I354" s="39" t="s">
        <v>82</v>
      </c>
      <c r="J354" s="39" t="s">
        <v>83</v>
      </c>
      <c r="K354" s="39" t="s">
        <v>228</v>
      </c>
      <c r="L354" s="39" t="s">
        <v>105</v>
      </c>
      <c r="M354" s="42">
        <v>44652.0</v>
      </c>
      <c r="N354" s="39" t="s">
        <v>56</v>
      </c>
      <c r="O354" s="39" t="s">
        <v>229</v>
      </c>
      <c r="P354" s="43"/>
      <c r="Q354" s="39" t="s">
        <v>2570</v>
      </c>
      <c r="R354" s="42">
        <v>43033.0</v>
      </c>
      <c r="S354" s="39" t="s">
        <v>2709</v>
      </c>
      <c r="T354" s="46"/>
      <c r="U354" s="39" t="s">
        <v>1314</v>
      </c>
      <c r="V354" s="39" t="s">
        <v>89</v>
      </c>
      <c r="W354" s="39" t="s">
        <v>2710</v>
      </c>
      <c r="X354" s="39" t="s">
        <v>244</v>
      </c>
      <c r="Y354" s="39" t="s">
        <v>2711</v>
      </c>
      <c r="Z354" s="39" t="s">
        <v>65</v>
      </c>
      <c r="AA354" s="45">
        <v>49684.0</v>
      </c>
      <c r="AB354" s="46"/>
      <c r="AC354" s="23">
        <v>155.0</v>
      </c>
      <c r="AD354" s="39" t="s">
        <v>66</v>
      </c>
      <c r="AE354" s="39" t="s">
        <v>67</v>
      </c>
      <c r="AF354" s="39" t="s">
        <v>92</v>
      </c>
      <c r="AG354" s="39" t="s">
        <v>68</v>
      </c>
      <c r="AH354" s="39" t="s">
        <v>69</v>
      </c>
      <c r="AI354" s="39">
        <v>8.1262283969E10</v>
      </c>
      <c r="AJ354" s="39" t="s">
        <v>2712</v>
      </c>
      <c r="AK354" s="39" t="s">
        <v>2713</v>
      </c>
      <c r="AL354" s="39" t="s">
        <v>2714</v>
      </c>
      <c r="AM354" s="39" t="s">
        <v>96</v>
      </c>
      <c r="AN354" s="39" t="s">
        <v>135</v>
      </c>
      <c r="AO354" s="39" t="s">
        <v>75</v>
      </c>
      <c r="AP354" s="39" t="s">
        <v>1198</v>
      </c>
      <c r="AQ354" s="43"/>
      <c r="AR354" s="43"/>
    </row>
    <row r="355">
      <c r="A355" s="21">
        <f t="shared" si="5"/>
        <v>23</v>
      </c>
      <c r="B355" s="39" t="s">
        <v>2715</v>
      </c>
      <c r="C355" s="57" t="s">
        <v>2716</v>
      </c>
      <c r="D355" s="39">
        <v>15.0</v>
      </c>
      <c r="E355" s="39">
        <v>7.0</v>
      </c>
      <c r="F355" s="39" t="s">
        <v>80</v>
      </c>
      <c r="G355" s="39" t="s">
        <v>81</v>
      </c>
      <c r="H355" s="42">
        <v>39873.0</v>
      </c>
      <c r="I355" s="39" t="s">
        <v>82</v>
      </c>
      <c r="J355" s="39" t="s">
        <v>83</v>
      </c>
      <c r="K355" s="39" t="s">
        <v>417</v>
      </c>
      <c r="L355" s="39" t="s">
        <v>105</v>
      </c>
      <c r="M355" s="42">
        <v>45566.0</v>
      </c>
      <c r="N355" s="39" t="s">
        <v>141</v>
      </c>
      <c r="O355" s="39" t="s">
        <v>229</v>
      </c>
      <c r="P355" s="43"/>
      <c r="Q355" s="39" t="s">
        <v>2570</v>
      </c>
      <c r="R355" s="42">
        <v>45292.0</v>
      </c>
      <c r="S355" s="39" t="s">
        <v>143</v>
      </c>
      <c r="T355" s="46"/>
      <c r="U355" s="39" t="s">
        <v>144</v>
      </c>
      <c r="V355" s="39" t="s">
        <v>89</v>
      </c>
      <c r="W355" s="39" t="s">
        <v>374</v>
      </c>
      <c r="X355" s="39" t="s">
        <v>2717</v>
      </c>
      <c r="Y355" s="39" t="s">
        <v>2718</v>
      </c>
      <c r="Z355" s="39" t="s">
        <v>114</v>
      </c>
      <c r="AA355" s="45">
        <v>51136.0</v>
      </c>
      <c r="AB355" s="46"/>
      <c r="AC355" s="23">
        <v>156.0</v>
      </c>
      <c r="AD355" s="39" t="s">
        <v>66</v>
      </c>
      <c r="AE355" s="39" t="s">
        <v>220</v>
      </c>
      <c r="AF355" s="39" t="s">
        <v>92</v>
      </c>
      <c r="AG355" s="39" t="s">
        <v>68</v>
      </c>
      <c r="AH355" s="39" t="s">
        <v>131</v>
      </c>
      <c r="AI355" s="39">
        <v>8.1973167282E10</v>
      </c>
      <c r="AJ355" s="39" t="s">
        <v>2719</v>
      </c>
      <c r="AK355" s="39" t="s">
        <v>2720</v>
      </c>
      <c r="AL355" s="39" t="s">
        <v>2721</v>
      </c>
      <c r="AM355" s="39" t="s">
        <v>96</v>
      </c>
      <c r="AN355" s="39" t="s">
        <v>74</v>
      </c>
      <c r="AO355" s="39" t="s">
        <v>741</v>
      </c>
      <c r="AP355" s="39" t="s">
        <v>819</v>
      </c>
      <c r="AQ355" s="43"/>
      <c r="AR355" s="43"/>
    </row>
    <row r="356">
      <c r="A356" s="21">
        <f t="shared" si="5"/>
        <v>24</v>
      </c>
      <c r="B356" s="39" t="s">
        <v>2722</v>
      </c>
      <c r="C356" s="57" t="s">
        <v>2723</v>
      </c>
      <c r="D356" s="39">
        <v>20.0</v>
      </c>
      <c r="E356" s="39">
        <v>4.0</v>
      </c>
      <c r="F356" s="39" t="s">
        <v>50</v>
      </c>
      <c r="G356" s="39" t="s">
        <v>51</v>
      </c>
      <c r="H356" s="42">
        <v>35004.0</v>
      </c>
      <c r="I356" s="39" t="s">
        <v>82</v>
      </c>
      <c r="J356" s="39" t="s">
        <v>83</v>
      </c>
      <c r="K356" s="39" t="s">
        <v>1972</v>
      </c>
      <c r="L356" s="39" t="s">
        <v>61</v>
      </c>
      <c r="M356" s="42">
        <v>43556.0</v>
      </c>
      <c r="N356" s="39" t="s">
        <v>141</v>
      </c>
      <c r="O356" s="39" t="s">
        <v>229</v>
      </c>
      <c r="P356" s="43"/>
      <c r="Q356" s="39" t="s">
        <v>266</v>
      </c>
      <c r="R356" s="42">
        <v>45292.0</v>
      </c>
      <c r="S356" s="39" t="s">
        <v>143</v>
      </c>
      <c r="T356" s="46"/>
      <c r="U356" s="39" t="s">
        <v>144</v>
      </c>
      <c r="V356" s="39" t="s">
        <v>89</v>
      </c>
      <c r="W356" s="39" t="s">
        <v>795</v>
      </c>
      <c r="X356" s="39" t="s">
        <v>2724</v>
      </c>
      <c r="Y356" s="67">
        <v>38596.0</v>
      </c>
      <c r="Z356" s="46"/>
      <c r="AA356" s="45">
        <v>47489.0</v>
      </c>
      <c r="AB356" s="46"/>
      <c r="AC356" s="23">
        <v>157.0</v>
      </c>
      <c r="AD356" s="39" t="s">
        <v>66</v>
      </c>
      <c r="AE356" s="39" t="s">
        <v>67</v>
      </c>
      <c r="AF356" s="39" t="s">
        <v>92</v>
      </c>
      <c r="AG356" s="39" t="s">
        <v>130</v>
      </c>
      <c r="AH356" s="39" t="s">
        <v>288</v>
      </c>
      <c r="AI356" s="39">
        <v>8.1370248782E10</v>
      </c>
      <c r="AJ356" s="39" t="s">
        <v>2725</v>
      </c>
      <c r="AK356" s="39" t="s">
        <v>2726</v>
      </c>
      <c r="AL356" s="39" t="s">
        <v>2727</v>
      </c>
      <c r="AM356" s="39" t="s">
        <v>96</v>
      </c>
      <c r="AN356" s="39" t="s">
        <v>97</v>
      </c>
      <c r="AO356" s="39" t="s">
        <v>989</v>
      </c>
      <c r="AP356" s="39" t="s">
        <v>2728</v>
      </c>
      <c r="AQ356" s="39">
        <v>48.0</v>
      </c>
      <c r="AR356" s="39">
        <v>15.0</v>
      </c>
    </row>
    <row r="357">
      <c r="A357" s="21">
        <f t="shared" si="5"/>
        <v>25</v>
      </c>
      <c r="B357" s="39" t="s">
        <v>2729</v>
      </c>
      <c r="C357" s="57" t="s">
        <v>2730</v>
      </c>
      <c r="D357" s="39">
        <v>12.0</v>
      </c>
      <c r="E357" s="39">
        <v>3.0</v>
      </c>
      <c r="F357" s="39" t="s">
        <v>80</v>
      </c>
      <c r="G357" s="39" t="s">
        <v>81</v>
      </c>
      <c r="H357" s="42">
        <v>41153.0</v>
      </c>
      <c r="I357" s="39" t="s">
        <v>82</v>
      </c>
      <c r="J357" s="39" t="s">
        <v>83</v>
      </c>
      <c r="K357" s="39" t="s">
        <v>104</v>
      </c>
      <c r="L357" s="39" t="s">
        <v>105</v>
      </c>
      <c r="M357" s="42">
        <v>45017.0</v>
      </c>
      <c r="N357" s="39" t="s">
        <v>141</v>
      </c>
      <c r="O357" s="39" t="s">
        <v>229</v>
      </c>
      <c r="P357" s="43"/>
      <c r="Q357" s="39" t="s">
        <v>2570</v>
      </c>
      <c r="R357" s="42">
        <v>45292.0</v>
      </c>
      <c r="S357" s="39" t="s">
        <v>143</v>
      </c>
      <c r="T357" s="46"/>
      <c r="U357" s="39" t="s">
        <v>144</v>
      </c>
      <c r="V357" s="39" t="s">
        <v>89</v>
      </c>
      <c r="W357" s="39" t="s">
        <v>2731</v>
      </c>
      <c r="X357" s="39" t="s">
        <v>244</v>
      </c>
      <c r="Y357" s="47">
        <v>37529.0</v>
      </c>
      <c r="Z357" s="39" t="s">
        <v>114</v>
      </c>
      <c r="AA357" s="45">
        <v>48954.0</v>
      </c>
      <c r="AB357" s="46"/>
      <c r="AC357" s="23">
        <v>158.0</v>
      </c>
      <c r="AD357" s="39" t="s">
        <v>66</v>
      </c>
      <c r="AE357" s="39" t="s">
        <v>220</v>
      </c>
      <c r="AF357" s="39" t="s">
        <v>92</v>
      </c>
      <c r="AG357" s="39" t="s">
        <v>68</v>
      </c>
      <c r="AH357" s="39" t="s">
        <v>131</v>
      </c>
      <c r="AI357" s="39">
        <v>8.1361623883E10</v>
      </c>
      <c r="AJ357" s="39" t="s">
        <v>2732</v>
      </c>
      <c r="AK357" s="39" t="s">
        <v>2733</v>
      </c>
      <c r="AL357" s="39" t="s">
        <v>2734</v>
      </c>
      <c r="AM357" s="39" t="s">
        <v>96</v>
      </c>
      <c r="AN357" s="39" t="s">
        <v>74</v>
      </c>
      <c r="AO357" s="39" t="s">
        <v>1802</v>
      </c>
      <c r="AP357" s="39" t="s">
        <v>2735</v>
      </c>
      <c r="AQ357" s="43"/>
      <c r="AR357" s="43"/>
    </row>
    <row r="358">
      <c r="A358" s="21">
        <f t="shared" si="5"/>
        <v>26</v>
      </c>
      <c r="B358" s="39" t="s">
        <v>2736</v>
      </c>
      <c r="C358" s="57" t="s">
        <v>2737</v>
      </c>
      <c r="D358" s="39">
        <v>12.0</v>
      </c>
      <c r="E358" s="39">
        <v>3.0</v>
      </c>
      <c r="F358" s="39" t="s">
        <v>80</v>
      </c>
      <c r="G358" s="39" t="s">
        <v>81</v>
      </c>
      <c r="H358" s="42">
        <v>40544.0</v>
      </c>
      <c r="I358" s="39" t="s">
        <v>82</v>
      </c>
      <c r="J358" s="39" t="s">
        <v>83</v>
      </c>
      <c r="K358" s="39" t="s">
        <v>104</v>
      </c>
      <c r="L358" s="39" t="s">
        <v>105</v>
      </c>
      <c r="M358" s="42">
        <v>45017.0</v>
      </c>
      <c r="N358" s="39" t="s">
        <v>141</v>
      </c>
      <c r="O358" s="39" t="s">
        <v>229</v>
      </c>
      <c r="P358" s="43"/>
      <c r="Q358" s="39" t="s">
        <v>2570</v>
      </c>
      <c r="R358" s="42">
        <v>45292.0</v>
      </c>
      <c r="S358" s="39" t="s">
        <v>143</v>
      </c>
      <c r="T358" s="46"/>
      <c r="U358" s="39" t="s">
        <v>144</v>
      </c>
      <c r="V358" s="39" t="s">
        <v>89</v>
      </c>
      <c r="W358" s="39" t="s">
        <v>2016</v>
      </c>
      <c r="X358" s="39" t="s">
        <v>2738</v>
      </c>
      <c r="Y358" s="39" t="s">
        <v>2739</v>
      </c>
      <c r="Z358" s="39" t="s">
        <v>114</v>
      </c>
      <c r="AA358" s="45">
        <v>52602.0</v>
      </c>
      <c r="AB358" s="46"/>
      <c r="AC358" s="23">
        <v>159.0</v>
      </c>
      <c r="AD358" s="39" t="s">
        <v>66</v>
      </c>
      <c r="AE358" s="39" t="s">
        <v>67</v>
      </c>
      <c r="AF358" s="39" t="s">
        <v>92</v>
      </c>
      <c r="AG358" s="39" t="s">
        <v>68</v>
      </c>
      <c r="AH358" s="39" t="s">
        <v>69</v>
      </c>
      <c r="AI358" s="39">
        <v>8.2362705784E10</v>
      </c>
      <c r="AJ358" s="39" t="s">
        <v>2740</v>
      </c>
      <c r="AK358" s="39" t="s">
        <v>2741</v>
      </c>
      <c r="AL358" s="39" t="s">
        <v>2742</v>
      </c>
      <c r="AM358" s="39" t="s">
        <v>96</v>
      </c>
      <c r="AN358" s="39" t="s">
        <v>481</v>
      </c>
      <c r="AO358" s="39" t="s">
        <v>178</v>
      </c>
      <c r="AP358" s="39" t="s">
        <v>2743</v>
      </c>
      <c r="AQ358" s="39">
        <v>0.0</v>
      </c>
      <c r="AR358" s="39">
        <v>0.0</v>
      </c>
    </row>
    <row r="359">
      <c r="A359" s="21">
        <f t="shared" si="5"/>
        <v>27</v>
      </c>
      <c r="B359" s="39" t="s">
        <v>2744</v>
      </c>
      <c r="C359" s="57" t="s">
        <v>2745</v>
      </c>
      <c r="D359" s="39">
        <v>14.0</v>
      </c>
      <c r="E359" s="39">
        <v>8.0</v>
      </c>
      <c r="F359" s="39" t="s">
        <v>50</v>
      </c>
      <c r="G359" s="39" t="s">
        <v>51</v>
      </c>
      <c r="H359" s="42">
        <v>35096.0</v>
      </c>
      <c r="I359" s="39" t="s">
        <v>82</v>
      </c>
      <c r="J359" s="39" t="s">
        <v>83</v>
      </c>
      <c r="K359" s="39" t="s">
        <v>2746</v>
      </c>
      <c r="L359" s="39" t="s">
        <v>61</v>
      </c>
      <c r="M359" s="42">
        <v>42278.0</v>
      </c>
      <c r="N359" s="39" t="s">
        <v>141</v>
      </c>
      <c r="O359" s="39" t="s">
        <v>229</v>
      </c>
      <c r="P359" s="43"/>
      <c r="Q359" s="39" t="s">
        <v>266</v>
      </c>
      <c r="R359" s="42">
        <v>45292.0</v>
      </c>
      <c r="S359" s="39" t="s">
        <v>143</v>
      </c>
      <c r="T359" s="46"/>
      <c r="U359" s="39" t="s">
        <v>144</v>
      </c>
      <c r="V359" s="39" t="s">
        <v>89</v>
      </c>
      <c r="W359" s="39" t="s">
        <v>197</v>
      </c>
      <c r="X359" s="39" t="s">
        <v>2747</v>
      </c>
      <c r="Y359" s="67">
        <v>37348.0</v>
      </c>
      <c r="Z359" s="39" t="s">
        <v>114</v>
      </c>
      <c r="AA359" s="45">
        <v>49313.0</v>
      </c>
      <c r="AB359" s="46"/>
      <c r="AC359" s="23">
        <v>160.0</v>
      </c>
      <c r="AD359" s="39" t="s">
        <v>66</v>
      </c>
      <c r="AE359" s="39" t="s">
        <v>67</v>
      </c>
      <c r="AF359" s="39" t="s">
        <v>92</v>
      </c>
      <c r="AG359" s="39" t="s">
        <v>130</v>
      </c>
      <c r="AH359" s="39" t="s">
        <v>69</v>
      </c>
      <c r="AI359" s="39">
        <v>8.12600108E9</v>
      </c>
      <c r="AJ359" s="39" t="s">
        <v>2748</v>
      </c>
      <c r="AK359" s="39" t="s">
        <v>2749</v>
      </c>
      <c r="AL359" s="39" t="s">
        <v>2750</v>
      </c>
      <c r="AM359" s="39" t="s">
        <v>96</v>
      </c>
      <c r="AN359" s="39" t="s">
        <v>74</v>
      </c>
      <c r="AO359" s="39" t="s">
        <v>925</v>
      </c>
      <c r="AP359" s="39" t="s">
        <v>2751</v>
      </c>
      <c r="AQ359" s="43"/>
      <c r="AR359" s="43"/>
    </row>
    <row r="360">
      <c r="A360" s="21">
        <f t="shared" si="5"/>
        <v>28</v>
      </c>
      <c r="B360" s="39" t="s">
        <v>2752</v>
      </c>
      <c r="C360" s="57" t="s">
        <v>2753</v>
      </c>
      <c r="D360" s="39">
        <v>12.0</v>
      </c>
      <c r="E360" s="39">
        <v>9.0</v>
      </c>
      <c r="F360" s="39" t="s">
        <v>80</v>
      </c>
      <c r="G360" s="39" t="s">
        <v>81</v>
      </c>
      <c r="H360" s="42">
        <v>40179.0</v>
      </c>
      <c r="I360" s="39" t="s">
        <v>82</v>
      </c>
      <c r="J360" s="39" t="s">
        <v>83</v>
      </c>
      <c r="K360" s="39" t="s">
        <v>1399</v>
      </c>
      <c r="L360" s="39" t="s">
        <v>105</v>
      </c>
      <c r="M360" s="42">
        <v>44835.0</v>
      </c>
      <c r="N360" s="39" t="s">
        <v>141</v>
      </c>
      <c r="O360" s="39" t="s">
        <v>173</v>
      </c>
      <c r="P360" s="43"/>
      <c r="Q360" s="39" t="s">
        <v>266</v>
      </c>
      <c r="R360" s="42">
        <v>45292.0</v>
      </c>
      <c r="S360" s="39" t="s">
        <v>143</v>
      </c>
      <c r="T360" s="46"/>
      <c r="U360" s="39" t="s">
        <v>144</v>
      </c>
      <c r="V360" s="39" t="s">
        <v>89</v>
      </c>
      <c r="W360" s="39" t="s">
        <v>230</v>
      </c>
      <c r="X360" s="39" t="s">
        <v>2754</v>
      </c>
      <c r="Y360" s="39" t="s">
        <v>2711</v>
      </c>
      <c r="Z360" s="43"/>
      <c r="AA360" s="45">
        <v>52241.0</v>
      </c>
      <c r="AB360" s="46"/>
      <c r="AC360" s="23">
        <v>161.0</v>
      </c>
      <c r="AD360" s="39" t="s">
        <v>66</v>
      </c>
      <c r="AE360" s="39" t="s">
        <v>67</v>
      </c>
      <c r="AF360" s="39" t="s">
        <v>2117</v>
      </c>
      <c r="AG360" s="39" t="s">
        <v>130</v>
      </c>
      <c r="AH360" s="43"/>
      <c r="AI360" s="39">
        <v>8.1269911114E10</v>
      </c>
      <c r="AJ360" s="39" t="s">
        <v>2755</v>
      </c>
      <c r="AK360" s="39" t="s">
        <v>2756</v>
      </c>
      <c r="AL360" s="39" t="s">
        <v>2757</v>
      </c>
      <c r="AM360" s="39" t="s">
        <v>96</v>
      </c>
      <c r="AN360" s="39" t="s">
        <v>74</v>
      </c>
      <c r="AO360" s="39" t="s">
        <v>989</v>
      </c>
      <c r="AP360" s="39" t="s">
        <v>990</v>
      </c>
      <c r="AQ360" s="43"/>
      <c r="AR360" s="43"/>
    </row>
    <row r="361">
      <c r="A361" s="21">
        <f t="shared" si="5"/>
        <v>29</v>
      </c>
      <c r="B361" s="39" t="s">
        <v>2758</v>
      </c>
      <c r="C361" s="57" t="s">
        <v>2759</v>
      </c>
      <c r="D361" s="39">
        <v>22.0</v>
      </c>
      <c r="E361" s="39">
        <v>7.0</v>
      </c>
      <c r="F361" s="39" t="s">
        <v>50</v>
      </c>
      <c r="G361" s="39" t="s">
        <v>51</v>
      </c>
      <c r="H361" s="42">
        <v>39448.0</v>
      </c>
      <c r="I361" s="39" t="s">
        <v>82</v>
      </c>
      <c r="J361" s="39" t="s">
        <v>83</v>
      </c>
      <c r="K361" s="39" t="s">
        <v>217</v>
      </c>
      <c r="L361" s="39" t="s">
        <v>61</v>
      </c>
      <c r="M361" s="42">
        <v>45383.0</v>
      </c>
      <c r="N361" s="39" t="s">
        <v>141</v>
      </c>
      <c r="O361" s="39" t="s">
        <v>229</v>
      </c>
      <c r="P361" s="43"/>
      <c r="Q361" s="39" t="s">
        <v>266</v>
      </c>
      <c r="R361" s="42">
        <v>45292.0</v>
      </c>
      <c r="S361" s="39" t="s">
        <v>143</v>
      </c>
      <c r="T361" s="46"/>
      <c r="U361" s="39" t="s">
        <v>144</v>
      </c>
      <c r="V361" s="39" t="s">
        <v>285</v>
      </c>
      <c r="W361" s="65"/>
      <c r="X361" s="39" t="s">
        <v>2760</v>
      </c>
      <c r="Y361" s="39" t="s">
        <v>401</v>
      </c>
      <c r="Z361" s="65"/>
      <c r="AA361" s="45">
        <v>48945.0</v>
      </c>
      <c r="AB361" s="46"/>
      <c r="AC361" s="23">
        <v>162.0</v>
      </c>
      <c r="AD361" s="39" t="s">
        <v>66</v>
      </c>
      <c r="AE361" s="39" t="s">
        <v>67</v>
      </c>
      <c r="AF361" s="39" t="s">
        <v>92</v>
      </c>
      <c r="AG361" s="39" t="s">
        <v>130</v>
      </c>
      <c r="AH361" s="39" t="s">
        <v>69</v>
      </c>
      <c r="AI361" s="39">
        <v>8.5260893435E10</v>
      </c>
      <c r="AJ361" s="39" t="s">
        <v>2761</v>
      </c>
      <c r="AK361" s="39" t="s">
        <v>2762</v>
      </c>
      <c r="AL361" s="39" t="s">
        <v>2763</v>
      </c>
      <c r="AM361" s="39" t="s">
        <v>96</v>
      </c>
      <c r="AN361" s="39" t="s">
        <v>74</v>
      </c>
      <c r="AO361" s="39" t="s">
        <v>203</v>
      </c>
      <c r="AP361" s="39" t="s">
        <v>575</v>
      </c>
      <c r="AQ361" s="43"/>
      <c r="AR361" s="43"/>
    </row>
    <row r="362">
      <c r="A362" s="21">
        <f t="shared" si="5"/>
        <v>30</v>
      </c>
      <c r="B362" s="39" t="s">
        <v>2764</v>
      </c>
      <c r="C362" s="57" t="s">
        <v>2765</v>
      </c>
      <c r="D362" s="39">
        <v>20.0</v>
      </c>
      <c r="E362" s="39">
        <v>1.0</v>
      </c>
      <c r="F362" s="39" t="s">
        <v>50</v>
      </c>
      <c r="G362" s="39" t="s">
        <v>51</v>
      </c>
      <c r="H362" s="42">
        <v>39448.0</v>
      </c>
      <c r="I362" s="39" t="s">
        <v>102</v>
      </c>
      <c r="J362" s="39" t="s">
        <v>103</v>
      </c>
      <c r="K362" s="39" t="s">
        <v>104</v>
      </c>
      <c r="L362" s="39" t="s">
        <v>105</v>
      </c>
      <c r="M362" s="42">
        <v>45017.0</v>
      </c>
      <c r="N362" s="39" t="s">
        <v>141</v>
      </c>
      <c r="O362" s="39" t="s">
        <v>229</v>
      </c>
      <c r="P362" s="43"/>
      <c r="Q362" s="39" t="s">
        <v>2570</v>
      </c>
      <c r="R362" s="42">
        <v>45292.0</v>
      </c>
      <c r="S362" s="39" t="s">
        <v>143</v>
      </c>
      <c r="T362" s="46"/>
      <c r="U362" s="39" t="s">
        <v>144</v>
      </c>
      <c r="V362" s="39" t="s">
        <v>159</v>
      </c>
      <c r="W362" s="39" t="s">
        <v>160</v>
      </c>
      <c r="X362" s="39" t="s">
        <v>161</v>
      </c>
      <c r="Y362" s="67">
        <v>43040.0</v>
      </c>
      <c r="Z362" s="39" t="s">
        <v>114</v>
      </c>
      <c r="AA362" s="45">
        <v>49311.0</v>
      </c>
      <c r="AB362" s="46"/>
      <c r="AC362" s="23">
        <v>163.0</v>
      </c>
      <c r="AD362" s="39" t="s">
        <v>66</v>
      </c>
      <c r="AE362" s="39" t="s">
        <v>220</v>
      </c>
      <c r="AF362" s="39" t="s">
        <v>92</v>
      </c>
      <c r="AG362" s="39" t="s">
        <v>68</v>
      </c>
      <c r="AH362" s="39" t="s">
        <v>69</v>
      </c>
      <c r="AI362" s="39">
        <v>8.2386281177E10</v>
      </c>
      <c r="AJ362" s="39" t="s">
        <v>2766</v>
      </c>
      <c r="AK362" s="39" t="s">
        <v>2767</v>
      </c>
      <c r="AL362" s="39" t="s">
        <v>2768</v>
      </c>
      <c r="AM362" s="39" t="s">
        <v>96</v>
      </c>
      <c r="AN362" s="39" t="s">
        <v>135</v>
      </c>
      <c r="AO362" s="39" t="s">
        <v>136</v>
      </c>
      <c r="AP362" s="39" t="s">
        <v>1404</v>
      </c>
      <c r="AQ362" s="43"/>
      <c r="AR362" s="43"/>
    </row>
    <row r="363">
      <c r="A363" s="21">
        <f t="shared" si="5"/>
        <v>31</v>
      </c>
      <c r="B363" s="39" t="s">
        <v>2769</v>
      </c>
      <c r="C363" s="57" t="s">
        <v>2770</v>
      </c>
      <c r="D363" s="39">
        <v>15.0</v>
      </c>
      <c r="E363" s="39">
        <v>10.0</v>
      </c>
      <c r="F363" s="39" t="s">
        <v>50</v>
      </c>
      <c r="G363" s="39" t="s">
        <v>51</v>
      </c>
      <c r="H363" s="42">
        <v>39448.0</v>
      </c>
      <c r="I363" s="39" t="s">
        <v>102</v>
      </c>
      <c r="J363" s="39" t="s">
        <v>103</v>
      </c>
      <c r="K363" s="39" t="s">
        <v>1399</v>
      </c>
      <c r="L363" s="39" t="s">
        <v>105</v>
      </c>
      <c r="M363" s="42">
        <v>44835.0</v>
      </c>
      <c r="N363" s="39" t="s">
        <v>141</v>
      </c>
      <c r="O363" s="39" t="s">
        <v>229</v>
      </c>
      <c r="P363" s="43"/>
      <c r="Q363" s="39" t="s">
        <v>2570</v>
      </c>
      <c r="R363" s="42">
        <v>45292.0</v>
      </c>
      <c r="S363" s="39" t="s">
        <v>143</v>
      </c>
      <c r="T363" s="46"/>
      <c r="U363" s="39" t="s">
        <v>144</v>
      </c>
      <c r="V363" s="39" t="s">
        <v>159</v>
      </c>
      <c r="W363" s="39" t="s">
        <v>2771</v>
      </c>
      <c r="X363" s="39" t="s">
        <v>2772</v>
      </c>
      <c r="Y363" s="47">
        <v>42333.0</v>
      </c>
      <c r="Z363" s="46"/>
      <c r="AA363" s="45">
        <v>48580.0</v>
      </c>
      <c r="AB363" s="46"/>
      <c r="AC363" s="23">
        <v>164.0</v>
      </c>
      <c r="AD363" s="39" t="s">
        <v>66</v>
      </c>
      <c r="AE363" s="39" t="s">
        <v>67</v>
      </c>
      <c r="AF363" s="39" t="s">
        <v>92</v>
      </c>
      <c r="AG363" s="39" t="s">
        <v>68</v>
      </c>
      <c r="AH363" s="39" t="s">
        <v>246</v>
      </c>
      <c r="AI363" s="39">
        <v>8.1397610586E10</v>
      </c>
      <c r="AJ363" s="39" t="s">
        <v>2773</v>
      </c>
      <c r="AK363" s="39" t="s">
        <v>2774</v>
      </c>
      <c r="AL363" s="39" t="s">
        <v>2775</v>
      </c>
      <c r="AM363" s="39" t="s">
        <v>96</v>
      </c>
      <c r="AN363" s="39" t="s">
        <v>166</v>
      </c>
      <c r="AO363" s="39" t="s">
        <v>596</v>
      </c>
      <c r="AP363" s="39" t="s">
        <v>2743</v>
      </c>
      <c r="AQ363" s="43"/>
      <c r="AR363" s="43"/>
    </row>
    <row r="364">
      <c r="A364" s="21">
        <f t="shared" si="5"/>
        <v>32</v>
      </c>
      <c r="B364" s="39" t="s">
        <v>2776</v>
      </c>
      <c r="C364" s="57" t="s">
        <v>2777</v>
      </c>
      <c r="D364" s="39">
        <v>8.0</v>
      </c>
      <c r="E364" s="39">
        <v>5.0</v>
      </c>
      <c r="F364" s="39" t="s">
        <v>80</v>
      </c>
      <c r="G364" s="39" t="s">
        <v>81</v>
      </c>
      <c r="H364" s="42">
        <v>42125.0</v>
      </c>
      <c r="I364" s="39" t="s">
        <v>102</v>
      </c>
      <c r="J364" s="39" t="s">
        <v>103</v>
      </c>
      <c r="K364" s="39" t="s">
        <v>1561</v>
      </c>
      <c r="L364" s="39" t="s">
        <v>105</v>
      </c>
      <c r="M364" s="42">
        <v>45200.0</v>
      </c>
      <c r="N364" s="39" t="s">
        <v>141</v>
      </c>
      <c r="O364" s="39" t="s">
        <v>229</v>
      </c>
      <c r="P364" s="43"/>
      <c r="Q364" s="39" t="s">
        <v>2570</v>
      </c>
      <c r="R364" s="42">
        <v>45292.0</v>
      </c>
      <c r="S364" s="39" t="s">
        <v>143</v>
      </c>
      <c r="T364" s="46"/>
      <c r="U364" s="39" t="s">
        <v>144</v>
      </c>
      <c r="V364" s="39" t="s">
        <v>159</v>
      </c>
      <c r="W364" s="39" t="s">
        <v>2778</v>
      </c>
      <c r="X364" s="39" t="s">
        <v>2779</v>
      </c>
      <c r="Y364" s="39" t="s">
        <v>2780</v>
      </c>
      <c r="Z364" s="46"/>
      <c r="AA364" s="45">
        <v>50774.0</v>
      </c>
      <c r="AB364" s="46"/>
      <c r="AC364" s="23">
        <v>165.0</v>
      </c>
      <c r="AD364" s="39" t="s">
        <v>66</v>
      </c>
      <c r="AE364" s="39" t="s">
        <v>67</v>
      </c>
      <c r="AF364" s="39" t="s">
        <v>92</v>
      </c>
      <c r="AG364" s="39" t="s">
        <v>68</v>
      </c>
      <c r="AH364" s="39" t="s">
        <v>69</v>
      </c>
      <c r="AI364" s="39">
        <v>8.1362490594E10</v>
      </c>
      <c r="AJ364" s="39" t="s">
        <v>2781</v>
      </c>
      <c r="AK364" s="39" t="s">
        <v>2782</v>
      </c>
      <c r="AL364" s="39" t="s">
        <v>2783</v>
      </c>
      <c r="AM364" s="39" t="s">
        <v>96</v>
      </c>
      <c r="AN364" s="39" t="s">
        <v>135</v>
      </c>
      <c r="AO364" s="39" t="s">
        <v>657</v>
      </c>
      <c r="AP364" s="39" t="s">
        <v>657</v>
      </c>
      <c r="AQ364" s="43"/>
      <c r="AR364" s="43"/>
    </row>
    <row r="365">
      <c r="A365" s="21">
        <f t="shared" si="5"/>
        <v>33</v>
      </c>
      <c r="B365" s="39" t="s">
        <v>2784</v>
      </c>
      <c r="C365" s="57" t="s">
        <v>2785</v>
      </c>
      <c r="D365" s="39">
        <v>27.0</v>
      </c>
      <c r="E365" s="39">
        <v>5.0</v>
      </c>
      <c r="F365" s="39" t="s">
        <v>50</v>
      </c>
      <c r="G365" s="39" t="s">
        <v>51</v>
      </c>
      <c r="H365" s="42">
        <v>39083.0</v>
      </c>
      <c r="I365" s="39" t="s">
        <v>102</v>
      </c>
      <c r="J365" s="39" t="s">
        <v>103</v>
      </c>
      <c r="K365" s="39" t="s">
        <v>104</v>
      </c>
      <c r="L365" s="39" t="s">
        <v>105</v>
      </c>
      <c r="M365" s="42">
        <v>45017.0</v>
      </c>
      <c r="N365" s="39" t="s">
        <v>141</v>
      </c>
      <c r="O365" s="39" t="s">
        <v>229</v>
      </c>
      <c r="P365" s="43"/>
      <c r="Q365" s="39" t="s">
        <v>2570</v>
      </c>
      <c r="R365" s="42">
        <v>45292.0</v>
      </c>
      <c r="S365" s="39" t="s">
        <v>143</v>
      </c>
      <c r="T365" s="46"/>
      <c r="U365" s="39" t="s">
        <v>144</v>
      </c>
      <c r="V365" s="39" t="s">
        <v>89</v>
      </c>
      <c r="W365" s="39" t="s">
        <v>640</v>
      </c>
      <c r="X365" s="39" t="s">
        <v>2786</v>
      </c>
      <c r="Y365" s="39" t="s">
        <v>2787</v>
      </c>
      <c r="Z365" s="46"/>
      <c r="AA365" s="45">
        <v>46756.0</v>
      </c>
      <c r="AB365" s="46"/>
      <c r="AC365" s="23">
        <v>166.0</v>
      </c>
      <c r="AD365" s="39" t="s">
        <v>66</v>
      </c>
      <c r="AE365" s="39" t="s">
        <v>67</v>
      </c>
      <c r="AF365" s="39" t="s">
        <v>92</v>
      </c>
      <c r="AG365" s="39" t="s">
        <v>68</v>
      </c>
      <c r="AH365" s="39" t="s">
        <v>131</v>
      </c>
      <c r="AI365" s="39">
        <v>8.2360186585E10</v>
      </c>
      <c r="AJ365" s="39" t="s">
        <v>2788</v>
      </c>
      <c r="AK365" s="39" t="s">
        <v>2789</v>
      </c>
      <c r="AL365" s="39" t="s">
        <v>2790</v>
      </c>
      <c r="AM365" s="39" t="s">
        <v>96</v>
      </c>
      <c r="AN365" s="43"/>
      <c r="AO365" s="39" t="s">
        <v>98</v>
      </c>
      <c r="AP365" s="39" t="s">
        <v>2220</v>
      </c>
      <c r="AQ365" s="43"/>
      <c r="AR365" s="43"/>
    </row>
    <row r="366">
      <c r="A366" s="21">
        <f t="shared" si="5"/>
        <v>34</v>
      </c>
      <c r="B366" s="39" t="s">
        <v>2791</v>
      </c>
      <c r="C366" s="57" t="s">
        <v>2792</v>
      </c>
      <c r="D366" s="39">
        <v>16.0</v>
      </c>
      <c r="E366" s="39">
        <v>3.0</v>
      </c>
      <c r="F366" s="39" t="s">
        <v>2153</v>
      </c>
      <c r="G366" s="39" t="s">
        <v>2154</v>
      </c>
      <c r="H366" s="42">
        <v>36951.0</v>
      </c>
      <c r="I366" s="39" t="s">
        <v>82</v>
      </c>
      <c r="J366" s="39" t="s">
        <v>83</v>
      </c>
      <c r="K366" s="39" t="s">
        <v>140</v>
      </c>
      <c r="L366" s="39" t="s">
        <v>105</v>
      </c>
      <c r="M366" s="42">
        <v>45809.0</v>
      </c>
      <c r="N366" s="39" t="s">
        <v>141</v>
      </c>
      <c r="O366" s="39" t="s">
        <v>229</v>
      </c>
      <c r="P366" s="43"/>
      <c r="Q366" s="39" t="s">
        <v>2570</v>
      </c>
      <c r="R366" s="42">
        <v>45292.0</v>
      </c>
      <c r="S366" s="39" t="s">
        <v>143</v>
      </c>
      <c r="T366" s="46"/>
      <c r="U366" s="39" t="s">
        <v>144</v>
      </c>
      <c r="V366" s="39" t="s">
        <v>89</v>
      </c>
      <c r="W366" s="39" t="s">
        <v>2318</v>
      </c>
      <c r="X366" s="39" t="s">
        <v>1231</v>
      </c>
      <c r="Y366" s="47">
        <v>41022.0</v>
      </c>
      <c r="Z366" s="39" t="s">
        <v>114</v>
      </c>
      <c r="AA366" s="45">
        <v>51147.0</v>
      </c>
      <c r="AB366" s="46"/>
      <c r="AC366" s="23">
        <v>167.0</v>
      </c>
      <c r="AD366" s="39" t="s">
        <v>66</v>
      </c>
      <c r="AE366" s="39" t="s">
        <v>67</v>
      </c>
      <c r="AF366" s="39" t="s">
        <v>92</v>
      </c>
      <c r="AG366" s="39" t="s">
        <v>68</v>
      </c>
      <c r="AH366" s="39" t="s">
        <v>131</v>
      </c>
      <c r="AI366" s="39">
        <v>8.23627111E10</v>
      </c>
      <c r="AJ366" s="39" t="s">
        <v>2793</v>
      </c>
      <c r="AK366" s="39" t="s">
        <v>2794</v>
      </c>
      <c r="AL366" s="39" t="s">
        <v>2795</v>
      </c>
      <c r="AM366" s="39" t="s">
        <v>96</v>
      </c>
      <c r="AN366" s="39" t="s">
        <v>481</v>
      </c>
      <c r="AO366" s="39" t="s">
        <v>178</v>
      </c>
      <c r="AP366" s="39" t="s">
        <v>2796</v>
      </c>
      <c r="AQ366" s="43"/>
      <c r="AR366" s="43"/>
    </row>
    <row r="367">
      <c r="A367" s="21">
        <f t="shared" si="5"/>
        <v>35</v>
      </c>
      <c r="B367" s="39" t="s">
        <v>2797</v>
      </c>
      <c r="C367" s="57" t="s">
        <v>2798</v>
      </c>
      <c r="D367" s="39">
        <v>20.0</v>
      </c>
      <c r="E367" s="39">
        <v>3.0</v>
      </c>
      <c r="F367" s="39" t="s">
        <v>50</v>
      </c>
      <c r="G367" s="39" t="s">
        <v>51</v>
      </c>
      <c r="H367" s="42">
        <v>39448.0</v>
      </c>
      <c r="I367" s="39" t="s">
        <v>102</v>
      </c>
      <c r="J367" s="39" t="s">
        <v>103</v>
      </c>
      <c r="K367" s="39" t="s">
        <v>2799</v>
      </c>
      <c r="L367" s="39" t="s">
        <v>105</v>
      </c>
      <c r="M367" s="42">
        <v>44652.0</v>
      </c>
      <c r="N367" s="39" t="s">
        <v>141</v>
      </c>
      <c r="O367" s="39" t="s">
        <v>229</v>
      </c>
      <c r="P367" s="43"/>
      <c r="Q367" s="39" t="s">
        <v>2570</v>
      </c>
      <c r="R367" s="42">
        <v>45292.0</v>
      </c>
      <c r="S367" s="39" t="s">
        <v>143</v>
      </c>
      <c r="T367" s="46"/>
      <c r="U367" s="39" t="s">
        <v>144</v>
      </c>
      <c r="V367" s="39" t="s">
        <v>89</v>
      </c>
      <c r="W367" s="39" t="s">
        <v>337</v>
      </c>
      <c r="X367" s="39" t="s">
        <v>2800</v>
      </c>
      <c r="Y367" s="39" t="s">
        <v>339</v>
      </c>
      <c r="Z367" s="46"/>
      <c r="AA367" s="45">
        <v>49310.0</v>
      </c>
      <c r="AB367" s="46"/>
      <c r="AC367" s="23">
        <v>168.0</v>
      </c>
      <c r="AD367" s="39" t="s">
        <v>66</v>
      </c>
      <c r="AE367" s="39" t="s">
        <v>67</v>
      </c>
      <c r="AF367" s="39" t="s">
        <v>92</v>
      </c>
      <c r="AG367" s="39" t="s">
        <v>68</v>
      </c>
      <c r="AH367" s="39" t="s">
        <v>69</v>
      </c>
      <c r="AI367" s="39">
        <v>8.2161639304E10</v>
      </c>
      <c r="AJ367" s="39" t="s">
        <v>2801</v>
      </c>
      <c r="AK367" s="39" t="s">
        <v>2802</v>
      </c>
      <c r="AL367" s="39" t="s">
        <v>2803</v>
      </c>
      <c r="AM367" s="39" t="s">
        <v>96</v>
      </c>
      <c r="AN367" s="39" t="s">
        <v>135</v>
      </c>
      <c r="AO367" s="39" t="s">
        <v>136</v>
      </c>
      <c r="AP367" s="39" t="s">
        <v>2804</v>
      </c>
      <c r="AQ367" s="43"/>
      <c r="AR367" s="43"/>
    </row>
    <row r="368">
      <c r="A368" s="21">
        <f t="shared" si="5"/>
        <v>36</v>
      </c>
      <c r="B368" s="39" t="s">
        <v>2805</v>
      </c>
      <c r="C368" s="57" t="s">
        <v>2806</v>
      </c>
      <c r="D368" s="39">
        <v>21.0</v>
      </c>
      <c r="E368" s="39">
        <v>4.0</v>
      </c>
      <c r="F368" s="39" t="s">
        <v>50</v>
      </c>
      <c r="G368" s="39" t="s">
        <v>51</v>
      </c>
      <c r="H368" s="42">
        <v>40452.0</v>
      </c>
      <c r="I368" s="39" t="s">
        <v>102</v>
      </c>
      <c r="J368" s="39" t="s">
        <v>103</v>
      </c>
      <c r="K368" s="39" t="s">
        <v>104</v>
      </c>
      <c r="L368" s="39" t="s">
        <v>105</v>
      </c>
      <c r="M368" s="42">
        <v>45017.0</v>
      </c>
      <c r="N368" s="39" t="s">
        <v>141</v>
      </c>
      <c r="O368" s="39" t="s">
        <v>229</v>
      </c>
      <c r="P368" s="43"/>
      <c r="Q368" s="39" t="s">
        <v>2570</v>
      </c>
      <c r="R368" s="42">
        <v>45292.0</v>
      </c>
      <c r="S368" s="39" t="s">
        <v>143</v>
      </c>
      <c r="T368" s="46"/>
      <c r="U368" s="39" t="s">
        <v>144</v>
      </c>
      <c r="V368" s="39" t="s">
        <v>89</v>
      </c>
      <c r="W368" s="39" t="s">
        <v>218</v>
      </c>
      <c r="X368" s="39" t="s">
        <v>2482</v>
      </c>
      <c r="Y368" s="39" t="s">
        <v>2787</v>
      </c>
      <c r="Z368" s="46"/>
      <c r="AA368" s="45">
        <v>48215.0</v>
      </c>
      <c r="AB368" s="46"/>
      <c r="AC368" s="23">
        <v>169.0</v>
      </c>
      <c r="AD368" s="39" t="s">
        <v>66</v>
      </c>
      <c r="AE368" s="39" t="s">
        <v>67</v>
      </c>
      <c r="AF368" s="39" t="s">
        <v>129</v>
      </c>
      <c r="AG368" s="39" t="s">
        <v>68</v>
      </c>
      <c r="AH368" s="39" t="s">
        <v>131</v>
      </c>
      <c r="AI368" s="39">
        <v>8.5275731669E10</v>
      </c>
      <c r="AJ368" s="39" t="s">
        <v>2807</v>
      </c>
      <c r="AK368" s="39" t="s">
        <v>2808</v>
      </c>
      <c r="AL368" s="39" t="s">
        <v>2809</v>
      </c>
      <c r="AM368" s="39" t="s">
        <v>96</v>
      </c>
      <c r="AN368" s="43"/>
      <c r="AO368" s="43"/>
      <c r="AP368" s="43"/>
      <c r="AQ368" s="43"/>
      <c r="AR368" s="43"/>
    </row>
    <row r="369">
      <c r="A369" s="21">
        <f t="shared" si="5"/>
        <v>37</v>
      </c>
      <c r="B369" s="39" t="s">
        <v>2810</v>
      </c>
      <c r="C369" s="57" t="s">
        <v>2811</v>
      </c>
      <c r="D369" s="39">
        <v>16.0</v>
      </c>
      <c r="E369" s="39">
        <v>0.0</v>
      </c>
      <c r="F369" s="39" t="s">
        <v>171</v>
      </c>
      <c r="G369" s="39" t="s">
        <v>172</v>
      </c>
      <c r="H369" s="42">
        <v>38808.0</v>
      </c>
      <c r="I369" s="39" t="s">
        <v>102</v>
      </c>
      <c r="J369" s="39" t="s">
        <v>103</v>
      </c>
      <c r="K369" s="39" t="s">
        <v>217</v>
      </c>
      <c r="L369" s="39" t="s">
        <v>61</v>
      </c>
      <c r="M369" s="42">
        <v>45383.0</v>
      </c>
      <c r="N369" s="39" t="s">
        <v>141</v>
      </c>
      <c r="O369" s="39" t="s">
        <v>229</v>
      </c>
      <c r="P369" s="43"/>
      <c r="Q369" s="39" t="s">
        <v>2580</v>
      </c>
      <c r="R369" s="42">
        <v>45292.0</v>
      </c>
      <c r="S369" s="39" t="s">
        <v>143</v>
      </c>
      <c r="T369" s="46"/>
      <c r="U369" s="39" t="s">
        <v>144</v>
      </c>
      <c r="V369" s="39" t="s">
        <v>267</v>
      </c>
      <c r="W369" s="39" t="s">
        <v>2812</v>
      </c>
      <c r="X369" s="39" t="s">
        <v>2813</v>
      </c>
      <c r="Y369" s="39" t="s">
        <v>2814</v>
      </c>
      <c r="Z369" s="39" t="s">
        <v>114</v>
      </c>
      <c r="AA369" s="45">
        <v>50778.0</v>
      </c>
      <c r="AB369" s="46"/>
      <c r="AC369" s="23">
        <v>170.0</v>
      </c>
      <c r="AD369" s="39" t="s">
        <v>66</v>
      </c>
      <c r="AE369" s="39" t="s">
        <v>67</v>
      </c>
      <c r="AF369" s="39" t="s">
        <v>92</v>
      </c>
      <c r="AG369" s="39" t="s">
        <v>130</v>
      </c>
      <c r="AH369" s="39" t="s">
        <v>246</v>
      </c>
      <c r="AI369" s="39">
        <v>8.126332374E9</v>
      </c>
      <c r="AJ369" s="39" t="s">
        <v>2815</v>
      </c>
      <c r="AK369" s="39" t="s">
        <v>2816</v>
      </c>
      <c r="AL369" s="39" t="s">
        <v>2817</v>
      </c>
      <c r="AM369" s="39" t="s">
        <v>96</v>
      </c>
      <c r="AN369" s="39" t="s">
        <v>97</v>
      </c>
      <c r="AO369" s="39" t="s">
        <v>2818</v>
      </c>
      <c r="AP369" s="39" t="s">
        <v>2819</v>
      </c>
      <c r="AQ369" s="39" t="s">
        <v>77</v>
      </c>
      <c r="AR369" s="39" t="s">
        <v>77</v>
      </c>
    </row>
    <row r="370">
      <c r="A370" s="21">
        <f t="shared" si="5"/>
        <v>38</v>
      </c>
      <c r="B370" s="39" t="s">
        <v>2820</v>
      </c>
      <c r="C370" s="57" t="s">
        <v>2821</v>
      </c>
      <c r="D370" s="39">
        <v>9.0</v>
      </c>
      <c r="E370" s="39">
        <v>3.0</v>
      </c>
      <c r="F370" s="39" t="s">
        <v>171</v>
      </c>
      <c r="G370" s="39" t="s">
        <v>172</v>
      </c>
      <c r="H370" s="42">
        <v>41091.0</v>
      </c>
      <c r="I370" s="39" t="s">
        <v>102</v>
      </c>
      <c r="J370" s="39" t="s">
        <v>103</v>
      </c>
      <c r="K370" s="39" t="s">
        <v>228</v>
      </c>
      <c r="L370" s="39" t="s">
        <v>105</v>
      </c>
      <c r="M370" s="42">
        <v>44652.0</v>
      </c>
      <c r="N370" s="39" t="s">
        <v>141</v>
      </c>
      <c r="O370" s="39" t="s">
        <v>229</v>
      </c>
      <c r="P370" s="43"/>
      <c r="Q370" s="39" t="s">
        <v>2570</v>
      </c>
      <c r="R370" s="42">
        <v>45292.0</v>
      </c>
      <c r="S370" s="39" t="s">
        <v>143</v>
      </c>
      <c r="T370" s="46"/>
      <c r="U370" s="39" t="s">
        <v>144</v>
      </c>
      <c r="V370" s="39" t="s">
        <v>89</v>
      </c>
      <c r="W370" s="39" t="s">
        <v>2016</v>
      </c>
      <c r="X370" s="39" t="s">
        <v>2822</v>
      </c>
      <c r="Y370" s="47">
        <v>41538.0</v>
      </c>
      <c r="Z370" s="39" t="s">
        <v>114</v>
      </c>
      <c r="AA370" s="45">
        <v>52601.0</v>
      </c>
      <c r="AB370" s="46"/>
      <c r="AC370" s="23">
        <v>171.0</v>
      </c>
      <c r="AD370" s="39" t="s">
        <v>66</v>
      </c>
      <c r="AE370" s="39" t="s">
        <v>67</v>
      </c>
      <c r="AF370" s="39" t="s">
        <v>92</v>
      </c>
      <c r="AG370" s="39" t="s">
        <v>68</v>
      </c>
      <c r="AH370" s="39" t="s">
        <v>131</v>
      </c>
      <c r="AI370" s="39">
        <v>8.2162195411E10</v>
      </c>
      <c r="AJ370" s="39" t="s">
        <v>2823</v>
      </c>
      <c r="AK370" s="39" t="s">
        <v>2824</v>
      </c>
      <c r="AL370" s="39" t="s">
        <v>2825</v>
      </c>
      <c r="AM370" s="39" t="s">
        <v>96</v>
      </c>
      <c r="AN370" s="39" t="s">
        <v>97</v>
      </c>
      <c r="AO370" s="39" t="s">
        <v>2699</v>
      </c>
      <c r="AP370" s="39" t="s">
        <v>2826</v>
      </c>
      <c r="AQ370" s="43"/>
      <c r="AR370" s="43"/>
    </row>
    <row r="371">
      <c r="A371" s="21">
        <f t="shared" si="5"/>
        <v>39</v>
      </c>
      <c r="B371" s="39" t="s">
        <v>2827</v>
      </c>
      <c r="C371" s="57" t="s">
        <v>2828</v>
      </c>
      <c r="D371" s="39">
        <v>8.0</v>
      </c>
      <c r="E371" s="39">
        <v>4.0</v>
      </c>
      <c r="F371" s="39" t="s">
        <v>80</v>
      </c>
      <c r="G371" s="39" t="s">
        <v>81</v>
      </c>
      <c r="H371" s="42">
        <v>41791.0</v>
      </c>
      <c r="I371" s="39" t="s">
        <v>102</v>
      </c>
      <c r="J371" s="39" t="s">
        <v>103</v>
      </c>
      <c r="K371" s="39" t="s">
        <v>1399</v>
      </c>
      <c r="L371" s="39" t="s">
        <v>105</v>
      </c>
      <c r="M371" s="42">
        <v>44835.0</v>
      </c>
      <c r="N371" s="39" t="s">
        <v>141</v>
      </c>
      <c r="O371" s="39" t="s">
        <v>229</v>
      </c>
      <c r="P371" s="43"/>
      <c r="Q371" s="39" t="s">
        <v>59</v>
      </c>
      <c r="R371" s="42">
        <v>45628.0</v>
      </c>
      <c r="S371" s="39" t="s">
        <v>2829</v>
      </c>
      <c r="T371" s="46"/>
      <c r="U371" s="39" t="s">
        <v>144</v>
      </c>
      <c r="V371" s="39" t="s">
        <v>110</v>
      </c>
      <c r="W371" s="39" t="s">
        <v>2830</v>
      </c>
      <c r="X371" s="39" t="s">
        <v>112</v>
      </c>
      <c r="Y371" s="39" t="s">
        <v>113</v>
      </c>
      <c r="Z371" s="39" t="s">
        <v>65</v>
      </c>
      <c r="AA371" s="45">
        <v>54061.0</v>
      </c>
      <c r="AB371" s="46"/>
      <c r="AC371" s="23">
        <v>172.0</v>
      </c>
      <c r="AD371" s="39" t="s">
        <v>66</v>
      </c>
      <c r="AE371" s="39" t="s">
        <v>67</v>
      </c>
      <c r="AF371" s="43"/>
      <c r="AG371" s="39" t="s">
        <v>68</v>
      </c>
      <c r="AH371" s="43"/>
      <c r="AI371" s="39">
        <v>8.11606069E9</v>
      </c>
      <c r="AJ371" s="39" t="s">
        <v>2831</v>
      </c>
      <c r="AK371" s="39" t="s">
        <v>2832</v>
      </c>
      <c r="AL371" s="39" t="s">
        <v>2833</v>
      </c>
      <c r="AM371" s="39" t="s">
        <v>96</v>
      </c>
      <c r="AN371" s="39" t="s">
        <v>97</v>
      </c>
      <c r="AO371" s="39" t="s">
        <v>213</v>
      </c>
      <c r="AP371" s="39" t="s">
        <v>214</v>
      </c>
      <c r="AQ371" s="43"/>
      <c r="AR371" s="43"/>
    </row>
    <row r="372">
      <c r="A372" s="21">
        <f t="shared" si="5"/>
        <v>40</v>
      </c>
      <c r="B372" s="39" t="s">
        <v>2834</v>
      </c>
      <c r="C372" s="57" t="s">
        <v>2835</v>
      </c>
      <c r="D372" s="39">
        <v>18.0</v>
      </c>
      <c r="E372" s="39">
        <v>8.0</v>
      </c>
      <c r="F372" s="39" t="s">
        <v>50</v>
      </c>
      <c r="G372" s="39" t="s">
        <v>51</v>
      </c>
      <c r="H372" s="42">
        <v>39448.0</v>
      </c>
      <c r="I372" s="39" t="s">
        <v>82</v>
      </c>
      <c r="J372" s="39" t="s">
        <v>83</v>
      </c>
      <c r="K372" s="39" t="s">
        <v>184</v>
      </c>
      <c r="L372" s="39" t="s">
        <v>105</v>
      </c>
      <c r="M372" s="42">
        <v>45870.0</v>
      </c>
      <c r="N372" s="39" t="s">
        <v>141</v>
      </c>
      <c r="O372" s="39" t="s">
        <v>229</v>
      </c>
      <c r="P372" s="43"/>
      <c r="Q372" s="39" t="s">
        <v>2580</v>
      </c>
      <c r="R372" s="42">
        <v>45292.0</v>
      </c>
      <c r="S372" s="39" t="s">
        <v>143</v>
      </c>
      <c r="T372" s="46"/>
      <c r="U372" s="39" t="s">
        <v>144</v>
      </c>
      <c r="V372" s="39" t="s">
        <v>159</v>
      </c>
      <c r="W372" s="39" t="s">
        <v>1354</v>
      </c>
      <c r="X372" s="39" t="s">
        <v>260</v>
      </c>
      <c r="Y372" s="47">
        <v>42333.0</v>
      </c>
      <c r="Z372" s="46"/>
      <c r="AA372" s="45">
        <v>50047.0</v>
      </c>
      <c r="AB372" s="46"/>
      <c r="AC372" s="23">
        <v>173.0</v>
      </c>
      <c r="AD372" s="39" t="s">
        <v>66</v>
      </c>
      <c r="AE372" s="39" t="s">
        <v>67</v>
      </c>
      <c r="AF372" s="39" t="s">
        <v>92</v>
      </c>
      <c r="AG372" s="39" t="s">
        <v>130</v>
      </c>
      <c r="AH372" s="39" t="s">
        <v>246</v>
      </c>
      <c r="AI372" s="39">
        <v>8.21877853E10</v>
      </c>
      <c r="AJ372" s="39" t="s">
        <v>2836</v>
      </c>
      <c r="AK372" s="39" t="s">
        <v>2837</v>
      </c>
      <c r="AL372" s="39" t="s">
        <v>2838</v>
      </c>
      <c r="AM372" s="39" t="s">
        <v>96</v>
      </c>
      <c r="AN372" s="39" t="s">
        <v>74</v>
      </c>
      <c r="AO372" s="39" t="s">
        <v>118</v>
      </c>
      <c r="AP372" s="39" t="s">
        <v>2839</v>
      </c>
      <c r="AQ372" s="43"/>
      <c r="AR372" s="43"/>
    </row>
    <row r="373">
      <c r="A373" s="21">
        <f t="shared" si="5"/>
        <v>41</v>
      </c>
      <c r="B373" s="39" t="s">
        <v>2840</v>
      </c>
      <c r="C373" s="57" t="s">
        <v>2841</v>
      </c>
      <c r="D373" s="39">
        <v>18.0</v>
      </c>
      <c r="E373" s="39">
        <v>9.0</v>
      </c>
      <c r="F373" s="39" t="s">
        <v>171</v>
      </c>
      <c r="G373" s="39" t="s">
        <v>172</v>
      </c>
      <c r="H373" s="42">
        <v>40179.0</v>
      </c>
      <c r="I373" s="39" t="s">
        <v>82</v>
      </c>
      <c r="J373" s="39" t="s">
        <v>83</v>
      </c>
      <c r="K373" s="39" t="s">
        <v>2842</v>
      </c>
      <c r="L373" s="39" t="s">
        <v>105</v>
      </c>
      <c r="M373" s="42">
        <v>45931.0</v>
      </c>
      <c r="N373" s="39" t="s">
        <v>141</v>
      </c>
      <c r="O373" s="39" t="s">
        <v>229</v>
      </c>
      <c r="P373" s="43"/>
      <c r="Q373" s="39" t="s">
        <v>266</v>
      </c>
      <c r="R373" s="42">
        <v>45292.0</v>
      </c>
      <c r="S373" s="39" t="s">
        <v>143</v>
      </c>
      <c r="T373" s="46"/>
      <c r="U373" s="39" t="s">
        <v>144</v>
      </c>
      <c r="V373" s="39" t="s">
        <v>159</v>
      </c>
      <c r="W373" s="39" t="s">
        <v>90</v>
      </c>
      <c r="X373" s="39" t="s">
        <v>648</v>
      </c>
      <c r="Y373" s="39" t="s">
        <v>2581</v>
      </c>
      <c r="Z373" s="46"/>
      <c r="AA373" s="45">
        <v>50781.0</v>
      </c>
      <c r="AB373" s="46"/>
      <c r="AC373" s="23">
        <v>174.0</v>
      </c>
      <c r="AD373" s="39" t="s">
        <v>66</v>
      </c>
      <c r="AE373" s="39" t="s">
        <v>67</v>
      </c>
      <c r="AF373" s="39" t="s">
        <v>2117</v>
      </c>
      <c r="AG373" s="39" t="s">
        <v>130</v>
      </c>
      <c r="AH373" s="39" t="s">
        <v>69</v>
      </c>
      <c r="AI373" s="39">
        <v>8.126557275E9</v>
      </c>
      <c r="AJ373" s="39" t="s">
        <v>2843</v>
      </c>
      <c r="AK373" s="39" t="s">
        <v>2844</v>
      </c>
      <c r="AL373" s="39" t="s">
        <v>2845</v>
      </c>
      <c r="AM373" s="39" t="s">
        <v>96</v>
      </c>
      <c r="AN373" s="43"/>
      <c r="AO373" s="39" t="s">
        <v>75</v>
      </c>
      <c r="AP373" s="39" t="s">
        <v>1236</v>
      </c>
      <c r="AQ373" s="43"/>
      <c r="AR373" s="43"/>
    </row>
    <row r="374">
      <c r="A374" s="21">
        <f t="shared" si="5"/>
        <v>42</v>
      </c>
      <c r="B374" s="39" t="s">
        <v>2846</v>
      </c>
      <c r="C374" s="57" t="s">
        <v>2847</v>
      </c>
      <c r="D374" s="39">
        <v>12.0</v>
      </c>
      <c r="E374" s="39">
        <v>3.0</v>
      </c>
      <c r="F374" s="39" t="s">
        <v>171</v>
      </c>
      <c r="G374" s="39" t="s">
        <v>172</v>
      </c>
      <c r="H374" s="42">
        <v>40178.0</v>
      </c>
      <c r="I374" s="39" t="s">
        <v>182</v>
      </c>
      <c r="J374" s="39" t="s">
        <v>183</v>
      </c>
      <c r="K374" s="39" t="s">
        <v>217</v>
      </c>
      <c r="L374" s="39" t="s">
        <v>105</v>
      </c>
      <c r="M374" s="42">
        <v>45383.0</v>
      </c>
      <c r="N374" s="39" t="s">
        <v>141</v>
      </c>
      <c r="O374" s="39" t="s">
        <v>229</v>
      </c>
      <c r="P374" s="43"/>
      <c r="Q374" s="39" t="s">
        <v>2570</v>
      </c>
      <c r="R374" s="42">
        <v>45292.0</v>
      </c>
      <c r="S374" s="39" t="s">
        <v>143</v>
      </c>
      <c r="T374" s="46"/>
      <c r="U374" s="39" t="s">
        <v>144</v>
      </c>
      <c r="V374" s="39" t="s">
        <v>267</v>
      </c>
      <c r="W374" s="39" t="s">
        <v>2848</v>
      </c>
      <c r="X374" s="39" t="s">
        <v>2849</v>
      </c>
      <c r="Y374" s="39" t="s">
        <v>2850</v>
      </c>
      <c r="Z374" s="46"/>
      <c r="AA374" s="45">
        <v>52963.0</v>
      </c>
      <c r="AB374" s="46"/>
      <c r="AC374" s="23">
        <v>175.0</v>
      </c>
      <c r="AD374" s="39" t="s">
        <v>66</v>
      </c>
      <c r="AE374" s="39" t="s">
        <v>311</v>
      </c>
      <c r="AF374" s="39" t="s">
        <v>92</v>
      </c>
      <c r="AG374" s="39" t="s">
        <v>130</v>
      </c>
      <c r="AH374" s="39" t="s">
        <v>131</v>
      </c>
      <c r="AI374" s="39">
        <v>8.5266558686E10</v>
      </c>
      <c r="AJ374" s="39" t="s">
        <v>2851</v>
      </c>
      <c r="AK374" s="39" t="s">
        <v>2852</v>
      </c>
      <c r="AL374" s="39" t="s">
        <v>2853</v>
      </c>
      <c r="AM374" s="39" t="s">
        <v>96</v>
      </c>
      <c r="AN374" s="39" t="s">
        <v>135</v>
      </c>
      <c r="AO374" s="39" t="s">
        <v>236</v>
      </c>
      <c r="AP374" s="39" t="s">
        <v>527</v>
      </c>
      <c r="AQ374" s="43"/>
      <c r="AR374" s="43"/>
    </row>
    <row r="375">
      <c r="A375" s="21">
        <f t="shared" si="5"/>
        <v>43</v>
      </c>
      <c r="B375" s="39" t="s">
        <v>2854</v>
      </c>
      <c r="C375" s="57" t="s">
        <v>2855</v>
      </c>
      <c r="D375" s="39">
        <v>12.0</v>
      </c>
      <c r="E375" s="39">
        <v>3.0</v>
      </c>
      <c r="F375" s="39" t="s">
        <v>171</v>
      </c>
      <c r="G375" s="39" t="s">
        <v>172</v>
      </c>
      <c r="H375" s="42">
        <v>40179.0</v>
      </c>
      <c r="I375" s="39" t="s">
        <v>182</v>
      </c>
      <c r="J375" s="39" t="s">
        <v>183</v>
      </c>
      <c r="K375" s="39" t="s">
        <v>217</v>
      </c>
      <c r="L375" s="39" t="s">
        <v>105</v>
      </c>
      <c r="M375" s="42">
        <v>45383.0</v>
      </c>
      <c r="N375" s="39" t="s">
        <v>141</v>
      </c>
      <c r="O375" s="39" t="s">
        <v>229</v>
      </c>
      <c r="P375" s="43"/>
      <c r="Q375" s="39" t="s">
        <v>2570</v>
      </c>
      <c r="R375" s="42">
        <v>45292.0</v>
      </c>
      <c r="S375" s="39" t="s">
        <v>143</v>
      </c>
      <c r="T375" s="46"/>
      <c r="U375" s="39" t="s">
        <v>144</v>
      </c>
      <c r="V375" s="39" t="s">
        <v>89</v>
      </c>
      <c r="W375" s="39" t="s">
        <v>218</v>
      </c>
      <c r="X375" s="39" t="s">
        <v>2856</v>
      </c>
      <c r="Y375" s="47">
        <v>44895.0</v>
      </c>
      <c r="Z375" s="39" t="s">
        <v>114</v>
      </c>
      <c r="AA375" s="45">
        <v>52599.0</v>
      </c>
      <c r="AB375" s="46"/>
      <c r="AC375" s="23">
        <v>176.0</v>
      </c>
      <c r="AD375" s="39" t="s">
        <v>66</v>
      </c>
      <c r="AE375" s="39" t="s">
        <v>220</v>
      </c>
      <c r="AF375" s="39" t="s">
        <v>92</v>
      </c>
      <c r="AG375" s="39" t="s">
        <v>68</v>
      </c>
      <c r="AH375" s="39" t="s">
        <v>69</v>
      </c>
      <c r="AI375" s="39">
        <v>8.1397552807E10</v>
      </c>
      <c r="AJ375" s="39" t="s">
        <v>2857</v>
      </c>
      <c r="AK375" s="39" t="s">
        <v>2858</v>
      </c>
      <c r="AL375" s="39" t="s">
        <v>2859</v>
      </c>
      <c r="AM375" s="39" t="s">
        <v>96</v>
      </c>
      <c r="AN375" s="39" t="s">
        <v>135</v>
      </c>
      <c r="AO375" s="39" t="s">
        <v>1511</v>
      </c>
      <c r="AP375" s="39" t="s">
        <v>2275</v>
      </c>
      <c r="AQ375" s="43"/>
      <c r="AR375" s="43"/>
    </row>
    <row r="376">
      <c r="A376" s="21">
        <f t="shared" si="5"/>
        <v>44</v>
      </c>
      <c r="B376" s="39" t="s">
        <v>2860</v>
      </c>
      <c r="C376" s="57" t="s">
        <v>2861</v>
      </c>
      <c r="D376" s="39">
        <v>15.0</v>
      </c>
      <c r="E376" s="39">
        <v>1.0</v>
      </c>
      <c r="F376" s="39" t="s">
        <v>50</v>
      </c>
      <c r="G376" s="39" t="s">
        <v>51</v>
      </c>
      <c r="H376" s="42">
        <v>34669.0</v>
      </c>
      <c r="I376" s="39" t="s">
        <v>182</v>
      </c>
      <c r="J376" s="39" t="s">
        <v>183</v>
      </c>
      <c r="K376" s="39" t="s">
        <v>1580</v>
      </c>
      <c r="L376" s="39" t="s">
        <v>1314</v>
      </c>
      <c r="M376" s="42">
        <v>41365.0</v>
      </c>
      <c r="N376" s="39" t="s">
        <v>141</v>
      </c>
      <c r="O376" s="39" t="s">
        <v>196</v>
      </c>
      <c r="P376" s="43"/>
      <c r="Q376" s="39" t="s">
        <v>2570</v>
      </c>
      <c r="R376" s="42">
        <v>45292.0</v>
      </c>
      <c r="S376" s="39" t="s">
        <v>143</v>
      </c>
      <c r="T376" s="46"/>
      <c r="U376" s="39" t="s">
        <v>144</v>
      </c>
      <c r="V376" s="39" t="s">
        <v>285</v>
      </c>
      <c r="W376" s="39" t="s">
        <v>2862</v>
      </c>
      <c r="X376" s="39" t="s">
        <v>2863</v>
      </c>
      <c r="Y376" s="39" t="s">
        <v>2864</v>
      </c>
      <c r="Z376" s="39" t="s">
        <v>114</v>
      </c>
      <c r="AA376" s="45">
        <v>47490.0</v>
      </c>
      <c r="AB376" s="46"/>
      <c r="AC376" s="23">
        <v>177.0</v>
      </c>
      <c r="AD376" s="39" t="s">
        <v>66</v>
      </c>
      <c r="AE376" s="39" t="s">
        <v>67</v>
      </c>
      <c r="AF376" s="39" t="s">
        <v>92</v>
      </c>
      <c r="AG376" s="39" t="s">
        <v>130</v>
      </c>
      <c r="AH376" s="39" t="s">
        <v>131</v>
      </c>
      <c r="AI376" s="39">
        <v>8.1361442644E10</v>
      </c>
      <c r="AJ376" s="39" t="s">
        <v>2865</v>
      </c>
      <c r="AK376" s="39" t="s">
        <v>2866</v>
      </c>
      <c r="AL376" s="39" t="s">
        <v>2867</v>
      </c>
      <c r="AM376" s="39" t="s">
        <v>96</v>
      </c>
      <c r="AN376" s="39" t="s">
        <v>74</v>
      </c>
      <c r="AO376" s="39" t="s">
        <v>118</v>
      </c>
      <c r="AP376" s="39" t="s">
        <v>1848</v>
      </c>
      <c r="AQ376" s="43"/>
      <c r="AR376" s="43"/>
    </row>
    <row r="377">
      <c r="A377" s="21">
        <f t="shared" si="5"/>
        <v>45</v>
      </c>
      <c r="B377" s="39" t="s">
        <v>2868</v>
      </c>
      <c r="C377" s="57" t="s">
        <v>2869</v>
      </c>
      <c r="D377" s="39">
        <v>8.0</v>
      </c>
      <c r="E377" s="39">
        <v>9.0</v>
      </c>
      <c r="F377" s="39" t="s">
        <v>50</v>
      </c>
      <c r="G377" s="39" t="s">
        <v>51</v>
      </c>
      <c r="H377" s="42">
        <v>40179.0</v>
      </c>
      <c r="I377" s="39" t="s">
        <v>80</v>
      </c>
      <c r="J377" s="39" t="s">
        <v>81</v>
      </c>
      <c r="K377" s="39" t="s">
        <v>2870</v>
      </c>
      <c r="L377" s="39" t="s">
        <v>61</v>
      </c>
      <c r="M377" s="42">
        <v>45200.0</v>
      </c>
      <c r="N377" s="39" t="s">
        <v>141</v>
      </c>
      <c r="O377" s="39" t="s">
        <v>229</v>
      </c>
      <c r="P377" s="43"/>
      <c r="Q377" s="39" t="s">
        <v>59</v>
      </c>
      <c r="R377" s="42">
        <v>45292.0</v>
      </c>
      <c r="S377" s="39" t="s">
        <v>143</v>
      </c>
      <c r="T377" s="46"/>
      <c r="U377" s="39" t="s">
        <v>144</v>
      </c>
      <c r="V377" s="39" t="s">
        <v>89</v>
      </c>
      <c r="W377" s="39" t="s">
        <v>218</v>
      </c>
      <c r="X377" s="39" t="s">
        <v>1119</v>
      </c>
      <c r="Y377" s="39" t="s">
        <v>2871</v>
      </c>
      <c r="Z377" s="39" t="s">
        <v>114</v>
      </c>
      <c r="AA377" s="45">
        <v>52597.0</v>
      </c>
      <c r="AB377" s="46"/>
      <c r="AC377" s="23">
        <v>178.0</v>
      </c>
      <c r="AD377" s="39" t="s">
        <v>66</v>
      </c>
      <c r="AE377" s="39" t="s">
        <v>67</v>
      </c>
      <c r="AF377" s="39" t="s">
        <v>92</v>
      </c>
      <c r="AG377" s="39" t="s">
        <v>130</v>
      </c>
      <c r="AH377" s="39" t="s">
        <v>69</v>
      </c>
      <c r="AI377" s="39">
        <v>8.5261161229E10</v>
      </c>
      <c r="AJ377" s="39" t="s">
        <v>2872</v>
      </c>
      <c r="AK377" s="39" t="s">
        <v>2873</v>
      </c>
      <c r="AL377" s="39" t="s">
        <v>2874</v>
      </c>
      <c r="AM377" s="39" t="s">
        <v>96</v>
      </c>
      <c r="AN377" s="39" t="s">
        <v>74</v>
      </c>
      <c r="AO377" s="39" t="s">
        <v>454</v>
      </c>
      <c r="AP377" s="39" t="s">
        <v>982</v>
      </c>
      <c r="AQ377" s="43"/>
      <c r="AR377" s="43"/>
    </row>
    <row r="378">
      <c r="A378" s="21">
        <f t="shared" si="5"/>
        <v>46</v>
      </c>
      <c r="B378" s="39" t="s">
        <v>2875</v>
      </c>
      <c r="C378" s="57" t="s">
        <v>2876</v>
      </c>
      <c r="D378" s="39">
        <v>14.0</v>
      </c>
      <c r="E378" s="39">
        <v>9.0</v>
      </c>
      <c r="F378" s="39" t="s">
        <v>50</v>
      </c>
      <c r="G378" s="39" t="s">
        <v>51</v>
      </c>
      <c r="H378" s="42">
        <v>39845.0</v>
      </c>
      <c r="I378" s="39" t="s">
        <v>80</v>
      </c>
      <c r="J378" s="39" t="s">
        <v>81</v>
      </c>
      <c r="K378" s="39" t="s">
        <v>2870</v>
      </c>
      <c r="L378" s="39" t="s">
        <v>61</v>
      </c>
      <c r="M378" s="42">
        <v>45200.0</v>
      </c>
      <c r="N378" s="39" t="s">
        <v>141</v>
      </c>
      <c r="O378" s="39" t="s">
        <v>229</v>
      </c>
      <c r="P378" s="43"/>
      <c r="Q378" s="39" t="s">
        <v>59</v>
      </c>
      <c r="R378" s="42">
        <v>45292.0</v>
      </c>
      <c r="S378" s="39" t="s">
        <v>143</v>
      </c>
      <c r="T378" s="46"/>
      <c r="U378" s="39" t="s">
        <v>144</v>
      </c>
      <c r="V378" s="39" t="s">
        <v>89</v>
      </c>
      <c r="W378" s="39" t="s">
        <v>218</v>
      </c>
      <c r="X378" s="39" t="s">
        <v>1119</v>
      </c>
      <c r="Y378" s="39" t="s">
        <v>2877</v>
      </c>
      <c r="Z378" s="39" t="s">
        <v>114</v>
      </c>
      <c r="AA378" s="45">
        <v>49321.0</v>
      </c>
      <c r="AB378" s="46"/>
      <c r="AC378" s="23">
        <v>179.0</v>
      </c>
      <c r="AD378" s="39" t="s">
        <v>66</v>
      </c>
      <c r="AE378" s="39" t="s">
        <v>67</v>
      </c>
      <c r="AF378" s="39" t="s">
        <v>92</v>
      </c>
      <c r="AG378" s="39" t="s">
        <v>68</v>
      </c>
      <c r="AH378" s="39" t="s">
        <v>246</v>
      </c>
      <c r="AI378" s="39">
        <v>8.126560656E10</v>
      </c>
      <c r="AJ378" s="39" t="s">
        <v>2878</v>
      </c>
      <c r="AK378" s="39" t="s">
        <v>2879</v>
      </c>
      <c r="AL378" s="39" t="s">
        <v>2880</v>
      </c>
      <c r="AM378" s="39" t="s">
        <v>96</v>
      </c>
      <c r="AN378" s="39" t="s">
        <v>514</v>
      </c>
      <c r="AO378" s="39" t="s">
        <v>1030</v>
      </c>
      <c r="AP378" s="39" t="s">
        <v>2881</v>
      </c>
      <c r="AQ378" s="43"/>
      <c r="AR378" s="43"/>
    </row>
    <row r="379">
      <c r="A379" s="21">
        <f t="shared" si="5"/>
        <v>47</v>
      </c>
      <c r="B379" s="39" t="s">
        <v>2882</v>
      </c>
      <c r="C379" s="57" t="s">
        <v>2883</v>
      </c>
      <c r="D379" s="39">
        <v>13.0</v>
      </c>
      <c r="E379" s="39">
        <v>11.0</v>
      </c>
      <c r="F379" s="39" t="s">
        <v>171</v>
      </c>
      <c r="G379" s="39" t="s">
        <v>172</v>
      </c>
      <c r="H379" s="42">
        <v>40179.0</v>
      </c>
      <c r="I379" s="39" t="s">
        <v>182</v>
      </c>
      <c r="J379" s="39" t="s">
        <v>183</v>
      </c>
      <c r="K379" s="39" t="s">
        <v>2223</v>
      </c>
      <c r="L379" s="39" t="s">
        <v>105</v>
      </c>
      <c r="M379" s="42">
        <v>45992.0</v>
      </c>
      <c r="N379" s="39" t="s">
        <v>141</v>
      </c>
      <c r="O379" s="39" t="s">
        <v>173</v>
      </c>
      <c r="P379" s="43"/>
      <c r="Q379" s="39" t="s">
        <v>2570</v>
      </c>
      <c r="R379" s="42">
        <v>45292.0</v>
      </c>
      <c r="S379" s="39" t="s">
        <v>143</v>
      </c>
      <c r="T379" s="46"/>
      <c r="U379" s="39" t="s">
        <v>144</v>
      </c>
      <c r="V379" s="39" t="s">
        <v>89</v>
      </c>
      <c r="W379" s="39" t="s">
        <v>218</v>
      </c>
      <c r="X379" s="39" t="s">
        <v>641</v>
      </c>
      <c r="Y379" s="39" t="s">
        <v>2884</v>
      </c>
      <c r="Z379" s="46"/>
      <c r="AA379" s="45">
        <v>52969.0</v>
      </c>
      <c r="AB379" s="46"/>
      <c r="AC379" s="23">
        <v>180.0</v>
      </c>
      <c r="AD379" s="39" t="s">
        <v>66</v>
      </c>
      <c r="AE379" s="39" t="s">
        <v>67</v>
      </c>
      <c r="AF379" s="39" t="s">
        <v>92</v>
      </c>
      <c r="AG379" s="39" t="s">
        <v>68</v>
      </c>
      <c r="AH379" s="43"/>
      <c r="AI379" s="39">
        <v>8.5275097922E10</v>
      </c>
      <c r="AJ379" s="39" t="s">
        <v>2885</v>
      </c>
      <c r="AK379" s="39" t="s">
        <v>2886</v>
      </c>
      <c r="AL379" s="39" t="s">
        <v>2887</v>
      </c>
      <c r="AM379" s="39" t="s">
        <v>96</v>
      </c>
      <c r="AN379" s="39" t="s">
        <v>150</v>
      </c>
      <c r="AO379" s="39" t="s">
        <v>1060</v>
      </c>
      <c r="AP379" s="39" t="s">
        <v>2888</v>
      </c>
      <c r="AQ379" s="43"/>
      <c r="AR379" s="43"/>
    </row>
    <row r="380">
      <c r="A380" s="21">
        <f t="shared" si="5"/>
        <v>48</v>
      </c>
      <c r="B380" s="39" t="s">
        <v>2889</v>
      </c>
      <c r="C380" s="57" t="s">
        <v>2890</v>
      </c>
      <c r="D380" s="39">
        <v>12.0</v>
      </c>
      <c r="E380" s="39">
        <v>9.0</v>
      </c>
      <c r="F380" s="39" t="s">
        <v>50</v>
      </c>
      <c r="G380" s="39" t="s">
        <v>51</v>
      </c>
      <c r="H380" s="42">
        <v>40179.0</v>
      </c>
      <c r="I380" s="39" t="s">
        <v>80</v>
      </c>
      <c r="J380" s="39" t="s">
        <v>81</v>
      </c>
      <c r="K380" s="39" t="s">
        <v>2568</v>
      </c>
      <c r="L380" s="39" t="s">
        <v>105</v>
      </c>
      <c r="M380" s="42">
        <v>44835.0</v>
      </c>
      <c r="N380" s="39" t="s">
        <v>141</v>
      </c>
      <c r="O380" s="39" t="s">
        <v>229</v>
      </c>
      <c r="P380" s="43"/>
      <c r="Q380" s="39" t="s">
        <v>59</v>
      </c>
      <c r="R380" s="42">
        <v>45324.0</v>
      </c>
      <c r="S380" s="39" t="s">
        <v>2891</v>
      </c>
      <c r="T380" s="46"/>
      <c r="U380" s="39" t="s">
        <v>144</v>
      </c>
      <c r="V380" s="39" t="s">
        <v>89</v>
      </c>
      <c r="W380" s="39" t="s">
        <v>2132</v>
      </c>
      <c r="X380" s="39" t="s">
        <v>2892</v>
      </c>
      <c r="Y380" s="39" t="s">
        <v>2893</v>
      </c>
      <c r="Z380" s="39" t="s">
        <v>114</v>
      </c>
      <c r="AA380" s="45">
        <v>51878.0</v>
      </c>
      <c r="AB380" s="46"/>
      <c r="AC380" s="23">
        <v>181.0</v>
      </c>
      <c r="AD380" s="39" t="s">
        <v>66</v>
      </c>
      <c r="AE380" s="39" t="s">
        <v>220</v>
      </c>
      <c r="AF380" s="39" t="s">
        <v>92</v>
      </c>
      <c r="AG380" s="39" t="s">
        <v>130</v>
      </c>
      <c r="AH380" s="39" t="s">
        <v>69</v>
      </c>
      <c r="AI380" s="39">
        <v>8.1379175527E10</v>
      </c>
      <c r="AJ380" s="39" t="s">
        <v>2894</v>
      </c>
      <c r="AK380" s="39" t="s">
        <v>2895</v>
      </c>
      <c r="AL380" s="39" t="s">
        <v>2896</v>
      </c>
      <c r="AM380" s="39" t="s">
        <v>73</v>
      </c>
      <c r="AN380" s="39" t="s">
        <v>74</v>
      </c>
      <c r="AO380" s="39" t="s">
        <v>360</v>
      </c>
      <c r="AP380" s="39" t="s">
        <v>2897</v>
      </c>
      <c r="AQ380" s="39">
        <v>8.0</v>
      </c>
      <c r="AR380" s="39">
        <v>3.0</v>
      </c>
    </row>
    <row r="381">
      <c r="A381" s="21">
        <f t="shared" si="5"/>
        <v>49</v>
      </c>
      <c r="B381" s="39" t="s">
        <v>2898</v>
      </c>
      <c r="C381" s="57" t="s">
        <v>2899</v>
      </c>
      <c r="D381" s="39">
        <v>17.0</v>
      </c>
      <c r="E381" s="39">
        <v>9.0</v>
      </c>
      <c r="F381" s="39" t="s">
        <v>50</v>
      </c>
      <c r="G381" s="39" t="s">
        <v>51</v>
      </c>
      <c r="H381" s="42">
        <v>39448.0</v>
      </c>
      <c r="I381" s="39" t="s">
        <v>80</v>
      </c>
      <c r="J381" s="39" t="s">
        <v>81</v>
      </c>
      <c r="K381" s="39" t="s">
        <v>2215</v>
      </c>
      <c r="L381" s="39" t="s">
        <v>105</v>
      </c>
      <c r="M381" s="42">
        <v>45748.0</v>
      </c>
      <c r="N381" s="39" t="s">
        <v>141</v>
      </c>
      <c r="O381" s="39" t="s">
        <v>173</v>
      </c>
      <c r="P381" s="43"/>
      <c r="Q381" s="39" t="s">
        <v>2580</v>
      </c>
      <c r="R381" s="42">
        <v>45292.0</v>
      </c>
      <c r="S381" s="39" t="s">
        <v>143</v>
      </c>
      <c r="T381" s="46"/>
      <c r="U381" s="39" t="s">
        <v>144</v>
      </c>
      <c r="V381" s="39" t="s">
        <v>89</v>
      </c>
      <c r="W381" s="39" t="s">
        <v>90</v>
      </c>
      <c r="X381" s="39" t="s">
        <v>2900</v>
      </c>
      <c r="Y381" s="39" t="s">
        <v>2901</v>
      </c>
      <c r="Z381" s="46"/>
      <c r="AA381" s="45">
        <v>49676.0</v>
      </c>
      <c r="AB381" s="46"/>
      <c r="AC381" s="23">
        <v>182.0</v>
      </c>
      <c r="AD381" s="39" t="s">
        <v>66</v>
      </c>
      <c r="AE381" s="39" t="s">
        <v>67</v>
      </c>
      <c r="AF381" s="39" t="s">
        <v>92</v>
      </c>
      <c r="AG381" s="39" t="s">
        <v>68</v>
      </c>
      <c r="AH381" s="39" t="s">
        <v>131</v>
      </c>
      <c r="AI381" s="39">
        <v>8.5296594406E10</v>
      </c>
      <c r="AJ381" s="39" t="s">
        <v>2902</v>
      </c>
      <c r="AK381" s="39" t="s">
        <v>2903</v>
      </c>
      <c r="AL381" s="39" t="s">
        <v>2904</v>
      </c>
      <c r="AM381" s="39" t="s">
        <v>96</v>
      </c>
      <c r="AN381" s="39" t="s">
        <v>97</v>
      </c>
      <c r="AO381" s="39" t="s">
        <v>932</v>
      </c>
      <c r="AP381" s="39" t="s">
        <v>1074</v>
      </c>
      <c r="AQ381" s="43"/>
      <c r="AR381" s="43"/>
    </row>
    <row r="382">
      <c r="A382" s="21">
        <f t="shared" si="5"/>
        <v>50</v>
      </c>
      <c r="B382" s="39" t="s">
        <v>2905</v>
      </c>
      <c r="C382" s="57" t="s">
        <v>2906</v>
      </c>
      <c r="D382" s="39">
        <v>21.0</v>
      </c>
      <c r="E382" s="39">
        <v>0.0</v>
      </c>
      <c r="F382" s="39" t="s">
        <v>50</v>
      </c>
      <c r="G382" s="39" t="s">
        <v>51</v>
      </c>
      <c r="H382" s="42">
        <v>39448.0</v>
      </c>
      <c r="I382" s="39" t="s">
        <v>171</v>
      </c>
      <c r="J382" s="39" t="s">
        <v>172</v>
      </c>
      <c r="K382" s="39" t="s">
        <v>104</v>
      </c>
      <c r="L382" s="39" t="s">
        <v>105</v>
      </c>
      <c r="M382" s="42">
        <v>45017.0</v>
      </c>
      <c r="N382" s="39" t="s">
        <v>141</v>
      </c>
      <c r="O382" s="39" t="s">
        <v>196</v>
      </c>
      <c r="P382" s="43"/>
      <c r="Q382" s="39" t="s">
        <v>2570</v>
      </c>
      <c r="R382" s="42">
        <v>45292.0</v>
      </c>
      <c r="S382" s="39" t="s">
        <v>143</v>
      </c>
      <c r="T382" s="46"/>
      <c r="U382" s="39" t="s">
        <v>144</v>
      </c>
      <c r="V382" s="39" t="s">
        <v>285</v>
      </c>
      <c r="W382" s="43"/>
      <c r="X382" s="39" t="s">
        <v>2907</v>
      </c>
      <c r="Y382" s="39" t="s">
        <v>2908</v>
      </c>
      <c r="Z382" s="39" t="s">
        <v>114</v>
      </c>
      <c r="AA382" s="45">
        <v>46397.0</v>
      </c>
      <c r="AB382" s="46"/>
      <c r="AC382" s="23">
        <v>183.0</v>
      </c>
      <c r="AD382" s="39" t="s">
        <v>66</v>
      </c>
      <c r="AE382" s="39" t="s">
        <v>67</v>
      </c>
      <c r="AF382" s="39" t="s">
        <v>92</v>
      </c>
      <c r="AG382" s="39" t="s">
        <v>68</v>
      </c>
      <c r="AH382" s="39" t="s">
        <v>69</v>
      </c>
      <c r="AI382" s="39">
        <v>8.126422541E9</v>
      </c>
      <c r="AJ382" s="39" t="s">
        <v>2909</v>
      </c>
      <c r="AK382" s="39" t="s">
        <v>2910</v>
      </c>
      <c r="AL382" s="39" t="s">
        <v>2911</v>
      </c>
      <c r="AM382" s="39" t="s">
        <v>96</v>
      </c>
      <c r="AN382" s="39" t="s">
        <v>481</v>
      </c>
      <c r="AO382" s="39" t="s">
        <v>191</v>
      </c>
      <c r="AP382" s="39" t="s">
        <v>836</v>
      </c>
      <c r="AQ382" s="39" t="s">
        <v>77</v>
      </c>
      <c r="AR382" s="39" t="s">
        <v>77</v>
      </c>
    </row>
    <row r="383">
      <c r="A383" s="75">
        <v>53.0</v>
      </c>
      <c r="B383" s="72" t="s">
        <v>2912</v>
      </c>
      <c r="C383" s="73" t="s">
        <v>2913</v>
      </c>
      <c r="D383" s="74"/>
      <c r="E383" s="74"/>
      <c r="F383" s="74"/>
      <c r="G383" s="75" t="s">
        <v>531</v>
      </c>
      <c r="H383" s="76">
        <v>45901.0</v>
      </c>
      <c r="I383" s="77"/>
      <c r="J383" s="75" t="s">
        <v>531</v>
      </c>
      <c r="K383" s="75" t="s">
        <v>518</v>
      </c>
      <c r="L383" s="72" t="s">
        <v>105</v>
      </c>
      <c r="M383" s="76">
        <v>45901.0</v>
      </c>
      <c r="N383" s="74"/>
      <c r="O383" s="133"/>
      <c r="P383" s="74"/>
      <c r="Q383" s="72" t="s">
        <v>2914</v>
      </c>
      <c r="R383" s="76">
        <v>45901.0</v>
      </c>
      <c r="S383" s="72" t="s">
        <v>518</v>
      </c>
      <c r="T383" s="78">
        <v>45826.0</v>
      </c>
      <c r="U383" s="72" t="s">
        <v>144</v>
      </c>
      <c r="V383" s="72" t="s">
        <v>285</v>
      </c>
      <c r="W383" s="72" t="s">
        <v>285</v>
      </c>
      <c r="X383" s="77"/>
      <c r="Y383" s="86"/>
      <c r="Z383" s="77"/>
      <c r="AA383" s="80"/>
      <c r="AB383" s="80"/>
      <c r="AC383" s="81">
        <v>380.0</v>
      </c>
      <c r="AD383" s="72" t="s">
        <v>522</v>
      </c>
      <c r="AE383" s="82" t="s">
        <v>67</v>
      </c>
      <c r="AF383" s="77"/>
      <c r="AG383" s="72" t="s">
        <v>68</v>
      </c>
      <c r="AH383" s="77"/>
      <c r="AI383" s="77"/>
      <c r="AJ383" s="77"/>
      <c r="AK383" s="134"/>
      <c r="AL383" s="77"/>
      <c r="AM383" s="77"/>
      <c r="AN383" s="77"/>
      <c r="AO383" s="77"/>
      <c r="AP383" s="77"/>
      <c r="AQ383" s="77"/>
      <c r="AR383" s="77"/>
    </row>
    <row r="384">
      <c r="A384" s="75">
        <v>54.0</v>
      </c>
      <c r="B384" s="72" t="s">
        <v>2915</v>
      </c>
      <c r="C384" s="73" t="s">
        <v>2916</v>
      </c>
      <c r="D384" s="74"/>
      <c r="E384" s="74"/>
      <c r="F384" s="74"/>
      <c r="G384" s="75" t="s">
        <v>531</v>
      </c>
      <c r="H384" s="76">
        <v>45901.0</v>
      </c>
      <c r="I384" s="77"/>
      <c r="J384" s="75" t="s">
        <v>531</v>
      </c>
      <c r="K384" s="75" t="s">
        <v>518</v>
      </c>
      <c r="L384" s="72" t="s">
        <v>105</v>
      </c>
      <c r="M384" s="76">
        <v>45901.0</v>
      </c>
      <c r="N384" s="74"/>
      <c r="O384" s="77"/>
      <c r="P384" s="74"/>
      <c r="Q384" s="72" t="s">
        <v>2914</v>
      </c>
      <c r="R384" s="76">
        <v>45901.0</v>
      </c>
      <c r="S384" s="72" t="s">
        <v>518</v>
      </c>
      <c r="T384" s="78">
        <v>45826.0</v>
      </c>
      <c r="U384" s="72" t="s">
        <v>144</v>
      </c>
      <c r="V384" s="72" t="s">
        <v>285</v>
      </c>
      <c r="W384" s="72" t="s">
        <v>2917</v>
      </c>
      <c r="X384" s="72" t="s">
        <v>2918</v>
      </c>
      <c r="Y384" s="84">
        <v>38152.0</v>
      </c>
      <c r="Z384" s="77"/>
      <c r="AA384" s="80"/>
      <c r="AB384" s="80"/>
      <c r="AC384" s="81">
        <v>381.0</v>
      </c>
      <c r="AD384" s="72" t="s">
        <v>522</v>
      </c>
      <c r="AE384" s="82" t="s">
        <v>220</v>
      </c>
      <c r="AF384" s="77"/>
      <c r="AG384" s="72" t="s">
        <v>68</v>
      </c>
      <c r="AH384" s="77"/>
      <c r="AI384" s="82">
        <v>8.2167963679E10</v>
      </c>
      <c r="AJ384" s="82" t="s">
        <v>2919</v>
      </c>
      <c r="AK384" s="85" t="s">
        <v>2920</v>
      </c>
      <c r="AL384" s="82" t="s">
        <v>2921</v>
      </c>
      <c r="AM384" s="72" t="s">
        <v>96</v>
      </c>
      <c r="AN384" s="72" t="s">
        <v>481</v>
      </c>
      <c r="AO384" s="82" t="s">
        <v>75</v>
      </c>
      <c r="AP384" s="82" t="s">
        <v>2922</v>
      </c>
      <c r="AQ384" s="72">
        <v>0.0</v>
      </c>
      <c r="AR384" s="72">
        <v>0.0</v>
      </c>
    </row>
    <row r="385">
      <c r="A385" s="75">
        <v>55.0</v>
      </c>
      <c r="B385" s="72" t="s">
        <v>2923</v>
      </c>
      <c r="C385" s="73" t="s">
        <v>2924</v>
      </c>
      <c r="D385" s="74"/>
      <c r="E385" s="74"/>
      <c r="F385" s="74"/>
      <c r="G385" s="75" t="s">
        <v>550</v>
      </c>
      <c r="H385" s="76">
        <v>45901.0</v>
      </c>
      <c r="I385" s="77"/>
      <c r="J385" s="75" t="s">
        <v>550</v>
      </c>
      <c r="K385" s="75" t="s">
        <v>518</v>
      </c>
      <c r="L385" s="72" t="s">
        <v>105</v>
      </c>
      <c r="M385" s="76">
        <v>45901.0</v>
      </c>
      <c r="N385" s="74"/>
      <c r="O385" s="77"/>
      <c r="P385" s="74"/>
      <c r="Q385" s="72" t="s">
        <v>2914</v>
      </c>
      <c r="R385" s="76">
        <v>45901.0</v>
      </c>
      <c r="S385" s="72" t="s">
        <v>518</v>
      </c>
      <c r="T385" s="78">
        <v>45826.0</v>
      </c>
      <c r="U385" s="72" t="s">
        <v>144</v>
      </c>
      <c r="V385" s="72" t="s">
        <v>89</v>
      </c>
      <c r="W385" s="72" t="s">
        <v>2925</v>
      </c>
      <c r="X385" s="72" t="s">
        <v>641</v>
      </c>
      <c r="Y385" s="79">
        <v>44537.0</v>
      </c>
      <c r="Z385" s="77"/>
      <c r="AA385" s="80"/>
      <c r="AB385" s="80"/>
      <c r="AC385" s="81">
        <v>382.0</v>
      </c>
      <c r="AD385" s="72" t="s">
        <v>522</v>
      </c>
      <c r="AE385" s="82" t="s">
        <v>67</v>
      </c>
      <c r="AF385" s="77"/>
      <c r="AG385" s="72" t="s">
        <v>68</v>
      </c>
      <c r="AH385" s="77"/>
      <c r="AI385" s="82">
        <v>8.9514855464E10</v>
      </c>
      <c r="AJ385" s="82" t="s">
        <v>2926</v>
      </c>
      <c r="AK385" s="85" t="s">
        <v>2927</v>
      </c>
      <c r="AL385" s="82" t="s">
        <v>2928</v>
      </c>
      <c r="AM385" s="72" t="s">
        <v>96</v>
      </c>
      <c r="AN385" s="72" t="s">
        <v>481</v>
      </c>
      <c r="AO385" s="82" t="s">
        <v>499</v>
      </c>
      <c r="AP385" s="82" t="s">
        <v>464</v>
      </c>
      <c r="AQ385" s="77"/>
      <c r="AR385" s="77"/>
    </row>
    <row r="386">
      <c r="A386" s="75">
        <v>56.0</v>
      </c>
      <c r="B386" s="72" t="s">
        <v>2929</v>
      </c>
      <c r="C386" s="73" t="s">
        <v>2930</v>
      </c>
      <c r="D386" s="74"/>
      <c r="E386" s="74"/>
      <c r="F386" s="74"/>
      <c r="G386" s="75" t="s">
        <v>517</v>
      </c>
      <c r="H386" s="76">
        <v>45901.0</v>
      </c>
      <c r="I386" s="77"/>
      <c r="J386" s="75" t="s">
        <v>517</v>
      </c>
      <c r="K386" s="75" t="s">
        <v>518</v>
      </c>
      <c r="L386" s="72" t="s">
        <v>105</v>
      </c>
      <c r="M386" s="76">
        <v>45901.0</v>
      </c>
      <c r="N386" s="74"/>
      <c r="O386" s="77"/>
      <c r="P386" s="74"/>
      <c r="Q386" s="72" t="s">
        <v>2914</v>
      </c>
      <c r="R386" s="76">
        <v>45901.0</v>
      </c>
      <c r="S386" s="72" t="s">
        <v>518</v>
      </c>
      <c r="T386" s="78">
        <v>45826.0</v>
      </c>
      <c r="U386" s="72" t="s">
        <v>144</v>
      </c>
      <c r="V386" s="72" t="s">
        <v>267</v>
      </c>
      <c r="W386" s="72" t="s">
        <v>2931</v>
      </c>
      <c r="X386" s="72" t="s">
        <v>2932</v>
      </c>
      <c r="Y386" s="79">
        <v>41891.0</v>
      </c>
      <c r="Z386" s="77"/>
      <c r="AA386" s="80"/>
      <c r="AB386" s="80"/>
      <c r="AC386" s="81">
        <v>383.0</v>
      </c>
      <c r="AD386" s="72" t="s">
        <v>522</v>
      </c>
      <c r="AE386" s="82" t="s">
        <v>220</v>
      </c>
      <c r="AF386" s="72" t="s">
        <v>92</v>
      </c>
      <c r="AG386" s="72" t="s">
        <v>68</v>
      </c>
      <c r="AH386" s="77"/>
      <c r="AI386" s="82">
        <v>8.1220418707E10</v>
      </c>
      <c r="AJ386" s="82" t="s">
        <v>2933</v>
      </c>
      <c r="AK386" s="85" t="s">
        <v>2934</v>
      </c>
      <c r="AL386" s="82" t="s">
        <v>2935</v>
      </c>
      <c r="AM386" s="72" t="s">
        <v>96</v>
      </c>
      <c r="AN386" s="72" t="s">
        <v>481</v>
      </c>
      <c r="AO386" s="82" t="s">
        <v>1511</v>
      </c>
      <c r="AP386" s="82" t="s">
        <v>1145</v>
      </c>
      <c r="AQ386" s="77"/>
      <c r="AR386" s="77"/>
    </row>
    <row r="387">
      <c r="A387" s="75">
        <v>57.0</v>
      </c>
      <c r="B387" s="72" t="s">
        <v>2936</v>
      </c>
      <c r="C387" s="73" t="s">
        <v>2937</v>
      </c>
      <c r="D387" s="74"/>
      <c r="E387" s="74"/>
      <c r="F387" s="74"/>
      <c r="G387" s="75" t="s">
        <v>517</v>
      </c>
      <c r="H387" s="76">
        <v>45901.0</v>
      </c>
      <c r="I387" s="77"/>
      <c r="J387" s="75" t="s">
        <v>517</v>
      </c>
      <c r="K387" s="75" t="s">
        <v>518</v>
      </c>
      <c r="L387" s="72" t="s">
        <v>105</v>
      </c>
      <c r="M387" s="76">
        <v>45901.0</v>
      </c>
      <c r="N387" s="74"/>
      <c r="O387" s="77"/>
      <c r="P387" s="74"/>
      <c r="Q387" s="72" t="s">
        <v>2914</v>
      </c>
      <c r="R387" s="76">
        <v>45901.0</v>
      </c>
      <c r="S387" s="72" t="s">
        <v>518</v>
      </c>
      <c r="T387" s="78">
        <v>45826.0</v>
      </c>
      <c r="U387" s="72" t="s">
        <v>144</v>
      </c>
      <c r="V387" s="72" t="s">
        <v>267</v>
      </c>
      <c r="W387" s="72" t="s">
        <v>569</v>
      </c>
      <c r="X387" s="72" t="s">
        <v>2938</v>
      </c>
      <c r="Y387" s="84">
        <v>41923.0</v>
      </c>
      <c r="Z387" s="77"/>
      <c r="AA387" s="80"/>
      <c r="AB387" s="80"/>
      <c r="AC387" s="81">
        <v>384.0</v>
      </c>
      <c r="AD387" s="72" t="s">
        <v>522</v>
      </c>
      <c r="AE387" s="82" t="s">
        <v>311</v>
      </c>
      <c r="AF387" s="72" t="s">
        <v>92</v>
      </c>
      <c r="AG387" s="72" t="s">
        <v>130</v>
      </c>
      <c r="AH387" s="77"/>
      <c r="AI387" s="82">
        <v>8.1375825505E10</v>
      </c>
      <c r="AJ387" s="82" t="s">
        <v>2939</v>
      </c>
      <c r="AK387" s="85" t="s">
        <v>2940</v>
      </c>
      <c r="AL387" s="82" t="s">
        <v>2941</v>
      </c>
      <c r="AM387" s="72" t="s">
        <v>96</v>
      </c>
      <c r="AN387" s="72" t="s">
        <v>481</v>
      </c>
      <c r="AO387" s="82" t="s">
        <v>1511</v>
      </c>
      <c r="AP387" s="82" t="s">
        <v>2942</v>
      </c>
      <c r="AQ387" s="77"/>
      <c r="AR387" s="77"/>
    </row>
    <row r="388">
      <c r="A388" s="75">
        <v>58.0</v>
      </c>
      <c r="B388" s="72" t="s">
        <v>2943</v>
      </c>
      <c r="C388" s="73" t="s">
        <v>2944</v>
      </c>
      <c r="D388" s="74"/>
      <c r="E388" s="74"/>
      <c r="F388" s="74"/>
      <c r="G388" s="75" t="s">
        <v>531</v>
      </c>
      <c r="H388" s="76">
        <v>45901.0</v>
      </c>
      <c r="I388" s="77"/>
      <c r="J388" s="75" t="s">
        <v>531</v>
      </c>
      <c r="K388" s="75" t="s">
        <v>518</v>
      </c>
      <c r="L388" s="72" t="s">
        <v>105</v>
      </c>
      <c r="M388" s="76">
        <v>45901.0</v>
      </c>
      <c r="N388" s="74"/>
      <c r="O388" s="77"/>
      <c r="P388" s="74"/>
      <c r="Q388" s="72" t="s">
        <v>2914</v>
      </c>
      <c r="R388" s="76">
        <v>45901.0</v>
      </c>
      <c r="S388" s="72" t="s">
        <v>518</v>
      </c>
      <c r="T388" s="78">
        <v>45826.0</v>
      </c>
      <c r="U388" s="72" t="s">
        <v>144</v>
      </c>
      <c r="V388" s="72" t="s">
        <v>285</v>
      </c>
      <c r="W388" s="72" t="s">
        <v>541</v>
      </c>
      <c r="X388" s="72" t="s">
        <v>2907</v>
      </c>
      <c r="Y388" s="84">
        <v>39249.0</v>
      </c>
      <c r="Z388" s="77"/>
      <c r="AA388" s="77"/>
      <c r="AB388" s="77"/>
      <c r="AC388" s="81">
        <v>385.0</v>
      </c>
      <c r="AD388" s="72" t="s">
        <v>522</v>
      </c>
      <c r="AE388" s="82" t="s">
        <v>67</v>
      </c>
      <c r="AF388" s="77"/>
      <c r="AG388" s="72" t="s">
        <v>130</v>
      </c>
      <c r="AH388" s="77"/>
      <c r="AI388" s="82">
        <v>8.5270828133E10</v>
      </c>
      <c r="AJ388" s="82" t="s">
        <v>2945</v>
      </c>
      <c r="AK388" s="85" t="s">
        <v>2946</v>
      </c>
      <c r="AL388" s="82" t="s">
        <v>2947</v>
      </c>
      <c r="AM388" s="72" t="s">
        <v>96</v>
      </c>
      <c r="AN388" s="72" t="s">
        <v>481</v>
      </c>
      <c r="AO388" s="82" t="s">
        <v>75</v>
      </c>
      <c r="AP388" s="82" t="s">
        <v>76</v>
      </c>
      <c r="AQ388" s="77"/>
      <c r="AR388" s="77"/>
    </row>
    <row r="389">
      <c r="A389" s="89">
        <v>59.0</v>
      </c>
      <c r="B389" s="87" t="s">
        <v>2948</v>
      </c>
      <c r="C389" s="88" t="s">
        <v>2949</v>
      </c>
      <c r="D389" s="89"/>
      <c r="E389" s="89"/>
      <c r="F389" s="89"/>
      <c r="G389" s="89"/>
      <c r="H389" s="89"/>
      <c r="I389" s="90"/>
      <c r="J389" s="89"/>
      <c r="K389" s="89"/>
      <c r="L389" s="90"/>
      <c r="M389" s="91"/>
      <c r="N389" s="89"/>
      <c r="O389" s="87" t="s">
        <v>532</v>
      </c>
      <c r="P389" s="89"/>
      <c r="Q389" s="100" t="s">
        <v>2950</v>
      </c>
      <c r="R389" s="91"/>
      <c r="S389" s="90"/>
      <c r="T389" s="93"/>
      <c r="U389" s="90"/>
      <c r="V389" s="87" t="s">
        <v>89</v>
      </c>
      <c r="W389" s="87" t="s">
        <v>2644</v>
      </c>
      <c r="X389" s="87" t="s">
        <v>648</v>
      </c>
      <c r="Y389" s="94">
        <v>45157.0</v>
      </c>
      <c r="Z389" s="95"/>
      <c r="AA389" s="95"/>
      <c r="AB389" s="95"/>
      <c r="AC389" s="81">
        <v>386.0</v>
      </c>
      <c r="AD389" s="90"/>
      <c r="AE389" s="87" t="s">
        <v>67</v>
      </c>
      <c r="AF389" s="90"/>
      <c r="AG389" s="87" t="s">
        <v>68</v>
      </c>
      <c r="AH389" s="87"/>
      <c r="AI389" s="96">
        <v>8.515521122E10</v>
      </c>
      <c r="AJ389" s="87" t="s">
        <v>2951</v>
      </c>
      <c r="AK389" s="97" t="s">
        <v>2952</v>
      </c>
      <c r="AL389" s="87" t="s">
        <v>2953</v>
      </c>
      <c r="AM389" s="87" t="s">
        <v>73</v>
      </c>
      <c r="AN389" s="87" t="s">
        <v>166</v>
      </c>
      <c r="AO389" s="87" t="s">
        <v>635</v>
      </c>
      <c r="AP389" s="87" t="s">
        <v>2954</v>
      </c>
      <c r="AQ389" s="87"/>
      <c r="AR389" s="87"/>
    </row>
    <row r="390">
      <c r="A390" s="89">
        <v>60.0</v>
      </c>
      <c r="B390" s="87" t="s">
        <v>2955</v>
      </c>
      <c r="C390" s="88" t="s">
        <v>2956</v>
      </c>
      <c r="D390" s="89"/>
      <c r="E390" s="89"/>
      <c r="F390" s="89"/>
      <c r="G390" s="89"/>
      <c r="H390" s="89"/>
      <c r="I390" s="90"/>
      <c r="J390" s="89"/>
      <c r="K390" s="89"/>
      <c r="L390" s="90"/>
      <c r="M390" s="91"/>
      <c r="N390" s="89"/>
      <c r="O390" s="87" t="s">
        <v>142</v>
      </c>
      <c r="P390" s="89"/>
      <c r="Q390" s="100" t="s">
        <v>2957</v>
      </c>
      <c r="R390" s="91"/>
      <c r="S390" s="90"/>
      <c r="T390" s="93"/>
      <c r="U390" s="90"/>
      <c r="V390" s="87" t="s">
        <v>89</v>
      </c>
      <c r="W390" s="87" t="s">
        <v>90</v>
      </c>
      <c r="X390" s="87" t="s">
        <v>1819</v>
      </c>
      <c r="Y390" s="94">
        <v>42695.0</v>
      </c>
      <c r="Z390" s="90"/>
      <c r="AA390" s="95"/>
      <c r="AB390" s="95"/>
      <c r="AC390" s="81">
        <v>387.0</v>
      </c>
      <c r="AD390" s="90"/>
      <c r="AE390" s="87" t="s">
        <v>67</v>
      </c>
      <c r="AF390" s="90"/>
      <c r="AG390" s="87" t="s">
        <v>68</v>
      </c>
      <c r="AH390" s="87"/>
      <c r="AI390" s="96">
        <v>8.1373070443E10</v>
      </c>
      <c r="AJ390" s="87" t="s">
        <v>2958</v>
      </c>
      <c r="AK390" s="97" t="s">
        <v>2959</v>
      </c>
      <c r="AL390" s="87" t="s">
        <v>2960</v>
      </c>
      <c r="AM390" s="87" t="s">
        <v>73</v>
      </c>
      <c r="AN390" s="87" t="s">
        <v>74</v>
      </c>
      <c r="AO390" s="87" t="s">
        <v>774</v>
      </c>
      <c r="AP390" s="87" t="s">
        <v>799</v>
      </c>
      <c r="AQ390" s="87">
        <v>0.0</v>
      </c>
      <c r="AR390" s="87">
        <v>0.0</v>
      </c>
    </row>
    <row r="391">
      <c r="A391" s="89">
        <v>61.0</v>
      </c>
      <c r="B391" s="87" t="s">
        <v>2961</v>
      </c>
      <c r="C391" s="88" t="s">
        <v>2962</v>
      </c>
      <c r="D391" s="89"/>
      <c r="E391" s="89"/>
      <c r="F391" s="89"/>
      <c r="G391" s="89"/>
      <c r="H391" s="89"/>
      <c r="I391" s="90"/>
      <c r="J391" s="89"/>
      <c r="K391" s="89"/>
      <c r="L391" s="90"/>
      <c r="M391" s="91"/>
      <c r="N391" s="89"/>
      <c r="O391" s="87" t="s">
        <v>142</v>
      </c>
      <c r="P391" s="89"/>
      <c r="Q391" s="100" t="s">
        <v>2963</v>
      </c>
      <c r="R391" s="91"/>
      <c r="S391" s="90"/>
      <c r="T391" s="93"/>
      <c r="U391" s="90"/>
      <c r="V391" s="87" t="s">
        <v>89</v>
      </c>
      <c r="W391" s="87" t="s">
        <v>1193</v>
      </c>
      <c r="X391" s="87" t="s">
        <v>2964</v>
      </c>
      <c r="Y391" s="94">
        <v>43769.0</v>
      </c>
      <c r="Z391" s="90"/>
      <c r="AA391" s="95"/>
      <c r="AB391" s="95"/>
      <c r="AC391" s="81">
        <v>388.0</v>
      </c>
      <c r="AD391" s="90"/>
      <c r="AE391" s="87" t="s">
        <v>67</v>
      </c>
      <c r="AF391" s="90"/>
      <c r="AG391" s="87" t="s">
        <v>68</v>
      </c>
      <c r="AH391" s="87"/>
      <c r="AI391" s="96">
        <v>8.2181434385E10</v>
      </c>
      <c r="AJ391" s="87" t="s">
        <v>2965</v>
      </c>
      <c r="AK391" s="97" t="s">
        <v>2966</v>
      </c>
      <c r="AL391" s="87" t="s">
        <v>2967</v>
      </c>
      <c r="AM391" s="87" t="s">
        <v>73</v>
      </c>
      <c r="AN391" s="87" t="s">
        <v>74</v>
      </c>
      <c r="AO391" s="87" t="s">
        <v>989</v>
      </c>
      <c r="AP391" s="87" t="s">
        <v>538</v>
      </c>
      <c r="AQ391" s="87">
        <v>0.0</v>
      </c>
      <c r="AR391" s="87">
        <v>0.0</v>
      </c>
    </row>
    <row r="392">
      <c r="A392" s="89">
        <v>62.0</v>
      </c>
      <c r="B392" s="87" t="s">
        <v>2968</v>
      </c>
      <c r="C392" s="88" t="s">
        <v>2969</v>
      </c>
      <c r="D392" s="89"/>
      <c r="E392" s="89"/>
      <c r="F392" s="89"/>
      <c r="G392" s="89"/>
      <c r="H392" s="89"/>
      <c r="I392" s="90"/>
      <c r="J392" s="89"/>
      <c r="K392" s="89"/>
      <c r="L392" s="90"/>
      <c r="M392" s="91"/>
      <c r="N392" s="89"/>
      <c r="O392" s="87" t="s">
        <v>142</v>
      </c>
      <c r="P392" s="89"/>
      <c r="Q392" s="100" t="s">
        <v>2957</v>
      </c>
      <c r="R392" s="91"/>
      <c r="S392" s="90"/>
      <c r="T392" s="93"/>
      <c r="U392" s="90"/>
      <c r="V392" s="87" t="s">
        <v>89</v>
      </c>
      <c r="W392" s="87"/>
      <c r="X392" s="87" t="s">
        <v>1231</v>
      </c>
      <c r="Y392" s="100" t="s">
        <v>1104</v>
      </c>
      <c r="Z392" s="90"/>
      <c r="AA392" s="95"/>
      <c r="AB392" s="95"/>
      <c r="AC392" s="81">
        <v>389.0</v>
      </c>
      <c r="AD392" s="90"/>
      <c r="AE392" s="87" t="s">
        <v>67</v>
      </c>
      <c r="AF392" s="90"/>
      <c r="AG392" s="87" t="s">
        <v>68</v>
      </c>
      <c r="AH392" s="87"/>
      <c r="AI392" s="96">
        <v>8.2168861496E10</v>
      </c>
      <c r="AJ392" s="87" t="s">
        <v>2970</v>
      </c>
      <c r="AK392" s="97" t="s">
        <v>2971</v>
      </c>
      <c r="AL392" s="87" t="s">
        <v>2972</v>
      </c>
      <c r="AM392" s="87" t="s">
        <v>1029</v>
      </c>
      <c r="AN392" s="87" t="s">
        <v>514</v>
      </c>
      <c r="AO392" s="87" t="s">
        <v>2973</v>
      </c>
      <c r="AP392" s="87" t="s">
        <v>2974</v>
      </c>
      <c r="AQ392" s="87"/>
      <c r="AR392" s="87"/>
    </row>
    <row r="393">
      <c r="A393" s="89">
        <v>63.0</v>
      </c>
      <c r="B393" s="87" t="s">
        <v>2975</v>
      </c>
      <c r="C393" s="88" t="s">
        <v>2976</v>
      </c>
      <c r="D393" s="89"/>
      <c r="E393" s="89"/>
      <c r="F393" s="89"/>
      <c r="G393" s="89"/>
      <c r="H393" s="89"/>
      <c r="I393" s="90"/>
      <c r="J393" s="89"/>
      <c r="K393" s="89"/>
      <c r="L393" s="90"/>
      <c r="M393" s="91"/>
      <c r="N393" s="89"/>
      <c r="O393" s="87" t="s">
        <v>142</v>
      </c>
      <c r="P393" s="89"/>
      <c r="Q393" s="100" t="s">
        <v>2963</v>
      </c>
      <c r="R393" s="91"/>
      <c r="S393" s="90"/>
      <c r="T393" s="93"/>
      <c r="U393" s="90"/>
      <c r="V393" s="87" t="s">
        <v>89</v>
      </c>
      <c r="W393" s="87" t="s">
        <v>2318</v>
      </c>
      <c r="X393" s="87" t="s">
        <v>244</v>
      </c>
      <c r="Y393" s="94">
        <v>41292.0</v>
      </c>
      <c r="Z393" s="90"/>
      <c r="AA393" s="95"/>
      <c r="AB393" s="95"/>
      <c r="AC393" s="81">
        <v>390.0</v>
      </c>
      <c r="AD393" s="90"/>
      <c r="AE393" s="87" t="s">
        <v>67</v>
      </c>
      <c r="AF393" s="95"/>
      <c r="AG393" s="87" t="s">
        <v>68</v>
      </c>
      <c r="AH393" s="87"/>
      <c r="AI393" s="96">
        <v>8.5207613113E10</v>
      </c>
      <c r="AJ393" s="87" t="s">
        <v>2977</v>
      </c>
      <c r="AK393" s="97" t="s">
        <v>2978</v>
      </c>
      <c r="AL393" s="87" t="s">
        <v>2979</v>
      </c>
      <c r="AM393" s="87" t="s">
        <v>73</v>
      </c>
      <c r="AN393" s="87" t="s">
        <v>481</v>
      </c>
      <c r="AO393" s="87" t="s">
        <v>178</v>
      </c>
      <c r="AP393" s="87" t="s">
        <v>482</v>
      </c>
      <c r="AQ393" s="87"/>
      <c r="AR393" s="87"/>
    </row>
    <row r="394">
      <c r="A394" s="89">
        <v>64.0</v>
      </c>
      <c r="B394" s="87" t="s">
        <v>2980</v>
      </c>
      <c r="C394" s="88" t="s">
        <v>2981</v>
      </c>
      <c r="D394" s="89"/>
      <c r="E394" s="89"/>
      <c r="F394" s="89"/>
      <c r="G394" s="89"/>
      <c r="H394" s="89"/>
      <c r="I394" s="90"/>
      <c r="J394" s="89"/>
      <c r="K394" s="89"/>
      <c r="L394" s="90"/>
      <c r="M394" s="91"/>
      <c r="N394" s="89"/>
      <c r="O394" s="87" t="s">
        <v>142</v>
      </c>
      <c r="P394" s="89"/>
      <c r="Q394" s="100" t="s">
        <v>2957</v>
      </c>
      <c r="R394" s="91"/>
      <c r="S394" s="90"/>
      <c r="T394" s="93"/>
      <c r="U394" s="90"/>
      <c r="V394" s="87" t="s">
        <v>89</v>
      </c>
      <c r="W394" s="87" t="s">
        <v>1214</v>
      </c>
      <c r="X394" s="87" t="s">
        <v>648</v>
      </c>
      <c r="Y394" s="94">
        <v>41083.0</v>
      </c>
      <c r="Z394" s="90"/>
      <c r="AA394" s="95"/>
      <c r="AB394" s="95"/>
      <c r="AC394" s="81">
        <v>391.0</v>
      </c>
      <c r="AD394" s="95"/>
      <c r="AE394" s="87" t="s">
        <v>67</v>
      </c>
      <c r="AF394" s="95"/>
      <c r="AG394" s="87" t="s">
        <v>68</v>
      </c>
      <c r="AH394" s="87"/>
      <c r="AI394" s="96">
        <v>8.2272999222E10</v>
      </c>
      <c r="AJ394" s="87" t="s">
        <v>2982</v>
      </c>
      <c r="AK394" s="97" t="s">
        <v>2983</v>
      </c>
      <c r="AL394" s="87" t="s">
        <v>2984</v>
      </c>
      <c r="AM394" s="87" t="s">
        <v>73</v>
      </c>
      <c r="AN394" s="87" t="s">
        <v>2985</v>
      </c>
      <c r="AO394" s="87" t="s">
        <v>2986</v>
      </c>
      <c r="AP394" s="87" t="s">
        <v>2987</v>
      </c>
      <c r="AQ394" s="87">
        <v>2.0</v>
      </c>
      <c r="AR394" s="87">
        <v>2.0</v>
      </c>
    </row>
    <row r="395">
      <c r="A395" s="89">
        <v>65.0</v>
      </c>
      <c r="B395" s="87" t="s">
        <v>2988</v>
      </c>
      <c r="C395" s="88" t="s">
        <v>2989</v>
      </c>
      <c r="D395" s="89"/>
      <c r="E395" s="89"/>
      <c r="F395" s="89"/>
      <c r="G395" s="89"/>
      <c r="H395" s="89"/>
      <c r="I395" s="90"/>
      <c r="J395" s="89"/>
      <c r="K395" s="89"/>
      <c r="L395" s="90"/>
      <c r="M395" s="91"/>
      <c r="N395" s="89"/>
      <c r="O395" s="87" t="s">
        <v>142</v>
      </c>
      <c r="P395" s="89"/>
      <c r="Q395" s="100" t="s">
        <v>2963</v>
      </c>
      <c r="R395" s="91"/>
      <c r="S395" s="90"/>
      <c r="T395" s="93"/>
      <c r="U395" s="90"/>
      <c r="V395" s="87" t="s">
        <v>89</v>
      </c>
      <c r="W395" s="87" t="s">
        <v>374</v>
      </c>
      <c r="X395" s="87" t="s">
        <v>648</v>
      </c>
      <c r="Y395" s="99">
        <v>39760.0</v>
      </c>
      <c r="Z395" s="90"/>
      <c r="AA395" s="95"/>
      <c r="AB395" s="95"/>
      <c r="AC395" s="81">
        <v>392.0</v>
      </c>
      <c r="AD395" s="90"/>
      <c r="AE395" s="87" t="s">
        <v>220</v>
      </c>
      <c r="AF395" s="90"/>
      <c r="AG395" s="87" t="s">
        <v>130</v>
      </c>
      <c r="AH395" s="87"/>
      <c r="AI395" s="96">
        <v>8.5261100572E10</v>
      </c>
      <c r="AJ395" s="87" t="s">
        <v>2990</v>
      </c>
      <c r="AK395" s="97" t="s">
        <v>2991</v>
      </c>
      <c r="AL395" s="87" t="s">
        <v>2992</v>
      </c>
      <c r="AM395" s="87" t="s">
        <v>73</v>
      </c>
      <c r="AN395" s="87" t="s">
        <v>166</v>
      </c>
      <c r="AO395" s="87" t="s">
        <v>596</v>
      </c>
      <c r="AP395" s="87" t="s">
        <v>2993</v>
      </c>
      <c r="AQ395" s="87"/>
      <c r="AR395" s="87"/>
    </row>
    <row r="396">
      <c r="A396" s="89">
        <v>66.0</v>
      </c>
      <c r="B396" s="87" t="s">
        <v>2994</v>
      </c>
      <c r="C396" s="88" t="s">
        <v>2995</v>
      </c>
      <c r="D396" s="89"/>
      <c r="E396" s="89"/>
      <c r="F396" s="89"/>
      <c r="G396" s="89"/>
      <c r="H396" s="89"/>
      <c r="I396" s="90"/>
      <c r="J396" s="89"/>
      <c r="K396" s="89"/>
      <c r="L396" s="90"/>
      <c r="M396" s="91"/>
      <c r="N396" s="89"/>
      <c r="O396" s="87" t="s">
        <v>142</v>
      </c>
      <c r="P396" s="89"/>
      <c r="Q396" s="100" t="s">
        <v>2996</v>
      </c>
      <c r="R396" s="91"/>
      <c r="S396" s="90"/>
      <c r="T396" s="93"/>
      <c r="U396" s="90"/>
      <c r="V396" s="87" t="s">
        <v>89</v>
      </c>
      <c r="W396" s="87" t="s">
        <v>2016</v>
      </c>
      <c r="X396" s="87" t="s">
        <v>2997</v>
      </c>
      <c r="Y396" s="99">
        <v>38565.0</v>
      </c>
      <c r="Z396" s="90"/>
      <c r="AA396" s="90"/>
      <c r="AB396" s="90"/>
      <c r="AC396" s="81">
        <v>393.0</v>
      </c>
      <c r="AD396" s="90"/>
      <c r="AE396" s="87" t="s">
        <v>67</v>
      </c>
      <c r="AF396" s="90"/>
      <c r="AG396" s="87" t="s">
        <v>68</v>
      </c>
      <c r="AH396" s="87"/>
      <c r="AI396" s="96">
        <v>8.1295264399E10</v>
      </c>
      <c r="AJ396" s="87" t="s">
        <v>2998</v>
      </c>
      <c r="AK396" s="97" t="s">
        <v>2999</v>
      </c>
      <c r="AL396" s="87" t="s">
        <v>3000</v>
      </c>
      <c r="AM396" s="87" t="s">
        <v>73</v>
      </c>
      <c r="AN396" s="87" t="s">
        <v>74</v>
      </c>
      <c r="AO396" s="87" t="s">
        <v>582</v>
      </c>
      <c r="AP396" s="87" t="s">
        <v>3001</v>
      </c>
      <c r="AQ396" s="87">
        <v>5.0</v>
      </c>
      <c r="AR396" s="87">
        <v>3.0</v>
      </c>
    </row>
    <row r="397">
      <c r="A397" s="89">
        <v>67.0</v>
      </c>
      <c r="B397" s="87" t="s">
        <v>3002</v>
      </c>
      <c r="C397" s="88" t="s">
        <v>3003</v>
      </c>
      <c r="D397" s="89"/>
      <c r="E397" s="89"/>
      <c r="F397" s="89"/>
      <c r="G397" s="89"/>
      <c r="H397" s="89"/>
      <c r="I397" s="90"/>
      <c r="J397" s="89"/>
      <c r="K397" s="89"/>
      <c r="L397" s="90"/>
      <c r="M397" s="89"/>
      <c r="N397" s="89"/>
      <c r="O397" s="87" t="s">
        <v>142</v>
      </c>
      <c r="P397" s="89"/>
      <c r="Q397" s="100" t="s">
        <v>2957</v>
      </c>
      <c r="R397" s="89"/>
      <c r="S397" s="92"/>
      <c r="T397" s="89"/>
      <c r="U397" s="92"/>
      <c r="V397" s="87" t="s">
        <v>89</v>
      </c>
      <c r="W397" s="87" t="s">
        <v>90</v>
      </c>
      <c r="X397" s="87" t="s">
        <v>449</v>
      </c>
      <c r="Y397" s="94">
        <v>42695.0</v>
      </c>
      <c r="Z397" s="90"/>
      <c r="AA397" s="90"/>
      <c r="AB397" s="92"/>
      <c r="AC397" s="81">
        <v>394.0</v>
      </c>
      <c r="AD397" s="92"/>
      <c r="AE397" s="87" t="s">
        <v>67</v>
      </c>
      <c r="AF397" s="92"/>
      <c r="AG397" s="87" t="s">
        <v>68</v>
      </c>
      <c r="AH397" s="87"/>
      <c r="AI397" s="96">
        <v>8.5362076552E10</v>
      </c>
      <c r="AJ397" s="87" t="s">
        <v>3004</v>
      </c>
      <c r="AK397" s="97" t="s">
        <v>3005</v>
      </c>
      <c r="AL397" s="87" t="s">
        <v>3006</v>
      </c>
      <c r="AM397" s="87" t="s">
        <v>73</v>
      </c>
      <c r="AN397" s="87" t="s">
        <v>74</v>
      </c>
      <c r="AO397" s="87" t="s">
        <v>741</v>
      </c>
      <c r="AP397" s="87" t="s">
        <v>3007</v>
      </c>
      <c r="AQ397" s="87"/>
      <c r="AR397" s="87"/>
    </row>
    <row r="398">
      <c r="A398" s="89">
        <v>68.0</v>
      </c>
      <c r="B398" s="87" t="s">
        <v>3008</v>
      </c>
      <c r="C398" s="88" t="s">
        <v>3009</v>
      </c>
      <c r="D398" s="89"/>
      <c r="E398" s="89"/>
      <c r="F398" s="89"/>
      <c r="G398" s="89"/>
      <c r="H398" s="89"/>
      <c r="I398" s="90"/>
      <c r="J398" s="89"/>
      <c r="K398" s="89"/>
      <c r="L398" s="90"/>
      <c r="M398" s="89"/>
      <c r="N398" s="89"/>
      <c r="O398" s="87" t="s">
        <v>142</v>
      </c>
      <c r="P398" s="89"/>
      <c r="Q398" s="100" t="s">
        <v>2950</v>
      </c>
      <c r="R398" s="89"/>
      <c r="S398" s="92"/>
      <c r="T398" s="89"/>
      <c r="U398" s="92"/>
      <c r="V398" s="87" t="s">
        <v>89</v>
      </c>
      <c r="W398" s="87" t="s">
        <v>2016</v>
      </c>
      <c r="X398" s="87" t="s">
        <v>3010</v>
      </c>
      <c r="Y398" s="94">
        <v>38574.0</v>
      </c>
      <c r="Z398" s="90"/>
      <c r="AA398" s="90"/>
      <c r="AB398" s="92"/>
      <c r="AC398" s="81">
        <v>395.0</v>
      </c>
      <c r="AD398" s="92"/>
      <c r="AE398" s="87" t="s">
        <v>311</v>
      </c>
      <c r="AF398" s="92"/>
      <c r="AG398" s="87" t="s">
        <v>68</v>
      </c>
      <c r="AH398" s="87"/>
      <c r="AI398" s="96">
        <v>8.5221000234E10</v>
      </c>
      <c r="AJ398" s="87" t="s">
        <v>3011</v>
      </c>
      <c r="AK398" s="97" t="s">
        <v>3012</v>
      </c>
      <c r="AL398" s="87" t="s">
        <v>3013</v>
      </c>
      <c r="AM398" s="87" t="s">
        <v>96</v>
      </c>
      <c r="AN398" s="87" t="s">
        <v>97</v>
      </c>
      <c r="AO398" s="87" t="s">
        <v>203</v>
      </c>
      <c r="AP398" s="87" t="s">
        <v>3014</v>
      </c>
      <c r="AQ398" s="87">
        <v>0.0</v>
      </c>
      <c r="AR398" s="87">
        <v>0.0</v>
      </c>
    </row>
    <row r="399">
      <c r="A399" s="89">
        <v>69.0</v>
      </c>
      <c r="B399" s="87" t="s">
        <v>3015</v>
      </c>
      <c r="C399" s="88" t="s">
        <v>3016</v>
      </c>
      <c r="D399" s="89"/>
      <c r="E399" s="89"/>
      <c r="F399" s="89"/>
      <c r="G399" s="89"/>
      <c r="H399" s="89"/>
      <c r="I399" s="90"/>
      <c r="J399" s="89"/>
      <c r="K399" s="89"/>
      <c r="L399" s="90"/>
      <c r="M399" s="89"/>
      <c r="N399" s="89"/>
      <c r="O399" s="87" t="s">
        <v>142</v>
      </c>
      <c r="P399" s="89"/>
      <c r="Q399" s="100" t="s">
        <v>2963</v>
      </c>
      <c r="R399" s="89"/>
      <c r="S399" s="92"/>
      <c r="T399" s="89"/>
      <c r="U399" s="92"/>
      <c r="V399" s="87" t="s">
        <v>89</v>
      </c>
      <c r="W399" s="87"/>
      <c r="X399" s="87" t="s">
        <v>1528</v>
      </c>
      <c r="Y399" s="94">
        <v>41839.0</v>
      </c>
      <c r="Z399" s="90"/>
      <c r="AA399" s="90"/>
      <c r="AB399" s="92"/>
      <c r="AC399" s="81">
        <v>396.0</v>
      </c>
      <c r="AD399" s="92"/>
      <c r="AE399" s="87" t="s">
        <v>67</v>
      </c>
      <c r="AF399" s="92"/>
      <c r="AG399" s="87" t="s">
        <v>130</v>
      </c>
      <c r="AH399" s="87"/>
      <c r="AI399" s="96">
        <v>8.5952918789E10</v>
      </c>
      <c r="AJ399" s="87" t="s">
        <v>3017</v>
      </c>
      <c r="AK399" s="97" t="s">
        <v>3018</v>
      </c>
      <c r="AL399" s="87" t="s">
        <v>3019</v>
      </c>
      <c r="AM399" s="87" t="s">
        <v>732</v>
      </c>
      <c r="AN399" s="87" t="s">
        <v>135</v>
      </c>
      <c r="AO399" s="87" t="s">
        <v>236</v>
      </c>
      <c r="AP399" s="87" t="s">
        <v>852</v>
      </c>
      <c r="AQ399" s="87"/>
      <c r="AR399" s="87"/>
    </row>
    <row r="400">
      <c r="A400" s="89">
        <v>70.0</v>
      </c>
      <c r="B400" s="87" t="s">
        <v>3020</v>
      </c>
      <c r="C400" s="88" t="s">
        <v>3021</v>
      </c>
      <c r="D400" s="89"/>
      <c r="E400" s="89"/>
      <c r="F400" s="89"/>
      <c r="G400" s="89"/>
      <c r="H400" s="89"/>
      <c r="I400" s="90"/>
      <c r="J400" s="89"/>
      <c r="K400" s="89"/>
      <c r="L400" s="90"/>
      <c r="M400" s="89"/>
      <c r="N400" s="89"/>
      <c r="O400" s="87" t="s">
        <v>142</v>
      </c>
      <c r="P400" s="89"/>
      <c r="Q400" s="100" t="s">
        <v>2957</v>
      </c>
      <c r="R400" s="89"/>
      <c r="S400" s="92"/>
      <c r="T400" s="89"/>
      <c r="U400" s="92"/>
      <c r="V400" s="87" t="s">
        <v>89</v>
      </c>
      <c r="W400" s="87" t="s">
        <v>218</v>
      </c>
      <c r="X400" s="87" t="s">
        <v>3022</v>
      </c>
      <c r="Y400" s="94">
        <v>42655.0</v>
      </c>
      <c r="Z400" s="90"/>
      <c r="AA400" s="90"/>
      <c r="AB400" s="92"/>
      <c r="AC400" s="81">
        <v>397.0</v>
      </c>
      <c r="AD400" s="92"/>
      <c r="AE400" s="87" t="s">
        <v>67</v>
      </c>
      <c r="AF400" s="92"/>
      <c r="AG400" s="87" t="s">
        <v>68</v>
      </c>
      <c r="AH400" s="87"/>
      <c r="AI400" s="96">
        <v>8.3897208657E10</v>
      </c>
      <c r="AJ400" s="87"/>
      <c r="AK400" s="97" t="s">
        <v>3023</v>
      </c>
      <c r="AL400" s="87" t="s">
        <v>3024</v>
      </c>
      <c r="AM400" s="87" t="s">
        <v>96</v>
      </c>
      <c r="AN400" s="87" t="s">
        <v>97</v>
      </c>
      <c r="AO400" s="87" t="s">
        <v>1022</v>
      </c>
      <c r="AP400" s="87" t="s">
        <v>3025</v>
      </c>
      <c r="AQ400" s="87">
        <v>0.0</v>
      </c>
      <c r="AR400" s="87">
        <v>0.0</v>
      </c>
    </row>
    <row r="401">
      <c r="A401" s="89">
        <v>71.0</v>
      </c>
      <c r="B401" s="87" t="s">
        <v>3026</v>
      </c>
      <c r="C401" s="88" t="s">
        <v>3027</v>
      </c>
      <c r="D401" s="89"/>
      <c r="E401" s="89"/>
      <c r="F401" s="89"/>
      <c r="G401" s="89"/>
      <c r="H401" s="89"/>
      <c r="I401" s="90"/>
      <c r="J401" s="89"/>
      <c r="K401" s="89"/>
      <c r="L401" s="90"/>
      <c r="M401" s="89"/>
      <c r="N401" s="89"/>
      <c r="O401" s="87" t="s">
        <v>142</v>
      </c>
      <c r="P401" s="89"/>
      <c r="Q401" s="100" t="s">
        <v>2996</v>
      </c>
      <c r="R401" s="89"/>
      <c r="S401" s="92"/>
      <c r="T401" s="89"/>
      <c r="U401" s="92"/>
      <c r="V401" s="87" t="s">
        <v>89</v>
      </c>
      <c r="W401" s="87" t="s">
        <v>1214</v>
      </c>
      <c r="X401" s="87" t="s">
        <v>244</v>
      </c>
      <c r="Y401" s="94">
        <v>41108.0</v>
      </c>
      <c r="Z401" s="90"/>
      <c r="AA401" s="90"/>
      <c r="AB401" s="92"/>
      <c r="AC401" s="81">
        <v>398.0</v>
      </c>
      <c r="AD401" s="92"/>
      <c r="AE401" s="87" t="s">
        <v>67</v>
      </c>
      <c r="AF401" s="92"/>
      <c r="AG401" s="87" t="s">
        <v>130</v>
      </c>
      <c r="AH401" s="87"/>
      <c r="AI401" s="96">
        <v>8.139719333E10</v>
      </c>
      <c r="AJ401" s="87" t="s">
        <v>3028</v>
      </c>
      <c r="AK401" s="97" t="s">
        <v>3029</v>
      </c>
      <c r="AL401" s="87" t="s">
        <v>3030</v>
      </c>
      <c r="AM401" s="87" t="s">
        <v>73</v>
      </c>
      <c r="AN401" s="87" t="s">
        <v>74</v>
      </c>
      <c r="AO401" s="87" t="s">
        <v>360</v>
      </c>
      <c r="AP401" s="87" t="s">
        <v>566</v>
      </c>
      <c r="AQ401" s="87"/>
      <c r="AR401" s="87"/>
    </row>
    <row r="402">
      <c r="A402" s="89">
        <v>72.0</v>
      </c>
      <c r="B402" s="87" t="s">
        <v>3031</v>
      </c>
      <c r="C402" s="88" t="s">
        <v>3032</v>
      </c>
      <c r="D402" s="89"/>
      <c r="E402" s="89"/>
      <c r="F402" s="89"/>
      <c r="G402" s="89"/>
      <c r="H402" s="89"/>
      <c r="I402" s="90"/>
      <c r="J402" s="89"/>
      <c r="K402" s="89"/>
      <c r="L402" s="90"/>
      <c r="M402" s="89"/>
      <c r="N402" s="89"/>
      <c r="O402" s="87" t="s">
        <v>142</v>
      </c>
      <c r="P402" s="89"/>
      <c r="Q402" s="100" t="s">
        <v>2957</v>
      </c>
      <c r="R402" s="89"/>
      <c r="S402" s="92"/>
      <c r="T402" s="89"/>
      <c r="U402" s="92"/>
      <c r="V402" s="87" t="s">
        <v>89</v>
      </c>
      <c r="W402" s="87" t="s">
        <v>3033</v>
      </c>
      <c r="X402" s="87" t="s">
        <v>3034</v>
      </c>
      <c r="Y402" s="99">
        <v>41915.0</v>
      </c>
      <c r="Z402" s="90"/>
      <c r="AA402" s="90"/>
      <c r="AB402" s="92"/>
      <c r="AC402" s="81">
        <v>399.0</v>
      </c>
      <c r="AD402" s="92"/>
      <c r="AE402" s="87" t="s">
        <v>67</v>
      </c>
      <c r="AF402" s="92"/>
      <c r="AG402" s="87" t="s">
        <v>130</v>
      </c>
      <c r="AH402" s="87"/>
      <c r="AI402" s="96">
        <v>8.1222278182E10</v>
      </c>
      <c r="AJ402" s="87" t="s">
        <v>3035</v>
      </c>
      <c r="AK402" s="97" t="s">
        <v>3036</v>
      </c>
      <c r="AL402" s="87" t="s">
        <v>3037</v>
      </c>
      <c r="AM402" s="87" t="s">
        <v>73</v>
      </c>
      <c r="AN402" s="87" t="s">
        <v>74</v>
      </c>
      <c r="AO402" s="87" t="s">
        <v>191</v>
      </c>
      <c r="AP402" s="87" t="s">
        <v>1558</v>
      </c>
      <c r="AQ402" s="87"/>
      <c r="AR402" s="87"/>
    </row>
    <row r="403">
      <c r="A403" s="89">
        <v>73.0</v>
      </c>
      <c r="B403" s="87" t="s">
        <v>3038</v>
      </c>
      <c r="C403" s="88" t="s">
        <v>3039</v>
      </c>
      <c r="D403" s="89"/>
      <c r="E403" s="89"/>
      <c r="F403" s="89"/>
      <c r="G403" s="89"/>
      <c r="H403" s="89"/>
      <c r="I403" s="90"/>
      <c r="J403" s="89"/>
      <c r="K403" s="89"/>
      <c r="L403" s="90"/>
      <c r="M403" s="89"/>
      <c r="N403" s="89"/>
      <c r="O403" s="87" t="s">
        <v>142</v>
      </c>
      <c r="P403" s="89"/>
      <c r="Q403" s="100" t="s">
        <v>2963</v>
      </c>
      <c r="R403" s="89"/>
      <c r="S403" s="92"/>
      <c r="T403" s="89"/>
      <c r="U403" s="92"/>
      <c r="V403" s="87" t="s">
        <v>89</v>
      </c>
      <c r="W403" s="87" t="s">
        <v>230</v>
      </c>
      <c r="X403" s="87" t="s">
        <v>2856</v>
      </c>
      <c r="Y403" s="99">
        <v>40882.0</v>
      </c>
      <c r="Z403" s="90"/>
      <c r="AA403" s="90"/>
      <c r="AB403" s="92"/>
      <c r="AC403" s="81">
        <v>400.0</v>
      </c>
      <c r="AD403" s="92"/>
      <c r="AE403" s="87" t="s">
        <v>67</v>
      </c>
      <c r="AF403" s="92"/>
      <c r="AG403" s="87" t="s">
        <v>130</v>
      </c>
      <c r="AH403" s="87"/>
      <c r="AI403" s="96">
        <v>8.5360648307E10</v>
      </c>
      <c r="AJ403" s="87" t="s">
        <v>3040</v>
      </c>
      <c r="AK403" s="97" t="s">
        <v>3041</v>
      </c>
      <c r="AL403" s="87" t="s">
        <v>3042</v>
      </c>
      <c r="AM403" s="87" t="s">
        <v>96</v>
      </c>
      <c r="AN403" s="87" t="s">
        <v>97</v>
      </c>
      <c r="AO403" s="87" t="s">
        <v>236</v>
      </c>
      <c r="AP403" s="87" t="s">
        <v>852</v>
      </c>
      <c r="AQ403" s="87" t="s">
        <v>77</v>
      </c>
      <c r="AR403" s="87" t="s">
        <v>77</v>
      </c>
    </row>
    <row r="404">
      <c r="A404" s="89">
        <v>74.0</v>
      </c>
      <c r="B404" s="87" t="s">
        <v>3043</v>
      </c>
      <c r="C404" s="88" t="s">
        <v>3044</v>
      </c>
      <c r="D404" s="89"/>
      <c r="E404" s="89"/>
      <c r="F404" s="89"/>
      <c r="G404" s="89"/>
      <c r="H404" s="89"/>
      <c r="I404" s="90"/>
      <c r="J404" s="89"/>
      <c r="K404" s="89"/>
      <c r="L404" s="90"/>
      <c r="M404" s="89"/>
      <c r="N404" s="89"/>
      <c r="O404" s="87" t="s">
        <v>142</v>
      </c>
      <c r="P404" s="89"/>
      <c r="Q404" s="100" t="s">
        <v>2963</v>
      </c>
      <c r="R404" s="89"/>
      <c r="S404" s="92"/>
      <c r="T404" s="89"/>
      <c r="U404" s="92"/>
      <c r="V404" s="87" t="s">
        <v>89</v>
      </c>
      <c r="W404" s="87" t="s">
        <v>678</v>
      </c>
      <c r="X404" s="87" t="s">
        <v>1914</v>
      </c>
      <c r="Y404" s="94">
        <v>43355.0</v>
      </c>
      <c r="Z404" s="90"/>
      <c r="AA404" s="90"/>
      <c r="AB404" s="92"/>
      <c r="AC404" s="81">
        <v>401.0</v>
      </c>
      <c r="AD404" s="92"/>
      <c r="AE404" s="87" t="s">
        <v>67</v>
      </c>
      <c r="AF404" s="92"/>
      <c r="AG404" s="87" t="s">
        <v>130</v>
      </c>
      <c r="AH404" s="87"/>
      <c r="AI404" s="96">
        <v>8.1264580885E10</v>
      </c>
      <c r="AJ404" s="87" t="s">
        <v>3045</v>
      </c>
      <c r="AK404" s="97" t="s">
        <v>3046</v>
      </c>
      <c r="AL404" s="87" t="s">
        <v>3047</v>
      </c>
      <c r="AM404" s="87" t="s">
        <v>73</v>
      </c>
      <c r="AN404" s="87" t="s">
        <v>74</v>
      </c>
      <c r="AO404" s="87" t="s">
        <v>178</v>
      </c>
      <c r="AP404" s="87" t="s">
        <v>179</v>
      </c>
      <c r="AQ404" s="87" t="s">
        <v>77</v>
      </c>
      <c r="AR404" s="87" t="s">
        <v>77</v>
      </c>
    </row>
    <row r="405">
      <c r="A405" s="89">
        <v>75.0</v>
      </c>
      <c r="B405" s="87" t="s">
        <v>3048</v>
      </c>
      <c r="C405" s="88" t="s">
        <v>3049</v>
      </c>
      <c r="D405" s="89"/>
      <c r="E405" s="89"/>
      <c r="F405" s="89"/>
      <c r="G405" s="89"/>
      <c r="H405" s="89"/>
      <c r="I405" s="90"/>
      <c r="J405" s="89"/>
      <c r="K405" s="89"/>
      <c r="L405" s="90"/>
      <c r="M405" s="89"/>
      <c r="N405" s="89"/>
      <c r="O405" s="87" t="s">
        <v>142</v>
      </c>
      <c r="P405" s="89"/>
      <c r="Q405" s="100" t="s">
        <v>2963</v>
      </c>
      <c r="R405" s="89"/>
      <c r="S405" s="92"/>
      <c r="T405" s="89"/>
      <c r="U405" s="92"/>
      <c r="V405" s="87" t="s">
        <v>89</v>
      </c>
      <c r="W405" s="87" t="s">
        <v>374</v>
      </c>
      <c r="X405" s="87" t="s">
        <v>1231</v>
      </c>
      <c r="Y405" s="99">
        <v>39910.0</v>
      </c>
      <c r="Z405" s="90"/>
      <c r="AA405" s="90"/>
      <c r="AB405" s="92"/>
      <c r="AC405" s="81">
        <v>402.0</v>
      </c>
      <c r="AD405" s="92"/>
      <c r="AE405" s="87" t="s">
        <v>67</v>
      </c>
      <c r="AF405" s="92"/>
      <c r="AG405" s="87" t="s">
        <v>130</v>
      </c>
      <c r="AH405" s="87"/>
      <c r="AI405" s="96">
        <v>8.5275444866E10</v>
      </c>
      <c r="AJ405" s="87" t="s">
        <v>3050</v>
      </c>
      <c r="AK405" s="97" t="s">
        <v>3051</v>
      </c>
      <c r="AL405" s="87" t="s">
        <v>3052</v>
      </c>
      <c r="AM405" s="87" t="s">
        <v>73</v>
      </c>
      <c r="AN405" s="87" t="s">
        <v>481</v>
      </c>
      <c r="AO405" s="87" t="s">
        <v>774</v>
      </c>
      <c r="AP405" s="87" t="s">
        <v>775</v>
      </c>
      <c r="AQ405" s="87"/>
      <c r="AR405" s="87"/>
    </row>
    <row r="406">
      <c r="A406" s="89">
        <v>76.0</v>
      </c>
      <c r="B406" s="87" t="s">
        <v>3053</v>
      </c>
      <c r="C406" s="88" t="s">
        <v>3054</v>
      </c>
      <c r="D406" s="89"/>
      <c r="E406" s="89"/>
      <c r="F406" s="89"/>
      <c r="G406" s="89"/>
      <c r="H406" s="89"/>
      <c r="I406" s="90"/>
      <c r="J406" s="89"/>
      <c r="K406" s="89"/>
      <c r="L406" s="90"/>
      <c r="M406" s="89"/>
      <c r="N406" s="89"/>
      <c r="O406" s="87" t="s">
        <v>142</v>
      </c>
      <c r="P406" s="89"/>
      <c r="Q406" s="100" t="s">
        <v>2963</v>
      </c>
      <c r="R406" s="89"/>
      <c r="S406" s="92"/>
      <c r="T406" s="89"/>
      <c r="U406" s="92"/>
      <c r="V406" s="87" t="s">
        <v>89</v>
      </c>
      <c r="W406" s="87" t="s">
        <v>90</v>
      </c>
      <c r="X406" s="87" t="s">
        <v>1528</v>
      </c>
      <c r="Y406" s="99">
        <v>45755.0</v>
      </c>
      <c r="Z406" s="90"/>
      <c r="AA406" s="90"/>
      <c r="AB406" s="92"/>
      <c r="AC406" s="81">
        <v>403.0</v>
      </c>
      <c r="AD406" s="92"/>
      <c r="AE406" s="87" t="s">
        <v>67</v>
      </c>
      <c r="AF406" s="92"/>
      <c r="AG406" s="87" t="s">
        <v>68</v>
      </c>
      <c r="AH406" s="87"/>
      <c r="AI406" s="96">
        <v>8.2162014006E10</v>
      </c>
      <c r="AJ406" s="87" t="s">
        <v>3055</v>
      </c>
      <c r="AK406" s="97" t="s">
        <v>3056</v>
      </c>
      <c r="AL406" s="87" t="s">
        <v>3057</v>
      </c>
      <c r="AM406" s="87" t="s">
        <v>73</v>
      </c>
      <c r="AN406" s="87" t="s">
        <v>835</v>
      </c>
      <c r="AO406" s="87" t="s">
        <v>203</v>
      </c>
      <c r="AP406" s="87" t="s">
        <v>204</v>
      </c>
      <c r="AQ406" s="87"/>
      <c r="AR406" s="87"/>
    </row>
    <row r="407">
      <c r="A407" s="89">
        <v>77.0</v>
      </c>
      <c r="B407" s="87" t="s">
        <v>3058</v>
      </c>
      <c r="C407" s="88" t="s">
        <v>3059</v>
      </c>
      <c r="D407" s="89"/>
      <c r="E407" s="89"/>
      <c r="F407" s="89"/>
      <c r="G407" s="89"/>
      <c r="H407" s="89"/>
      <c r="I407" s="90"/>
      <c r="J407" s="89"/>
      <c r="K407" s="89"/>
      <c r="L407" s="90"/>
      <c r="M407" s="89"/>
      <c r="N407" s="89"/>
      <c r="O407" s="87" t="s">
        <v>532</v>
      </c>
      <c r="P407" s="89"/>
      <c r="Q407" s="100" t="s">
        <v>2957</v>
      </c>
      <c r="R407" s="89"/>
      <c r="S407" s="92"/>
      <c r="T407" s="89"/>
      <c r="U407" s="92"/>
      <c r="V407" s="87" t="s">
        <v>285</v>
      </c>
      <c r="W407" s="87" t="s">
        <v>1077</v>
      </c>
      <c r="X407" s="87" t="s">
        <v>3060</v>
      </c>
      <c r="Y407" s="94">
        <v>36694.0</v>
      </c>
      <c r="Z407" s="90"/>
      <c r="AA407" s="90"/>
      <c r="AB407" s="92"/>
      <c r="AC407" s="81">
        <v>404.0</v>
      </c>
      <c r="AD407" s="92"/>
      <c r="AE407" s="87" t="s">
        <v>67</v>
      </c>
      <c r="AF407" s="92"/>
      <c r="AG407" s="87" t="s">
        <v>68</v>
      </c>
      <c r="AH407" s="87"/>
      <c r="AI407" s="96">
        <v>8.1260177612E10</v>
      </c>
      <c r="AJ407" s="87" t="s">
        <v>3061</v>
      </c>
      <c r="AK407" s="97" t="s">
        <v>3062</v>
      </c>
      <c r="AL407" s="87" t="s">
        <v>3063</v>
      </c>
      <c r="AM407" s="87" t="s">
        <v>73</v>
      </c>
      <c r="AN407" s="87" t="s">
        <v>74</v>
      </c>
      <c r="AO407" s="87" t="s">
        <v>982</v>
      </c>
      <c r="AP407" s="87" t="s">
        <v>725</v>
      </c>
      <c r="AQ407" s="87"/>
      <c r="AR407" s="87"/>
    </row>
    <row r="408">
      <c r="A408" s="89">
        <v>78.0</v>
      </c>
      <c r="B408" s="87" t="s">
        <v>3064</v>
      </c>
      <c r="C408" s="88" t="s">
        <v>3065</v>
      </c>
      <c r="D408" s="89"/>
      <c r="E408" s="89"/>
      <c r="F408" s="89"/>
      <c r="G408" s="89"/>
      <c r="H408" s="89"/>
      <c r="I408" s="90"/>
      <c r="J408" s="89"/>
      <c r="K408" s="89"/>
      <c r="L408" s="90"/>
      <c r="M408" s="89"/>
      <c r="N408" s="89"/>
      <c r="O408" s="87" t="s">
        <v>142</v>
      </c>
      <c r="P408" s="89"/>
      <c r="Q408" s="100" t="s">
        <v>2996</v>
      </c>
      <c r="R408" s="89"/>
      <c r="S408" s="92"/>
      <c r="T408" s="89"/>
      <c r="U408" s="92"/>
      <c r="V408" s="87" t="s">
        <v>89</v>
      </c>
      <c r="W408" s="87" t="s">
        <v>90</v>
      </c>
      <c r="X408" s="87" t="s">
        <v>260</v>
      </c>
      <c r="Y408" s="94">
        <v>38486.0</v>
      </c>
      <c r="Z408" s="90"/>
      <c r="AA408" s="90"/>
      <c r="AB408" s="92"/>
      <c r="AC408" s="81">
        <v>405.0</v>
      </c>
      <c r="AD408" s="92"/>
      <c r="AE408" s="87" t="s">
        <v>67</v>
      </c>
      <c r="AF408" s="92"/>
      <c r="AG408" s="87" t="s">
        <v>130</v>
      </c>
      <c r="AH408" s="87"/>
      <c r="AI408" s="96" t="s">
        <v>3066</v>
      </c>
      <c r="AJ408" s="87" t="s">
        <v>3067</v>
      </c>
      <c r="AK408" s="97" t="s">
        <v>3068</v>
      </c>
      <c r="AL408" s="87" t="s">
        <v>3069</v>
      </c>
      <c r="AM408" s="87" t="s">
        <v>73</v>
      </c>
      <c r="AN408" s="87" t="s">
        <v>74</v>
      </c>
      <c r="AO408" s="87" t="s">
        <v>1220</v>
      </c>
      <c r="AP408" s="87" t="s">
        <v>3070</v>
      </c>
      <c r="AQ408" s="87" t="s">
        <v>77</v>
      </c>
      <c r="AR408" s="87" t="s">
        <v>77</v>
      </c>
    </row>
    <row r="409">
      <c r="A409" s="89">
        <v>79.0</v>
      </c>
      <c r="B409" s="87" t="s">
        <v>3071</v>
      </c>
      <c r="C409" s="88" t="s">
        <v>3072</v>
      </c>
      <c r="D409" s="89"/>
      <c r="E409" s="89"/>
      <c r="F409" s="89"/>
      <c r="G409" s="89"/>
      <c r="H409" s="89"/>
      <c r="I409" s="90"/>
      <c r="J409" s="89"/>
      <c r="K409" s="89"/>
      <c r="L409" s="90"/>
      <c r="M409" s="89"/>
      <c r="N409" s="89"/>
      <c r="O409" s="87" t="s">
        <v>142</v>
      </c>
      <c r="P409" s="89"/>
      <c r="Q409" s="100" t="s">
        <v>2957</v>
      </c>
      <c r="R409" s="89"/>
      <c r="S409" s="92"/>
      <c r="T409" s="89"/>
      <c r="U409" s="92"/>
      <c r="V409" s="87" t="s">
        <v>89</v>
      </c>
      <c r="W409" s="87" t="s">
        <v>374</v>
      </c>
      <c r="X409" s="87" t="s">
        <v>648</v>
      </c>
      <c r="Y409" s="99">
        <v>40362.0</v>
      </c>
      <c r="Z409" s="90"/>
      <c r="AA409" s="90"/>
      <c r="AB409" s="92"/>
      <c r="AC409" s="81">
        <v>406.0</v>
      </c>
      <c r="AD409" s="92"/>
      <c r="AE409" s="87" t="s">
        <v>67</v>
      </c>
      <c r="AF409" s="92"/>
      <c r="AG409" s="87" t="s">
        <v>130</v>
      </c>
      <c r="AH409" s="87"/>
      <c r="AI409" s="96"/>
      <c r="AJ409" s="87"/>
      <c r="AK409" s="97" t="s">
        <v>3073</v>
      </c>
      <c r="AL409" s="87" t="s">
        <v>3074</v>
      </c>
      <c r="AM409" s="87" t="s">
        <v>73</v>
      </c>
      <c r="AN409" s="87" t="s">
        <v>74</v>
      </c>
      <c r="AO409" s="87" t="s">
        <v>75</v>
      </c>
      <c r="AP409" s="87" t="s">
        <v>76</v>
      </c>
      <c r="AQ409" s="87"/>
      <c r="AR409" s="87"/>
    </row>
    <row r="410">
      <c r="A410" s="89">
        <v>80.0</v>
      </c>
      <c r="B410" s="87" t="s">
        <v>3075</v>
      </c>
      <c r="C410" s="88" t="s">
        <v>3076</v>
      </c>
      <c r="D410" s="89"/>
      <c r="E410" s="89"/>
      <c r="F410" s="89"/>
      <c r="G410" s="89"/>
      <c r="H410" s="89"/>
      <c r="I410" s="90"/>
      <c r="J410" s="89"/>
      <c r="K410" s="89"/>
      <c r="L410" s="90"/>
      <c r="M410" s="89"/>
      <c r="N410" s="89"/>
      <c r="O410" s="87" t="s">
        <v>142</v>
      </c>
      <c r="P410" s="89"/>
      <c r="Q410" s="100" t="s">
        <v>2963</v>
      </c>
      <c r="R410" s="89"/>
      <c r="S410" s="92"/>
      <c r="T410" s="89"/>
      <c r="U410" s="92"/>
      <c r="V410" s="87" t="s">
        <v>89</v>
      </c>
      <c r="W410" s="87" t="s">
        <v>90</v>
      </c>
      <c r="X410" s="87" t="s">
        <v>1119</v>
      </c>
      <c r="Y410" s="99">
        <v>44537.0</v>
      </c>
      <c r="Z410" s="90"/>
      <c r="AA410" s="90"/>
      <c r="AB410" s="92"/>
      <c r="AC410" s="81">
        <v>407.0</v>
      </c>
      <c r="AD410" s="92"/>
      <c r="AE410" s="87" t="s">
        <v>67</v>
      </c>
      <c r="AF410" s="92"/>
      <c r="AG410" s="87" t="s">
        <v>130</v>
      </c>
      <c r="AH410" s="87"/>
      <c r="AI410" s="96">
        <v>8.5271307034E10</v>
      </c>
      <c r="AJ410" s="87" t="s">
        <v>3077</v>
      </c>
      <c r="AK410" s="97" t="s">
        <v>3078</v>
      </c>
      <c r="AL410" s="87" t="s">
        <v>3079</v>
      </c>
      <c r="AM410" s="87" t="s">
        <v>73</v>
      </c>
      <c r="AN410" s="87" t="s">
        <v>74</v>
      </c>
      <c r="AO410" s="87" t="s">
        <v>1291</v>
      </c>
      <c r="AP410" s="87" t="s">
        <v>167</v>
      </c>
      <c r="AQ410" s="87">
        <v>0.0</v>
      </c>
      <c r="AR410" s="87">
        <v>0.0</v>
      </c>
    </row>
    <row r="411">
      <c r="A411" s="89">
        <v>81.0</v>
      </c>
      <c r="B411" s="87" t="s">
        <v>3080</v>
      </c>
      <c r="C411" s="88" t="s">
        <v>3081</v>
      </c>
      <c r="D411" s="89"/>
      <c r="E411" s="89"/>
      <c r="F411" s="89"/>
      <c r="G411" s="89"/>
      <c r="H411" s="89"/>
      <c r="I411" s="90"/>
      <c r="J411" s="89"/>
      <c r="K411" s="89"/>
      <c r="L411" s="90"/>
      <c r="M411" s="89"/>
      <c r="N411" s="89"/>
      <c r="O411" s="87" t="s">
        <v>142</v>
      </c>
      <c r="P411" s="89"/>
      <c r="Q411" s="100" t="s">
        <v>2957</v>
      </c>
      <c r="R411" s="89"/>
      <c r="S411" s="92"/>
      <c r="T411" s="89"/>
      <c r="U411" s="92"/>
      <c r="V411" s="87" t="s">
        <v>89</v>
      </c>
      <c r="W411" s="87" t="s">
        <v>3082</v>
      </c>
      <c r="X411" s="87" t="s">
        <v>3083</v>
      </c>
      <c r="Y411" s="94">
        <v>40770.0</v>
      </c>
      <c r="Z411" s="90"/>
      <c r="AA411" s="90"/>
      <c r="AB411" s="92"/>
      <c r="AC411" s="81">
        <v>408.0</v>
      </c>
      <c r="AD411" s="92"/>
      <c r="AE411" s="87" t="s">
        <v>67</v>
      </c>
      <c r="AF411" s="92"/>
      <c r="AG411" s="87" t="s">
        <v>130</v>
      </c>
      <c r="AH411" s="87"/>
      <c r="AI411" s="96">
        <v>8.2366605514E10</v>
      </c>
      <c r="AJ411" s="87" t="s">
        <v>3084</v>
      </c>
      <c r="AK411" s="97" t="s">
        <v>3085</v>
      </c>
      <c r="AL411" s="87" t="s">
        <v>3086</v>
      </c>
      <c r="AM411" s="87" t="s">
        <v>73</v>
      </c>
      <c r="AN411" s="87"/>
      <c r="AO411" s="87" t="s">
        <v>2986</v>
      </c>
      <c r="AP411" s="87" t="s">
        <v>3087</v>
      </c>
      <c r="AQ411" s="87" t="s">
        <v>77</v>
      </c>
      <c r="AR411" s="87" t="s">
        <v>77</v>
      </c>
    </row>
    <row r="412">
      <c r="A412" s="89">
        <v>82.0</v>
      </c>
      <c r="B412" s="87" t="s">
        <v>3088</v>
      </c>
      <c r="C412" s="88" t="s">
        <v>3089</v>
      </c>
      <c r="D412" s="89"/>
      <c r="E412" s="89"/>
      <c r="F412" s="89"/>
      <c r="G412" s="89"/>
      <c r="H412" s="89"/>
      <c r="I412" s="90"/>
      <c r="J412" s="89"/>
      <c r="K412" s="89"/>
      <c r="L412" s="90"/>
      <c r="M412" s="89"/>
      <c r="N412" s="89"/>
      <c r="O412" s="87" t="s">
        <v>142</v>
      </c>
      <c r="P412" s="89"/>
      <c r="Q412" s="100" t="s">
        <v>2996</v>
      </c>
      <c r="R412" s="89"/>
      <c r="S412" s="92"/>
      <c r="T412" s="89"/>
      <c r="U412" s="92"/>
      <c r="V412" s="87" t="s">
        <v>89</v>
      </c>
      <c r="W412" s="87"/>
      <c r="X412" s="87" t="s">
        <v>648</v>
      </c>
      <c r="Y412" s="94">
        <v>44002.0</v>
      </c>
      <c r="Z412" s="90"/>
      <c r="AA412" s="90"/>
      <c r="AB412" s="92"/>
      <c r="AC412" s="81">
        <v>409.0</v>
      </c>
      <c r="AD412" s="92"/>
      <c r="AE412" s="87" t="s">
        <v>220</v>
      </c>
      <c r="AF412" s="92"/>
      <c r="AG412" s="87" t="s">
        <v>68</v>
      </c>
      <c r="AH412" s="87"/>
      <c r="AI412" s="96">
        <v>8.226810395E10</v>
      </c>
      <c r="AJ412" s="87" t="s">
        <v>3090</v>
      </c>
      <c r="AK412" s="97" t="s">
        <v>3091</v>
      </c>
      <c r="AL412" s="87" t="s">
        <v>3092</v>
      </c>
      <c r="AM412" s="87" t="s">
        <v>2473</v>
      </c>
      <c r="AN412" s="87" t="s">
        <v>74</v>
      </c>
      <c r="AO412" s="87" t="s">
        <v>203</v>
      </c>
      <c r="AP412" s="87" t="s">
        <v>575</v>
      </c>
      <c r="AQ412" s="87"/>
      <c r="AR412" s="87"/>
    </row>
    <row r="413">
      <c r="A413" s="89">
        <v>83.0</v>
      </c>
      <c r="B413" s="87" t="s">
        <v>3093</v>
      </c>
      <c r="C413" s="88" t="s">
        <v>3094</v>
      </c>
      <c r="D413" s="89"/>
      <c r="E413" s="89"/>
      <c r="F413" s="89"/>
      <c r="G413" s="89"/>
      <c r="H413" s="89"/>
      <c r="I413" s="90"/>
      <c r="J413" s="89"/>
      <c r="K413" s="89"/>
      <c r="L413" s="90"/>
      <c r="M413" s="89"/>
      <c r="N413" s="89"/>
      <c r="O413" s="87" t="s">
        <v>142</v>
      </c>
      <c r="P413" s="89"/>
      <c r="Q413" s="100" t="s">
        <v>2950</v>
      </c>
      <c r="R413" s="89"/>
      <c r="S413" s="92"/>
      <c r="T413" s="89"/>
      <c r="U413" s="92"/>
      <c r="V413" s="87" t="s">
        <v>89</v>
      </c>
      <c r="W413" s="87" t="s">
        <v>218</v>
      </c>
      <c r="X413" s="87" t="s">
        <v>3022</v>
      </c>
      <c r="Y413" s="94">
        <v>42655.0</v>
      </c>
      <c r="Z413" s="90"/>
      <c r="AA413" s="90"/>
      <c r="AB413" s="92"/>
      <c r="AC413" s="81">
        <v>410.0</v>
      </c>
      <c r="AD413" s="92"/>
      <c r="AE413" s="87" t="s">
        <v>67</v>
      </c>
      <c r="AF413" s="92"/>
      <c r="AG413" s="87" t="s">
        <v>130</v>
      </c>
      <c r="AH413" s="87"/>
      <c r="AI413" s="96">
        <v>8.1372774851E10</v>
      </c>
      <c r="AJ413" s="87" t="s">
        <v>3095</v>
      </c>
      <c r="AK413" s="97" t="s">
        <v>3096</v>
      </c>
      <c r="AL413" s="87" t="s">
        <v>3097</v>
      </c>
      <c r="AM413" s="87" t="s">
        <v>96</v>
      </c>
      <c r="AN413" s="87" t="s">
        <v>97</v>
      </c>
      <c r="AO413" s="87" t="s">
        <v>379</v>
      </c>
      <c r="AP413" s="87" t="s">
        <v>2205</v>
      </c>
      <c r="AQ413" s="87"/>
      <c r="AR413" s="87"/>
    </row>
    <row r="414">
      <c r="A414" s="89">
        <v>84.0</v>
      </c>
      <c r="B414" s="87" t="s">
        <v>3098</v>
      </c>
      <c r="C414" s="88" t="s">
        <v>3099</v>
      </c>
      <c r="D414" s="89"/>
      <c r="E414" s="89"/>
      <c r="F414" s="89"/>
      <c r="G414" s="89"/>
      <c r="H414" s="89"/>
      <c r="I414" s="90"/>
      <c r="J414" s="89"/>
      <c r="K414" s="89"/>
      <c r="L414" s="90"/>
      <c r="M414" s="89"/>
      <c r="N414" s="89"/>
      <c r="O414" s="87" t="s">
        <v>142</v>
      </c>
      <c r="P414" s="89"/>
      <c r="Q414" s="100" t="s">
        <v>2957</v>
      </c>
      <c r="R414" s="89"/>
      <c r="S414" s="92"/>
      <c r="T414" s="89"/>
      <c r="U414" s="92"/>
      <c r="V414" s="87" t="s">
        <v>89</v>
      </c>
      <c r="W414" s="87" t="s">
        <v>90</v>
      </c>
      <c r="X414" s="87" t="s">
        <v>2082</v>
      </c>
      <c r="Y414" s="99">
        <v>43468.0</v>
      </c>
      <c r="Z414" s="90"/>
      <c r="AA414" s="90"/>
      <c r="AB414" s="92"/>
      <c r="AC414" s="81">
        <v>411.0</v>
      </c>
      <c r="AD414" s="92"/>
      <c r="AE414" s="87" t="s">
        <v>67</v>
      </c>
      <c r="AF414" s="92"/>
      <c r="AG414" s="87" t="s">
        <v>68</v>
      </c>
      <c r="AH414" s="87"/>
      <c r="AI414" s="96">
        <v>8.1263346663E10</v>
      </c>
      <c r="AJ414" s="87" t="s">
        <v>3100</v>
      </c>
      <c r="AK414" s="97" t="s">
        <v>3101</v>
      </c>
      <c r="AL414" s="87" t="s">
        <v>3102</v>
      </c>
      <c r="AM414" s="87" t="s">
        <v>73</v>
      </c>
      <c r="AN414" s="87" t="s">
        <v>74</v>
      </c>
      <c r="AO414" s="87" t="s">
        <v>75</v>
      </c>
      <c r="AP414" s="87" t="s">
        <v>3103</v>
      </c>
      <c r="AQ414" s="87"/>
      <c r="AR414" s="87"/>
    </row>
    <row r="415">
      <c r="A415" s="89">
        <v>85.0</v>
      </c>
      <c r="B415" s="87" t="s">
        <v>3104</v>
      </c>
      <c r="C415" s="88" t="s">
        <v>3105</v>
      </c>
      <c r="D415" s="89"/>
      <c r="E415" s="89"/>
      <c r="F415" s="89"/>
      <c r="G415" s="89"/>
      <c r="H415" s="89"/>
      <c r="I415" s="90"/>
      <c r="J415" s="89"/>
      <c r="K415" s="89"/>
      <c r="L415" s="90"/>
      <c r="M415" s="89"/>
      <c r="N415" s="89"/>
      <c r="O415" s="87" t="s">
        <v>142</v>
      </c>
      <c r="P415" s="89"/>
      <c r="Q415" s="100" t="s">
        <v>2957</v>
      </c>
      <c r="R415" s="89"/>
      <c r="S415" s="92"/>
      <c r="T415" s="89"/>
      <c r="U415" s="92"/>
      <c r="V415" s="87" t="s">
        <v>89</v>
      </c>
      <c r="W415" s="87" t="s">
        <v>1214</v>
      </c>
      <c r="X415" s="87" t="s">
        <v>2082</v>
      </c>
      <c r="Y415" s="94">
        <v>40952.0</v>
      </c>
      <c r="Z415" s="90"/>
      <c r="AA415" s="90"/>
      <c r="AB415" s="92"/>
      <c r="AC415" s="81">
        <v>412.0</v>
      </c>
      <c r="AD415" s="92"/>
      <c r="AE415" s="87" t="s">
        <v>67</v>
      </c>
      <c r="AF415" s="92"/>
      <c r="AG415" s="87" t="s">
        <v>68</v>
      </c>
      <c r="AH415" s="87"/>
      <c r="AI415" s="96">
        <v>8.1996622952E10</v>
      </c>
      <c r="AJ415" s="87" t="s">
        <v>3106</v>
      </c>
      <c r="AK415" s="97" t="s">
        <v>3107</v>
      </c>
      <c r="AL415" s="87" t="s">
        <v>3108</v>
      </c>
      <c r="AM415" s="87" t="s">
        <v>73</v>
      </c>
      <c r="AN415" s="87" t="s">
        <v>74</v>
      </c>
      <c r="AO415" s="87" t="s">
        <v>191</v>
      </c>
      <c r="AP415" s="87" t="s">
        <v>2010</v>
      </c>
      <c r="AQ415" s="87">
        <v>0.0</v>
      </c>
      <c r="AR415" s="87">
        <v>0.0</v>
      </c>
    </row>
    <row r="416">
      <c r="A416" s="89">
        <v>86.0</v>
      </c>
      <c r="B416" s="87" t="s">
        <v>3109</v>
      </c>
      <c r="C416" s="88" t="s">
        <v>3110</v>
      </c>
      <c r="D416" s="89"/>
      <c r="E416" s="89"/>
      <c r="F416" s="89"/>
      <c r="G416" s="89"/>
      <c r="H416" s="89"/>
      <c r="I416" s="90"/>
      <c r="J416" s="89"/>
      <c r="K416" s="89"/>
      <c r="L416" s="90"/>
      <c r="M416" s="89"/>
      <c r="N416" s="89"/>
      <c r="O416" s="87" t="s">
        <v>142</v>
      </c>
      <c r="P416" s="89"/>
      <c r="Q416" s="100" t="s">
        <v>2957</v>
      </c>
      <c r="R416" s="89"/>
      <c r="S416" s="92"/>
      <c r="T416" s="89"/>
      <c r="U416" s="92"/>
      <c r="V416" s="87" t="s">
        <v>89</v>
      </c>
      <c r="W416" s="87" t="s">
        <v>1193</v>
      </c>
      <c r="X416" s="87" t="s">
        <v>3111</v>
      </c>
      <c r="Y416" s="94">
        <v>42656.0</v>
      </c>
      <c r="Z416" s="90"/>
      <c r="AA416" s="90"/>
      <c r="AB416" s="92"/>
      <c r="AC416" s="81">
        <v>413.0</v>
      </c>
      <c r="AD416" s="92"/>
      <c r="AE416" s="87" t="s">
        <v>67</v>
      </c>
      <c r="AF416" s="92"/>
      <c r="AG416" s="87" t="s">
        <v>68</v>
      </c>
      <c r="AH416" s="92"/>
      <c r="AI416" s="96">
        <v>8.1370444608E10</v>
      </c>
      <c r="AJ416" s="87" t="s">
        <v>3112</v>
      </c>
      <c r="AK416" s="97" t="s">
        <v>3113</v>
      </c>
      <c r="AL416" s="87" t="s">
        <v>3114</v>
      </c>
      <c r="AM416" s="87" t="s">
        <v>73</v>
      </c>
      <c r="AN416" s="87" t="s">
        <v>74</v>
      </c>
      <c r="AO416" s="87" t="s">
        <v>191</v>
      </c>
      <c r="AP416" s="87" t="s">
        <v>2010</v>
      </c>
      <c r="AQ416" s="87">
        <v>0.0</v>
      </c>
      <c r="AR416" s="87">
        <v>0.0</v>
      </c>
    </row>
    <row r="417">
      <c r="A417" s="89">
        <v>87.0</v>
      </c>
      <c r="B417" s="87" t="s">
        <v>3115</v>
      </c>
      <c r="C417" s="88" t="s">
        <v>3116</v>
      </c>
      <c r="D417" s="89"/>
      <c r="E417" s="89"/>
      <c r="F417" s="89"/>
      <c r="G417" s="89"/>
      <c r="H417" s="89"/>
      <c r="I417" s="90"/>
      <c r="J417" s="89"/>
      <c r="K417" s="89"/>
      <c r="L417" s="90"/>
      <c r="M417" s="89"/>
      <c r="N417" s="89"/>
      <c r="O417" s="87" t="s">
        <v>142</v>
      </c>
      <c r="P417" s="89"/>
      <c r="Q417" s="100" t="s">
        <v>2963</v>
      </c>
      <c r="R417" s="89"/>
      <c r="S417" s="92"/>
      <c r="T417" s="89"/>
      <c r="U417" s="92"/>
      <c r="V417" s="87" t="s">
        <v>89</v>
      </c>
      <c r="W417" s="87" t="s">
        <v>3117</v>
      </c>
      <c r="X417" s="87" t="s">
        <v>3118</v>
      </c>
      <c r="Y417" s="94">
        <v>42544.0</v>
      </c>
      <c r="Z417" s="90"/>
      <c r="AA417" s="90"/>
      <c r="AB417" s="92"/>
      <c r="AC417" s="81">
        <v>414.0</v>
      </c>
      <c r="AD417" s="92"/>
      <c r="AE417" s="87" t="s">
        <v>67</v>
      </c>
      <c r="AF417" s="92"/>
      <c r="AG417" s="87" t="s">
        <v>130</v>
      </c>
      <c r="AH417" s="92"/>
      <c r="AI417" s="96">
        <v>8.1370028482E10</v>
      </c>
      <c r="AJ417" s="87" t="s">
        <v>3119</v>
      </c>
      <c r="AK417" s="97" t="s">
        <v>3120</v>
      </c>
      <c r="AL417" s="87" t="s">
        <v>3121</v>
      </c>
      <c r="AM417" s="87" t="s">
        <v>96</v>
      </c>
      <c r="AN417" s="87" t="s">
        <v>97</v>
      </c>
      <c r="AO417" s="87" t="s">
        <v>98</v>
      </c>
      <c r="AP417" s="87" t="s">
        <v>2220</v>
      </c>
      <c r="AQ417" s="87">
        <v>0.0</v>
      </c>
      <c r="AR417" s="87">
        <v>0.0</v>
      </c>
    </row>
    <row r="418">
      <c r="A418" s="89">
        <v>88.0</v>
      </c>
      <c r="B418" s="87" t="s">
        <v>3122</v>
      </c>
      <c r="C418" s="88" t="s">
        <v>3123</v>
      </c>
      <c r="D418" s="89"/>
      <c r="E418" s="89"/>
      <c r="F418" s="89"/>
      <c r="G418" s="89"/>
      <c r="H418" s="89"/>
      <c r="I418" s="90"/>
      <c r="J418" s="89"/>
      <c r="K418" s="89"/>
      <c r="L418" s="90"/>
      <c r="M418" s="89"/>
      <c r="N418" s="89"/>
      <c r="O418" s="87" t="s">
        <v>142</v>
      </c>
      <c r="P418" s="89"/>
      <c r="Q418" s="100" t="s">
        <v>2950</v>
      </c>
      <c r="R418" s="89"/>
      <c r="S418" s="92"/>
      <c r="T418" s="89"/>
      <c r="U418" s="92"/>
      <c r="V418" s="87" t="s">
        <v>89</v>
      </c>
      <c r="W418" s="87" t="s">
        <v>3124</v>
      </c>
      <c r="X418" s="87" t="s">
        <v>3125</v>
      </c>
      <c r="Y418" s="94">
        <v>39640.0</v>
      </c>
      <c r="Z418" s="90"/>
      <c r="AA418" s="90"/>
      <c r="AB418" s="92"/>
      <c r="AC418" s="81">
        <v>415.0</v>
      </c>
      <c r="AD418" s="92"/>
      <c r="AE418" s="87" t="s">
        <v>67</v>
      </c>
      <c r="AF418" s="92"/>
      <c r="AG418" s="87" t="s">
        <v>130</v>
      </c>
      <c r="AH418" s="92"/>
      <c r="AI418" s="96">
        <v>8.1269949111E10</v>
      </c>
      <c r="AJ418" s="87" t="s">
        <v>3126</v>
      </c>
      <c r="AK418" s="97" t="s">
        <v>3127</v>
      </c>
      <c r="AL418" s="87" t="s">
        <v>3057</v>
      </c>
      <c r="AM418" s="87" t="s">
        <v>73</v>
      </c>
      <c r="AN418" s="87" t="s">
        <v>835</v>
      </c>
      <c r="AO418" s="87" t="s">
        <v>203</v>
      </c>
      <c r="AP418" s="87" t="s">
        <v>204</v>
      </c>
      <c r="AQ418" s="87" t="s">
        <v>77</v>
      </c>
      <c r="AR418" s="87" t="s">
        <v>77</v>
      </c>
    </row>
    <row r="419">
      <c r="A419" s="89">
        <v>89.0</v>
      </c>
      <c r="B419" s="87" t="s">
        <v>3128</v>
      </c>
      <c r="C419" s="88" t="s">
        <v>3129</v>
      </c>
      <c r="D419" s="89"/>
      <c r="E419" s="89"/>
      <c r="F419" s="89"/>
      <c r="G419" s="89"/>
      <c r="H419" s="89"/>
      <c r="I419" s="90"/>
      <c r="J419" s="89"/>
      <c r="K419" s="89"/>
      <c r="L419" s="90"/>
      <c r="M419" s="89"/>
      <c r="N419" s="89"/>
      <c r="O419" s="87" t="s">
        <v>142</v>
      </c>
      <c r="P419" s="89"/>
      <c r="Q419" s="100" t="s">
        <v>2957</v>
      </c>
      <c r="R419" s="89"/>
      <c r="S419" s="92"/>
      <c r="T419" s="89"/>
      <c r="U419" s="92"/>
      <c r="V419" s="87" t="s">
        <v>89</v>
      </c>
      <c r="W419" s="87" t="s">
        <v>1520</v>
      </c>
      <c r="X419" s="87" t="s">
        <v>1231</v>
      </c>
      <c r="Y419" s="94">
        <v>42083.0</v>
      </c>
      <c r="Z419" s="90"/>
      <c r="AA419" s="90"/>
      <c r="AB419" s="92"/>
      <c r="AC419" s="81">
        <v>416.0</v>
      </c>
      <c r="AD419" s="92"/>
      <c r="AE419" s="87" t="s">
        <v>67</v>
      </c>
      <c r="AF419" s="92"/>
      <c r="AG419" s="87" t="s">
        <v>68</v>
      </c>
      <c r="AH419" s="92"/>
      <c r="AI419" s="96">
        <v>8.2284849599E10</v>
      </c>
      <c r="AJ419" s="87" t="s">
        <v>3130</v>
      </c>
      <c r="AK419" s="97" t="s">
        <v>3131</v>
      </c>
      <c r="AL419" s="87" t="s">
        <v>3132</v>
      </c>
      <c r="AM419" s="87" t="s">
        <v>73</v>
      </c>
      <c r="AN419" s="87" t="s">
        <v>74</v>
      </c>
      <c r="AO419" s="87" t="s">
        <v>1220</v>
      </c>
      <c r="AP419" s="87" t="s">
        <v>3070</v>
      </c>
      <c r="AQ419" s="87">
        <v>0.0</v>
      </c>
      <c r="AR419" s="87">
        <v>0.0</v>
      </c>
    </row>
    <row r="420">
      <c r="A420" s="89">
        <v>90.0</v>
      </c>
      <c r="B420" s="87" t="s">
        <v>3133</v>
      </c>
      <c r="C420" s="88" t="s">
        <v>3134</v>
      </c>
      <c r="D420" s="89"/>
      <c r="E420" s="89"/>
      <c r="F420" s="89"/>
      <c r="G420" s="89"/>
      <c r="H420" s="89"/>
      <c r="I420" s="90"/>
      <c r="J420" s="89"/>
      <c r="K420" s="89"/>
      <c r="L420" s="90"/>
      <c r="M420" s="89"/>
      <c r="N420" s="89"/>
      <c r="O420" s="87" t="s">
        <v>142</v>
      </c>
      <c r="P420" s="89"/>
      <c r="Q420" s="100" t="s">
        <v>2957</v>
      </c>
      <c r="R420" s="89"/>
      <c r="S420" s="92"/>
      <c r="T420" s="89"/>
      <c r="U420" s="92"/>
      <c r="V420" s="87" t="s">
        <v>89</v>
      </c>
      <c r="W420" s="87" t="s">
        <v>3135</v>
      </c>
      <c r="X420" s="87" t="s">
        <v>3136</v>
      </c>
      <c r="Y420" s="94">
        <v>41237.0</v>
      </c>
      <c r="Z420" s="90"/>
      <c r="AA420" s="90"/>
      <c r="AB420" s="92"/>
      <c r="AC420" s="81">
        <v>417.0</v>
      </c>
      <c r="AD420" s="92"/>
      <c r="AE420" s="87" t="s">
        <v>67</v>
      </c>
      <c r="AF420" s="92"/>
      <c r="AG420" s="87" t="s">
        <v>68</v>
      </c>
      <c r="AH420" s="92"/>
      <c r="AI420" s="96">
        <v>8.1262244145E10</v>
      </c>
      <c r="AJ420" s="87" t="s">
        <v>3137</v>
      </c>
      <c r="AK420" s="97" t="s">
        <v>3138</v>
      </c>
      <c r="AL420" s="87" t="s">
        <v>3139</v>
      </c>
      <c r="AM420" s="87" t="s">
        <v>73</v>
      </c>
      <c r="AN420" s="87" t="s">
        <v>74</v>
      </c>
      <c r="AO420" s="87" t="s">
        <v>75</v>
      </c>
      <c r="AP420" s="87" t="s">
        <v>3140</v>
      </c>
      <c r="AQ420" s="87"/>
      <c r="AR420" s="87"/>
    </row>
    <row r="421">
      <c r="A421" s="89">
        <v>91.0</v>
      </c>
      <c r="B421" s="87" t="s">
        <v>3141</v>
      </c>
      <c r="C421" s="88" t="s">
        <v>3142</v>
      </c>
      <c r="D421" s="89"/>
      <c r="E421" s="89"/>
      <c r="F421" s="89"/>
      <c r="G421" s="89"/>
      <c r="H421" s="89"/>
      <c r="I421" s="90"/>
      <c r="J421" s="89"/>
      <c r="K421" s="89"/>
      <c r="L421" s="90"/>
      <c r="M421" s="89"/>
      <c r="N421" s="89"/>
      <c r="O421" s="87" t="s">
        <v>142</v>
      </c>
      <c r="P421" s="89"/>
      <c r="Q421" s="100" t="s">
        <v>2963</v>
      </c>
      <c r="R421" s="89"/>
      <c r="S421" s="92"/>
      <c r="T421" s="89"/>
      <c r="U421" s="92"/>
      <c r="V421" s="87" t="s">
        <v>89</v>
      </c>
      <c r="W421" s="87" t="s">
        <v>374</v>
      </c>
      <c r="X421" s="87" t="s">
        <v>1528</v>
      </c>
      <c r="Y421" s="94">
        <v>43383.0</v>
      </c>
      <c r="Z421" s="90"/>
      <c r="AA421" s="90"/>
      <c r="AB421" s="92"/>
      <c r="AC421" s="81">
        <v>418.0</v>
      </c>
      <c r="AD421" s="92"/>
      <c r="AE421" s="87" t="s">
        <v>67</v>
      </c>
      <c r="AF421" s="92"/>
      <c r="AG421" s="87" t="s">
        <v>130</v>
      </c>
      <c r="AH421" s="92"/>
      <c r="AI421" s="96">
        <v>8.5275613174E10</v>
      </c>
      <c r="AJ421" s="87" t="s">
        <v>3143</v>
      </c>
      <c r="AK421" s="97" t="s">
        <v>3144</v>
      </c>
      <c r="AL421" s="87" t="s">
        <v>3145</v>
      </c>
      <c r="AM421" s="87" t="s">
        <v>73</v>
      </c>
      <c r="AN421" s="87" t="s">
        <v>2985</v>
      </c>
      <c r="AO421" s="87" t="s">
        <v>596</v>
      </c>
      <c r="AP421" s="87" t="s">
        <v>951</v>
      </c>
      <c r="AQ421" s="87"/>
      <c r="AR421" s="87"/>
    </row>
    <row r="422">
      <c r="A422" s="89">
        <v>92.0</v>
      </c>
      <c r="B422" s="87" t="s">
        <v>3146</v>
      </c>
      <c r="C422" s="88" t="s">
        <v>3147</v>
      </c>
      <c r="D422" s="89"/>
      <c r="E422" s="89"/>
      <c r="F422" s="89"/>
      <c r="G422" s="89"/>
      <c r="H422" s="89"/>
      <c r="I422" s="90"/>
      <c r="J422" s="89"/>
      <c r="K422" s="89"/>
      <c r="L422" s="90"/>
      <c r="M422" s="89"/>
      <c r="N422" s="89"/>
      <c r="O422" s="87" t="s">
        <v>142</v>
      </c>
      <c r="P422" s="89"/>
      <c r="Q422" s="100" t="s">
        <v>2996</v>
      </c>
      <c r="R422" s="89"/>
      <c r="S422" s="92"/>
      <c r="T422" s="89"/>
      <c r="U422" s="92"/>
      <c r="V422" s="87" t="s">
        <v>89</v>
      </c>
      <c r="W422" s="87" t="s">
        <v>3148</v>
      </c>
      <c r="X422" s="87" t="s">
        <v>3149</v>
      </c>
      <c r="Y422" s="99">
        <v>42614.0</v>
      </c>
      <c r="Z422" s="90"/>
      <c r="AA422" s="90"/>
      <c r="AB422" s="92"/>
      <c r="AC422" s="81">
        <v>419.0</v>
      </c>
      <c r="AD422" s="92"/>
      <c r="AE422" s="87" t="s">
        <v>67</v>
      </c>
      <c r="AF422" s="92"/>
      <c r="AG422" s="87" t="s">
        <v>130</v>
      </c>
      <c r="AH422" s="92"/>
      <c r="AI422" s="96">
        <v>8.2175940126E10</v>
      </c>
      <c r="AJ422" s="87" t="s">
        <v>3150</v>
      </c>
      <c r="AK422" s="97" t="s">
        <v>3151</v>
      </c>
      <c r="AL422" s="87" t="s">
        <v>3152</v>
      </c>
      <c r="AM422" s="87" t="s">
        <v>73</v>
      </c>
      <c r="AN422" s="87" t="s">
        <v>74</v>
      </c>
      <c r="AO422" s="87" t="s">
        <v>203</v>
      </c>
      <c r="AP422" s="87" t="s">
        <v>3153</v>
      </c>
      <c r="AQ422" s="87">
        <v>0.0</v>
      </c>
      <c r="AR422" s="87">
        <v>0.0</v>
      </c>
    </row>
    <row r="423">
      <c r="A423" s="89">
        <v>93.0</v>
      </c>
      <c r="B423" s="87" t="s">
        <v>3154</v>
      </c>
      <c r="C423" s="88" t="s">
        <v>3155</v>
      </c>
      <c r="D423" s="89"/>
      <c r="E423" s="89"/>
      <c r="F423" s="89"/>
      <c r="G423" s="89"/>
      <c r="H423" s="89"/>
      <c r="I423" s="90"/>
      <c r="J423" s="89"/>
      <c r="K423" s="89"/>
      <c r="L423" s="90"/>
      <c r="M423" s="89"/>
      <c r="N423" s="89"/>
      <c r="O423" s="87" t="s">
        <v>142</v>
      </c>
      <c r="P423" s="89"/>
      <c r="Q423" s="100" t="s">
        <v>2963</v>
      </c>
      <c r="R423" s="89"/>
      <c r="S423" s="92"/>
      <c r="T423" s="89"/>
      <c r="U423" s="92"/>
      <c r="V423" s="87" t="s">
        <v>89</v>
      </c>
      <c r="W423" s="87" t="s">
        <v>374</v>
      </c>
      <c r="X423" s="87" t="s">
        <v>3156</v>
      </c>
      <c r="Y423" s="94">
        <v>43657.0</v>
      </c>
      <c r="Z423" s="90"/>
      <c r="AA423" s="90"/>
      <c r="AB423" s="92"/>
      <c r="AC423" s="81">
        <v>420.0</v>
      </c>
      <c r="AD423" s="92"/>
      <c r="AE423" s="87" t="s">
        <v>220</v>
      </c>
      <c r="AF423" s="92"/>
      <c r="AG423" s="87" t="s">
        <v>130</v>
      </c>
      <c r="AH423" s="92"/>
      <c r="AI423" s="96">
        <v>8.5361056183E10</v>
      </c>
      <c r="AJ423" s="87" t="s">
        <v>3157</v>
      </c>
      <c r="AK423" s="97" t="s">
        <v>3158</v>
      </c>
      <c r="AL423" s="87" t="s">
        <v>3159</v>
      </c>
      <c r="AM423" s="87" t="s">
        <v>73</v>
      </c>
      <c r="AN423" s="87" t="s">
        <v>481</v>
      </c>
      <c r="AO423" s="87" t="s">
        <v>360</v>
      </c>
      <c r="AP423" s="87" t="s">
        <v>666</v>
      </c>
      <c r="AQ423" s="87"/>
      <c r="AR423" s="87"/>
    </row>
    <row r="424">
      <c r="A424" s="89">
        <v>94.0</v>
      </c>
      <c r="B424" s="87" t="s">
        <v>3160</v>
      </c>
      <c r="C424" s="88" t="s">
        <v>3161</v>
      </c>
      <c r="D424" s="89"/>
      <c r="E424" s="89"/>
      <c r="F424" s="89"/>
      <c r="G424" s="89"/>
      <c r="H424" s="89"/>
      <c r="I424" s="90"/>
      <c r="J424" s="89"/>
      <c r="K424" s="89"/>
      <c r="L424" s="90"/>
      <c r="M424" s="89"/>
      <c r="N424" s="89"/>
      <c r="O424" s="87" t="s">
        <v>142</v>
      </c>
      <c r="P424" s="89"/>
      <c r="Q424" s="100" t="s">
        <v>2957</v>
      </c>
      <c r="R424" s="89"/>
      <c r="S424" s="92"/>
      <c r="T424" s="89"/>
      <c r="U424" s="92"/>
      <c r="V424" s="87" t="s">
        <v>89</v>
      </c>
      <c r="W424" s="87" t="s">
        <v>90</v>
      </c>
      <c r="X424" s="87" t="s">
        <v>449</v>
      </c>
      <c r="Y424" s="94">
        <v>42695.0</v>
      </c>
      <c r="Z424" s="90"/>
      <c r="AA424" s="90"/>
      <c r="AB424" s="92"/>
      <c r="AC424" s="81">
        <v>421.0</v>
      </c>
      <c r="AD424" s="92"/>
      <c r="AE424" s="87" t="s">
        <v>67</v>
      </c>
      <c r="AF424" s="92"/>
      <c r="AG424" s="87" t="s">
        <v>68</v>
      </c>
      <c r="AH424" s="92"/>
      <c r="AI424" s="96">
        <v>8.1260997666E10</v>
      </c>
      <c r="AJ424" s="87" t="s">
        <v>3162</v>
      </c>
      <c r="AK424" s="97" t="s">
        <v>3163</v>
      </c>
      <c r="AL424" s="87" t="s">
        <v>3164</v>
      </c>
      <c r="AM424" s="87" t="s">
        <v>73</v>
      </c>
      <c r="AN424" s="87" t="s">
        <v>74</v>
      </c>
      <c r="AO424" s="87" t="s">
        <v>925</v>
      </c>
      <c r="AP424" s="87" t="s">
        <v>3165</v>
      </c>
      <c r="AQ424" s="87"/>
      <c r="AR424" s="87"/>
    </row>
    <row r="425">
      <c r="A425" s="89">
        <v>95.0</v>
      </c>
      <c r="B425" s="87" t="s">
        <v>3166</v>
      </c>
      <c r="C425" s="88" t="s">
        <v>3167</v>
      </c>
      <c r="D425" s="89"/>
      <c r="E425" s="89"/>
      <c r="F425" s="89"/>
      <c r="G425" s="89"/>
      <c r="H425" s="89"/>
      <c r="I425" s="90"/>
      <c r="J425" s="89"/>
      <c r="K425" s="89"/>
      <c r="L425" s="90"/>
      <c r="M425" s="89"/>
      <c r="N425" s="89"/>
      <c r="O425" s="87" t="s">
        <v>532</v>
      </c>
      <c r="P425" s="89"/>
      <c r="Q425" s="100" t="s">
        <v>2957</v>
      </c>
      <c r="R425" s="89"/>
      <c r="S425" s="92"/>
      <c r="T425" s="89"/>
      <c r="U425" s="92"/>
      <c r="V425" s="87" t="s">
        <v>285</v>
      </c>
      <c r="W425" s="87"/>
      <c r="X425" s="87" t="s">
        <v>3168</v>
      </c>
      <c r="Y425" s="99">
        <v>42497.0</v>
      </c>
      <c r="Z425" s="90"/>
      <c r="AA425" s="90"/>
      <c r="AB425" s="92"/>
      <c r="AC425" s="81">
        <v>422.0</v>
      </c>
      <c r="AD425" s="92"/>
      <c r="AE425" s="87" t="s">
        <v>67</v>
      </c>
      <c r="AF425" s="92"/>
      <c r="AG425" s="87" t="s">
        <v>68</v>
      </c>
      <c r="AH425" s="92"/>
      <c r="AI425" s="96">
        <v>8.5372710055E10</v>
      </c>
      <c r="AJ425" s="87" t="s">
        <v>3169</v>
      </c>
      <c r="AK425" s="97" t="s">
        <v>3170</v>
      </c>
      <c r="AL425" s="87" t="s">
        <v>3171</v>
      </c>
      <c r="AM425" s="87" t="s">
        <v>73</v>
      </c>
      <c r="AN425" s="87" t="s">
        <v>74</v>
      </c>
      <c r="AO425" s="87" t="s">
        <v>360</v>
      </c>
      <c r="AP425" s="87" t="s">
        <v>2897</v>
      </c>
      <c r="AQ425" s="87">
        <v>0.0</v>
      </c>
      <c r="AR425" s="87">
        <v>0.0</v>
      </c>
    </row>
    <row r="426">
      <c r="A426" s="89">
        <v>96.0</v>
      </c>
      <c r="B426" s="87" t="s">
        <v>3172</v>
      </c>
      <c r="C426" s="88" t="s">
        <v>3173</v>
      </c>
      <c r="D426" s="89"/>
      <c r="E426" s="89"/>
      <c r="F426" s="89"/>
      <c r="G426" s="89"/>
      <c r="H426" s="89"/>
      <c r="I426" s="90"/>
      <c r="J426" s="89"/>
      <c r="K426" s="89"/>
      <c r="L426" s="90"/>
      <c r="M426" s="89"/>
      <c r="N426" s="89"/>
      <c r="O426" s="87" t="s">
        <v>532</v>
      </c>
      <c r="P426" s="89"/>
      <c r="Q426" s="100" t="s">
        <v>2957</v>
      </c>
      <c r="R426" s="89"/>
      <c r="S426" s="92"/>
      <c r="T426" s="89"/>
      <c r="U426" s="92"/>
      <c r="V426" s="87" t="s">
        <v>285</v>
      </c>
      <c r="W426" s="87" t="s">
        <v>687</v>
      </c>
      <c r="X426" s="87" t="s">
        <v>3174</v>
      </c>
      <c r="Y426" s="94">
        <v>41055.0</v>
      </c>
      <c r="Z426" s="90"/>
      <c r="AA426" s="90"/>
      <c r="AB426" s="92"/>
      <c r="AC426" s="81">
        <v>423.0</v>
      </c>
      <c r="AD426" s="92"/>
      <c r="AE426" s="87" t="s">
        <v>67</v>
      </c>
      <c r="AF426" s="92"/>
      <c r="AG426" s="87" t="s">
        <v>68</v>
      </c>
      <c r="AH426" s="92"/>
      <c r="AI426" s="96">
        <v>8.1361130548E10</v>
      </c>
      <c r="AJ426" s="87" t="s">
        <v>3175</v>
      </c>
      <c r="AK426" s="97" t="s">
        <v>3176</v>
      </c>
      <c r="AL426" s="87" t="s">
        <v>3177</v>
      </c>
      <c r="AM426" s="87" t="s">
        <v>73</v>
      </c>
      <c r="AN426" s="87" t="s">
        <v>74</v>
      </c>
      <c r="AO426" s="87" t="s">
        <v>191</v>
      </c>
      <c r="AP426" s="87" t="s">
        <v>1558</v>
      </c>
      <c r="AQ426" s="87">
        <v>0.0</v>
      </c>
      <c r="AR426" s="87">
        <v>0.0</v>
      </c>
    </row>
    <row r="427">
      <c r="A427" s="89">
        <v>97.0</v>
      </c>
      <c r="B427" s="87" t="s">
        <v>3178</v>
      </c>
      <c r="C427" s="88" t="s">
        <v>3179</v>
      </c>
      <c r="D427" s="89"/>
      <c r="E427" s="89"/>
      <c r="F427" s="89"/>
      <c r="G427" s="89"/>
      <c r="H427" s="89"/>
      <c r="I427" s="90"/>
      <c r="J427" s="89"/>
      <c r="K427" s="89"/>
      <c r="L427" s="90"/>
      <c r="M427" s="89"/>
      <c r="N427" s="89"/>
      <c r="O427" s="87" t="s">
        <v>142</v>
      </c>
      <c r="P427" s="89"/>
      <c r="Q427" s="100" t="s">
        <v>2963</v>
      </c>
      <c r="R427" s="89"/>
      <c r="S427" s="92"/>
      <c r="T427" s="89"/>
      <c r="U427" s="92"/>
      <c r="V427" s="87" t="s">
        <v>89</v>
      </c>
      <c r="W427" s="87" t="s">
        <v>1520</v>
      </c>
      <c r="X427" s="87" t="s">
        <v>3156</v>
      </c>
      <c r="Y427" s="94">
        <v>40871.0</v>
      </c>
      <c r="Z427" s="90"/>
      <c r="AA427" s="90"/>
      <c r="AB427" s="92"/>
      <c r="AC427" s="81">
        <v>424.0</v>
      </c>
      <c r="AD427" s="92"/>
      <c r="AE427" s="87" t="s">
        <v>67</v>
      </c>
      <c r="AF427" s="92"/>
      <c r="AG427" s="87" t="s">
        <v>68</v>
      </c>
      <c r="AH427" s="92"/>
      <c r="AI427" s="96">
        <v>8.2165596744E10</v>
      </c>
      <c r="AJ427" s="87" t="s">
        <v>3180</v>
      </c>
      <c r="AK427" s="97" t="s">
        <v>3181</v>
      </c>
      <c r="AL427" s="87" t="s">
        <v>3182</v>
      </c>
      <c r="AM427" s="87" t="s">
        <v>73</v>
      </c>
      <c r="AN427" s="87" t="s">
        <v>2985</v>
      </c>
      <c r="AO427" s="87" t="s">
        <v>3183</v>
      </c>
      <c r="AP427" s="87" t="s">
        <v>3184</v>
      </c>
      <c r="AQ427" s="87">
        <v>23.0</v>
      </c>
      <c r="AR427" s="87">
        <v>10.0</v>
      </c>
    </row>
    <row r="428">
      <c r="A428" s="89">
        <v>98.0</v>
      </c>
      <c r="B428" s="87" t="s">
        <v>3185</v>
      </c>
      <c r="C428" s="88" t="s">
        <v>3186</v>
      </c>
      <c r="D428" s="89"/>
      <c r="E428" s="89"/>
      <c r="F428" s="89"/>
      <c r="G428" s="89"/>
      <c r="H428" s="89"/>
      <c r="I428" s="90"/>
      <c r="J428" s="89"/>
      <c r="K428" s="89"/>
      <c r="L428" s="90"/>
      <c r="M428" s="89"/>
      <c r="N428" s="89"/>
      <c r="O428" s="87" t="s">
        <v>532</v>
      </c>
      <c r="P428" s="89"/>
      <c r="Q428" s="100" t="s">
        <v>2963</v>
      </c>
      <c r="R428" s="89"/>
      <c r="S428" s="92"/>
      <c r="T428" s="89"/>
      <c r="U428" s="92"/>
      <c r="V428" s="87" t="s">
        <v>285</v>
      </c>
      <c r="W428" s="87"/>
      <c r="X428" s="87" t="s">
        <v>3187</v>
      </c>
      <c r="Y428" s="94">
        <v>33019.0</v>
      </c>
      <c r="Z428" s="90"/>
      <c r="AA428" s="90"/>
      <c r="AB428" s="92"/>
      <c r="AC428" s="81">
        <v>425.0</v>
      </c>
      <c r="AD428" s="92"/>
      <c r="AE428" s="87" t="s">
        <v>67</v>
      </c>
      <c r="AF428" s="92"/>
      <c r="AG428" s="87" t="s">
        <v>68</v>
      </c>
      <c r="AH428" s="92"/>
      <c r="AI428" s="96">
        <v>8.126302104E9</v>
      </c>
      <c r="AJ428" s="87" t="s">
        <v>3188</v>
      </c>
      <c r="AK428" s="97" t="s">
        <v>3189</v>
      </c>
      <c r="AL428" s="87" t="s">
        <v>3190</v>
      </c>
      <c r="AM428" s="87" t="s">
        <v>73</v>
      </c>
      <c r="AN428" s="87" t="s">
        <v>74</v>
      </c>
      <c r="AO428" s="87" t="s">
        <v>925</v>
      </c>
      <c r="AP428" s="87" t="s">
        <v>3191</v>
      </c>
      <c r="AQ428" s="87"/>
      <c r="AR428" s="87"/>
    </row>
    <row r="429">
      <c r="A429" s="89">
        <v>99.0</v>
      </c>
      <c r="B429" s="87" t="s">
        <v>3192</v>
      </c>
      <c r="C429" s="88" t="s">
        <v>3193</v>
      </c>
      <c r="D429" s="89"/>
      <c r="E429" s="89"/>
      <c r="F429" s="89"/>
      <c r="G429" s="89"/>
      <c r="H429" s="89"/>
      <c r="I429" s="90"/>
      <c r="J429" s="89"/>
      <c r="K429" s="89"/>
      <c r="L429" s="90"/>
      <c r="M429" s="89"/>
      <c r="N429" s="89"/>
      <c r="O429" s="87" t="s">
        <v>142</v>
      </c>
      <c r="P429" s="89"/>
      <c r="Q429" s="100" t="s">
        <v>2957</v>
      </c>
      <c r="R429" s="89"/>
      <c r="S429" s="92"/>
      <c r="T429" s="89"/>
      <c r="U429" s="92"/>
      <c r="V429" s="87" t="s">
        <v>89</v>
      </c>
      <c r="W429" s="87" t="s">
        <v>90</v>
      </c>
      <c r="X429" s="87" t="s">
        <v>2482</v>
      </c>
      <c r="Y429" s="94">
        <v>42655.0</v>
      </c>
      <c r="Z429" s="90"/>
      <c r="AA429" s="90"/>
      <c r="AB429" s="92"/>
      <c r="AC429" s="81">
        <v>426.0</v>
      </c>
      <c r="AD429" s="92"/>
      <c r="AE429" s="87" t="s">
        <v>67</v>
      </c>
      <c r="AF429" s="92"/>
      <c r="AG429" s="87" t="s">
        <v>68</v>
      </c>
      <c r="AH429" s="92"/>
      <c r="AI429" s="96">
        <v>8.1396007603E10</v>
      </c>
      <c r="AJ429" s="87" t="s">
        <v>3194</v>
      </c>
      <c r="AK429" s="97" t="s">
        <v>3195</v>
      </c>
      <c r="AL429" s="87" t="s">
        <v>3196</v>
      </c>
      <c r="AM429" s="87" t="s">
        <v>73</v>
      </c>
      <c r="AN429" s="87" t="s">
        <v>481</v>
      </c>
      <c r="AO429" s="87" t="s">
        <v>774</v>
      </c>
      <c r="AP429" s="87" t="s">
        <v>942</v>
      </c>
      <c r="AQ429" s="87">
        <v>0.0</v>
      </c>
      <c r="AR429" s="87">
        <v>0.0</v>
      </c>
    </row>
    <row r="430">
      <c r="A430" s="89">
        <v>100.0</v>
      </c>
      <c r="B430" s="87" t="s">
        <v>3197</v>
      </c>
      <c r="C430" s="88" t="s">
        <v>3198</v>
      </c>
      <c r="D430" s="89"/>
      <c r="E430" s="89"/>
      <c r="F430" s="89"/>
      <c r="G430" s="89"/>
      <c r="H430" s="89"/>
      <c r="I430" s="90"/>
      <c r="J430" s="89"/>
      <c r="K430" s="89"/>
      <c r="L430" s="90"/>
      <c r="M430" s="89"/>
      <c r="N430" s="89"/>
      <c r="O430" s="87" t="s">
        <v>142</v>
      </c>
      <c r="P430" s="89"/>
      <c r="Q430" s="100" t="s">
        <v>2996</v>
      </c>
      <c r="R430" s="89"/>
      <c r="S430" s="92"/>
      <c r="T430" s="89"/>
      <c r="U430" s="92"/>
      <c r="V430" s="87" t="s">
        <v>89</v>
      </c>
      <c r="W430" s="87" t="s">
        <v>218</v>
      </c>
      <c r="X430" s="87" t="s">
        <v>3022</v>
      </c>
      <c r="Y430" s="94">
        <v>40722.0</v>
      </c>
      <c r="Z430" s="90"/>
      <c r="AA430" s="90"/>
      <c r="AB430" s="92"/>
      <c r="AC430" s="81">
        <v>427.0</v>
      </c>
      <c r="AD430" s="92"/>
      <c r="AE430" s="87" t="s">
        <v>67</v>
      </c>
      <c r="AF430" s="92"/>
      <c r="AG430" s="87" t="s">
        <v>68</v>
      </c>
      <c r="AH430" s="92"/>
      <c r="AI430" s="96">
        <v>8.1265588855E10</v>
      </c>
      <c r="AJ430" s="87" t="s">
        <v>3199</v>
      </c>
      <c r="AK430" s="97" t="s">
        <v>3200</v>
      </c>
      <c r="AL430" s="87" t="s">
        <v>3201</v>
      </c>
      <c r="AM430" s="87" t="s">
        <v>73</v>
      </c>
      <c r="AN430" s="87" t="s">
        <v>74</v>
      </c>
      <c r="AO430" s="87" t="s">
        <v>774</v>
      </c>
      <c r="AP430" s="87" t="s">
        <v>942</v>
      </c>
      <c r="AQ430" s="87">
        <v>0.0</v>
      </c>
      <c r="AR430" s="87">
        <v>0.0</v>
      </c>
    </row>
    <row r="431">
      <c r="A431" s="89">
        <v>101.0</v>
      </c>
      <c r="B431" s="87" t="s">
        <v>3202</v>
      </c>
      <c r="C431" s="88" t="s">
        <v>3203</v>
      </c>
      <c r="D431" s="89"/>
      <c r="E431" s="89"/>
      <c r="F431" s="89"/>
      <c r="G431" s="89"/>
      <c r="H431" s="89"/>
      <c r="I431" s="90"/>
      <c r="J431" s="89"/>
      <c r="K431" s="89"/>
      <c r="L431" s="90"/>
      <c r="M431" s="89"/>
      <c r="N431" s="89"/>
      <c r="O431" s="87" t="s">
        <v>142</v>
      </c>
      <c r="P431" s="89"/>
      <c r="Q431" s="100" t="s">
        <v>2950</v>
      </c>
      <c r="R431" s="89"/>
      <c r="S431" s="92"/>
      <c r="T431" s="89"/>
      <c r="U431" s="92"/>
      <c r="V431" s="87" t="s">
        <v>89</v>
      </c>
      <c r="W431" s="87" t="s">
        <v>2016</v>
      </c>
      <c r="X431" s="87" t="s">
        <v>3204</v>
      </c>
      <c r="Y431" s="94">
        <v>42654.0</v>
      </c>
      <c r="Z431" s="90"/>
      <c r="AA431" s="90"/>
      <c r="AB431" s="92"/>
      <c r="AC431" s="81">
        <v>428.0</v>
      </c>
      <c r="AD431" s="92"/>
      <c r="AE431" s="87" t="s">
        <v>67</v>
      </c>
      <c r="AF431" s="92"/>
      <c r="AG431" s="87" t="s">
        <v>68</v>
      </c>
      <c r="AH431" s="92"/>
      <c r="AI431" s="96">
        <v>8.2366623697E10</v>
      </c>
      <c r="AJ431" s="87" t="s">
        <v>3205</v>
      </c>
      <c r="AK431" s="97" t="s">
        <v>3206</v>
      </c>
      <c r="AL431" s="87" t="s">
        <v>3207</v>
      </c>
      <c r="AM431" s="87" t="s">
        <v>73</v>
      </c>
      <c r="AN431" s="87" t="s">
        <v>74</v>
      </c>
      <c r="AO431" s="87" t="s">
        <v>360</v>
      </c>
      <c r="AP431" s="87" t="s">
        <v>566</v>
      </c>
      <c r="AQ431" s="87">
        <v>0.0</v>
      </c>
      <c r="AR431" s="87">
        <v>0.0</v>
      </c>
    </row>
    <row r="432">
      <c r="A432" s="89">
        <v>102.0</v>
      </c>
      <c r="B432" s="87" t="s">
        <v>3208</v>
      </c>
      <c r="C432" s="88" t="s">
        <v>3209</v>
      </c>
      <c r="D432" s="89"/>
      <c r="E432" s="89"/>
      <c r="F432" s="89"/>
      <c r="G432" s="89"/>
      <c r="H432" s="89"/>
      <c r="I432" s="90"/>
      <c r="J432" s="89"/>
      <c r="K432" s="89"/>
      <c r="L432" s="90"/>
      <c r="M432" s="89"/>
      <c r="N432" s="89"/>
      <c r="O432" s="87" t="s">
        <v>142</v>
      </c>
      <c r="P432" s="89"/>
      <c r="Q432" s="100" t="s">
        <v>3210</v>
      </c>
      <c r="R432" s="89"/>
      <c r="S432" s="92"/>
      <c r="T432" s="89"/>
      <c r="U432" s="92"/>
      <c r="V432" s="87" t="s">
        <v>89</v>
      </c>
      <c r="W432" s="87" t="s">
        <v>374</v>
      </c>
      <c r="X432" s="87" t="s">
        <v>1231</v>
      </c>
      <c r="Y432" s="94">
        <v>42455.0</v>
      </c>
      <c r="Z432" s="90"/>
      <c r="AA432" s="90"/>
      <c r="AB432" s="92"/>
      <c r="AC432" s="81">
        <v>429.0</v>
      </c>
      <c r="AD432" s="92"/>
      <c r="AE432" s="87" t="s">
        <v>67</v>
      </c>
      <c r="AF432" s="92"/>
      <c r="AG432" s="87" t="s">
        <v>130</v>
      </c>
      <c r="AH432" s="92"/>
      <c r="AI432" s="96">
        <v>8.5261278314E10</v>
      </c>
      <c r="AJ432" s="87" t="s">
        <v>3211</v>
      </c>
      <c r="AK432" s="97" t="s">
        <v>3212</v>
      </c>
      <c r="AL432" s="87" t="s">
        <v>3213</v>
      </c>
      <c r="AM432" s="87" t="s">
        <v>73</v>
      </c>
      <c r="AN432" s="87" t="s">
        <v>74</v>
      </c>
      <c r="AO432" s="87" t="s">
        <v>178</v>
      </c>
      <c r="AP432" s="87" t="s">
        <v>179</v>
      </c>
      <c r="AQ432" s="87">
        <v>0.0</v>
      </c>
      <c r="AR432" s="87">
        <v>0.0</v>
      </c>
    </row>
    <row r="433">
      <c r="A433" s="89">
        <v>103.0</v>
      </c>
      <c r="B433" s="87" t="s">
        <v>3214</v>
      </c>
      <c r="C433" s="88" t="s">
        <v>3215</v>
      </c>
      <c r="D433" s="89"/>
      <c r="E433" s="89"/>
      <c r="F433" s="89"/>
      <c r="G433" s="89"/>
      <c r="H433" s="89"/>
      <c r="I433" s="90"/>
      <c r="J433" s="89"/>
      <c r="K433" s="89"/>
      <c r="L433" s="90"/>
      <c r="M433" s="89"/>
      <c r="N433" s="89"/>
      <c r="O433" s="87" t="s">
        <v>142</v>
      </c>
      <c r="P433" s="89"/>
      <c r="Q433" s="100" t="s">
        <v>2957</v>
      </c>
      <c r="R433" s="89"/>
      <c r="S433" s="92"/>
      <c r="T433" s="89"/>
      <c r="U433" s="92"/>
      <c r="V433" s="87" t="s">
        <v>89</v>
      </c>
      <c r="W433" s="87" t="s">
        <v>1520</v>
      </c>
      <c r="X433" s="87" t="s">
        <v>1231</v>
      </c>
      <c r="Y433" s="94">
        <v>42084.0</v>
      </c>
      <c r="Z433" s="90"/>
      <c r="AA433" s="90"/>
      <c r="AB433" s="92"/>
      <c r="AC433" s="81">
        <v>430.0</v>
      </c>
      <c r="AD433" s="92"/>
      <c r="AE433" s="87" t="s">
        <v>67</v>
      </c>
      <c r="AF433" s="92"/>
      <c r="AG433" s="87" t="s">
        <v>130</v>
      </c>
      <c r="AH433" s="92"/>
      <c r="AI433" s="96">
        <v>8.1375099178E10</v>
      </c>
      <c r="AJ433" s="87" t="s">
        <v>3216</v>
      </c>
      <c r="AK433" s="97" t="s">
        <v>3217</v>
      </c>
      <c r="AL433" s="87" t="s">
        <v>3218</v>
      </c>
      <c r="AM433" s="87" t="s">
        <v>73</v>
      </c>
      <c r="AN433" s="87" t="s">
        <v>74</v>
      </c>
      <c r="AO433" s="87" t="s">
        <v>1291</v>
      </c>
      <c r="AP433" s="87" t="s">
        <v>3219</v>
      </c>
      <c r="AQ433" s="87"/>
      <c r="AR433" s="87"/>
    </row>
    <row r="434">
      <c r="A434" s="89">
        <v>104.0</v>
      </c>
      <c r="B434" s="87" t="s">
        <v>3220</v>
      </c>
      <c r="C434" s="88" t="s">
        <v>3221</v>
      </c>
      <c r="D434" s="89"/>
      <c r="E434" s="89"/>
      <c r="F434" s="89"/>
      <c r="G434" s="89"/>
      <c r="H434" s="89"/>
      <c r="I434" s="90"/>
      <c r="J434" s="89"/>
      <c r="K434" s="89"/>
      <c r="L434" s="90"/>
      <c r="M434" s="89"/>
      <c r="N434" s="89"/>
      <c r="O434" s="87" t="s">
        <v>532</v>
      </c>
      <c r="P434" s="89"/>
      <c r="Q434" s="100" t="s">
        <v>2963</v>
      </c>
      <c r="R434" s="89"/>
      <c r="S434" s="92"/>
      <c r="T434" s="89"/>
      <c r="U434" s="92"/>
      <c r="V434" s="87" t="s">
        <v>285</v>
      </c>
      <c r="W434" s="87" t="s">
        <v>3222</v>
      </c>
      <c r="X434" s="87" t="s">
        <v>3223</v>
      </c>
      <c r="Y434" s="99">
        <v>43953.0</v>
      </c>
      <c r="Z434" s="90"/>
      <c r="AA434" s="90"/>
      <c r="AB434" s="92"/>
      <c r="AC434" s="81">
        <v>431.0</v>
      </c>
      <c r="AD434" s="92"/>
      <c r="AE434" s="87" t="s">
        <v>67</v>
      </c>
      <c r="AF434" s="92"/>
      <c r="AG434" s="87" t="s">
        <v>130</v>
      </c>
      <c r="AH434" s="92"/>
      <c r="AI434" s="96">
        <v>8.13603045E10</v>
      </c>
      <c r="AJ434" s="87" t="s">
        <v>3224</v>
      </c>
      <c r="AK434" s="97" t="s">
        <v>3225</v>
      </c>
      <c r="AL434" s="87" t="s">
        <v>3226</v>
      </c>
      <c r="AM434" s="87" t="s">
        <v>73</v>
      </c>
      <c r="AN434" s="87" t="s">
        <v>74</v>
      </c>
      <c r="AO434" s="87" t="s">
        <v>1291</v>
      </c>
      <c r="AP434" s="87" t="s">
        <v>167</v>
      </c>
      <c r="AQ434" s="87"/>
      <c r="AR434" s="87"/>
    </row>
    <row r="435">
      <c r="A435" s="89">
        <v>105.0</v>
      </c>
      <c r="B435" s="87" t="s">
        <v>3227</v>
      </c>
      <c r="C435" s="88" t="s">
        <v>3228</v>
      </c>
      <c r="D435" s="89"/>
      <c r="E435" s="89"/>
      <c r="F435" s="89"/>
      <c r="G435" s="89"/>
      <c r="H435" s="89"/>
      <c r="I435" s="90"/>
      <c r="J435" s="89"/>
      <c r="K435" s="89"/>
      <c r="L435" s="90"/>
      <c r="M435" s="89"/>
      <c r="N435" s="89"/>
      <c r="O435" s="87" t="s">
        <v>142</v>
      </c>
      <c r="P435" s="89"/>
      <c r="Q435" s="100" t="s">
        <v>2963</v>
      </c>
      <c r="R435" s="89"/>
      <c r="S435" s="92"/>
      <c r="T435" s="89"/>
      <c r="U435" s="92"/>
      <c r="V435" s="87" t="s">
        <v>89</v>
      </c>
      <c r="W435" s="87" t="s">
        <v>90</v>
      </c>
      <c r="X435" s="87" t="s">
        <v>244</v>
      </c>
      <c r="Y435" s="94">
        <v>39993.0</v>
      </c>
      <c r="Z435" s="90"/>
      <c r="AA435" s="90"/>
      <c r="AB435" s="92"/>
      <c r="AC435" s="81">
        <v>432.0</v>
      </c>
      <c r="AD435" s="92"/>
      <c r="AE435" s="87" t="s">
        <v>67</v>
      </c>
      <c r="AF435" s="92"/>
      <c r="AG435" s="87" t="s">
        <v>68</v>
      </c>
      <c r="AH435" s="92"/>
      <c r="AI435" s="96">
        <v>8.1374671567E10</v>
      </c>
      <c r="AJ435" s="87" t="s">
        <v>3229</v>
      </c>
      <c r="AK435" s="97" t="s">
        <v>3230</v>
      </c>
      <c r="AL435" s="87" t="s">
        <v>3231</v>
      </c>
      <c r="AM435" s="87" t="s">
        <v>73</v>
      </c>
      <c r="AN435" s="87" t="s">
        <v>74</v>
      </c>
      <c r="AO435" s="87" t="s">
        <v>774</v>
      </c>
      <c r="AP435" s="87" t="s">
        <v>775</v>
      </c>
      <c r="AQ435" s="87"/>
      <c r="AR435" s="87"/>
    </row>
    <row r="436">
      <c r="A436" s="89">
        <v>106.0</v>
      </c>
      <c r="B436" s="87" t="s">
        <v>3232</v>
      </c>
      <c r="C436" s="88" t="s">
        <v>3233</v>
      </c>
      <c r="D436" s="89"/>
      <c r="E436" s="89"/>
      <c r="F436" s="89"/>
      <c r="G436" s="89"/>
      <c r="H436" s="89"/>
      <c r="I436" s="90"/>
      <c r="J436" s="89"/>
      <c r="K436" s="89"/>
      <c r="L436" s="90"/>
      <c r="M436" s="89"/>
      <c r="N436" s="89"/>
      <c r="O436" s="87" t="s">
        <v>142</v>
      </c>
      <c r="P436" s="89"/>
      <c r="Q436" s="100" t="s">
        <v>2996</v>
      </c>
      <c r="R436" s="89"/>
      <c r="S436" s="92"/>
      <c r="T436" s="89"/>
      <c r="U436" s="92"/>
      <c r="V436" s="87" t="s">
        <v>89</v>
      </c>
      <c r="W436" s="87" t="s">
        <v>90</v>
      </c>
      <c r="X436" s="87" t="s">
        <v>1119</v>
      </c>
      <c r="Y436" s="99">
        <v>44537.0</v>
      </c>
      <c r="Z436" s="90"/>
      <c r="AA436" s="90"/>
      <c r="AB436" s="92"/>
      <c r="AC436" s="81">
        <v>433.0</v>
      </c>
      <c r="AD436" s="92"/>
      <c r="AE436" s="87" t="s">
        <v>67</v>
      </c>
      <c r="AF436" s="92"/>
      <c r="AG436" s="87" t="s">
        <v>68</v>
      </c>
      <c r="AH436" s="92"/>
      <c r="AI436" s="96">
        <v>8.2244586401E10</v>
      </c>
      <c r="AJ436" s="87" t="s">
        <v>3234</v>
      </c>
      <c r="AK436" s="97" t="s">
        <v>3235</v>
      </c>
      <c r="AL436" s="87" t="s">
        <v>3236</v>
      </c>
      <c r="AM436" s="87" t="s">
        <v>73</v>
      </c>
      <c r="AN436" s="87" t="s">
        <v>74</v>
      </c>
      <c r="AO436" s="87" t="s">
        <v>360</v>
      </c>
      <c r="AP436" s="87" t="s">
        <v>361</v>
      </c>
      <c r="AQ436" s="87">
        <v>0.0</v>
      </c>
      <c r="AR436" s="87">
        <v>0.0</v>
      </c>
    </row>
    <row r="437">
      <c r="A437" s="89">
        <v>107.0</v>
      </c>
      <c r="B437" s="87" t="s">
        <v>3237</v>
      </c>
      <c r="C437" s="88" t="s">
        <v>3238</v>
      </c>
      <c r="D437" s="89"/>
      <c r="E437" s="89"/>
      <c r="F437" s="89"/>
      <c r="G437" s="89"/>
      <c r="H437" s="89"/>
      <c r="I437" s="90"/>
      <c r="J437" s="89"/>
      <c r="K437" s="89"/>
      <c r="L437" s="90"/>
      <c r="M437" s="89"/>
      <c r="N437" s="89"/>
      <c r="O437" s="87" t="s">
        <v>142</v>
      </c>
      <c r="P437" s="89"/>
      <c r="Q437" s="100" t="s">
        <v>2996</v>
      </c>
      <c r="R437" s="89"/>
      <c r="S437" s="92"/>
      <c r="T437" s="89"/>
      <c r="U437" s="92"/>
      <c r="V437" s="87" t="s">
        <v>89</v>
      </c>
      <c r="W437" s="87" t="s">
        <v>2016</v>
      </c>
      <c r="X437" s="87" t="s">
        <v>2822</v>
      </c>
      <c r="Y437" s="94">
        <v>41547.0</v>
      </c>
      <c r="Z437" s="90"/>
      <c r="AA437" s="90"/>
      <c r="AB437" s="92"/>
      <c r="AC437" s="81">
        <v>434.0</v>
      </c>
      <c r="AD437" s="92"/>
      <c r="AE437" s="87" t="s">
        <v>67</v>
      </c>
      <c r="AF437" s="92"/>
      <c r="AG437" s="87" t="s">
        <v>68</v>
      </c>
      <c r="AH437" s="92"/>
      <c r="AI437" s="96">
        <v>8.1266221989E10</v>
      </c>
      <c r="AJ437" s="87" t="s">
        <v>3239</v>
      </c>
      <c r="AK437" s="97" t="s">
        <v>3240</v>
      </c>
      <c r="AL437" s="87" t="s">
        <v>3241</v>
      </c>
      <c r="AM437" s="87" t="s">
        <v>73</v>
      </c>
      <c r="AN437" s="87" t="s">
        <v>74</v>
      </c>
      <c r="AO437" s="87" t="s">
        <v>989</v>
      </c>
      <c r="AP437" s="87" t="s">
        <v>2411</v>
      </c>
      <c r="AQ437" s="87"/>
      <c r="AR437" s="87"/>
    </row>
    <row r="438">
      <c r="A438" s="89">
        <v>108.0</v>
      </c>
      <c r="B438" s="87" t="s">
        <v>3242</v>
      </c>
      <c r="C438" s="88" t="s">
        <v>3243</v>
      </c>
      <c r="D438" s="89"/>
      <c r="E438" s="89"/>
      <c r="F438" s="89"/>
      <c r="G438" s="89"/>
      <c r="H438" s="89"/>
      <c r="I438" s="90"/>
      <c r="J438" s="89"/>
      <c r="K438" s="89"/>
      <c r="L438" s="90"/>
      <c r="M438" s="89"/>
      <c r="N438" s="89"/>
      <c r="O438" s="87" t="s">
        <v>142</v>
      </c>
      <c r="P438" s="89"/>
      <c r="Q438" s="100" t="s">
        <v>2963</v>
      </c>
      <c r="R438" s="89"/>
      <c r="S438" s="92"/>
      <c r="T438" s="89"/>
      <c r="U438" s="92"/>
      <c r="V438" s="87" t="s">
        <v>89</v>
      </c>
      <c r="W438" s="87" t="s">
        <v>3244</v>
      </c>
      <c r="X438" s="87" t="s">
        <v>3245</v>
      </c>
      <c r="Y438" s="94">
        <v>37800.0</v>
      </c>
      <c r="Z438" s="90"/>
      <c r="AA438" s="90"/>
      <c r="AB438" s="92"/>
      <c r="AC438" s="81">
        <v>435.0</v>
      </c>
      <c r="AD438" s="92"/>
      <c r="AE438" s="87" t="s">
        <v>67</v>
      </c>
      <c r="AF438" s="92"/>
      <c r="AG438" s="87" t="s">
        <v>68</v>
      </c>
      <c r="AH438" s="92"/>
      <c r="AI438" s="96">
        <v>8.1264499917E10</v>
      </c>
      <c r="AJ438" s="87" t="s">
        <v>3246</v>
      </c>
      <c r="AK438" s="97" t="s">
        <v>3247</v>
      </c>
      <c r="AL438" s="87" t="s">
        <v>3248</v>
      </c>
      <c r="AM438" s="87" t="s">
        <v>96</v>
      </c>
      <c r="AN438" s="87" t="s">
        <v>97</v>
      </c>
      <c r="AO438" s="87" t="s">
        <v>3249</v>
      </c>
      <c r="AP438" s="87" t="s">
        <v>3250</v>
      </c>
      <c r="AQ438" s="87">
        <v>1.0</v>
      </c>
      <c r="AR438" s="87">
        <v>10.0</v>
      </c>
    </row>
    <row r="439">
      <c r="A439" s="89">
        <v>109.0</v>
      </c>
      <c r="B439" s="87" t="s">
        <v>3251</v>
      </c>
      <c r="C439" s="88" t="s">
        <v>3252</v>
      </c>
      <c r="D439" s="89"/>
      <c r="E439" s="89"/>
      <c r="F439" s="89"/>
      <c r="G439" s="89"/>
      <c r="H439" s="89"/>
      <c r="I439" s="90"/>
      <c r="J439" s="89"/>
      <c r="K439" s="89"/>
      <c r="L439" s="90"/>
      <c r="M439" s="89"/>
      <c r="N439" s="89"/>
      <c r="O439" s="87" t="s">
        <v>142</v>
      </c>
      <c r="P439" s="89"/>
      <c r="Q439" s="100" t="s">
        <v>2963</v>
      </c>
      <c r="R439" s="89"/>
      <c r="S439" s="92"/>
      <c r="T439" s="89"/>
      <c r="U439" s="92"/>
      <c r="V439" s="87" t="s">
        <v>89</v>
      </c>
      <c r="W439" s="87" t="s">
        <v>2398</v>
      </c>
      <c r="X439" s="87" t="s">
        <v>2482</v>
      </c>
      <c r="Y439" s="94">
        <v>41988.0</v>
      </c>
      <c r="Z439" s="90"/>
      <c r="AA439" s="90"/>
      <c r="AB439" s="92"/>
      <c r="AC439" s="81">
        <v>436.0</v>
      </c>
      <c r="AD439" s="92"/>
      <c r="AE439" s="87" t="s">
        <v>67</v>
      </c>
      <c r="AF439" s="92"/>
      <c r="AG439" s="87" t="s">
        <v>68</v>
      </c>
      <c r="AH439" s="92"/>
      <c r="AI439" s="96">
        <v>8.116577765E9</v>
      </c>
      <c r="AJ439" s="87" t="s">
        <v>3253</v>
      </c>
      <c r="AK439" s="97" t="s">
        <v>3254</v>
      </c>
      <c r="AL439" s="87" t="s">
        <v>3255</v>
      </c>
      <c r="AM439" s="87" t="s">
        <v>96</v>
      </c>
      <c r="AN439" s="87" t="s">
        <v>97</v>
      </c>
      <c r="AO439" s="87" t="s">
        <v>1422</v>
      </c>
      <c r="AP439" s="87" t="s">
        <v>3256</v>
      </c>
      <c r="AQ439" s="87">
        <v>0.0</v>
      </c>
      <c r="AR439" s="87">
        <v>0.0</v>
      </c>
    </row>
    <row r="440">
      <c r="A440" s="89">
        <v>110.0</v>
      </c>
      <c r="B440" s="87" t="s">
        <v>3257</v>
      </c>
      <c r="C440" s="88" t="s">
        <v>3258</v>
      </c>
      <c r="D440" s="89"/>
      <c r="E440" s="89"/>
      <c r="F440" s="89"/>
      <c r="G440" s="89"/>
      <c r="H440" s="89"/>
      <c r="I440" s="90"/>
      <c r="J440" s="89"/>
      <c r="K440" s="89"/>
      <c r="L440" s="90"/>
      <c r="M440" s="89"/>
      <c r="N440" s="89"/>
      <c r="O440" s="87" t="s">
        <v>142</v>
      </c>
      <c r="P440" s="89"/>
      <c r="Q440" s="100" t="s">
        <v>3210</v>
      </c>
      <c r="R440" s="89"/>
      <c r="S440" s="92"/>
      <c r="T440" s="89"/>
      <c r="U440" s="92"/>
      <c r="V440" s="87" t="s">
        <v>89</v>
      </c>
      <c r="W440" s="87" t="s">
        <v>3259</v>
      </c>
      <c r="X440" s="87" t="s">
        <v>260</v>
      </c>
      <c r="Y440" s="94">
        <v>38649.0</v>
      </c>
      <c r="Z440" s="90"/>
      <c r="AA440" s="90"/>
      <c r="AB440" s="92"/>
      <c r="AC440" s="81">
        <v>437.0</v>
      </c>
      <c r="AD440" s="92"/>
      <c r="AE440" s="87" t="s">
        <v>67</v>
      </c>
      <c r="AF440" s="92"/>
      <c r="AG440" s="87" t="s">
        <v>130</v>
      </c>
      <c r="AH440" s="92"/>
      <c r="AI440" s="96">
        <v>8.5261902636E10</v>
      </c>
      <c r="AJ440" s="87" t="s">
        <v>3260</v>
      </c>
      <c r="AK440" s="97" t="s">
        <v>3261</v>
      </c>
      <c r="AL440" s="87" t="s">
        <v>3262</v>
      </c>
      <c r="AM440" s="87" t="s">
        <v>73</v>
      </c>
      <c r="AN440" s="87" t="s">
        <v>74</v>
      </c>
      <c r="AO440" s="87" t="s">
        <v>454</v>
      </c>
      <c r="AP440" s="87" t="s">
        <v>455</v>
      </c>
      <c r="AQ440" s="87"/>
      <c r="AR440" s="87"/>
    </row>
    <row r="441">
      <c r="A441" s="89">
        <v>111.0</v>
      </c>
      <c r="B441" s="87" t="s">
        <v>3263</v>
      </c>
      <c r="C441" s="88" t="s">
        <v>3264</v>
      </c>
      <c r="D441" s="89"/>
      <c r="E441" s="89"/>
      <c r="F441" s="89"/>
      <c r="G441" s="89"/>
      <c r="H441" s="89"/>
      <c r="I441" s="90"/>
      <c r="J441" s="89"/>
      <c r="K441" s="89"/>
      <c r="L441" s="90"/>
      <c r="M441" s="89"/>
      <c r="N441" s="89"/>
      <c r="O441" s="87" t="s">
        <v>142</v>
      </c>
      <c r="P441" s="89"/>
      <c r="Q441" s="100" t="s">
        <v>2963</v>
      </c>
      <c r="R441" s="89"/>
      <c r="S441" s="92"/>
      <c r="T441" s="89"/>
      <c r="U441" s="92"/>
      <c r="V441" s="87" t="s">
        <v>89</v>
      </c>
      <c r="W441" s="87" t="s">
        <v>2493</v>
      </c>
      <c r="X441" s="87" t="s">
        <v>260</v>
      </c>
      <c r="Y441" s="94">
        <v>39615.0</v>
      </c>
      <c r="Z441" s="90"/>
      <c r="AA441" s="90"/>
      <c r="AB441" s="92"/>
      <c r="AC441" s="81">
        <v>438.0</v>
      </c>
      <c r="AD441" s="92"/>
      <c r="AE441" s="87" t="s">
        <v>67</v>
      </c>
      <c r="AF441" s="92"/>
      <c r="AG441" s="87" t="s">
        <v>68</v>
      </c>
      <c r="AH441" s="92"/>
      <c r="AI441" s="96">
        <v>8.2164565524E10</v>
      </c>
      <c r="AJ441" s="87" t="s">
        <v>3265</v>
      </c>
      <c r="AK441" s="97" t="s">
        <v>3266</v>
      </c>
      <c r="AL441" s="87" t="s">
        <v>3267</v>
      </c>
      <c r="AM441" s="87" t="s">
        <v>73</v>
      </c>
      <c r="AN441" s="87" t="s">
        <v>74</v>
      </c>
      <c r="AO441" s="87" t="s">
        <v>989</v>
      </c>
      <c r="AP441" s="87" t="s">
        <v>1585</v>
      </c>
      <c r="AQ441" s="87">
        <v>0.0</v>
      </c>
      <c r="AR441" s="87">
        <v>0.0</v>
      </c>
    </row>
    <row r="442">
      <c r="A442" s="89">
        <v>112.0</v>
      </c>
      <c r="B442" s="87" t="s">
        <v>3268</v>
      </c>
      <c r="C442" s="88" t="s">
        <v>3269</v>
      </c>
      <c r="D442" s="89"/>
      <c r="E442" s="89"/>
      <c r="F442" s="89"/>
      <c r="G442" s="89"/>
      <c r="H442" s="89"/>
      <c r="I442" s="90"/>
      <c r="J442" s="89"/>
      <c r="K442" s="89"/>
      <c r="L442" s="90"/>
      <c r="M442" s="89"/>
      <c r="N442" s="89"/>
      <c r="O442" s="87" t="s">
        <v>142</v>
      </c>
      <c r="P442" s="89"/>
      <c r="Q442" s="100" t="s">
        <v>2957</v>
      </c>
      <c r="R442" s="89"/>
      <c r="S442" s="92"/>
      <c r="T442" s="89"/>
      <c r="U442" s="92"/>
      <c r="V442" s="87" t="s">
        <v>89</v>
      </c>
      <c r="W442" s="87" t="s">
        <v>374</v>
      </c>
      <c r="X442" s="87" t="s">
        <v>3156</v>
      </c>
      <c r="Y442" s="94">
        <v>43517.0</v>
      </c>
      <c r="Z442" s="90"/>
      <c r="AA442" s="90"/>
      <c r="AB442" s="92"/>
      <c r="AC442" s="81">
        <v>439.0</v>
      </c>
      <c r="AD442" s="92"/>
      <c r="AE442" s="87" t="s">
        <v>67</v>
      </c>
      <c r="AF442" s="92"/>
      <c r="AG442" s="87" t="s">
        <v>130</v>
      </c>
      <c r="AH442" s="92"/>
      <c r="AI442" s="96">
        <v>8.1284898279E10</v>
      </c>
      <c r="AJ442" s="87" t="s">
        <v>3270</v>
      </c>
      <c r="AK442" s="97" t="s">
        <v>3271</v>
      </c>
      <c r="AL442" s="87" t="s">
        <v>3272</v>
      </c>
      <c r="AM442" s="87" t="s">
        <v>73</v>
      </c>
      <c r="AN442" s="87" t="s">
        <v>74</v>
      </c>
      <c r="AO442" s="87" t="s">
        <v>360</v>
      </c>
      <c r="AP442" s="87" t="s">
        <v>893</v>
      </c>
      <c r="AQ442" s="87"/>
      <c r="AR442" s="87"/>
    </row>
    <row r="443">
      <c r="A443" s="89">
        <v>113.0</v>
      </c>
      <c r="B443" s="87" t="s">
        <v>3273</v>
      </c>
      <c r="C443" s="88" t="s">
        <v>3274</v>
      </c>
      <c r="D443" s="89"/>
      <c r="E443" s="89"/>
      <c r="F443" s="89"/>
      <c r="G443" s="89"/>
      <c r="H443" s="89"/>
      <c r="I443" s="90"/>
      <c r="J443" s="89"/>
      <c r="K443" s="89"/>
      <c r="L443" s="90"/>
      <c r="M443" s="89"/>
      <c r="N443" s="89"/>
      <c r="O443" s="87" t="s">
        <v>142</v>
      </c>
      <c r="P443" s="89"/>
      <c r="Q443" s="100" t="s">
        <v>2963</v>
      </c>
      <c r="R443" s="89"/>
      <c r="S443" s="92"/>
      <c r="T443" s="89"/>
      <c r="U443" s="92"/>
      <c r="V443" s="87" t="s">
        <v>89</v>
      </c>
      <c r="W443" s="87" t="s">
        <v>3275</v>
      </c>
      <c r="X443" s="87" t="s">
        <v>244</v>
      </c>
      <c r="Y443" s="94">
        <v>40752.0</v>
      </c>
      <c r="Z443" s="90"/>
      <c r="AA443" s="90"/>
      <c r="AB443" s="92"/>
      <c r="AC443" s="81">
        <v>440.0</v>
      </c>
      <c r="AD443" s="92"/>
      <c r="AE443" s="87" t="s">
        <v>67</v>
      </c>
      <c r="AF443" s="92"/>
      <c r="AG443" s="87" t="s">
        <v>130</v>
      </c>
      <c r="AH443" s="92"/>
      <c r="AI443" s="96">
        <v>8.21807036E10</v>
      </c>
      <c r="AJ443" s="87" t="s">
        <v>3276</v>
      </c>
      <c r="AK443" s="97" t="s">
        <v>3277</v>
      </c>
      <c r="AL443" s="87" t="s">
        <v>3278</v>
      </c>
      <c r="AM443" s="87" t="s">
        <v>73</v>
      </c>
      <c r="AN443" s="87" t="s">
        <v>481</v>
      </c>
      <c r="AO443" s="87" t="s">
        <v>360</v>
      </c>
      <c r="AP443" s="87" t="s">
        <v>566</v>
      </c>
      <c r="AQ443" s="87">
        <v>0.0</v>
      </c>
      <c r="AR443" s="87">
        <v>0.0</v>
      </c>
    </row>
    <row r="444">
      <c r="A444" s="89">
        <v>114.0</v>
      </c>
      <c r="B444" s="87" t="s">
        <v>3279</v>
      </c>
      <c r="C444" s="88" t="s">
        <v>3280</v>
      </c>
      <c r="D444" s="89"/>
      <c r="E444" s="89"/>
      <c r="F444" s="89"/>
      <c r="G444" s="89"/>
      <c r="H444" s="89"/>
      <c r="I444" s="90"/>
      <c r="J444" s="89"/>
      <c r="K444" s="89"/>
      <c r="L444" s="90"/>
      <c r="M444" s="89"/>
      <c r="N444" s="89"/>
      <c r="O444" s="87" t="s">
        <v>142</v>
      </c>
      <c r="P444" s="89"/>
      <c r="Q444" s="100" t="s">
        <v>2957</v>
      </c>
      <c r="R444" s="89"/>
      <c r="S444" s="92"/>
      <c r="T444" s="89"/>
      <c r="U444" s="92"/>
      <c r="V444" s="87" t="s">
        <v>89</v>
      </c>
      <c r="W444" s="87"/>
      <c r="X444" s="87" t="s">
        <v>3281</v>
      </c>
      <c r="Y444" s="94">
        <v>42355.0</v>
      </c>
      <c r="Z444" s="90"/>
      <c r="AA444" s="90"/>
      <c r="AB444" s="92"/>
      <c r="AC444" s="81">
        <v>441.0</v>
      </c>
      <c r="AD444" s="92"/>
      <c r="AE444" s="87" t="s">
        <v>67</v>
      </c>
      <c r="AF444" s="92"/>
      <c r="AG444" s="87" t="s">
        <v>130</v>
      </c>
      <c r="AH444" s="92"/>
      <c r="AI444" s="96"/>
      <c r="AJ444" s="87" t="s">
        <v>3282</v>
      </c>
      <c r="AK444" s="97" t="s">
        <v>3283</v>
      </c>
      <c r="AL444" s="87" t="s">
        <v>3284</v>
      </c>
      <c r="AM444" s="87" t="s">
        <v>73</v>
      </c>
      <c r="AN444" s="87" t="s">
        <v>74</v>
      </c>
      <c r="AO444" s="87" t="s">
        <v>360</v>
      </c>
      <c r="AP444" s="87" t="s">
        <v>361</v>
      </c>
      <c r="AQ444" s="87"/>
      <c r="AR444" s="87"/>
    </row>
    <row r="445">
      <c r="A445" s="89">
        <v>115.0</v>
      </c>
      <c r="B445" s="87" t="s">
        <v>3285</v>
      </c>
      <c r="C445" s="88" t="s">
        <v>3286</v>
      </c>
      <c r="D445" s="89"/>
      <c r="E445" s="89"/>
      <c r="F445" s="89"/>
      <c r="G445" s="89"/>
      <c r="H445" s="89"/>
      <c r="I445" s="90"/>
      <c r="J445" s="89"/>
      <c r="K445" s="89"/>
      <c r="L445" s="90"/>
      <c r="M445" s="89"/>
      <c r="N445" s="89"/>
      <c r="O445" s="87" t="s">
        <v>142</v>
      </c>
      <c r="P445" s="89"/>
      <c r="Q445" s="100" t="s">
        <v>2957</v>
      </c>
      <c r="R445" s="89"/>
      <c r="S445" s="92"/>
      <c r="T445" s="89"/>
      <c r="U445" s="92"/>
      <c r="V445" s="87" t="s">
        <v>89</v>
      </c>
      <c r="W445" s="87" t="s">
        <v>90</v>
      </c>
      <c r="X445" s="87" t="s">
        <v>3156</v>
      </c>
      <c r="Y445" s="99">
        <v>44166.0</v>
      </c>
      <c r="Z445" s="90"/>
      <c r="AA445" s="90"/>
      <c r="AB445" s="92"/>
      <c r="AC445" s="81">
        <v>442.0</v>
      </c>
      <c r="AD445" s="92"/>
      <c r="AE445" s="87" t="s">
        <v>67</v>
      </c>
      <c r="AF445" s="92"/>
      <c r="AG445" s="87" t="s">
        <v>68</v>
      </c>
      <c r="AH445" s="92"/>
      <c r="AI445" s="96">
        <v>8.1260769388E10</v>
      </c>
      <c r="AJ445" s="87" t="s">
        <v>3287</v>
      </c>
      <c r="AK445" s="97" t="s">
        <v>3288</v>
      </c>
      <c r="AL445" s="87" t="s">
        <v>3289</v>
      </c>
      <c r="AM445" s="87" t="s">
        <v>73</v>
      </c>
      <c r="AN445" s="87" t="s">
        <v>74</v>
      </c>
      <c r="AO445" s="87" t="s">
        <v>774</v>
      </c>
      <c r="AP445" s="87" t="s">
        <v>3290</v>
      </c>
      <c r="AQ445" s="87"/>
      <c r="AR445" s="87"/>
    </row>
    <row r="446">
      <c r="A446" s="89">
        <v>116.0</v>
      </c>
      <c r="B446" s="87" t="s">
        <v>3291</v>
      </c>
      <c r="C446" s="88" t="s">
        <v>3292</v>
      </c>
      <c r="D446" s="89"/>
      <c r="E446" s="89"/>
      <c r="F446" s="89"/>
      <c r="G446" s="89"/>
      <c r="H446" s="89"/>
      <c r="I446" s="90"/>
      <c r="J446" s="89"/>
      <c r="K446" s="89"/>
      <c r="L446" s="90"/>
      <c r="M446" s="89"/>
      <c r="N446" s="89"/>
      <c r="O446" s="87" t="s">
        <v>142</v>
      </c>
      <c r="P446" s="89"/>
      <c r="Q446" s="100" t="s">
        <v>2957</v>
      </c>
      <c r="R446" s="89"/>
      <c r="S446" s="92"/>
      <c r="T446" s="89"/>
      <c r="U446" s="92"/>
      <c r="V446" s="87" t="s">
        <v>89</v>
      </c>
      <c r="W446" s="87" t="s">
        <v>374</v>
      </c>
      <c r="X446" s="87" t="s">
        <v>3293</v>
      </c>
      <c r="Y446" s="94">
        <v>39772.0</v>
      </c>
      <c r="Z446" s="90"/>
      <c r="AA446" s="90"/>
      <c r="AB446" s="92"/>
      <c r="AC446" s="81">
        <v>443.0</v>
      </c>
      <c r="AD446" s="92"/>
      <c r="AE446" s="87" t="s">
        <v>67</v>
      </c>
      <c r="AF446" s="92"/>
      <c r="AG446" s="87" t="s">
        <v>68</v>
      </c>
      <c r="AH446" s="92"/>
      <c r="AI446" s="96">
        <v>8.126401402E9</v>
      </c>
      <c r="AJ446" s="87" t="s">
        <v>3294</v>
      </c>
      <c r="AK446" s="97" t="s">
        <v>3295</v>
      </c>
      <c r="AL446" s="87" t="s">
        <v>3296</v>
      </c>
      <c r="AM446" s="87" t="s">
        <v>73</v>
      </c>
      <c r="AN446" s="87" t="s">
        <v>74</v>
      </c>
      <c r="AO446" s="87" t="s">
        <v>454</v>
      </c>
      <c r="AP446" s="87" t="s">
        <v>491</v>
      </c>
      <c r="AQ446" s="87">
        <v>0.0</v>
      </c>
      <c r="AR446" s="87">
        <v>0.0</v>
      </c>
    </row>
    <row r="447">
      <c r="A447" s="89">
        <v>117.0</v>
      </c>
      <c r="B447" s="87" t="s">
        <v>3297</v>
      </c>
      <c r="C447" s="88" t="s">
        <v>3298</v>
      </c>
      <c r="D447" s="89"/>
      <c r="E447" s="89"/>
      <c r="F447" s="89"/>
      <c r="G447" s="89"/>
      <c r="H447" s="89"/>
      <c r="I447" s="90"/>
      <c r="J447" s="89"/>
      <c r="K447" s="89"/>
      <c r="L447" s="90"/>
      <c r="M447" s="89"/>
      <c r="N447" s="89"/>
      <c r="O447" s="87" t="s">
        <v>142</v>
      </c>
      <c r="P447" s="89"/>
      <c r="Q447" s="100" t="s">
        <v>2963</v>
      </c>
      <c r="R447" s="89"/>
      <c r="S447" s="92"/>
      <c r="T447" s="89"/>
      <c r="U447" s="92"/>
      <c r="V447" s="87" t="s">
        <v>89</v>
      </c>
      <c r="W447" s="87" t="s">
        <v>1520</v>
      </c>
      <c r="X447" s="87" t="s">
        <v>2482</v>
      </c>
      <c r="Y447" s="94">
        <v>42655.0</v>
      </c>
      <c r="Z447" s="90"/>
      <c r="AA447" s="90"/>
      <c r="AB447" s="92"/>
      <c r="AC447" s="81">
        <v>444.0</v>
      </c>
      <c r="AD447" s="92"/>
      <c r="AE447" s="87" t="s">
        <v>67</v>
      </c>
      <c r="AF447" s="92"/>
      <c r="AG447" s="87" t="s">
        <v>68</v>
      </c>
      <c r="AH447" s="92"/>
      <c r="AI447" s="96">
        <v>8.2165290771E10</v>
      </c>
      <c r="AJ447" s="87" t="s">
        <v>3299</v>
      </c>
      <c r="AK447" s="97" t="s">
        <v>3300</v>
      </c>
      <c r="AL447" s="87" t="s">
        <v>3301</v>
      </c>
      <c r="AM447" s="87" t="s">
        <v>73</v>
      </c>
      <c r="AN447" s="87" t="s">
        <v>74</v>
      </c>
      <c r="AO447" s="87" t="s">
        <v>1698</v>
      </c>
      <c r="AP447" s="87" t="s">
        <v>1699</v>
      </c>
      <c r="AQ447" s="87">
        <v>0.0</v>
      </c>
      <c r="AR447" s="87">
        <v>0.0</v>
      </c>
    </row>
    <row r="448">
      <c r="A448" s="89">
        <v>118.0</v>
      </c>
      <c r="B448" s="87" t="s">
        <v>3302</v>
      </c>
      <c r="C448" s="88" t="s">
        <v>3303</v>
      </c>
      <c r="D448" s="89"/>
      <c r="E448" s="89"/>
      <c r="F448" s="89"/>
      <c r="G448" s="89"/>
      <c r="H448" s="89"/>
      <c r="I448" s="90"/>
      <c r="J448" s="89"/>
      <c r="K448" s="89"/>
      <c r="L448" s="90"/>
      <c r="M448" s="89"/>
      <c r="N448" s="89"/>
      <c r="O448" s="87" t="s">
        <v>142</v>
      </c>
      <c r="P448" s="89"/>
      <c r="Q448" s="100" t="s">
        <v>2957</v>
      </c>
      <c r="R448" s="89"/>
      <c r="S448" s="92"/>
      <c r="T448" s="89"/>
      <c r="U448" s="92"/>
      <c r="V448" s="87" t="s">
        <v>89</v>
      </c>
      <c r="W448" s="87" t="s">
        <v>3304</v>
      </c>
      <c r="X448" s="87" t="s">
        <v>3305</v>
      </c>
      <c r="Y448" s="94">
        <v>43732.0</v>
      </c>
      <c r="Z448" s="90"/>
      <c r="AA448" s="90"/>
      <c r="AB448" s="92"/>
      <c r="AC448" s="81">
        <v>445.0</v>
      </c>
      <c r="AD448" s="92"/>
      <c r="AE448" s="87" t="s">
        <v>311</v>
      </c>
      <c r="AF448" s="92"/>
      <c r="AG448" s="87" t="s">
        <v>130</v>
      </c>
      <c r="AH448" s="92"/>
      <c r="AI448" s="96">
        <v>8.2169253599E10</v>
      </c>
      <c r="AJ448" s="87" t="s">
        <v>3306</v>
      </c>
      <c r="AK448" s="97" t="s">
        <v>3307</v>
      </c>
      <c r="AL448" s="87" t="s">
        <v>3308</v>
      </c>
      <c r="AM448" s="87" t="s">
        <v>96</v>
      </c>
      <c r="AN448" s="87" t="s">
        <v>97</v>
      </c>
      <c r="AO448" s="87" t="s">
        <v>98</v>
      </c>
      <c r="AP448" s="87" t="s">
        <v>3309</v>
      </c>
      <c r="AQ448" s="87">
        <v>1.0</v>
      </c>
      <c r="AR448" s="87">
        <v>7.0</v>
      </c>
    </row>
    <row r="449">
      <c r="A449" s="89">
        <v>119.0</v>
      </c>
      <c r="B449" s="87" t="s">
        <v>3310</v>
      </c>
      <c r="C449" s="88" t="s">
        <v>3311</v>
      </c>
      <c r="D449" s="89"/>
      <c r="E449" s="89"/>
      <c r="F449" s="89"/>
      <c r="G449" s="89"/>
      <c r="H449" s="89"/>
      <c r="I449" s="90"/>
      <c r="J449" s="89"/>
      <c r="K449" s="89"/>
      <c r="L449" s="90"/>
      <c r="M449" s="89"/>
      <c r="N449" s="89"/>
      <c r="O449" s="87" t="s">
        <v>142</v>
      </c>
      <c r="P449" s="89"/>
      <c r="Q449" s="100" t="s">
        <v>2963</v>
      </c>
      <c r="R449" s="89"/>
      <c r="S449" s="92"/>
      <c r="T449" s="89"/>
      <c r="U449" s="92"/>
      <c r="V449" s="87" t="s">
        <v>89</v>
      </c>
      <c r="W449" s="87" t="s">
        <v>3312</v>
      </c>
      <c r="X449" s="87" t="s">
        <v>1231</v>
      </c>
      <c r="Y449" s="99">
        <v>41551.0</v>
      </c>
      <c r="Z449" s="90"/>
      <c r="AA449" s="90"/>
      <c r="AB449" s="92"/>
      <c r="AC449" s="81">
        <v>446.0</v>
      </c>
      <c r="AD449" s="92"/>
      <c r="AE449" s="87" t="s">
        <v>67</v>
      </c>
      <c r="AF449" s="92"/>
      <c r="AG449" s="87" t="s">
        <v>68</v>
      </c>
      <c r="AH449" s="92"/>
      <c r="AI449" s="96">
        <v>8.2277146066E10</v>
      </c>
      <c r="AJ449" s="87" t="s">
        <v>3313</v>
      </c>
      <c r="AK449" s="97" t="s">
        <v>3314</v>
      </c>
      <c r="AL449" s="87" t="s">
        <v>3315</v>
      </c>
      <c r="AM449" s="87" t="s">
        <v>73</v>
      </c>
      <c r="AN449" s="87" t="s">
        <v>166</v>
      </c>
      <c r="AO449" s="87" t="s">
        <v>915</v>
      </c>
      <c r="AP449" s="87" t="s">
        <v>3316</v>
      </c>
      <c r="AQ449" s="87"/>
      <c r="AR449" s="87"/>
    </row>
    <row r="450">
      <c r="A450" s="89">
        <v>120.0</v>
      </c>
      <c r="B450" s="87" t="s">
        <v>3317</v>
      </c>
      <c r="C450" s="88" t="s">
        <v>3318</v>
      </c>
      <c r="D450" s="89"/>
      <c r="E450" s="89"/>
      <c r="F450" s="89"/>
      <c r="G450" s="89"/>
      <c r="H450" s="89"/>
      <c r="I450" s="90"/>
      <c r="J450" s="89"/>
      <c r="K450" s="89"/>
      <c r="L450" s="90"/>
      <c r="M450" s="89"/>
      <c r="N450" s="89"/>
      <c r="O450" s="87" t="s">
        <v>142</v>
      </c>
      <c r="P450" s="89"/>
      <c r="Q450" s="100" t="s">
        <v>2957</v>
      </c>
      <c r="R450" s="89"/>
      <c r="S450" s="92"/>
      <c r="T450" s="89"/>
      <c r="U450" s="92"/>
      <c r="V450" s="87" t="s">
        <v>89</v>
      </c>
      <c r="W450" s="87" t="s">
        <v>1193</v>
      </c>
      <c r="X450" s="87" t="s">
        <v>3319</v>
      </c>
      <c r="Y450" s="94">
        <v>43025.0</v>
      </c>
      <c r="Z450" s="90"/>
      <c r="AA450" s="90"/>
      <c r="AB450" s="92"/>
      <c r="AC450" s="81">
        <v>447.0</v>
      </c>
      <c r="AD450" s="92"/>
      <c r="AE450" s="87" t="s">
        <v>220</v>
      </c>
      <c r="AF450" s="92"/>
      <c r="AG450" s="87" t="s">
        <v>130</v>
      </c>
      <c r="AH450" s="92"/>
      <c r="AI450" s="96">
        <v>8.1268872284E10</v>
      </c>
      <c r="AJ450" s="87" t="s">
        <v>3320</v>
      </c>
      <c r="AK450" s="97" t="s">
        <v>3321</v>
      </c>
      <c r="AL450" s="87" t="s">
        <v>3322</v>
      </c>
      <c r="AM450" s="87" t="s">
        <v>73</v>
      </c>
      <c r="AN450" s="87" t="s">
        <v>74</v>
      </c>
      <c r="AO450" s="87" t="s">
        <v>203</v>
      </c>
      <c r="AP450" s="87" t="s">
        <v>2128</v>
      </c>
      <c r="AQ450" s="87"/>
      <c r="AR450" s="87"/>
    </row>
    <row r="451">
      <c r="A451" s="89">
        <v>121.0</v>
      </c>
      <c r="B451" s="87" t="s">
        <v>3323</v>
      </c>
      <c r="C451" s="88" t="s">
        <v>3324</v>
      </c>
      <c r="D451" s="89"/>
      <c r="E451" s="89"/>
      <c r="F451" s="89"/>
      <c r="G451" s="89"/>
      <c r="H451" s="89"/>
      <c r="I451" s="90"/>
      <c r="J451" s="89"/>
      <c r="K451" s="89"/>
      <c r="L451" s="90"/>
      <c r="M451" s="89"/>
      <c r="N451" s="89"/>
      <c r="O451" s="87" t="s">
        <v>142</v>
      </c>
      <c r="P451" s="89"/>
      <c r="Q451" s="100" t="s">
        <v>3210</v>
      </c>
      <c r="R451" s="89"/>
      <c r="S451" s="92"/>
      <c r="T451" s="89"/>
      <c r="U451" s="92"/>
      <c r="V451" s="87" t="s">
        <v>89</v>
      </c>
      <c r="W451" s="87" t="s">
        <v>374</v>
      </c>
      <c r="X451" s="87" t="s">
        <v>244</v>
      </c>
      <c r="Y451" s="94">
        <v>41538.0</v>
      </c>
      <c r="Z451" s="90"/>
      <c r="AA451" s="90"/>
      <c r="AB451" s="92"/>
      <c r="AC451" s="81">
        <v>448.0</v>
      </c>
      <c r="AD451" s="92"/>
      <c r="AE451" s="87" t="s">
        <v>67</v>
      </c>
      <c r="AF451" s="92"/>
      <c r="AG451" s="87" t="s">
        <v>130</v>
      </c>
      <c r="AH451" s="92"/>
      <c r="AI451" s="96">
        <v>8.175026666E9</v>
      </c>
      <c r="AJ451" s="87" t="s">
        <v>3325</v>
      </c>
      <c r="AK451" s="97" t="s">
        <v>3326</v>
      </c>
      <c r="AL451" s="87" t="s">
        <v>3327</v>
      </c>
      <c r="AM451" s="87" t="s">
        <v>73</v>
      </c>
      <c r="AN451" s="87" t="s">
        <v>74</v>
      </c>
      <c r="AO451" s="87" t="s">
        <v>925</v>
      </c>
      <c r="AP451" s="87" t="s">
        <v>3191</v>
      </c>
      <c r="AQ451" s="87"/>
      <c r="AR451" s="87"/>
    </row>
    <row r="452">
      <c r="A452" s="89">
        <v>122.0</v>
      </c>
      <c r="B452" s="87" t="s">
        <v>3328</v>
      </c>
      <c r="C452" s="88" t="s">
        <v>3329</v>
      </c>
      <c r="D452" s="89"/>
      <c r="E452" s="89"/>
      <c r="F452" s="89"/>
      <c r="G452" s="89"/>
      <c r="H452" s="89"/>
      <c r="I452" s="90"/>
      <c r="J452" s="89"/>
      <c r="K452" s="89"/>
      <c r="L452" s="90"/>
      <c r="M452" s="89"/>
      <c r="N452" s="89"/>
      <c r="O452" s="87" t="s">
        <v>142</v>
      </c>
      <c r="P452" s="89"/>
      <c r="Q452" s="100" t="s">
        <v>2950</v>
      </c>
      <c r="R452" s="89"/>
      <c r="S452" s="92"/>
      <c r="T452" s="89"/>
      <c r="U452" s="92"/>
      <c r="V452" s="87" t="s">
        <v>89</v>
      </c>
      <c r="W452" s="87" t="s">
        <v>90</v>
      </c>
      <c r="X452" s="87" t="s">
        <v>1231</v>
      </c>
      <c r="Y452" s="94">
        <v>37163.0</v>
      </c>
      <c r="Z452" s="90"/>
      <c r="AA452" s="90"/>
      <c r="AB452" s="92"/>
      <c r="AC452" s="81">
        <v>449.0</v>
      </c>
      <c r="AD452" s="92"/>
      <c r="AE452" s="87" t="s">
        <v>67</v>
      </c>
      <c r="AF452" s="92"/>
      <c r="AG452" s="87" t="s">
        <v>68</v>
      </c>
      <c r="AH452" s="92"/>
      <c r="AI452" s="96">
        <v>8.1263758106E10</v>
      </c>
      <c r="AJ452" s="87" t="s">
        <v>3330</v>
      </c>
      <c r="AK452" s="97" t="s">
        <v>3331</v>
      </c>
      <c r="AL452" s="87" t="s">
        <v>3332</v>
      </c>
      <c r="AM452" s="87" t="s">
        <v>73</v>
      </c>
      <c r="AN452" s="87" t="s">
        <v>74</v>
      </c>
      <c r="AO452" s="87" t="s">
        <v>860</v>
      </c>
      <c r="AP452" s="87" t="s">
        <v>3333</v>
      </c>
      <c r="AQ452" s="87">
        <v>0.0</v>
      </c>
      <c r="AR452" s="87">
        <v>0.0</v>
      </c>
    </row>
    <row r="453">
      <c r="A453" s="89">
        <v>123.0</v>
      </c>
      <c r="B453" s="87" t="s">
        <v>3334</v>
      </c>
      <c r="C453" s="88" t="s">
        <v>3335</v>
      </c>
      <c r="D453" s="89"/>
      <c r="E453" s="89"/>
      <c r="F453" s="89"/>
      <c r="G453" s="89"/>
      <c r="H453" s="89"/>
      <c r="I453" s="90"/>
      <c r="J453" s="89"/>
      <c r="K453" s="89"/>
      <c r="L453" s="90"/>
      <c r="M453" s="89"/>
      <c r="N453" s="89"/>
      <c r="O453" s="87" t="s">
        <v>142</v>
      </c>
      <c r="P453" s="89"/>
      <c r="Q453" s="100" t="s">
        <v>2957</v>
      </c>
      <c r="R453" s="89"/>
      <c r="S453" s="92"/>
      <c r="T453" s="89"/>
      <c r="U453" s="92"/>
      <c r="V453" s="87" t="s">
        <v>89</v>
      </c>
      <c r="W453" s="87" t="s">
        <v>3336</v>
      </c>
      <c r="X453" s="87" t="s">
        <v>244</v>
      </c>
      <c r="Y453" s="94">
        <v>42944.0</v>
      </c>
      <c r="Z453" s="90"/>
      <c r="AA453" s="90"/>
      <c r="AB453" s="92"/>
      <c r="AC453" s="81">
        <v>450.0</v>
      </c>
      <c r="AD453" s="92"/>
      <c r="AE453" s="87" t="s">
        <v>67</v>
      </c>
      <c r="AF453" s="92"/>
      <c r="AG453" s="87" t="s">
        <v>130</v>
      </c>
      <c r="AH453" s="92"/>
      <c r="AI453" s="96">
        <v>8.2161364795E10</v>
      </c>
      <c r="AJ453" s="87" t="s">
        <v>3337</v>
      </c>
      <c r="AK453" s="97" t="s">
        <v>3338</v>
      </c>
      <c r="AL453" s="87" t="s">
        <v>3339</v>
      </c>
      <c r="AM453" s="87" t="s">
        <v>1029</v>
      </c>
      <c r="AN453" s="87" t="s">
        <v>514</v>
      </c>
      <c r="AO453" s="87" t="s">
        <v>1243</v>
      </c>
      <c r="AP453" s="87" t="s">
        <v>3340</v>
      </c>
      <c r="AQ453" s="87">
        <v>0.0</v>
      </c>
      <c r="AR453" s="87">
        <v>0.0</v>
      </c>
    </row>
    <row r="454">
      <c r="A454" s="124"/>
      <c r="B454" s="135"/>
      <c r="C454" s="136"/>
      <c r="D454" s="124"/>
      <c r="E454" s="124"/>
      <c r="F454" s="124"/>
      <c r="G454" s="124"/>
      <c r="H454" s="137"/>
      <c r="I454" s="135"/>
      <c r="J454" s="138"/>
      <c r="K454" s="138"/>
      <c r="L454" s="139"/>
      <c r="M454" s="140"/>
      <c r="N454" s="124"/>
      <c r="O454" s="139"/>
      <c r="P454" s="124"/>
      <c r="Q454" s="139"/>
      <c r="R454" s="137"/>
      <c r="S454" s="141"/>
      <c r="T454" s="142"/>
      <c r="U454" s="141"/>
      <c r="V454" s="139"/>
      <c r="W454" s="139"/>
      <c r="X454" s="139"/>
      <c r="Y454" s="143"/>
      <c r="Z454" s="141"/>
      <c r="AA454" s="144"/>
      <c r="AB454" s="144"/>
      <c r="AC454" s="81">
        <v>451.0</v>
      </c>
      <c r="AD454" s="139"/>
      <c r="AE454" s="139"/>
      <c r="AF454" s="139"/>
      <c r="AG454" s="139"/>
      <c r="AH454" s="139"/>
      <c r="AI454" s="139"/>
      <c r="AJ454" s="139"/>
      <c r="AK454" s="145"/>
      <c r="AL454" s="139"/>
      <c r="AM454" s="139"/>
      <c r="AN454" s="139"/>
      <c r="AO454" s="139"/>
      <c r="AP454" s="139"/>
      <c r="AQ454" s="139"/>
      <c r="AR454" s="139"/>
    </row>
    <row r="455">
      <c r="A455" s="12" t="s">
        <v>3341</v>
      </c>
      <c r="B455" s="116"/>
      <c r="C455" s="117"/>
      <c r="D455" s="118"/>
      <c r="E455" s="118"/>
      <c r="F455" s="118"/>
      <c r="G455" s="118"/>
      <c r="H455" s="118"/>
      <c r="I455" s="116"/>
      <c r="J455" s="118"/>
      <c r="K455" s="118"/>
      <c r="L455" s="116"/>
      <c r="M455" s="118"/>
      <c r="N455" s="118"/>
      <c r="O455" s="116"/>
      <c r="P455" s="118"/>
      <c r="Q455" s="116"/>
      <c r="R455" s="118"/>
      <c r="S455" s="116"/>
      <c r="T455" s="118"/>
      <c r="U455" s="116"/>
      <c r="V455" s="116"/>
      <c r="W455" s="116"/>
      <c r="X455" s="116"/>
      <c r="Y455" s="116"/>
      <c r="Z455" s="116"/>
      <c r="AA455" s="116"/>
      <c r="AB455" s="116"/>
      <c r="AC455" s="81">
        <v>452.0</v>
      </c>
      <c r="AD455" s="119"/>
      <c r="AE455" s="119"/>
      <c r="AF455" s="119"/>
      <c r="AG455" s="119"/>
      <c r="AH455" s="119"/>
      <c r="AI455" s="119"/>
      <c r="AJ455" s="119"/>
      <c r="AK455" s="29"/>
      <c r="AL455" s="119"/>
      <c r="AM455" s="119"/>
      <c r="AN455" s="119"/>
      <c r="AO455" s="119"/>
      <c r="AP455" s="119"/>
      <c r="AQ455" s="119"/>
      <c r="AR455" s="119"/>
    </row>
    <row r="456">
      <c r="A456" s="21" t="str">
        <f t="shared" ref="A456:A475" si="6">SUM(A455+1)</f>
        <v>#VALUE!</v>
      </c>
      <c r="B456" s="21" t="s">
        <v>3342</v>
      </c>
      <c r="C456" s="38" t="s">
        <v>3343</v>
      </c>
      <c r="D456" s="23">
        <v>15.0</v>
      </c>
      <c r="E456" s="23">
        <v>7.0</v>
      </c>
      <c r="F456" s="23" t="s">
        <v>80</v>
      </c>
      <c r="G456" s="23" t="s">
        <v>81</v>
      </c>
      <c r="H456" s="24">
        <v>37104.0</v>
      </c>
      <c r="I456" s="21" t="s">
        <v>254</v>
      </c>
      <c r="J456" s="21" t="s">
        <v>255</v>
      </c>
      <c r="K456" s="21" t="s">
        <v>3344</v>
      </c>
      <c r="L456" s="21" t="s">
        <v>1326</v>
      </c>
      <c r="M456" s="25">
        <v>42278.0</v>
      </c>
      <c r="N456" s="23" t="s">
        <v>56</v>
      </c>
      <c r="O456" s="21" t="s">
        <v>3345</v>
      </c>
      <c r="P456" s="23" t="s">
        <v>1296</v>
      </c>
      <c r="Q456" s="21" t="s">
        <v>3346</v>
      </c>
      <c r="R456" s="24">
        <v>44928.0</v>
      </c>
      <c r="S456" s="23" t="s">
        <v>3347</v>
      </c>
      <c r="T456" s="29"/>
      <c r="U456" s="23" t="s">
        <v>88</v>
      </c>
      <c r="V456" s="21" t="s">
        <v>159</v>
      </c>
      <c r="W456" s="21" t="s">
        <v>3348</v>
      </c>
      <c r="X456" s="21" t="s">
        <v>244</v>
      </c>
      <c r="Y456" s="27">
        <v>37529.0</v>
      </c>
      <c r="Z456" s="23" t="s">
        <v>114</v>
      </c>
      <c r="AA456" s="28">
        <v>49310.0</v>
      </c>
      <c r="AB456" s="29"/>
      <c r="AC456" s="23">
        <v>185.0</v>
      </c>
      <c r="AD456" s="21" t="s">
        <v>66</v>
      </c>
      <c r="AE456" s="21" t="s">
        <v>67</v>
      </c>
      <c r="AF456" s="21" t="s">
        <v>92</v>
      </c>
      <c r="AG456" s="21" t="s">
        <v>130</v>
      </c>
      <c r="AH456" s="21" t="s">
        <v>69</v>
      </c>
      <c r="AI456" s="21">
        <v>8.11614323E9</v>
      </c>
      <c r="AJ456" s="21" t="s">
        <v>3349</v>
      </c>
      <c r="AK456" s="21" t="s">
        <v>3350</v>
      </c>
      <c r="AL456" s="21" t="s">
        <v>3351</v>
      </c>
      <c r="AM456" s="21" t="s">
        <v>96</v>
      </c>
      <c r="AN456" s="21" t="s">
        <v>97</v>
      </c>
      <c r="AO456" s="21" t="s">
        <v>136</v>
      </c>
      <c r="AP456" s="21" t="s">
        <v>3352</v>
      </c>
      <c r="AQ456" s="30"/>
      <c r="AR456" s="30"/>
    </row>
    <row r="457">
      <c r="A457" s="21" t="str">
        <f t="shared" si="6"/>
        <v>#VALUE!</v>
      </c>
      <c r="B457" s="21" t="s">
        <v>3353</v>
      </c>
      <c r="C457" s="38" t="s">
        <v>3354</v>
      </c>
      <c r="D457" s="23">
        <v>12.0</v>
      </c>
      <c r="E457" s="23">
        <v>2.0</v>
      </c>
      <c r="F457" s="23" t="s">
        <v>50</v>
      </c>
      <c r="G457" s="23" t="s">
        <v>51</v>
      </c>
      <c r="H457" s="24">
        <v>38384.0</v>
      </c>
      <c r="I457" s="21" t="s">
        <v>82</v>
      </c>
      <c r="J457" s="21" t="s">
        <v>83</v>
      </c>
      <c r="K457" s="21" t="s">
        <v>2799</v>
      </c>
      <c r="L457" s="21" t="s">
        <v>105</v>
      </c>
      <c r="M457" s="25">
        <v>44652.0</v>
      </c>
      <c r="N457" s="23" t="s">
        <v>56</v>
      </c>
      <c r="O457" s="21" t="s">
        <v>3355</v>
      </c>
      <c r="P457" s="56"/>
      <c r="Q457" s="21" t="s">
        <v>3356</v>
      </c>
      <c r="R457" s="24">
        <v>45364.0</v>
      </c>
      <c r="S457" s="23" t="s">
        <v>3357</v>
      </c>
      <c r="T457" s="29"/>
      <c r="U457" s="23" t="s">
        <v>3358</v>
      </c>
      <c r="V457" s="21" t="s">
        <v>159</v>
      </c>
      <c r="W457" s="21" t="s">
        <v>259</v>
      </c>
      <c r="X457" s="21" t="s">
        <v>3359</v>
      </c>
      <c r="Y457" s="27">
        <v>44526.0</v>
      </c>
      <c r="Z457" s="23" t="s">
        <v>114</v>
      </c>
      <c r="AA457" s="28">
        <v>52598.0</v>
      </c>
      <c r="AB457" s="29"/>
      <c r="AC457" s="23">
        <v>186.0</v>
      </c>
      <c r="AD457" s="21" t="s">
        <v>66</v>
      </c>
      <c r="AE457" s="21" t="s">
        <v>67</v>
      </c>
      <c r="AF457" s="21" t="s">
        <v>2117</v>
      </c>
      <c r="AG457" s="21" t="s">
        <v>130</v>
      </c>
      <c r="AH457" s="21" t="s">
        <v>69</v>
      </c>
      <c r="AI457" s="21">
        <v>8.116505001E9</v>
      </c>
      <c r="AJ457" s="21" t="s">
        <v>3360</v>
      </c>
      <c r="AK457" s="21" t="s">
        <v>3361</v>
      </c>
      <c r="AL457" s="21" t="s">
        <v>3362</v>
      </c>
      <c r="AM457" s="21" t="s">
        <v>73</v>
      </c>
      <c r="AN457" s="21" t="s">
        <v>481</v>
      </c>
      <c r="AO457" s="21" t="s">
        <v>75</v>
      </c>
      <c r="AP457" s="21" t="s">
        <v>76</v>
      </c>
      <c r="AQ457" s="21" t="s">
        <v>77</v>
      </c>
      <c r="AR457" s="21" t="s">
        <v>77</v>
      </c>
    </row>
    <row r="458">
      <c r="A458" s="21" t="str">
        <f t="shared" si="6"/>
        <v>#VALUE!</v>
      </c>
      <c r="B458" s="21" t="s">
        <v>3363</v>
      </c>
      <c r="C458" s="38" t="s">
        <v>3364</v>
      </c>
      <c r="D458" s="23">
        <v>11.0</v>
      </c>
      <c r="E458" s="23">
        <v>4.0</v>
      </c>
      <c r="F458" s="23" t="s">
        <v>50</v>
      </c>
      <c r="G458" s="23" t="s">
        <v>51</v>
      </c>
      <c r="H458" s="24">
        <v>37956.0</v>
      </c>
      <c r="I458" s="21" t="s">
        <v>82</v>
      </c>
      <c r="J458" s="21" t="s">
        <v>83</v>
      </c>
      <c r="K458" s="21" t="s">
        <v>1995</v>
      </c>
      <c r="L458" s="21" t="s">
        <v>105</v>
      </c>
      <c r="M458" s="25">
        <v>43922.0</v>
      </c>
      <c r="N458" s="23" t="s">
        <v>56</v>
      </c>
      <c r="O458" s="21" t="s">
        <v>3365</v>
      </c>
      <c r="P458" s="23" t="s">
        <v>107</v>
      </c>
      <c r="Q458" s="21" t="s">
        <v>3366</v>
      </c>
      <c r="R458" s="24">
        <v>46076.0</v>
      </c>
      <c r="S458" s="23" t="s">
        <v>87</v>
      </c>
      <c r="T458" s="29"/>
      <c r="U458" s="23" t="s">
        <v>105</v>
      </c>
      <c r="V458" s="21" t="s">
        <v>89</v>
      </c>
      <c r="W458" s="21" t="s">
        <v>1214</v>
      </c>
      <c r="X458" s="21" t="s">
        <v>671</v>
      </c>
      <c r="Y458" s="21" t="s">
        <v>3367</v>
      </c>
      <c r="Z458" s="30"/>
      <c r="AA458" s="28">
        <v>51138.0</v>
      </c>
      <c r="AB458" s="29"/>
      <c r="AC458" s="23">
        <v>187.0</v>
      </c>
      <c r="AD458" s="21" t="s">
        <v>66</v>
      </c>
      <c r="AE458" s="21" t="s">
        <v>67</v>
      </c>
      <c r="AF458" s="30"/>
      <c r="AG458" s="21" t="s">
        <v>68</v>
      </c>
      <c r="AH458" s="21" t="s">
        <v>131</v>
      </c>
      <c r="AI458" s="21">
        <v>8.116068204E9</v>
      </c>
      <c r="AJ458" s="21" t="s">
        <v>3368</v>
      </c>
      <c r="AK458" s="21" t="s">
        <v>3369</v>
      </c>
      <c r="AL458" s="21" t="s">
        <v>3370</v>
      </c>
      <c r="AM458" s="21" t="s">
        <v>3371</v>
      </c>
      <c r="AN458" s="21" t="s">
        <v>97</v>
      </c>
      <c r="AO458" s="21" t="s">
        <v>499</v>
      </c>
      <c r="AP458" s="21" t="s">
        <v>464</v>
      </c>
      <c r="AQ458" s="30"/>
      <c r="AR458" s="30"/>
    </row>
    <row r="459">
      <c r="A459" s="21" t="str">
        <f t="shared" si="6"/>
        <v>#VALUE!</v>
      </c>
      <c r="B459" s="39" t="s">
        <v>3372</v>
      </c>
      <c r="C459" s="57" t="s">
        <v>3373</v>
      </c>
      <c r="D459" s="39">
        <v>9.0</v>
      </c>
      <c r="E459" s="39">
        <v>3.0</v>
      </c>
      <c r="F459" s="39" t="s">
        <v>171</v>
      </c>
      <c r="G459" s="39" t="s">
        <v>172</v>
      </c>
      <c r="H459" s="42">
        <v>40544.0</v>
      </c>
      <c r="I459" s="39" t="s">
        <v>102</v>
      </c>
      <c r="J459" s="39" t="s">
        <v>103</v>
      </c>
      <c r="K459" s="39" t="s">
        <v>228</v>
      </c>
      <c r="L459" s="39" t="s">
        <v>105</v>
      </c>
      <c r="M459" s="42">
        <v>44652.0</v>
      </c>
      <c r="N459" s="39" t="s">
        <v>141</v>
      </c>
      <c r="O459" s="39" t="s">
        <v>173</v>
      </c>
      <c r="P459" s="43"/>
      <c r="Q459" s="39" t="s">
        <v>3366</v>
      </c>
      <c r="R459" s="42">
        <v>45292.0</v>
      </c>
      <c r="S459" s="39" t="s">
        <v>143</v>
      </c>
      <c r="T459" s="46"/>
      <c r="U459" s="39" t="s">
        <v>144</v>
      </c>
      <c r="V459" s="39" t="s">
        <v>89</v>
      </c>
      <c r="W459" s="39" t="s">
        <v>2132</v>
      </c>
      <c r="X459" s="39" t="s">
        <v>231</v>
      </c>
      <c r="Y459" s="132">
        <v>41389.0</v>
      </c>
      <c r="Z459" s="65"/>
      <c r="AA459" s="45">
        <v>54058.0</v>
      </c>
      <c r="AB459" s="46"/>
      <c r="AC459" s="23">
        <v>188.0</v>
      </c>
      <c r="AD459" s="39" t="s">
        <v>66</v>
      </c>
      <c r="AE459" s="39" t="s">
        <v>67</v>
      </c>
      <c r="AF459" s="39" t="s">
        <v>92</v>
      </c>
      <c r="AG459" s="39" t="s">
        <v>130</v>
      </c>
      <c r="AH459" s="65"/>
      <c r="AI459" s="39">
        <v>8.11610661E9</v>
      </c>
      <c r="AJ459" s="39" t="s">
        <v>3374</v>
      </c>
      <c r="AK459" s="39" t="s">
        <v>3375</v>
      </c>
      <c r="AL459" s="39" t="s">
        <v>3376</v>
      </c>
      <c r="AM459" s="39" t="s">
        <v>96</v>
      </c>
      <c r="AN459" s="39" t="s">
        <v>135</v>
      </c>
      <c r="AO459" s="39" t="s">
        <v>2699</v>
      </c>
      <c r="AP459" s="39" t="s">
        <v>2826</v>
      </c>
      <c r="AQ459" s="39">
        <v>0.0</v>
      </c>
      <c r="AR459" s="39">
        <v>0.0</v>
      </c>
    </row>
    <row r="460">
      <c r="A460" s="21" t="str">
        <f t="shared" si="6"/>
        <v>#VALUE!</v>
      </c>
      <c r="B460" s="39" t="s">
        <v>3377</v>
      </c>
      <c r="C460" s="57" t="s">
        <v>3378</v>
      </c>
      <c r="D460" s="39">
        <v>26.0</v>
      </c>
      <c r="E460" s="39">
        <v>7.0</v>
      </c>
      <c r="F460" s="39" t="s">
        <v>50</v>
      </c>
      <c r="G460" s="39" t="s">
        <v>51</v>
      </c>
      <c r="H460" s="42">
        <v>34304.0</v>
      </c>
      <c r="I460" s="39" t="s">
        <v>254</v>
      </c>
      <c r="J460" s="39" t="s">
        <v>255</v>
      </c>
      <c r="K460" s="39" t="s">
        <v>54</v>
      </c>
      <c r="L460" s="39" t="s">
        <v>55</v>
      </c>
      <c r="M460" s="42">
        <v>45200.0</v>
      </c>
      <c r="N460" s="39" t="s">
        <v>141</v>
      </c>
      <c r="O460" s="39" t="s">
        <v>229</v>
      </c>
      <c r="P460" s="43"/>
      <c r="Q460" s="39" t="s">
        <v>59</v>
      </c>
      <c r="R460" s="42">
        <v>45292.0</v>
      </c>
      <c r="S460" s="39" t="s">
        <v>143</v>
      </c>
      <c r="T460" s="46"/>
      <c r="U460" s="39" t="s">
        <v>144</v>
      </c>
      <c r="V460" s="39" t="s">
        <v>159</v>
      </c>
      <c r="W460" s="39" t="s">
        <v>218</v>
      </c>
      <c r="X460" s="39" t="s">
        <v>745</v>
      </c>
      <c r="Y460" s="39" t="s">
        <v>3379</v>
      </c>
      <c r="Z460" s="39" t="s">
        <v>114</v>
      </c>
      <c r="AA460" s="45">
        <v>47853.0</v>
      </c>
      <c r="AB460" s="46"/>
      <c r="AC460" s="23">
        <v>189.0</v>
      </c>
      <c r="AD460" s="39" t="s">
        <v>66</v>
      </c>
      <c r="AE460" s="39" t="s">
        <v>67</v>
      </c>
      <c r="AF460" s="39" t="s">
        <v>92</v>
      </c>
      <c r="AG460" s="39" t="s">
        <v>130</v>
      </c>
      <c r="AH460" s="39" t="s">
        <v>288</v>
      </c>
      <c r="AI460" s="39">
        <v>8.1362421431E10</v>
      </c>
      <c r="AJ460" s="39" t="s">
        <v>3380</v>
      </c>
      <c r="AK460" s="39" t="s">
        <v>3381</v>
      </c>
      <c r="AL460" s="39" t="s">
        <v>3382</v>
      </c>
      <c r="AM460" s="39" t="s">
        <v>96</v>
      </c>
      <c r="AN460" s="39" t="s">
        <v>135</v>
      </c>
      <c r="AO460" s="39" t="s">
        <v>1291</v>
      </c>
      <c r="AP460" s="39" t="s">
        <v>3383</v>
      </c>
      <c r="AQ460" s="43"/>
      <c r="AR460" s="43"/>
    </row>
    <row r="461">
      <c r="A461" s="21" t="str">
        <f t="shared" si="6"/>
        <v>#VALUE!</v>
      </c>
      <c r="B461" s="39" t="s">
        <v>3384</v>
      </c>
      <c r="C461" s="57" t="s">
        <v>3385</v>
      </c>
      <c r="D461" s="39">
        <v>14.0</v>
      </c>
      <c r="E461" s="39">
        <v>3.0</v>
      </c>
      <c r="F461" s="39" t="s">
        <v>50</v>
      </c>
      <c r="G461" s="39" t="s">
        <v>51</v>
      </c>
      <c r="H461" s="42">
        <v>39873.0</v>
      </c>
      <c r="I461" s="39" t="s">
        <v>82</v>
      </c>
      <c r="J461" s="39" t="s">
        <v>83</v>
      </c>
      <c r="K461" s="39" t="s">
        <v>217</v>
      </c>
      <c r="L461" s="39" t="s">
        <v>61</v>
      </c>
      <c r="M461" s="42">
        <v>45383.0</v>
      </c>
      <c r="N461" s="39" t="s">
        <v>141</v>
      </c>
      <c r="O461" s="39" t="s">
        <v>229</v>
      </c>
      <c r="P461" s="43"/>
      <c r="Q461" s="39" t="s">
        <v>59</v>
      </c>
      <c r="R461" s="42">
        <v>45292.0</v>
      </c>
      <c r="S461" s="39" t="s">
        <v>143</v>
      </c>
      <c r="T461" s="46"/>
      <c r="U461" s="39" t="s">
        <v>144</v>
      </c>
      <c r="V461" s="39" t="s">
        <v>89</v>
      </c>
      <c r="W461" s="39" t="s">
        <v>218</v>
      </c>
      <c r="X461" s="39" t="s">
        <v>2005</v>
      </c>
      <c r="Y461" s="39" t="s">
        <v>2032</v>
      </c>
      <c r="Z461" s="39" t="s">
        <v>114</v>
      </c>
      <c r="AA461" s="45">
        <v>48956.0</v>
      </c>
      <c r="AB461" s="46"/>
      <c r="AC461" s="23">
        <v>190.0</v>
      </c>
      <c r="AD461" s="39" t="s">
        <v>66</v>
      </c>
      <c r="AE461" s="39" t="s">
        <v>220</v>
      </c>
      <c r="AF461" s="39" t="s">
        <v>92</v>
      </c>
      <c r="AG461" s="39" t="s">
        <v>68</v>
      </c>
      <c r="AH461" s="39" t="s">
        <v>246</v>
      </c>
      <c r="AI461" s="39">
        <v>8.126592509E9</v>
      </c>
      <c r="AJ461" s="39" t="s">
        <v>3386</v>
      </c>
      <c r="AK461" s="39" t="s">
        <v>3387</v>
      </c>
      <c r="AL461" s="39" t="s">
        <v>3388</v>
      </c>
      <c r="AM461" s="39" t="s">
        <v>96</v>
      </c>
      <c r="AN461" s="39" t="s">
        <v>3389</v>
      </c>
      <c r="AO461" s="39" t="s">
        <v>557</v>
      </c>
      <c r="AP461" s="39" t="s">
        <v>3390</v>
      </c>
      <c r="AQ461" s="43"/>
      <c r="AR461" s="43"/>
    </row>
    <row r="462">
      <c r="A462" s="21" t="str">
        <f t="shared" si="6"/>
        <v>#VALUE!</v>
      </c>
      <c r="B462" s="39" t="s">
        <v>3391</v>
      </c>
      <c r="C462" s="57" t="s">
        <v>3392</v>
      </c>
      <c r="D462" s="39">
        <v>14.0</v>
      </c>
      <c r="E462" s="39">
        <v>9.0</v>
      </c>
      <c r="F462" s="39" t="s">
        <v>50</v>
      </c>
      <c r="G462" s="39" t="s">
        <v>51</v>
      </c>
      <c r="H462" s="42">
        <v>39873.0</v>
      </c>
      <c r="I462" s="39" t="s">
        <v>82</v>
      </c>
      <c r="J462" s="39" t="s">
        <v>83</v>
      </c>
      <c r="K462" s="39" t="s">
        <v>417</v>
      </c>
      <c r="L462" s="39" t="s">
        <v>105</v>
      </c>
      <c r="M462" s="42">
        <v>45566.0</v>
      </c>
      <c r="N462" s="39" t="s">
        <v>141</v>
      </c>
      <c r="O462" s="39" t="s">
        <v>229</v>
      </c>
      <c r="P462" s="43"/>
      <c r="Q462" s="39" t="s">
        <v>3366</v>
      </c>
      <c r="R462" s="42">
        <v>45292.0</v>
      </c>
      <c r="S462" s="39" t="s">
        <v>143</v>
      </c>
      <c r="T462" s="46"/>
      <c r="U462" s="39" t="s">
        <v>144</v>
      </c>
      <c r="V462" s="39" t="s">
        <v>159</v>
      </c>
      <c r="W462" s="39" t="s">
        <v>218</v>
      </c>
      <c r="X462" s="39" t="s">
        <v>3393</v>
      </c>
      <c r="Y462" s="39" t="s">
        <v>3394</v>
      </c>
      <c r="Z462" s="65"/>
      <c r="AA462" s="45">
        <v>48956.0</v>
      </c>
      <c r="AB462" s="46"/>
      <c r="AC462" s="23">
        <v>191.0</v>
      </c>
      <c r="AD462" s="39" t="s">
        <v>66</v>
      </c>
      <c r="AE462" s="39" t="s">
        <v>67</v>
      </c>
      <c r="AF462" s="39" t="s">
        <v>92</v>
      </c>
      <c r="AG462" s="39" t="s">
        <v>68</v>
      </c>
      <c r="AH462" s="39" t="s">
        <v>69</v>
      </c>
      <c r="AI462" s="39">
        <v>8.216793333E10</v>
      </c>
      <c r="AJ462" s="39" t="s">
        <v>3395</v>
      </c>
      <c r="AK462" s="39" t="s">
        <v>3396</v>
      </c>
      <c r="AL462" s="39" t="s">
        <v>3397</v>
      </c>
      <c r="AM462" s="39" t="s">
        <v>96</v>
      </c>
      <c r="AN462" s="39" t="s">
        <v>97</v>
      </c>
      <c r="AO462" s="39" t="s">
        <v>3398</v>
      </c>
      <c r="AP462" s="39" t="s">
        <v>3399</v>
      </c>
      <c r="AQ462" s="43"/>
      <c r="AR462" s="43"/>
    </row>
    <row r="463">
      <c r="A463" s="21" t="str">
        <f t="shared" si="6"/>
        <v>#VALUE!</v>
      </c>
      <c r="B463" s="39" t="s">
        <v>3400</v>
      </c>
      <c r="C463" s="57" t="s">
        <v>3401</v>
      </c>
      <c r="D463" s="39">
        <v>12.0</v>
      </c>
      <c r="E463" s="39">
        <v>3.0</v>
      </c>
      <c r="F463" s="39" t="s">
        <v>80</v>
      </c>
      <c r="G463" s="39" t="s">
        <v>81</v>
      </c>
      <c r="H463" s="42">
        <v>40179.0</v>
      </c>
      <c r="I463" s="39" t="s">
        <v>82</v>
      </c>
      <c r="J463" s="39" t="s">
        <v>83</v>
      </c>
      <c r="K463" s="39" t="s">
        <v>3402</v>
      </c>
      <c r="L463" s="39" t="s">
        <v>88</v>
      </c>
      <c r="M463" s="42">
        <v>44652.0</v>
      </c>
      <c r="N463" s="39" t="s">
        <v>141</v>
      </c>
      <c r="O463" s="39" t="s">
        <v>173</v>
      </c>
      <c r="P463" s="43"/>
      <c r="Q463" s="39" t="s">
        <v>59</v>
      </c>
      <c r="R463" s="42">
        <v>44958.0</v>
      </c>
      <c r="S463" s="39" t="s">
        <v>2014</v>
      </c>
      <c r="T463" s="46"/>
      <c r="U463" s="39" t="s">
        <v>2015</v>
      </c>
      <c r="V463" s="39" t="s">
        <v>159</v>
      </c>
      <c r="W463" s="39" t="s">
        <v>3403</v>
      </c>
      <c r="X463" s="39" t="s">
        <v>3404</v>
      </c>
      <c r="Y463" s="39" t="s">
        <v>2097</v>
      </c>
      <c r="Z463" s="39" t="s">
        <v>114</v>
      </c>
      <c r="AA463" s="45">
        <v>52598.0</v>
      </c>
      <c r="AB463" s="46"/>
      <c r="AC463" s="23">
        <v>192.0</v>
      </c>
      <c r="AD463" s="39" t="s">
        <v>66</v>
      </c>
      <c r="AE463" s="39" t="s">
        <v>67</v>
      </c>
      <c r="AF463" s="65"/>
      <c r="AG463" s="39" t="s">
        <v>130</v>
      </c>
      <c r="AH463" s="39" t="s">
        <v>69</v>
      </c>
      <c r="AI463" s="39">
        <v>8.1362345394E10</v>
      </c>
      <c r="AJ463" s="39" t="s">
        <v>3405</v>
      </c>
      <c r="AK463" s="39" t="s">
        <v>3406</v>
      </c>
      <c r="AL463" s="39" t="s">
        <v>3407</v>
      </c>
      <c r="AM463" s="39" t="s">
        <v>96</v>
      </c>
      <c r="AN463" s="39" t="s">
        <v>135</v>
      </c>
      <c r="AO463" s="39" t="s">
        <v>98</v>
      </c>
      <c r="AP463" s="39" t="s">
        <v>99</v>
      </c>
      <c r="AQ463" s="43"/>
      <c r="AR463" s="43"/>
    </row>
    <row r="464">
      <c r="A464" s="21" t="str">
        <f t="shared" si="6"/>
        <v>#VALUE!</v>
      </c>
      <c r="B464" s="39" t="s">
        <v>3408</v>
      </c>
      <c r="C464" s="57" t="s">
        <v>3409</v>
      </c>
      <c r="D464" s="39">
        <v>18.0</v>
      </c>
      <c r="E464" s="39">
        <v>6.0</v>
      </c>
      <c r="F464" s="39" t="s">
        <v>80</v>
      </c>
      <c r="G464" s="39" t="s">
        <v>81</v>
      </c>
      <c r="H464" s="42">
        <v>40422.0</v>
      </c>
      <c r="I464" s="39" t="s">
        <v>82</v>
      </c>
      <c r="J464" s="39" t="s">
        <v>83</v>
      </c>
      <c r="K464" s="39" t="s">
        <v>408</v>
      </c>
      <c r="L464" s="39" t="s">
        <v>105</v>
      </c>
      <c r="M464" s="42">
        <v>44287.0</v>
      </c>
      <c r="N464" s="39" t="s">
        <v>141</v>
      </c>
      <c r="O464" s="39" t="s">
        <v>229</v>
      </c>
      <c r="P464" s="43"/>
      <c r="Q464" s="39" t="s">
        <v>59</v>
      </c>
      <c r="R464" s="42">
        <v>45292.0</v>
      </c>
      <c r="S464" s="39" t="s">
        <v>143</v>
      </c>
      <c r="T464" s="46"/>
      <c r="U464" s="39" t="s">
        <v>144</v>
      </c>
      <c r="V464" s="39" t="s">
        <v>89</v>
      </c>
      <c r="W464" s="39" t="s">
        <v>1811</v>
      </c>
      <c r="X464" s="39" t="s">
        <v>1329</v>
      </c>
      <c r="Y464" s="39" t="s">
        <v>3410</v>
      </c>
      <c r="Z464" s="43"/>
      <c r="AA464" s="45">
        <v>49318.0</v>
      </c>
      <c r="AB464" s="46"/>
      <c r="AC464" s="23">
        <v>193.0</v>
      </c>
      <c r="AD464" s="39" t="s">
        <v>66</v>
      </c>
      <c r="AE464" s="39" t="s">
        <v>67</v>
      </c>
      <c r="AF464" s="39" t="s">
        <v>92</v>
      </c>
      <c r="AG464" s="39" t="s">
        <v>130</v>
      </c>
      <c r="AH464" s="39" t="s">
        <v>69</v>
      </c>
      <c r="AI464" s="39" t="s">
        <v>3411</v>
      </c>
      <c r="AJ464" s="39" t="s">
        <v>3412</v>
      </c>
      <c r="AK464" s="39" t="s">
        <v>3413</v>
      </c>
      <c r="AL464" s="39" t="s">
        <v>3414</v>
      </c>
      <c r="AM464" s="39" t="s">
        <v>96</v>
      </c>
      <c r="AN464" s="39" t="s">
        <v>135</v>
      </c>
      <c r="AO464" s="39" t="s">
        <v>1802</v>
      </c>
      <c r="AP464" s="39" t="s">
        <v>1803</v>
      </c>
      <c r="AQ464" s="65"/>
      <c r="AR464" s="65"/>
    </row>
    <row r="465">
      <c r="A465" s="21" t="str">
        <f t="shared" si="6"/>
        <v>#VALUE!</v>
      </c>
      <c r="B465" s="39" t="s">
        <v>3415</v>
      </c>
      <c r="C465" s="57" t="s">
        <v>3416</v>
      </c>
      <c r="D465" s="39">
        <v>12.0</v>
      </c>
      <c r="E465" s="39">
        <v>9.0</v>
      </c>
      <c r="F465" s="39" t="s">
        <v>171</v>
      </c>
      <c r="G465" s="39" t="s">
        <v>172</v>
      </c>
      <c r="H465" s="42">
        <v>40544.0</v>
      </c>
      <c r="I465" s="39" t="s">
        <v>82</v>
      </c>
      <c r="J465" s="39" t="s">
        <v>83</v>
      </c>
      <c r="K465" s="39" t="s">
        <v>2842</v>
      </c>
      <c r="L465" s="39" t="s">
        <v>105</v>
      </c>
      <c r="M465" s="42">
        <v>45931.0</v>
      </c>
      <c r="N465" s="39" t="s">
        <v>141</v>
      </c>
      <c r="O465" s="39" t="s">
        <v>173</v>
      </c>
      <c r="P465" s="43"/>
      <c r="Q465" s="39" t="s">
        <v>3356</v>
      </c>
      <c r="R465" s="42">
        <v>45292.0</v>
      </c>
      <c r="S465" s="39" t="s">
        <v>143</v>
      </c>
      <c r="T465" s="46"/>
      <c r="U465" s="39" t="s">
        <v>144</v>
      </c>
      <c r="V465" s="39" t="s">
        <v>159</v>
      </c>
      <c r="W465" s="39" t="s">
        <v>218</v>
      </c>
      <c r="X465" s="39" t="s">
        <v>745</v>
      </c>
      <c r="Y465" s="39" t="s">
        <v>3394</v>
      </c>
      <c r="Z465" s="43"/>
      <c r="AA465" s="45">
        <v>51876.0</v>
      </c>
      <c r="AB465" s="46"/>
      <c r="AC465" s="23">
        <v>194.0</v>
      </c>
      <c r="AD465" s="39" t="s">
        <v>66</v>
      </c>
      <c r="AE465" s="39" t="s">
        <v>220</v>
      </c>
      <c r="AF465" s="39" t="s">
        <v>92</v>
      </c>
      <c r="AG465" s="39" t="s">
        <v>130</v>
      </c>
      <c r="AH465" s="39" t="s">
        <v>69</v>
      </c>
      <c r="AI465" s="39">
        <v>8.11911944E8</v>
      </c>
      <c r="AJ465" s="39" t="s">
        <v>3417</v>
      </c>
      <c r="AK465" s="39" t="s">
        <v>3418</v>
      </c>
      <c r="AL465" s="39" t="s">
        <v>3419</v>
      </c>
      <c r="AM465" s="39" t="s">
        <v>96</v>
      </c>
      <c r="AN465" s="65"/>
      <c r="AO465" s="39" t="s">
        <v>1698</v>
      </c>
      <c r="AP465" s="39" t="s">
        <v>3420</v>
      </c>
      <c r="AQ465" s="39">
        <v>0.0</v>
      </c>
      <c r="AR465" s="39">
        <v>0.0</v>
      </c>
    </row>
    <row r="466">
      <c r="A466" s="21" t="str">
        <f t="shared" si="6"/>
        <v>#VALUE!</v>
      </c>
      <c r="B466" s="39" t="s">
        <v>3421</v>
      </c>
      <c r="C466" s="57" t="s">
        <v>3422</v>
      </c>
      <c r="D466" s="39">
        <v>15.0</v>
      </c>
      <c r="E466" s="39">
        <v>2.0</v>
      </c>
      <c r="F466" s="39" t="s">
        <v>296</v>
      </c>
      <c r="G466" s="39" t="s">
        <v>297</v>
      </c>
      <c r="H466" s="42">
        <v>34366.0</v>
      </c>
      <c r="I466" s="39" t="s">
        <v>182</v>
      </c>
      <c r="J466" s="39" t="s">
        <v>183</v>
      </c>
      <c r="K466" s="39" t="s">
        <v>3423</v>
      </c>
      <c r="L466" s="39" t="s">
        <v>1314</v>
      </c>
      <c r="M466" s="42">
        <v>41730.0</v>
      </c>
      <c r="N466" s="39" t="s">
        <v>141</v>
      </c>
      <c r="O466" s="39" t="s">
        <v>196</v>
      </c>
      <c r="P466" s="43"/>
      <c r="Q466" s="39" t="s">
        <v>3356</v>
      </c>
      <c r="R466" s="42">
        <v>45292.0</v>
      </c>
      <c r="S466" s="39" t="s">
        <v>143</v>
      </c>
      <c r="T466" s="46"/>
      <c r="U466" s="39" t="s">
        <v>144</v>
      </c>
      <c r="V466" s="39" t="s">
        <v>285</v>
      </c>
      <c r="W466" s="65"/>
      <c r="X466" s="39" t="s">
        <v>3424</v>
      </c>
      <c r="Y466" s="39" t="s">
        <v>2864</v>
      </c>
      <c r="Z466" s="65"/>
      <c r="AA466" s="45">
        <v>47493.0</v>
      </c>
      <c r="AB466" s="46"/>
      <c r="AC466" s="23">
        <v>195.0</v>
      </c>
      <c r="AD466" s="39" t="s">
        <v>66</v>
      </c>
      <c r="AE466" s="39" t="s">
        <v>67</v>
      </c>
      <c r="AF466" s="39" t="s">
        <v>92</v>
      </c>
      <c r="AG466" s="39" t="s">
        <v>130</v>
      </c>
      <c r="AH466" s="39" t="s">
        <v>288</v>
      </c>
      <c r="AI466" s="39">
        <v>8.5270205151E10</v>
      </c>
      <c r="AJ466" s="39" t="s">
        <v>3425</v>
      </c>
      <c r="AK466" s="39" t="s">
        <v>3426</v>
      </c>
      <c r="AL466" s="39" t="s">
        <v>3427</v>
      </c>
      <c r="AM466" s="39" t="s">
        <v>96</v>
      </c>
      <c r="AN466" s="39" t="s">
        <v>74</v>
      </c>
      <c r="AO466" s="39" t="s">
        <v>3428</v>
      </c>
      <c r="AP466" s="39" t="s">
        <v>1848</v>
      </c>
      <c r="AQ466" s="39">
        <v>1.0</v>
      </c>
      <c r="AR466" s="39">
        <v>1.0</v>
      </c>
    </row>
    <row r="467">
      <c r="A467" s="21" t="str">
        <f t="shared" si="6"/>
        <v>#VALUE!</v>
      </c>
      <c r="B467" s="39" t="s">
        <v>3429</v>
      </c>
      <c r="C467" s="57" t="s">
        <v>3430</v>
      </c>
      <c r="D467" s="39">
        <v>10.0</v>
      </c>
      <c r="E467" s="39">
        <v>9.0</v>
      </c>
      <c r="F467" s="39" t="s">
        <v>171</v>
      </c>
      <c r="G467" s="39" t="s">
        <v>172</v>
      </c>
      <c r="H467" s="42">
        <v>40544.0</v>
      </c>
      <c r="I467" s="39" t="s">
        <v>182</v>
      </c>
      <c r="J467" s="39" t="s">
        <v>183</v>
      </c>
      <c r="K467" s="39" t="s">
        <v>1561</v>
      </c>
      <c r="L467" s="39" t="s">
        <v>105</v>
      </c>
      <c r="M467" s="42">
        <v>45200.0</v>
      </c>
      <c r="N467" s="39" t="s">
        <v>56</v>
      </c>
      <c r="O467" s="39" t="s">
        <v>173</v>
      </c>
      <c r="P467" s="43"/>
      <c r="Q467" s="39" t="s">
        <v>3346</v>
      </c>
      <c r="R467" s="42">
        <v>45665.0</v>
      </c>
      <c r="S467" s="120" t="s">
        <v>1953</v>
      </c>
      <c r="T467" s="46"/>
      <c r="U467" s="39" t="s">
        <v>1954</v>
      </c>
      <c r="V467" s="39" t="s">
        <v>89</v>
      </c>
      <c r="W467" s="39" t="s">
        <v>218</v>
      </c>
      <c r="X467" s="39" t="s">
        <v>3431</v>
      </c>
      <c r="Y467" s="39" t="s">
        <v>3432</v>
      </c>
      <c r="Z467" s="39" t="s">
        <v>114</v>
      </c>
      <c r="AA467" s="45">
        <v>51139.0</v>
      </c>
      <c r="AB467" s="46"/>
      <c r="AC467" s="23">
        <v>196.0</v>
      </c>
      <c r="AD467" s="39" t="s">
        <v>66</v>
      </c>
      <c r="AE467" s="39" t="s">
        <v>67</v>
      </c>
      <c r="AF467" s="39" t="s">
        <v>92</v>
      </c>
      <c r="AG467" s="39" t="s">
        <v>68</v>
      </c>
      <c r="AH467" s="39" t="s">
        <v>69</v>
      </c>
      <c r="AI467" s="39">
        <v>8.1361031559E10</v>
      </c>
      <c r="AJ467" s="39" t="s">
        <v>3433</v>
      </c>
      <c r="AK467" s="39" t="s">
        <v>3434</v>
      </c>
      <c r="AL467" s="39" t="s">
        <v>3435</v>
      </c>
      <c r="AM467" s="39" t="s">
        <v>96</v>
      </c>
      <c r="AN467" s="39" t="s">
        <v>97</v>
      </c>
      <c r="AO467" s="39" t="s">
        <v>379</v>
      </c>
      <c r="AP467" s="39" t="s">
        <v>1517</v>
      </c>
      <c r="AQ467" s="65"/>
      <c r="AR467" s="65"/>
    </row>
    <row r="468">
      <c r="A468" s="21" t="str">
        <f t="shared" si="6"/>
        <v>#VALUE!</v>
      </c>
      <c r="B468" s="39" t="s">
        <v>3436</v>
      </c>
      <c r="C468" s="57" t="s">
        <v>3437</v>
      </c>
      <c r="D468" s="39">
        <v>10.0</v>
      </c>
      <c r="E468" s="39">
        <v>9.0</v>
      </c>
      <c r="F468" s="39" t="s">
        <v>171</v>
      </c>
      <c r="G468" s="39" t="s">
        <v>172</v>
      </c>
      <c r="H468" s="42">
        <v>40544.0</v>
      </c>
      <c r="I468" s="39" t="s">
        <v>182</v>
      </c>
      <c r="J468" s="39" t="s">
        <v>183</v>
      </c>
      <c r="K468" s="39" t="s">
        <v>1415</v>
      </c>
      <c r="L468" s="39" t="s">
        <v>105</v>
      </c>
      <c r="M468" s="42">
        <v>45200.0</v>
      </c>
      <c r="N468" s="39" t="s">
        <v>141</v>
      </c>
      <c r="O468" s="39" t="s">
        <v>173</v>
      </c>
      <c r="P468" s="43"/>
      <c r="Q468" s="39" t="s">
        <v>3346</v>
      </c>
      <c r="R468" s="42">
        <v>45292.0</v>
      </c>
      <c r="S468" s="39" t="s">
        <v>143</v>
      </c>
      <c r="T468" s="43"/>
      <c r="U468" s="39" t="s">
        <v>144</v>
      </c>
      <c r="V468" s="39" t="s">
        <v>89</v>
      </c>
      <c r="W468" s="39" t="s">
        <v>63</v>
      </c>
      <c r="X468" s="39" t="s">
        <v>161</v>
      </c>
      <c r="Y468" s="39" t="s">
        <v>3438</v>
      </c>
      <c r="Z468" s="39" t="s">
        <v>114</v>
      </c>
      <c r="AA468" s="45">
        <v>52234.0</v>
      </c>
      <c r="AB468" s="46"/>
      <c r="AC468" s="23">
        <v>197.0</v>
      </c>
      <c r="AD468" s="39" t="s">
        <v>66</v>
      </c>
      <c r="AE468" s="39" t="s">
        <v>67</v>
      </c>
      <c r="AF468" s="39" t="s">
        <v>92</v>
      </c>
      <c r="AG468" s="39" t="s">
        <v>68</v>
      </c>
      <c r="AH468" s="39" t="s">
        <v>69</v>
      </c>
      <c r="AI468" s="39">
        <v>8.5261705E10</v>
      </c>
      <c r="AJ468" s="39" t="s">
        <v>3439</v>
      </c>
      <c r="AK468" s="39" t="s">
        <v>3440</v>
      </c>
      <c r="AL468" s="39" t="s">
        <v>3441</v>
      </c>
      <c r="AM468" s="39" t="s">
        <v>73</v>
      </c>
      <c r="AN468" s="39" t="s">
        <v>74</v>
      </c>
      <c r="AO468" s="39" t="s">
        <v>203</v>
      </c>
      <c r="AP468" s="39" t="s">
        <v>204</v>
      </c>
      <c r="AQ468" s="39" t="s">
        <v>77</v>
      </c>
      <c r="AR468" s="39" t="s">
        <v>77</v>
      </c>
    </row>
    <row r="469">
      <c r="A469" s="21" t="str">
        <f t="shared" si="6"/>
        <v>#VALUE!</v>
      </c>
      <c r="B469" s="39" t="s">
        <v>3442</v>
      </c>
      <c r="C469" s="57" t="s">
        <v>3443</v>
      </c>
      <c r="D469" s="39">
        <v>15.0</v>
      </c>
      <c r="E469" s="39">
        <v>9.0</v>
      </c>
      <c r="F469" s="39" t="s">
        <v>80</v>
      </c>
      <c r="G469" s="39" t="s">
        <v>81</v>
      </c>
      <c r="H469" s="42">
        <v>40179.0</v>
      </c>
      <c r="I469" s="39" t="s">
        <v>82</v>
      </c>
      <c r="J469" s="39" t="s">
        <v>83</v>
      </c>
      <c r="K469" s="39" t="s">
        <v>3444</v>
      </c>
      <c r="L469" s="39" t="s">
        <v>3445</v>
      </c>
      <c r="M469" s="42">
        <v>45931.0</v>
      </c>
      <c r="N469" s="39" t="s">
        <v>141</v>
      </c>
      <c r="O469" s="39" t="s">
        <v>173</v>
      </c>
      <c r="P469" s="43"/>
      <c r="Q469" s="39" t="s">
        <v>3346</v>
      </c>
      <c r="R469" s="42">
        <v>46054.0</v>
      </c>
      <c r="S469" s="39" t="s">
        <v>3446</v>
      </c>
      <c r="T469" s="44"/>
      <c r="U469" s="39" t="s">
        <v>3447</v>
      </c>
      <c r="V469" s="39" t="s">
        <v>159</v>
      </c>
      <c r="W469" s="39" t="s">
        <v>3448</v>
      </c>
      <c r="X469" s="39" t="s">
        <v>3449</v>
      </c>
      <c r="Y469" s="39" t="s">
        <v>3450</v>
      </c>
      <c r="Z469" s="39" t="s">
        <v>114</v>
      </c>
      <c r="AA469" s="45">
        <v>51508.0</v>
      </c>
      <c r="AB469" s="46"/>
      <c r="AC469" s="23">
        <v>198.0</v>
      </c>
      <c r="AD469" s="39" t="s">
        <v>66</v>
      </c>
      <c r="AE469" s="39" t="s">
        <v>311</v>
      </c>
      <c r="AF469" s="39" t="s">
        <v>92</v>
      </c>
      <c r="AG469" s="39" t="s">
        <v>68</v>
      </c>
      <c r="AH469" s="39" t="s">
        <v>131</v>
      </c>
      <c r="AI469" s="65"/>
      <c r="AJ469" s="65"/>
      <c r="AK469" s="39" t="s">
        <v>3451</v>
      </c>
      <c r="AL469" s="39" t="s">
        <v>3452</v>
      </c>
      <c r="AM469" s="39" t="s">
        <v>73</v>
      </c>
      <c r="AN469" s="39" t="s">
        <v>3453</v>
      </c>
      <c r="AO469" s="39" t="s">
        <v>3454</v>
      </c>
      <c r="AP469" s="39" t="s">
        <v>3455</v>
      </c>
      <c r="AQ469" s="43"/>
      <c r="AR469" s="43"/>
    </row>
    <row r="470">
      <c r="A470" s="21" t="str">
        <f t="shared" si="6"/>
        <v>#VALUE!</v>
      </c>
      <c r="B470" s="39" t="s">
        <v>3456</v>
      </c>
      <c r="C470" s="57" t="s">
        <v>3457</v>
      </c>
      <c r="D470" s="39">
        <v>16.0</v>
      </c>
      <c r="E470" s="39">
        <v>8.0</v>
      </c>
      <c r="F470" s="39" t="s">
        <v>80</v>
      </c>
      <c r="G470" s="39" t="s">
        <v>81</v>
      </c>
      <c r="H470" s="42">
        <v>39845.0</v>
      </c>
      <c r="I470" s="39" t="s">
        <v>82</v>
      </c>
      <c r="J470" s="39" t="s">
        <v>83</v>
      </c>
      <c r="K470" s="39" t="s">
        <v>1505</v>
      </c>
      <c r="L470" s="39" t="s">
        <v>88</v>
      </c>
      <c r="M470" s="42">
        <v>44287.0</v>
      </c>
      <c r="N470" s="39" t="s">
        <v>141</v>
      </c>
      <c r="O470" s="39" t="s">
        <v>229</v>
      </c>
      <c r="P470" s="43"/>
      <c r="Q470" s="39" t="s">
        <v>59</v>
      </c>
      <c r="R470" s="42">
        <v>45658.0</v>
      </c>
      <c r="S470" s="39" t="s">
        <v>3458</v>
      </c>
      <c r="T470" s="44"/>
      <c r="U470" s="39" t="s">
        <v>144</v>
      </c>
      <c r="V470" s="39" t="s">
        <v>159</v>
      </c>
      <c r="W470" s="39" t="s">
        <v>2096</v>
      </c>
      <c r="X470" s="39" t="s">
        <v>231</v>
      </c>
      <c r="Y470" s="39" t="s">
        <v>3459</v>
      </c>
      <c r="Z470" s="41" t="s">
        <v>65</v>
      </c>
      <c r="AA470" s="45">
        <v>50407.0</v>
      </c>
      <c r="AB470" s="46"/>
      <c r="AC470" s="23">
        <v>199.0</v>
      </c>
      <c r="AD470" s="39" t="s">
        <v>66</v>
      </c>
      <c r="AE470" s="39" t="s">
        <v>67</v>
      </c>
      <c r="AF470" s="39" t="s">
        <v>92</v>
      </c>
      <c r="AG470" s="39" t="s">
        <v>130</v>
      </c>
      <c r="AH470" s="65"/>
      <c r="AI470" s="39">
        <v>8.126029461E9</v>
      </c>
      <c r="AJ470" s="39" t="s">
        <v>3460</v>
      </c>
      <c r="AK470" s="39" t="s">
        <v>3461</v>
      </c>
      <c r="AL470" s="39" t="s">
        <v>3462</v>
      </c>
      <c r="AM470" s="39" t="s">
        <v>96</v>
      </c>
      <c r="AN470" s="39" t="s">
        <v>514</v>
      </c>
      <c r="AO470" s="39" t="s">
        <v>236</v>
      </c>
      <c r="AP470" s="39" t="s">
        <v>152</v>
      </c>
      <c r="AQ470" s="43"/>
      <c r="AR470" s="43"/>
    </row>
    <row r="471">
      <c r="A471" s="21" t="str">
        <f t="shared" si="6"/>
        <v>#VALUE!</v>
      </c>
      <c r="B471" s="39" t="s">
        <v>3463</v>
      </c>
      <c r="C471" s="57" t="s">
        <v>3464</v>
      </c>
      <c r="D471" s="39">
        <v>11.0</v>
      </c>
      <c r="E471" s="39">
        <v>1.0</v>
      </c>
      <c r="F471" s="39" t="s">
        <v>171</v>
      </c>
      <c r="G471" s="39" t="s">
        <v>172</v>
      </c>
      <c r="H471" s="42">
        <v>40603.0</v>
      </c>
      <c r="I471" s="39" t="s">
        <v>182</v>
      </c>
      <c r="J471" s="39" t="s">
        <v>183</v>
      </c>
      <c r="K471" s="39" t="s">
        <v>217</v>
      </c>
      <c r="L471" s="39" t="s">
        <v>105</v>
      </c>
      <c r="M471" s="42">
        <v>45383.0</v>
      </c>
      <c r="N471" s="39" t="s">
        <v>141</v>
      </c>
      <c r="O471" s="39" t="s">
        <v>229</v>
      </c>
      <c r="P471" s="43"/>
      <c r="Q471" s="39" t="s">
        <v>59</v>
      </c>
      <c r="R471" s="42">
        <v>45659.0</v>
      </c>
      <c r="S471" s="39" t="s">
        <v>3458</v>
      </c>
      <c r="T471" s="44"/>
      <c r="U471" s="39" t="s">
        <v>144</v>
      </c>
      <c r="V471" s="39" t="s">
        <v>267</v>
      </c>
      <c r="W471" s="39" t="s">
        <v>230</v>
      </c>
      <c r="X471" s="39" t="s">
        <v>3465</v>
      </c>
      <c r="Y471" s="39" t="s">
        <v>3466</v>
      </c>
      <c r="Z471" s="43"/>
      <c r="AA471" s="63">
        <v>53329.0</v>
      </c>
      <c r="AB471" s="43"/>
      <c r="AC471" s="23">
        <v>200.0</v>
      </c>
      <c r="AD471" s="39" t="s">
        <v>66</v>
      </c>
      <c r="AE471" s="39" t="s">
        <v>67</v>
      </c>
      <c r="AF471" s="39" t="s">
        <v>92</v>
      </c>
      <c r="AG471" s="39" t="s">
        <v>130</v>
      </c>
      <c r="AH471" s="39" t="s">
        <v>69</v>
      </c>
      <c r="AI471" s="39">
        <v>8.2366663011E10</v>
      </c>
      <c r="AJ471" s="39" t="s">
        <v>3467</v>
      </c>
      <c r="AK471" s="39" t="s">
        <v>3468</v>
      </c>
      <c r="AL471" s="39" t="s">
        <v>3469</v>
      </c>
      <c r="AM471" s="39" t="s">
        <v>96</v>
      </c>
      <c r="AN471" s="39" t="s">
        <v>135</v>
      </c>
      <c r="AO471" s="39" t="s">
        <v>3470</v>
      </c>
      <c r="AP471" s="39" t="s">
        <v>426</v>
      </c>
      <c r="AQ471" s="65"/>
      <c r="AR471" s="65"/>
    </row>
    <row r="472">
      <c r="A472" s="21" t="str">
        <f t="shared" si="6"/>
        <v>#VALUE!</v>
      </c>
      <c r="B472" s="39" t="s">
        <v>3471</v>
      </c>
      <c r="C472" s="57" t="s">
        <v>3472</v>
      </c>
      <c r="D472" s="39">
        <v>13.0</v>
      </c>
      <c r="E472" s="39">
        <v>3.0</v>
      </c>
      <c r="F472" s="39" t="s">
        <v>171</v>
      </c>
      <c r="G472" s="39" t="s">
        <v>172</v>
      </c>
      <c r="H472" s="42">
        <v>40179.0</v>
      </c>
      <c r="I472" s="39" t="s">
        <v>82</v>
      </c>
      <c r="J472" s="39" t="s">
        <v>83</v>
      </c>
      <c r="K472" s="39" t="s">
        <v>2215</v>
      </c>
      <c r="L472" s="39" t="s">
        <v>105</v>
      </c>
      <c r="M472" s="42">
        <v>45748.0</v>
      </c>
      <c r="N472" s="39" t="s">
        <v>141</v>
      </c>
      <c r="O472" s="39" t="s">
        <v>173</v>
      </c>
      <c r="P472" s="43"/>
      <c r="Q472" s="39" t="s">
        <v>59</v>
      </c>
      <c r="R472" s="42">
        <v>45659.0</v>
      </c>
      <c r="S472" s="39" t="s">
        <v>3473</v>
      </c>
      <c r="T472" s="44"/>
      <c r="U472" s="39" t="s">
        <v>105</v>
      </c>
      <c r="V472" s="39" t="s">
        <v>159</v>
      </c>
      <c r="W472" s="39" t="s">
        <v>230</v>
      </c>
      <c r="X472" s="39" t="s">
        <v>231</v>
      </c>
      <c r="Y472" s="39" t="s">
        <v>375</v>
      </c>
      <c r="Z472" s="39" t="s">
        <v>114</v>
      </c>
      <c r="AA472" s="63">
        <v>52603.0</v>
      </c>
      <c r="AB472" s="43"/>
      <c r="AC472" s="23">
        <v>201.0</v>
      </c>
      <c r="AD472" s="39" t="s">
        <v>66</v>
      </c>
      <c r="AE472" s="39" t="s">
        <v>67</v>
      </c>
      <c r="AF472" s="39" t="s">
        <v>92</v>
      </c>
      <c r="AG472" s="39" t="s">
        <v>130</v>
      </c>
      <c r="AH472" s="39" t="s">
        <v>131</v>
      </c>
      <c r="AI472" s="39">
        <v>8.1370400671E10</v>
      </c>
      <c r="AJ472" s="39" t="s">
        <v>3474</v>
      </c>
      <c r="AK472" s="39" t="s">
        <v>3475</v>
      </c>
      <c r="AL472" s="39" t="s">
        <v>3476</v>
      </c>
      <c r="AM472" s="39" t="s">
        <v>96</v>
      </c>
      <c r="AN472" s="65"/>
      <c r="AO472" s="39" t="s">
        <v>236</v>
      </c>
      <c r="AP472" s="39" t="s">
        <v>527</v>
      </c>
      <c r="AQ472" s="65"/>
      <c r="AR472" s="65"/>
    </row>
    <row r="473">
      <c r="A473" s="21" t="str">
        <f t="shared" si="6"/>
        <v>#VALUE!</v>
      </c>
      <c r="B473" s="49" t="s">
        <v>3477</v>
      </c>
      <c r="C473" s="50" t="s">
        <v>3478</v>
      </c>
      <c r="D473" s="49">
        <v>0.0</v>
      </c>
      <c r="E473" s="49">
        <v>0.0</v>
      </c>
      <c r="F473" s="49" t="s">
        <v>80</v>
      </c>
      <c r="G473" s="49" t="s">
        <v>81</v>
      </c>
      <c r="H473" s="51">
        <v>45778.0</v>
      </c>
      <c r="I473" s="49" t="s">
        <v>80</v>
      </c>
      <c r="J473" s="49" t="s">
        <v>81</v>
      </c>
      <c r="K473" s="49" t="s">
        <v>240</v>
      </c>
      <c r="L473" s="49" t="s">
        <v>105</v>
      </c>
      <c r="M473" s="51">
        <v>45778.0</v>
      </c>
      <c r="N473" s="49" t="s">
        <v>141</v>
      </c>
      <c r="O473" s="49" t="s">
        <v>241</v>
      </c>
      <c r="P473" s="52"/>
      <c r="Q473" s="49" t="s">
        <v>59</v>
      </c>
      <c r="R473" s="51">
        <v>45778.0</v>
      </c>
      <c r="S473" s="49" t="s">
        <v>242</v>
      </c>
      <c r="T473" s="53"/>
      <c r="U473" s="49" t="s">
        <v>105</v>
      </c>
      <c r="V473" s="49" t="s">
        <v>89</v>
      </c>
      <c r="W473" s="49" t="s">
        <v>243</v>
      </c>
      <c r="X473" s="49" t="s">
        <v>231</v>
      </c>
      <c r="Y473" s="49" t="s">
        <v>3479</v>
      </c>
      <c r="Z473" s="52"/>
      <c r="AA473" s="146">
        <v>57352.0</v>
      </c>
      <c r="AB473" s="52"/>
      <c r="AC473" s="23">
        <v>202.0</v>
      </c>
      <c r="AD473" s="49" t="s">
        <v>5</v>
      </c>
      <c r="AE473" s="49" t="s">
        <v>67</v>
      </c>
      <c r="AF473" s="49" t="s">
        <v>129</v>
      </c>
      <c r="AG473" s="49" t="s">
        <v>130</v>
      </c>
      <c r="AH473" s="49" t="s">
        <v>69</v>
      </c>
      <c r="AI473" s="49">
        <v>8.2273325113E10</v>
      </c>
      <c r="AJ473" s="49" t="s">
        <v>3480</v>
      </c>
      <c r="AK473" s="49" t="s">
        <v>3481</v>
      </c>
      <c r="AL473" s="49" t="s">
        <v>3482</v>
      </c>
      <c r="AM473" s="49" t="s">
        <v>250</v>
      </c>
      <c r="AN473" s="49" t="s">
        <v>74</v>
      </c>
      <c r="AO473" s="49" t="s">
        <v>989</v>
      </c>
      <c r="AP473" s="49" t="s">
        <v>538</v>
      </c>
      <c r="AQ473" s="49">
        <v>0.0</v>
      </c>
      <c r="AR473" s="49">
        <v>0.0</v>
      </c>
    </row>
    <row r="474">
      <c r="A474" s="21" t="str">
        <f t="shared" si="6"/>
        <v>#VALUE!</v>
      </c>
      <c r="B474" s="49" t="s">
        <v>3483</v>
      </c>
      <c r="C474" s="50" t="s">
        <v>3484</v>
      </c>
      <c r="D474" s="49">
        <v>0.0</v>
      </c>
      <c r="E474" s="49">
        <v>0.0</v>
      </c>
      <c r="F474" s="49" t="s">
        <v>80</v>
      </c>
      <c r="G474" s="49" t="s">
        <v>81</v>
      </c>
      <c r="H474" s="51">
        <v>45778.0</v>
      </c>
      <c r="I474" s="49" t="s">
        <v>80</v>
      </c>
      <c r="J474" s="49" t="s">
        <v>81</v>
      </c>
      <c r="K474" s="49" t="s">
        <v>240</v>
      </c>
      <c r="L474" s="49" t="s">
        <v>105</v>
      </c>
      <c r="M474" s="51">
        <v>45778.0</v>
      </c>
      <c r="N474" s="49" t="s">
        <v>141</v>
      </c>
      <c r="O474" s="49" t="s">
        <v>3485</v>
      </c>
      <c r="P474" s="52"/>
      <c r="Q474" s="49" t="s">
        <v>59</v>
      </c>
      <c r="R474" s="51">
        <v>45778.0</v>
      </c>
      <c r="S474" s="49" t="s">
        <v>242</v>
      </c>
      <c r="T474" s="53"/>
      <c r="U474" s="49" t="s">
        <v>105</v>
      </c>
      <c r="V474" s="49" t="s">
        <v>89</v>
      </c>
      <c r="W474" s="49" t="s">
        <v>647</v>
      </c>
      <c r="X474" s="49" t="s">
        <v>1528</v>
      </c>
      <c r="Y474" s="147">
        <v>44098.0</v>
      </c>
      <c r="Z474" s="52"/>
      <c r="AA474" s="146">
        <v>56987.0</v>
      </c>
      <c r="AB474" s="52"/>
      <c r="AC474" s="23">
        <v>203.0</v>
      </c>
      <c r="AD474" s="49" t="s">
        <v>5</v>
      </c>
      <c r="AE474" s="49" t="s">
        <v>67</v>
      </c>
      <c r="AF474" s="49" t="s">
        <v>92</v>
      </c>
      <c r="AG474" s="49" t="s">
        <v>130</v>
      </c>
      <c r="AH474" s="49" t="s">
        <v>131</v>
      </c>
      <c r="AI474" s="49">
        <v>8.2370905923E10</v>
      </c>
      <c r="AJ474" s="49" t="s">
        <v>3486</v>
      </c>
      <c r="AK474" s="49" t="s">
        <v>3487</v>
      </c>
      <c r="AL474" s="49" t="s">
        <v>3488</v>
      </c>
      <c r="AM474" s="49" t="s">
        <v>73</v>
      </c>
      <c r="AN474" s="49" t="s">
        <v>775</v>
      </c>
      <c r="AO474" s="49" t="s">
        <v>3489</v>
      </c>
      <c r="AP474" s="49" t="s">
        <v>3490</v>
      </c>
      <c r="AQ474" s="49">
        <v>0.0</v>
      </c>
      <c r="AR474" s="49">
        <v>0.0</v>
      </c>
    </row>
    <row r="475">
      <c r="A475" s="21" t="str">
        <f t="shared" si="6"/>
        <v>#VALUE!</v>
      </c>
      <c r="B475" s="49" t="s">
        <v>3491</v>
      </c>
      <c r="C475" s="50" t="s">
        <v>3492</v>
      </c>
      <c r="D475" s="49">
        <v>0.0</v>
      </c>
      <c r="E475" s="49">
        <v>0.0</v>
      </c>
      <c r="F475" s="49" t="s">
        <v>80</v>
      </c>
      <c r="G475" s="49" t="s">
        <v>81</v>
      </c>
      <c r="H475" s="51">
        <v>45778.0</v>
      </c>
      <c r="I475" s="49" t="s">
        <v>80</v>
      </c>
      <c r="J475" s="49" t="s">
        <v>81</v>
      </c>
      <c r="K475" s="49" t="s">
        <v>240</v>
      </c>
      <c r="L475" s="49" t="s">
        <v>105</v>
      </c>
      <c r="M475" s="51">
        <v>45778.0</v>
      </c>
      <c r="N475" s="49" t="s">
        <v>141</v>
      </c>
      <c r="O475" s="49" t="s">
        <v>3485</v>
      </c>
      <c r="P475" s="52"/>
      <c r="Q475" s="49" t="s">
        <v>59</v>
      </c>
      <c r="R475" s="51">
        <v>45778.0</v>
      </c>
      <c r="S475" s="49" t="s">
        <v>242</v>
      </c>
      <c r="T475" s="53"/>
      <c r="U475" s="49" t="s">
        <v>105</v>
      </c>
      <c r="V475" s="49" t="s">
        <v>89</v>
      </c>
      <c r="W475" s="49" t="s">
        <v>160</v>
      </c>
      <c r="X475" s="49" t="s">
        <v>3493</v>
      </c>
      <c r="Y475" s="147">
        <v>42828.0</v>
      </c>
      <c r="Z475" s="52"/>
      <c r="AA475" s="146">
        <v>55892.0</v>
      </c>
      <c r="AB475" s="52"/>
      <c r="AC475" s="23">
        <v>204.0</v>
      </c>
      <c r="AD475" s="49" t="s">
        <v>5</v>
      </c>
      <c r="AE475" s="49" t="s">
        <v>311</v>
      </c>
      <c r="AF475" s="49" t="s">
        <v>92</v>
      </c>
      <c r="AG475" s="49" t="s">
        <v>130</v>
      </c>
      <c r="AH475" s="49" t="s">
        <v>288</v>
      </c>
      <c r="AI475" s="49">
        <v>8.1265056779E10</v>
      </c>
      <c r="AJ475" s="49" t="s">
        <v>3494</v>
      </c>
      <c r="AK475" s="49" t="s">
        <v>3495</v>
      </c>
      <c r="AL475" s="49" t="s">
        <v>3496</v>
      </c>
      <c r="AM475" s="49" t="s">
        <v>73</v>
      </c>
      <c r="AN475" s="49" t="s">
        <v>74</v>
      </c>
      <c r="AO475" s="49" t="s">
        <v>774</v>
      </c>
      <c r="AP475" s="49" t="s">
        <v>775</v>
      </c>
      <c r="AQ475" s="49">
        <v>0.0</v>
      </c>
      <c r="AR475" s="49">
        <v>0.0</v>
      </c>
    </row>
    <row r="476">
      <c r="A476" s="71">
        <v>23.0</v>
      </c>
      <c r="B476" s="72" t="s">
        <v>3497</v>
      </c>
      <c r="C476" s="73" t="s">
        <v>3498</v>
      </c>
      <c r="D476" s="74"/>
      <c r="E476" s="74"/>
      <c r="F476" s="74"/>
      <c r="G476" s="75" t="s">
        <v>550</v>
      </c>
      <c r="H476" s="76">
        <v>45901.0</v>
      </c>
      <c r="I476" s="77"/>
      <c r="J476" s="74"/>
      <c r="K476" s="75" t="s">
        <v>518</v>
      </c>
      <c r="L476" s="72" t="s">
        <v>105</v>
      </c>
      <c r="M476" s="76">
        <v>45901.0</v>
      </c>
      <c r="N476" s="74"/>
      <c r="O476" s="72" t="s">
        <v>142</v>
      </c>
      <c r="P476" s="74"/>
      <c r="Q476" s="72" t="s">
        <v>59</v>
      </c>
      <c r="R476" s="76">
        <v>45901.0</v>
      </c>
      <c r="S476" s="72" t="s">
        <v>518</v>
      </c>
      <c r="T476" s="78">
        <v>45826.0</v>
      </c>
      <c r="U476" s="72" t="s">
        <v>144</v>
      </c>
      <c r="V476" s="72" t="s">
        <v>89</v>
      </c>
      <c r="W476" s="72" t="s">
        <v>3499</v>
      </c>
      <c r="X476" s="72" t="s">
        <v>244</v>
      </c>
      <c r="Y476" s="84">
        <v>38124.0</v>
      </c>
      <c r="Z476" s="77"/>
      <c r="AA476" s="80"/>
      <c r="AB476" s="80"/>
      <c r="AC476" s="81">
        <v>475.0</v>
      </c>
      <c r="AD476" s="72" t="s">
        <v>522</v>
      </c>
      <c r="AE476" s="72" t="s">
        <v>67</v>
      </c>
      <c r="AF476" s="72" t="s">
        <v>92</v>
      </c>
      <c r="AG476" s="72" t="s">
        <v>130</v>
      </c>
      <c r="AH476" s="77"/>
      <c r="AI476" s="72">
        <v>8.126029122E9</v>
      </c>
      <c r="AJ476" s="77"/>
      <c r="AK476" s="85" t="s">
        <v>3500</v>
      </c>
      <c r="AL476" s="72" t="s">
        <v>3501</v>
      </c>
      <c r="AM476" s="77"/>
      <c r="AN476" s="77"/>
      <c r="AO476" s="77"/>
      <c r="AP476" s="77"/>
      <c r="AQ476" s="77"/>
      <c r="AR476" s="77"/>
    </row>
    <row r="477">
      <c r="A477" s="71">
        <v>24.0</v>
      </c>
      <c r="B477" s="72" t="s">
        <v>3502</v>
      </c>
      <c r="C477" s="73" t="s">
        <v>3503</v>
      </c>
      <c r="D477" s="74"/>
      <c r="E477" s="74"/>
      <c r="F477" s="74"/>
      <c r="G477" s="75" t="s">
        <v>531</v>
      </c>
      <c r="H477" s="76">
        <v>45901.0</v>
      </c>
      <c r="I477" s="77"/>
      <c r="J477" s="74"/>
      <c r="K477" s="75" t="s">
        <v>518</v>
      </c>
      <c r="L477" s="72" t="s">
        <v>105</v>
      </c>
      <c r="M477" s="76">
        <v>45901.0</v>
      </c>
      <c r="N477" s="74"/>
      <c r="O477" s="72" t="s">
        <v>532</v>
      </c>
      <c r="P477" s="74"/>
      <c r="Q477" s="72" t="s">
        <v>59</v>
      </c>
      <c r="R477" s="76">
        <v>45901.0</v>
      </c>
      <c r="S477" s="72" t="s">
        <v>518</v>
      </c>
      <c r="T477" s="78">
        <v>45826.0</v>
      </c>
      <c r="U477" s="72" t="s">
        <v>144</v>
      </c>
      <c r="V477" s="72" t="s">
        <v>285</v>
      </c>
      <c r="W477" s="72" t="s">
        <v>285</v>
      </c>
      <c r="X477" s="72" t="s">
        <v>3504</v>
      </c>
      <c r="Y477" s="79">
        <v>42857.0</v>
      </c>
      <c r="Z477" s="77"/>
      <c r="AA477" s="80"/>
      <c r="AB477" s="80"/>
      <c r="AC477" s="81">
        <v>476.0</v>
      </c>
      <c r="AD477" s="72" t="s">
        <v>522</v>
      </c>
      <c r="AE477" s="72" t="s">
        <v>220</v>
      </c>
      <c r="AF477" s="72" t="s">
        <v>129</v>
      </c>
      <c r="AG477" s="72" t="s">
        <v>68</v>
      </c>
      <c r="AH477" s="77"/>
      <c r="AI477" s="72">
        <v>8.7830730492E10</v>
      </c>
      <c r="AJ477" s="82" t="s">
        <v>3505</v>
      </c>
      <c r="AK477" s="85" t="s">
        <v>3506</v>
      </c>
      <c r="AL477" s="72" t="s">
        <v>3507</v>
      </c>
      <c r="AM477" s="72" t="s">
        <v>96</v>
      </c>
      <c r="AN477" s="72" t="s">
        <v>135</v>
      </c>
      <c r="AO477" s="82" t="s">
        <v>203</v>
      </c>
      <c r="AP477" s="82" t="s">
        <v>575</v>
      </c>
      <c r="AQ477" s="77"/>
      <c r="AR477" s="77"/>
    </row>
    <row r="478">
      <c r="A478" s="71">
        <v>25.0</v>
      </c>
      <c r="B478" s="148" t="s">
        <v>3508</v>
      </c>
      <c r="C478" s="149" t="s">
        <v>3509</v>
      </c>
      <c r="D478" s="150"/>
      <c r="E478" s="150"/>
      <c r="F478" s="150"/>
      <c r="G478" s="151" t="s">
        <v>531</v>
      </c>
      <c r="H478" s="152">
        <v>45901.0</v>
      </c>
      <c r="I478" s="153"/>
      <c r="J478" s="150"/>
      <c r="K478" s="151" t="s">
        <v>518</v>
      </c>
      <c r="L478" s="148" t="s">
        <v>105</v>
      </c>
      <c r="M478" s="152">
        <v>45901.0</v>
      </c>
      <c r="N478" s="150"/>
      <c r="O478" s="148" t="s">
        <v>532</v>
      </c>
      <c r="P478" s="150"/>
      <c r="Q478" s="148" t="s">
        <v>59</v>
      </c>
      <c r="R478" s="152">
        <v>45901.0</v>
      </c>
      <c r="S478" s="148" t="s">
        <v>518</v>
      </c>
      <c r="T478" s="154">
        <v>45826.0</v>
      </c>
      <c r="U478" s="148" t="s">
        <v>144</v>
      </c>
      <c r="V478" s="148" t="s">
        <v>285</v>
      </c>
      <c r="W478" s="148" t="s">
        <v>541</v>
      </c>
      <c r="X478" s="148" t="s">
        <v>3510</v>
      </c>
      <c r="Y478" s="155">
        <v>39613.0</v>
      </c>
      <c r="Z478" s="153"/>
      <c r="AA478" s="156"/>
      <c r="AB478" s="156"/>
      <c r="AC478" s="81">
        <v>477.0</v>
      </c>
      <c r="AD478" s="148" t="s">
        <v>522</v>
      </c>
      <c r="AE478" s="148" t="s">
        <v>311</v>
      </c>
      <c r="AF478" s="148" t="s">
        <v>129</v>
      </c>
      <c r="AG478" s="148" t="s">
        <v>68</v>
      </c>
      <c r="AH478" s="153"/>
      <c r="AI478" s="157">
        <v>8.95331233776E11</v>
      </c>
      <c r="AJ478" s="158" t="s">
        <v>3511</v>
      </c>
      <c r="AK478" s="159" t="s">
        <v>3512</v>
      </c>
      <c r="AL478" s="148" t="s">
        <v>3513</v>
      </c>
      <c r="AM478" s="148" t="s">
        <v>96</v>
      </c>
      <c r="AN478" s="148" t="s">
        <v>135</v>
      </c>
      <c r="AO478" s="158" t="s">
        <v>3514</v>
      </c>
      <c r="AP478" s="158" t="s">
        <v>3515</v>
      </c>
      <c r="AQ478" s="153"/>
      <c r="AR478" s="153"/>
    </row>
    <row r="479">
      <c r="A479" s="71">
        <v>26.0</v>
      </c>
      <c r="B479" s="87" t="s">
        <v>3516</v>
      </c>
      <c r="C479" s="88" t="s">
        <v>3517</v>
      </c>
      <c r="D479" s="89"/>
      <c r="E479" s="89"/>
      <c r="F479" s="89"/>
      <c r="G479" s="89"/>
      <c r="H479" s="89"/>
      <c r="I479" s="90"/>
      <c r="J479" s="89"/>
      <c r="K479" s="89"/>
      <c r="L479" s="90"/>
      <c r="M479" s="91"/>
      <c r="N479" s="89"/>
      <c r="O479" s="87" t="s">
        <v>142</v>
      </c>
      <c r="P479" s="89"/>
      <c r="Q479" s="100" t="s">
        <v>3518</v>
      </c>
      <c r="R479" s="91"/>
      <c r="S479" s="90"/>
      <c r="T479" s="93"/>
      <c r="U479" s="90"/>
      <c r="V479" s="87" t="s">
        <v>89</v>
      </c>
      <c r="W479" s="87" t="s">
        <v>90</v>
      </c>
      <c r="X479" s="87" t="s">
        <v>3156</v>
      </c>
      <c r="Y479" s="94">
        <v>44119.0</v>
      </c>
      <c r="Z479" s="95"/>
      <c r="AA479" s="95"/>
      <c r="AB479" s="95"/>
      <c r="AC479" s="81">
        <v>478.0</v>
      </c>
      <c r="AD479" s="90"/>
      <c r="AE479" s="87" t="s">
        <v>67</v>
      </c>
      <c r="AF479" s="90"/>
      <c r="AG479" s="87" t="s">
        <v>68</v>
      </c>
      <c r="AH479" s="87"/>
      <c r="AI479" s="96">
        <v>8.2277765712E10</v>
      </c>
      <c r="AJ479" s="87" t="s">
        <v>3519</v>
      </c>
      <c r="AK479" s="97" t="s">
        <v>3520</v>
      </c>
      <c r="AL479" s="87" t="s">
        <v>3521</v>
      </c>
      <c r="AM479" s="87" t="s">
        <v>96</v>
      </c>
      <c r="AN479" s="87" t="s">
        <v>150</v>
      </c>
      <c r="AO479" s="87" t="s">
        <v>281</v>
      </c>
      <c r="AP479" s="87" t="s">
        <v>657</v>
      </c>
      <c r="AQ479" s="87">
        <v>1.0</v>
      </c>
      <c r="AR479" s="87">
        <v>1.0</v>
      </c>
    </row>
    <row r="480">
      <c r="A480" s="71">
        <v>27.0</v>
      </c>
      <c r="B480" s="87" t="s">
        <v>3522</v>
      </c>
      <c r="C480" s="88" t="s">
        <v>3523</v>
      </c>
      <c r="D480" s="89"/>
      <c r="E480" s="89"/>
      <c r="F480" s="89"/>
      <c r="G480" s="89"/>
      <c r="H480" s="89"/>
      <c r="I480" s="90"/>
      <c r="J480" s="89"/>
      <c r="K480" s="89"/>
      <c r="L480" s="90"/>
      <c r="M480" s="89"/>
      <c r="N480" s="89"/>
      <c r="O480" s="87" t="s">
        <v>142</v>
      </c>
      <c r="P480" s="89"/>
      <c r="Q480" s="100" t="s">
        <v>3524</v>
      </c>
      <c r="R480" s="89"/>
      <c r="S480" s="92"/>
      <c r="T480" s="89"/>
      <c r="U480" s="92"/>
      <c r="V480" s="87" t="s">
        <v>89</v>
      </c>
      <c r="W480" s="87" t="s">
        <v>3525</v>
      </c>
      <c r="X480" s="87" t="s">
        <v>3449</v>
      </c>
      <c r="Y480" s="94">
        <v>41773.0</v>
      </c>
      <c r="Z480" s="90"/>
      <c r="AA480" s="90"/>
      <c r="AB480" s="92"/>
      <c r="AC480" s="81">
        <v>479.0</v>
      </c>
      <c r="AD480" s="92"/>
      <c r="AE480" s="87" t="s">
        <v>67</v>
      </c>
      <c r="AF480" s="92"/>
      <c r="AG480" s="87" t="s">
        <v>68</v>
      </c>
      <c r="AH480" s="92"/>
      <c r="AI480" s="96">
        <v>8.1396409898E10</v>
      </c>
      <c r="AJ480" s="87" t="s">
        <v>3526</v>
      </c>
      <c r="AK480" s="97" t="s">
        <v>3326</v>
      </c>
      <c r="AL480" s="87" t="s">
        <v>3527</v>
      </c>
      <c r="AM480" s="87" t="s">
        <v>96</v>
      </c>
      <c r="AN480" s="87" t="s">
        <v>97</v>
      </c>
      <c r="AO480" s="87" t="s">
        <v>379</v>
      </c>
      <c r="AP480" s="87" t="s">
        <v>389</v>
      </c>
      <c r="AQ480" s="87">
        <v>0.0</v>
      </c>
      <c r="AR480" s="87">
        <v>0.0</v>
      </c>
    </row>
    <row r="481">
      <c r="A481" s="71">
        <v>28.0</v>
      </c>
      <c r="B481" s="87" t="s">
        <v>3528</v>
      </c>
      <c r="C481" s="88" t="s">
        <v>3529</v>
      </c>
      <c r="D481" s="89"/>
      <c r="E481" s="89"/>
      <c r="F481" s="89"/>
      <c r="G481" s="89"/>
      <c r="H481" s="89"/>
      <c r="I481" s="90"/>
      <c r="J481" s="89"/>
      <c r="K481" s="89"/>
      <c r="L481" s="90"/>
      <c r="M481" s="89"/>
      <c r="N481" s="89"/>
      <c r="O481" s="87" t="s">
        <v>142</v>
      </c>
      <c r="P481" s="89"/>
      <c r="Q481" s="100" t="s">
        <v>3518</v>
      </c>
      <c r="R481" s="89"/>
      <c r="S481" s="92"/>
      <c r="T481" s="89"/>
      <c r="U481" s="92"/>
      <c r="V481" s="87" t="s">
        <v>89</v>
      </c>
      <c r="W481" s="87" t="s">
        <v>63</v>
      </c>
      <c r="X481" s="87" t="s">
        <v>231</v>
      </c>
      <c r="Y481" s="94">
        <v>43390.0</v>
      </c>
      <c r="Z481" s="90"/>
      <c r="AA481" s="90"/>
      <c r="AB481" s="92"/>
      <c r="AC481" s="81">
        <v>480.0</v>
      </c>
      <c r="AD481" s="92"/>
      <c r="AE481" s="87" t="s">
        <v>67</v>
      </c>
      <c r="AF481" s="92"/>
      <c r="AG481" s="87" t="s">
        <v>68</v>
      </c>
      <c r="AH481" s="92"/>
      <c r="AI481" s="96">
        <v>8.2168353747E10</v>
      </c>
      <c r="AJ481" s="87" t="s">
        <v>3530</v>
      </c>
      <c r="AK481" s="97" t="s">
        <v>3531</v>
      </c>
      <c r="AL481" s="87" t="s">
        <v>3532</v>
      </c>
      <c r="AM481" s="87" t="s">
        <v>96</v>
      </c>
      <c r="AN481" s="87" t="s">
        <v>135</v>
      </c>
      <c r="AO481" s="87" t="s">
        <v>213</v>
      </c>
      <c r="AP481" s="87" t="s">
        <v>885</v>
      </c>
      <c r="AQ481" s="87"/>
      <c r="AR481" s="87"/>
    </row>
    <row r="482">
      <c r="A482" s="71">
        <v>29.0</v>
      </c>
      <c r="B482" s="87" t="s">
        <v>3533</v>
      </c>
      <c r="C482" s="88" t="s">
        <v>3534</v>
      </c>
      <c r="D482" s="89"/>
      <c r="E482" s="89"/>
      <c r="F482" s="89"/>
      <c r="G482" s="89"/>
      <c r="H482" s="89"/>
      <c r="I482" s="90"/>
      <c r="J482" s="89"/>
      <c r="K482" s="89"/>
      <c r="L482" s="90"/>
      <c r="M482" s="89"/>
      <c r="N482" s="89"/>
      <c r="O482" s="87" t="s">
        <v>142</v>
      </c>
      <c r="P482" s="89"/>
      <c r="Q482" s="100" t="s">
        <v>3518</v>
      </c>
      <c r="R482" s="89"/>
      <c r="S482" s="92"/>
      <c r="T482" s="89"/>
      <c r="U482" s="92"/>
      <c r="V482" s="87" t="s">
        <v>89</v>
      </c>
      <c r="W482" s="87" t="s">
        <v>218</v>
      </c>
      <c r="X482" s="87" t="s">
        <v>745</v>
      </c>
      <c r="Y482" s="94">
        <v>37581.0</v>
      </c>
      <c r="Z482" s="90"/>
      <c r="AA482" s="90"/>
      <c r="AB482" s="92"/>
      <c r="AC482" s="81">
        <v>481.0</v>
      </c>
      <c r="AD482" s="92"/>
      <c r="AE482" s="87" t="s">
        <v>67</v>
      </c>
      <c r="AF482" s="92"/>
      <c r="AG482" s="87" t="s">
        <v>68</v>
      </c>
      <c r="AH482" s="92"/>
      <c r="AI482" s="96">
        <v>8.2328408919E10</v>
      </c>
      <c r="AJ482" s="87" t="s">
        <v>3535</v>
      </c>
      <c r="AK482" s="97" t="s">
        <v>3536</v>
      </c>
      <c r="AL482" s="87" t="s">
        <v>3537</v>
      </c>
      <c r="AM482" s="87" t="s">
        <v>96</v>
      </c>
      <c r="AN482" s="87" t="s">
        <v>135</v>
      </c>
      <c r="AO482" s="87" t="s">
        <v>499</v>
      </c>
      <c r="AP482" s="87" t="s">
        <v>1396</v>
      </c>
      <c r="AQ482" s="87">
        <v>0.0</v>
      </c>
      <c r="AR482" s="87">
        <v>0.0</v>
      </c>
    </row>
    <row r="483">
      <c r="A483" s="138"/>
      <c r="B483" s="135"/>
      <c r="C483" s="138"/>
      <c r="D483" s="138"/>
      <c r="E483" s="138"/>
      <c r="F483" s="138"/>
      <c r="G483" s="138"/>
      <c r="H483" s="138"/>
      <c r="I483" s="135"/>
      <c r="J483" s="138"/>
      <c r="K483" s="138"/>
      <c r="L483" s="135"/>
      <c r="M483" s="138"/>
      <c r="N483" s="138"/>
      <c r="O483" s="135"/>
      <c r="P483" s="138"/>
      <c r="Q483" s="135"/>
      <c r="R483" s="138"/>
      <c r="S483" s="135"/>
      <c r="T483" s="138"/>
      <c r="U483" s="135"/>
      <c r="V483" s="135"/>
      <c r="W483" s="135"/>
      <c r="X483" s="135"/>
      <c r="Y483" s="139"/>
      <c r="Z483" s="135"/>
      <c r="AA483" s="135"/>
      <c r="AB483" s="135"/>
      <c r="AC483" s="81">
        <v>482.0</v>
      </c>
      <c r="AD483" s="135"/>
      <c r="AE483" s="135"/>
      <c r="AF483" s="135"/>
      <c r="AG483" s="135"/>
      <c r="AH483" s="135"/>
      <c r="AI483" s="135"/>
      <c r="AJ483" s="135"/>
      <c r="AK483" s="160"/>
      <c r="AL483" s="135"/>
      <c r="AM483" s="135"/>
      <c r="AN483" s="135"/>
      <c r="AO483" s="135"/>
      <c r="AP483" s="135"/>
      <c r="AQ483" s="135"/>
      <c r="AR483" s="135"/>
    </row>
    <row r="484">
      <c r="A484" s="12" t="s">
        <v>3538</v>
      </c>
      <c r="B484" s="116"/>
      <c r="C484" s="117"/>
      <c r="D484" s="118"/>
      <c r="E484" s="118"/>
      <c r="F484" s="118"/>
      <c r="G484" s="118"/>
      <c r="H484" s="118"/>
      <c r="I484" s="116"/>
      <c r="J484" s="118"/>
      <c r="K484" s="118"/>
      <c r="L484" s="116"/>
      <c r="M484" s="118"/>
      <c r="N484" s="118"/>
      <c r="O484" s="116"/>
      <c r="P484" s="118"/>
      <c r="Q484" s="116"/>
      <c r="R484" s="118"/>
      <c r="S484" s="116"/>
      <c r="T484" s="118"/>
      <c r="U484" s="116"/>
      <c r="V484" s="116"/>
      <c r="W484" s="116"/>
      <c r="X484" s="116"/>
      <c r="Y484" s="116"/>
      <c r="Z484" s="116"/>
      <c r="AA484" s="116"/>
      <c r="AB484" s="116"/>
      <c r="AC484" s="81">
        <v>483.0</v>
      </c>
      <c r="AD484" s="119"/>
      <c r="AE484" s="119"/>
      <c r="AF484" s="119"/>
      <c r="AG484" s="119"/>
      <c r="AH484" s="119"/>
      <c r="AI484" s="119"/>
      <c r="AJ484" s="119"/>
      <c r="AK484" s="29"/>
      <c r="AL484" s="119"/>
      <c r="AM484" s="119"/>
      <c r="AN484" s="119"/>
      <c r="AO484" s="119"/>
      <c r="AP484" s="119"/>
      <c r="AQ484" s="119"/>
      <c r="AR484" s="119"/>
    </row>
    <row r="485">
      <c r="A485" s="21">
        <f>SUM(A483+1)</f>
        <v>1</v>
      </c>
      <c r="B485" s="21" t="s">
        <v>3539</v>
      </c>
      <c r="C485" s="38" t="s">
        <v>3540</v>
      </c>
      <c r="D485" s="23">
        <v>17.0</v>
      </c>
      <c r="E485" s="23">
        <v>2.0</v>
      </c>
      <c r="F485" s="23" t="s">
        <v>50</v>
      </c>
      <c r="G485" s="23" t="s">
        <v>51</v>
      </c>
      <c r="H485" s="24">
        <v>39845.0</v>
      </c>
      <c r="I485" s="21" t="s">
        <v>82</v>
      </c>
      <c r="J485" s="21" t="s">
        <v>83</v>
      </c>
      <c r="K485" s="21" t="s">
        <v>140</v>
      </c>
      <c r="L485" s="21" t="s">
        <v>105</v>
      </c>
      <c r="M485" s="25">
        <v>45809.0</v>
      </c>
      <c r="N485" s="23" t="s">
        <v>56</v>
      </c>
      <c r="O485" s="21" t="s">
        <v>3541</v>
      </c>
      <c r="P485" s="23" t="s">
        <v>107</v>
      </c>
      <c r="Q485" s="21" t="s">
        <v>3542</v>
      </c>
      <c r="R485" s="24">
        <v>45628.0</v>
      </c>
      <c r="S485" s="23" t="s">
        <v>2571</v>
      </c>
      <c r="T485" s="29"/>
      <c r="U485" s="23" t="s">
        <v>88</v>
      </c>
      <c r="V485" s="21" t="s">
        <v>89</v>
      </c>
      <c r="W485" s="21" t="s">
        <v>337</v>
      </c>
      <c r="X485" s="21" t="s">
        <v>1010</v>
      </c>
      <c r="Y485" s="21" t="s">
        <v>3543</v>
      </c>
      <c r="Z485" s="30"/>
      <c r="AA485" s="28">
        <v>51502.0</v>
      </c>
      <c r="AB485" s="29"/>
      <c r="AC485" s="23">
        <v>206.0</v>
      </c>
      <c r="AD485" s="21" t="s">
        <v>66</v>
      </c>
      <c r="AE485" s="21" t="s">
        <v>67</v>
      </c>
      <c r="AF485" s="30"/>
      <c r="AG485" s="21" t="s">
        <v>68</v>
      </c>
      <c r="AH485" s="30"/>
      <c r="AI485" s="21">
        <v>8.216560102E10</v>
      </c>
      <c r="AJ485" s="30"/>
      <c r="AK485" s="21" t="s">
        <v>3544</v>
      </c>
      <c r="AL485" s="21" t="s">
        <v>3545</v>
      </c>
      <c r="AM485" s="21" t="s">
        <v>96</v>
      </c>
      <c r="AN485" s="30"/>
      <c r="AO485" s="30"/>
      <c r="AP485" s="30"/>
      <c r="AQ485" s="30"/>
      <c r="AR485" s="30"/>
    </row>
    <row r="486">
      <c r="A486" s="21">
        <f t="shared" ref="A486:A492" si="7">SUM(A485+1)</f>
        <v>2</v>
      </c>
      <c r="B486" s="21" t="s">
        <v>3546</v>
      </c>
      <c r="C486" s="38" t="s">
        <v>3547</v>
      </c>
      <c r="D486" s="23">
        <v>12.0</v>
      </c>
      <c r="E486" s="23">
        <v>3.0</v>
      </c>
      <c r="F486" s="23" t="s">
        <v>80</v>
      </c>
      <c r="G486" s="23" t="s">
        <v>81</v>
      </c>
      <c r="H486" s="24">
        <v>40179.0</v>
      </c>
      <c r="I486" s="21" t="s">
        <v>82</v>
      </c>
      <c r="J486" s="21" t="s">
        <v>83</v>
      </c>
      <c r="K486" s="21" t="s">
        <v>155</v>
      </c>
      <c r="L486" s="21" t="s">
        <v>88</v>
      </c>
      <c r="M486" s="25">
        <v>44652.0</v>
      </c>
      <c r="N486" s="23" t="s">
        <v>56</v>
      </c>
      <c r="O486" s="21" t="s">
        <v>3548</v>
      </c>
      <c r="P486" s="23" t="s">
        <v>3549</v>
      </c>
      <c r="Q486" s="21" t="s">
        <v>3550</v>
      </c>
      <c r="R486" s="24">
        <v>46076.0</v>
      </c>
      <c r="S486" s="23" t="s">
        <v>87</v>
      </c>
      <c r="T486" s="29"/>
      <c r="U486" s="23" t="s">
        <v>88</v>
      </c>
      <c r="V486" s="21" t="s">
        <v>159</v>
      </c>
      <c r="W486" s="21" t="s">
        <v>1633</v>
      </c>
      <c r="X486" s="21" t="s">
        <v>1010</v>
      </c>
      <c r="Y486" s="21" t="s">
        <v>3551</v>
      </c>
      <c r="Z486" s="21" t="s">
        <v>114</v>
      </c>
      <c r="AA486" s="28">
        <v>52965.0</v>
      </c>
      <c r="AB486" s="29"/>
      <c r="AC486" s="23">
        <v>207.0</v>
      </c>
      <c r="AD486" s="21" t="s">
        <v>66</v>
      </c>
      <c r="AE486" s="21" t="s">
        <v>220</v>
      </c>
      <c r="AF486" s="21" t="s">
        <v>129</v>
      </c>
      <c r="AG486" s="21" t="s">
        <v>130</v>
      </c>
      <c r="AH486" s="21" t="s">
        <v>69</v>
      </c>
      <c r="AI486" s="21">
        <v>8.116191144E9</v>
      </c>
      <c r="AJ486" s="21" t="s">
        <v>3552</v>
      </c>
      <c r="AK486" s="21" t="s">
        <v>3553</v>
      </c>
      <c r="AL486" s="21" t="s">
        <v>3554</v>
      </c>
      <c r="AM486" s="21" t="s">
        <v>73</v>
      </c>
      <c r="AN486" s="21" t="s">
        <v>77</v>
      </c>
      <c r="AO486" s="21" t="s">
        <v>1446</v>
      </c>
      <c r="AP486" s="21" t="s">
        <v>3555</v>
      </c>
      <c r="AQ486" s="21" t="s">
        <v>77</v>
      </c>
      <c r="AR486" s="21" t="s">
        <v>77</v>
      </c>
    </row>
    <row r="487">
      <c r="A487" s="21">
        <f t="shared" si="7"/>
        <v>3</v>
      </c>
      <c r="B487" s="39" t="s">
        <v>3556</v>
      </c>
      <c r="C487" s="57" t="s">
        <v>3557</v>
      </c>
      <c r="D487" s="39">
        <v>16.0</v>
      </c>
      <c r="E487" s="39">
        <v>3.0</v>
      </c>
      <c r="F487" s="39" t="s">
        <v>80</v>
      </c>
      <c r="G487" s="39" t="s">
        <v>81</v>
      </c>
      <c r="H487" s="42">
        <v>39873.0</v>
      </c>
      <c r="I487" s="39" t="s">
        <v>82</v>
      </c>
      <c r="J487" s="39" t="s">
        <v>83</v>
      </c>
      <c r="K487" s="39" t="s">
        <v>1505</v>
      </c>
      <c r="L487" s="39" t="s">
        <v>88</v>
      </c>
      <c r="M487" s="42">
        <v>44287.0</v>
      </c>
      <c r="N487" s="39" t="s">
        <v>141</v>
      </c>
      <c r="O487" s="39" t="s">
        <v>229</v>
      </c>
      <c r="P487" s="43"/>
      <c r="Q487" s="39" t="s">
        <v>59</v>
      </c>
      <c r="R487" s="42">
        <v>45292.0</v>
      </c>
      <c r="S487" s="39" t="s">
        <v>143</v>
      </c>
      <c r="T487" s="46"/>
      <c r="U487" s="39" t="s">
        <v>144</v>
      </c>
      <c r="V487" s="39" t="s">
        <v>89</v>
      </c>
      <c r="W487" s="39" t="s">
        <v>207</v>
      </c>
      <c r="X487" s="39" t="s">
        <v>409</v>
      </c>
      <c r="Y487" s="39" t="s">
        <v>3558</v>
      </c>
      <c r="Z487" s="65"/>
      <c r="AA487" s="45">
        <v>48589.0</v>
      </c>
      <c r="AB487" s="46"/>
      <c r="AC487" s="23">
        <v>208.0</v>
      </c>
      <c r="AD487" s="39" t="s">
        <v>66</v>
      </c>
      <c r="AE487" s="39" t="s">
        <v>67</v>
      </c>
      <c r="AF487" s="39" t="s">
        <v>129</v>
      </c>
      <c r="AG487" s="39" t="s">
        <v>68</v>
      </c>
      <c r="AH487" s="39" t="s">
        <v>69</v>
      </c>
      <c r="AI487" s="39">
        <v>8.1283288829E10</v>
      </c>
      <c r="AJ487" s="39" t="s">
        <v>3559</v>
      </c>
      <c r="AK487" s="39" t="s">
        <v>3560</v>
      </c>
      <c r="AL487" s="39" t="s">
        <v>3561</v>
      </c>
      <c r="AM487" s="39" t="s">
        <v>96</v>
      </c>
      <c r="AN487" s="65"/>
      <c r="AO487" s="39" t="s">
        <v>1030</v>
      </c>
      <c r="AP487" s="39" t="s">
        <v>3562</v>
      </c>
      <c r="AQ487" s="43"/>
      <c r="AR487" s="43"/>
    </row>
    <row r="488">
      <c r="A488" s="21">
        <f t="shared" si="7"/>
        <v>4</v>
      </c>
      <c r="B488" s="39" t="s">
        <v>3563</v>
      </c>
      <c r="C488" s="57" t="s">
        <v>3564</v>
      </c>
      <c r="D488" s="39">
        <v>12.0</v>
      </c>
      <c r="E488" s="39">
        <v>3.0</v>
      </c>
      <c r="F488" s="39" t="s">
        <v>171</v>
      </c>
      <c r="G488" s="39" t="s">
        <v>172</v>
      </c>
      <c r="H488" s="42">
        <v>40179.0</v>
      </c>
      <c r="I488" s="39" t="s">
        <v>182</v>
      </c>
      <c r="J488" s="39" t="s">
        <v>183</v>
      </c>
      <c r="K488" s="39" t="s">
        <v>3565</v>
      </c>
      <c r="L488" s="39" t="s">
        <v>105</v>
      </c>
      <c r="M488" s="42">
        <v>45383.0</v>
      </c>
      <c r="N488" s="39" t="s">
        <v>141</v>
      </c>
      <c r="O488" s="39" t="s">
        <v>229</v>
      </c>
      <c r="P488" s="43"/>
      <c r="Q488" s="39" t="s">
        <v>59</v>
      </c>
      <c r="R488" s="42">
        <v>45292.0</v>
      </c>
      <c r="S488" s="39" t="s">
        <v>143</v>
      </c>
      <c r="T488" s="46"/>
      <c r="U488" s="39" t="s">
        <v>144</v>
      </c>
      <c r="V488" s="39" t="s">
        <v>159</v>
      </c>
      <c r="W488" s="39" t="s">
        <v>218</v>
      </c>
      <c r="X488" s="39" t="s">
        <v>161</v>
      </c>
      <c r="Y488" s="39" t="s">
        <v>3566</v>
      </c>
      <c r="Z488" s="39" t="s">
        <v>114</v>
      </c>
      <c r="AA488" s="45">
        <v>51874.0</v>
      </c>
      <c r="AB488" s="46"/>
      <c r="AC488" s="23">
        <v>209.0</v>
      </c>
      <c r="AD488" s="39" t="s">
        <v>66</v>
      </c>
      <c r="AE488" s="39" t="s">
        <v>67</v>
      </c>
      <c r="AF488" s="39" t="s">
        <v>92</v>
      </c>
      <c r="AG488" s="39" t="s">
        <v>130</v>
      </c>
      <c r="AH488" s="39" t="s">
        <v>69</v>
      </c>
      <c r="AI488" s="39">
        <v>8.121482466E10</v>
      </c>
      <c r="AJ488" s="39" t="s">
        <v>3567</v>
      </c>
      <c r="AK488" s="39" t="s">
        <v>3568</v>
      </c>
      <c r="AL488" s="39" t="s">
        <v>3569</v>
      </c>
      <c r="AM488" s="39" t="s">
        <v>96</v>
      </c>
      <c r="AN488" s="39" t="s">
        <v>3389</v>
      </c>
      <c r="AO488" s="39" t="s">
        <v>557</v>
      </c>
      <c r="AP488" s="39" t="s">
        <v>3570</v>
      </c>
      <c r="AQ488" s="43"/>
      <c r="AR488" s="43"/>
    </row>
    <row r="489">
      <c r="A489" s="21">
        <f t="shared" si="7"/>
        <v>5</v>
      </c>
      <c r="B489" s="39" t="s">
        <v>3571</v>
      </c>
      <c r="C489" s="57" t="s">
        <v>3572</v>
      </c>
      <c r="D489" s="39">
        <v>19.0</v>
      </c>
      <c r="E489" s="39">
        <v>1.0</v>
      </c>
      <c r="F489" s="39" t="s">
        <v>50</v>
      </c>
      <c r="G489" s="39" t="s">
        <v>51</v>
      </c>
      <c r="H489" s="42">
        <v>39845.0</v>
      </c>
      <c r="I489" s="39" t="s">
        <v>307</v>
      </c>
      <c r="J489" s="39" t="s">
        <v>308</v>
      </c>
      <c r="K489" s="39" t="s">
        <v>195</v>
      </c>
      <c r="L489" s="39" t="s">
        <v>105</v>
      </c>
      <c r="M489" s="42">
        <v>44835.0</v>
      </c>
      <c r="N489" s="39" t="s">
        <v>141</v>
      </c>
      <c r="O489" s="39" t="s">
        <v>196</v>
      </c>
      <c r="P489" s="43"/>
      <c r="Q489" s="39" t="s">
        <v>59</v>
      </c>
      <c r="R489" s="42">
        <v>46082.0</v>
      </c>
      <c r="S489" s="39" t="s">
        <v>3573</v>
      </c>
      <c r="T489" s="46"/>
      <c r="U489" s="39" t="s">
        <v>105</v>
      </c>
      <c r="V489" s="39" t="s">
        <v>285</v>
      </c>
      <c r="W489" s="39" t="s">
        <v>399</v>
      </c>
      <c r="X489" s="39" t="s">
        <v>3574</v>
      </c>
      <c r="Y489" s="39" t="s">
        <v>2908</v>
      </c>
      <c r="Z489" s="39" t="s">
        <v>114</v>
      </c>
      <c r="AA489" s="45">
        <v>46025.0</v>
      </c>
      <c r="AB489" s="46"/>
      <c r="AC489" s="23">
        <v>210.0</v>
      </c>
      <c r="AD489" s="39" t="s">
        <v>66</v>
      </c>
      <c r="AE489" s="39" t="s">
        <v>67</v>
      </c>
      <c r="AF489" s="39" t="s">
        <v>2117</v>
      </c>
      <c r="AG489" s="39" t="s">
        <v>68</v>
      </c>
      <c r="AH489" s="39" t="s">
        <v>69</v>
      </c>
      <c r="AI489" s="39">
        <v>8.1245978368E10</v>
      </c>
      <c r="AJ489" s="39" t="s">
        <v>3575</v>
      </c>
      <c r="AK489" s="39" t="s">
        <v>3576</v>
      </c>
      <c r="AL489" s="39" t="s">
        <v>3577</v>
      </c>
      <c r="AM489" s="39" t="s">
        <v>96</v>
      </c>
      <c r="AN489" s="39" t="s">
        <v>97</v>
      </c>
      <c r="AO489" s="39" t="s">
        <v>1576</v>
      </c>
      <c r="AP489" s="39" t="s">
        <v>3578</v>
      </c>
      <c r="AQ489" s="43"/>
      <c r="AR489" s="43"/>
    </row>
    <row r="490">
      <c r="A490" s="21">
        <f t="shared" si="7"/>
        <v>6</v>
      </c>
      <c r="B490" s="39" t="s">
        <v>3579</v>
      </c>
      <c r="C490" s="40" t="s">
        <v>3580</v>
      </c>
      <c r="D490" s="41">
        <v>11.0</v>
      </c>
      <c r="E490" s="41">
        <v>9.0</v>
      </c>
      <c r="F490" s="39" t="s">
        <v>171</v>
      </c>
      <c r="G490" s="39" t="s">
        <v>172</v>
      </c>
      <c r="H490" s="42">
        <v>40544.0</v>
      </c>
      <c r="I490" s="39" t="s">
        <v>182</v>
      </c>
      <c r="J490" s="39" t="s">
        <v>183</v>
      </c>
      <c r="K490" s="39" t="s">
        <v>417</v>
      </c>
      <c r="L490" s="39" t="s">
        <v>105</v>
      </c>
      <c r="M490" s="42">
        <v>45566.0</v>
      </c>
      <c r="N490" s="39" t="s">
        <v>141</v>
      </c>
      <c r="O490" s="39" t="s">
        <v>173</v>
      </c>
      <c r="P490" s="43"/>
      <c r="Q490" s="39" t="s">
        <v>86</v>
      </c>
      <c r="R490" s="42">
        <v>45292.0</v>
      </c>
      <c r="S490" s="39" t="s">
        <v>143</v>
      </c>
      <c r="T490" s="44"/>
      <c r="U490" s="39" t="s">
        <v>144</v>
      </c>
      <c r="V490" s="39" t="s">
        <v>89</v>
      </c>
      <c r="W490" s="39" t="s">
        <v>230</v>
      </c>
      <c r="X490" s="39" t="s">
        <v>219</v>
      </c>
      <c r="Y490" s="39" t="s">
        <v>3581</v>
      </c>
      <c r="Z490" s="39" t="s">
        <v>114</v>
      </c>
      <c r="AA490" s="45">
        <v>51144.0</v>
      </c>
      <c r="AB490" s="46"/>
      <c r="AC490" s="23">
        <v>211.0</v>
      </c>
      <c r="AD490" s="39" t="s">
        <v>66</v>
      </c>
      <c r="AE490" s="39" t="s">
        <v>67</v>
      </c>
      <c r="AF490" s="39" t="s">
        <v>92</v>
      </c>
      <c r="AG490" s="39" t="s">
        <v>130</v>
      </c>
      <c r="AH490" s="39" t="s">
        <v>288</v>
      </c>
      <c r="AI490" s="39">
        <v>8.116098008E9</v>
      </c>
      <c r="AJ490" s="39" t="s">
        <v>3582</v>
      </c>
      <c r="AK490" s="39" t="s">
        <v>3583</v>
      </c>
      <c r="AL490" s="39" t="s">
        <v>3584</v>
      </c>
      <c r="AM490" s="39" t="s">
        <v>96</v>
      </c>
      <c r="AN490" s="39" t="s">
        <v>97</v>
      </c>
      <c r="AO490" s="39" t="s">
        <v>213</v>
      </c>
      <c r="AP490" s="39" t="s">
        <v>214</v>
      </c>
      <c r="AQ490" s="43"/>
      <c r="AR490" s="43"/>
    </row>
    <row r="491">
      <c r="A491" s="21">
        <f t="shared" si="7"/>
        <v>7</v>
      </c>
      <c r="B491" s="39" t="s">
        <v>3585</v>
      </c>
      <c r="C491" s="57" t="s">
        <v>3586</v>
      </c>
      <c r="D491" s="39">
        <v>18.0</v>
      </c>
      <c r="E491" s="39">
        <v>7.0</v>
      </c>
      <c r="F491" s="39" t="s">
        <v>50</v>
      </c>
      <c r="G491" s="39" t="s">
        <v>51</v>
      </c>
      <c r="H491" s="42">
        <v>40179.0</v>
      </c>
      <c r="I491" s="39" t="s">
        <v>80</v>
      </c>
      <c r="J491" s="39" t="s">
        <v>81</v>
      </c>
      <c r="K491" s="39" t="s">
        <v>1399</v>
      </c>
      <c r="L491" s="39" t="s">
        <v>105</v>
      </c>
      <c r="M491" s="42">
        <v>44835.0</v>
      </c>
      <c r="N491" s="39" t="s">
        <v>141</v>
      </c>
      <c r="O491" s="39" t="s">
        <v>229</v>
      </c>
      <c r="P491" s="43"/>
      <c r="Q491" s="39" t="s">
        <v>59</v>
      </c>
      <c r="R491" s="42">
        <v>45292.0</v>
      </c>
      <c r="S491" s="39" t="s">
        <v>143</v>
      </c>
      <c r="T491" s="46"/>
      <c r="U491" s="39" t="s">
        <v>144</v>
      </c>
      <c r="V491" s="39" t="s">
        <v>89</v>
      </c>
      <c r="W491" s="39" t="s">
        <v>218</v>
      </c>
      <c r="X491" s="39" t="s">
        <v>219</v>
      </c>
      <c r="Y491" s="39" t="s">
        <v>3587</v>
      </c>
      <c r="Z491" s="43"/>
      <c r="AA491" s="45">
        <v>50777.0</v>
      </c>
      <c r="AB491" s="46"/>
      <c r="AC491" s="23">
        <v>212.0</v>
      </c>
      <c r="AD491" s="39" t="s">
        <v>66</v>
      </c>
      <c r="AE491" s="39" t="s">
        <v>67</v>
      </c>
      <c r="AF491" s="39" t="s">
        <v>92</v>
      </c>
      <c r="AG491" s="39" t="s">
        <v>130</v>
      </c>
      <c r="AH491" s="39" t="s">
        <v>288</v>
      </c>
      <c r="AI491" s="39">
        <v>8.5275731655E10</v>
      </c>
      <c r="AJ491" s="39" t="s">
        <v>3588</v>
      </c>
      <c r="AK491" s="39" t="s">
        <v>3589</v>
      </c>
      <c r="AL491" s="39" t="s">
        <v>3590</v>
      </c>
      <c r="AM491" s="39" t="s">
        <v>96</v>
      </c>
      <c r="AN491" s="43"/>
      <c r="AO491" s="39" t="s">
        <v>3514</v>
      </c>
      <c r="AP491" s="39" t="s">
        <v>3515</v>
      </c>
      <c r="AQ491" s="43"/>
      <c r="AR491" s="43"/>
    </row>
    <row r="492">
      <c r="A492" s="21">
        <f t="shared" si="7"/>
        <v>8</v>
      </c>
      <c r="B492" s="49" t="s">
        <v>3591</v>
      </c>
      <c r="C492" s="50" t="s">
        <v>3592</v>
      </c>
      <c r="D492" s="49">
        <v>0.0</v>
      </c>
      <c r="E492" s="49">
        <v>0.0</v>
      </c>
      <c r="F492" s="49" t="s">
        <v>80</v>
      </c>
      <c r="G492" s="49" t="s">
        <v>81</v>
      </c>
      <c r="H492" s="51">
        <v>45778.0</v>
      </c>
      <c r="I492" s="49" t="s">
        <v>80</v>
      </c>
      <c r="J492" s="49" t="s">
        <v>81</v>
      </c>
      <c r="K492" s="49" t="s">
        <v>240</v>
      </c>
      <c r="L492" s="49" t="s">
        <v>105</v>
      </c>
      <c r="M492" s="51">
        <v>45778.0</v>
      </c>
      <c r="N492" s="49" t="s">
        <v>141</v>
      </c>
      <c r="O492" s="49" t="s">
        <v>1670</v>
      </c>
      <c r="P492" s="52"/>
      <c r="Q492" s="49" t="s">
        <v>3542</v>
      </c>
      <c r="R492" s="51">
        <v>45778.0</v>
      </c>
      <c r="S492" s="49" t="s">
        <v>242</v>
      </c>
      <c r="T492" s="53"/>
      <c r="U492" s="49" t="s">
        <v>105</v>
      </c>
      <c r="V492" s="49" t="s">
        <v>89</v>
      </c>
      <c r="W492" s="49" t="s">
        <v>230</v>
      </c>
      <c r="X492" s="49" t="s">
        <v>260</v>
      </c>
      <c r="Y492" s="49" t="s">
        <v>3593</v>
      </c>
      <c r="Z492" s="52"/>
      <c r="AA492" s="146">
        <v>57719.0</v>
      </c>
      <c r="AB492" s="52"/>
      <c r="AC492" s="23">
        <v>213.0</v>
      </c>
      <c r="AD492" s="49" t="s">
        <v>5</v>
      </c>
      <c r="AE492" s="49" t="s">
        <v>67</v>
      </c>
      <c r="AF492" s="49" t="s">
        <v>129</v>
      </c>
      <c r="AG492" s="49" t="s">
        <v>68</v>
      </c>
      <c r="AH492" s="49" t="s">
        <v>246</v>
      </c>
      <c r="AI492" s="49">
        <v>8.2290552773E10</v>
      </c>
      <c r="AJ492" s="49" t="s">
        <v>3594</v>
      </c>
      <c r="AK492" s="49" t="s">
        <v>3595</v>
      </c>
      <c r="AL492" s="49" t="s">
        <v>3596</v>
      </c>
      <c r="AM492" s="49" t="s">
        <v>73</v>
      </c>
      <c r="AN492" s="49" t="s">
        <v>3597</v>
      </c>
      <c r="AO492" s="49" t="s">
        <v>3598</v>
      </c>
      <c r="AP492" s="49" t="s">
        <v>3599</v>
      </c>
      <c r="AQ492" s="49">
        <v>5.0</v>
      </c>
      <c r="AR492" s="49">
        <v>0.0</v>
      </c>
    </row>
    <row r="493">
      <c r="A493" s="75">
        <v>9.0</v>
      </c>
      <c r="B493" s="72" t="s">
        <v>3600</v>
      </c>
      <c r="C493" s="73" t="s">
        <v>3601</v>
      </c>
      <c r="D493" s="74"/>
      <c r="E493" s="74"/>
      <c r="F493" s="74"/>
      <c r="G493" s="75" t="s">
        <v>517</v>
      </c>
      <c r="H493" s="76">
        <v>45901.0</v>
      </c>
      <c r="I493" s="77"/>
      <c r="J493" s="74"/>
      <c r="K493" s="75" t="s">
        <v>518</v>
      </c>
      <c r="L493" s="72" t="s">
        <v>105</v>
      </c>
      <c r="M493" s="76">
        <v>45901.0</v>
      </c>
      <c r="N493" s="74"/>
      <c r="O493" s="72" t="s">
        <v>519</v>
      </c>
      <c r="P493" s="74"/>
      <c r="Q493" s="72" t="s">
        <v>3542</v>
      </c>
      <c r="R493" s="76">
        <v>45901.0</v>
      </c>
      <c r="S493" s="72" t="s">
        <v>518</v>
      </c>
      <c r="T493" s="78">
        <v>45826.0</v>
      </c>
      <c r="U493" s="72" t="s">
        <v>144</v>
      </c>
      <c r="V493" s="72" t="s">
        <v>267</v>
      </c>
      <c r="W493" s="72" t="s">
        <v>3602</v>
      </c>
      <c r="X493" s="72" t="s">
        <v>3603</v>
      </c>
      <c r="Y493" s="84">
        <v>42699.0</v>
      </c>
      <c r="Z493" s="77"/>
      <c r="AA493" s="77"/>
      <c r="AB493" s="77"/>
      <c r="AC493" s="81">
        <v>492.0</v>
      </c>
      <c r="AD493" s="72" t="s">
        <v>522</v>
      </c>
      <c r="AE493" s="72" t="s">
        <v>67</v>
      </c>
      <c r="AF493" s="72" t="s">
        <v>92</v>
      </c>
      <c r="AG493" s="72" t="s">
        <v>68</v>
      </c>
      <c r="AH493" s="77"/>
      <c r="AI493" s="72">
        <v>8.2284249194E10</v>
      </c>
      <c r="AJ493" s="82" t="s">
        <v>3604</v>
      </c>
      <c r="AK493" s="85" t="s">
        <v>3605</v>
      </c>
      <c r="AL493" s="72" t="s">
        <v>3606</v>
      </c>
      <c r="AM493" s="82" t="s">
        <v>73</v>
      </c>
      <c r="AN493" s="82" t="s">
        <v>166</v>
      </c>
      <c r="AO493" s="82" t="s">
        <v>3607</v>
      </c>
      <c r="AP493" s="82" t="s">
        <v>3608</v>
      </c>
      <c r="AQ493" s="72">
        <v>0.0</v>
      </c>
      <c r="AR493" s="72">
        <v>0.0</v>
      </c>
    </row>
    <row r="494">
      <c r="A494" s="75">
        <v>10.0</v>
      </c>
      <c r="B494" s="72" t="s">
        <v>3609</v>
      </c>
      <c r="C494" s="73" t="s">
        <v>3610</v>
      </c>
      <c r="D494" s="74"/>
      <c r="E494" s="74"/>
      <c r="F494" s="74"/>
      <c r="G494" s="75" t="s">
        <v>531</v>
      </c>
      <c r="H494" s="76">
        <v>45901.0</v>
      </c>
      <c r="I494" s="77"/>
      <c r="J494" s="74"/>
      <c r="K494" s="75" t="s">
        <v>518</v>
      </c>
      <c r="L494" s="148" t="s">
        <v>105</v>
      </c>
      <c r="M494" s="152">
        <v>45901.0</v>
      </c>
      <c r="N494" s="150"/>
      <c r="O494" s="72" t="s">
        <v>532</v>
      </c>
      <c r="P494" s="74"/>
      <c r="Q494" s="72" t="s">
        <v>3542</v>
      </c>
      <c r="R494" s="76">
        <v>45901.0</v>
      </c>
      <c r="S494" s="148" t="s">
        <v>518</v>
      </c>
      <c r="T494" s="154">
        <v>45826.0</v>
      </c>
      <c r="U494" s="148" t="s">
        <v>144</v>
      </c>
      <c r="V494" s="148" t="s">
        <v>285</v>
      </c>
      <c r="W494" s="72" t="s">
        <v>608</v>
      </c>
      <c r="X494" s="72" t="s">
        <v>3611</v>
      </c>
      <c r="Y494" s="84">
        <v>37422.0</v>
      </c>
      <c r="Z494" s="153"/>
      <c r="AA494" s="77"/>
      <c r="AB494" s="153"/>
      <c r="AC494" s="81">
        <v>493.0</v>
      </c>
      <c r="AD494" s="148" t="s">
        <v>522</v>
      </c>
      <c r="AE494" s="72" t="s">
        <v>67</v>
      </c>
      <c r="AF494" s="72" t="s">
        <v>92</v>
      </c>
      <c r="AG494" s="72" t="s">
        <v>68</v>
      </c>
      <c r="AH494" s="77"/>
      <c r="AI494" s="72">
        <v>8.1265008804E10</v>
      </c>
      <c r="AJ494" s="82" t="s">
        <v>3612</v>
      </c>
      <c r="AK494" s="85" t="s">
        <v>3613</v>
      </c>
      <c r="AL494" s="72" t="s">
        <v>3614</v>
      </c>
      <c r="AM494" s="82" t="s">
        <v>732</v>
      </c>
      <c r="AN494" s="82" t="s">
        <v>3615</v>
      </c>
      <c r="AO494" s="82" t="s">
        <v>3616</v>
      </c>
      <c r="AP494" s="82" t="s">
        <v>3617</v>
      </c>
      <c r="AQ494" s="80"/>
      <c r="AR494" s="80"/>
    </row>
    <row r="495">
      <c r="A495" s="89">
        <v>11.0</v>
      </c>
      <c r="B495" s="87" t="s">
        <v>3618</v>
      </c>
      <c r="C495" s="88" t="s">
        <v>3619</v>
      </c>
      <c r="D495" s="161"/>
      <c r="E495" s="161"/>
      <c r="F495" s="161"/>
      <c r="G495" s="161"/>
      <c r="H495" s="161"/>
      <c r="I495" s="162"/>
      <c r="J495" s="89"/>
      <c r="K495" s="89"/>
      <c r="L495" s="90"/>
      <c r="M495" s="91"/>
      <c r="N495" s="161"/>
      <c r="O495" s="87" t="s">
        <v>142</v>
      </c>
      <c r="P495" s="161"/>
      <c r="Q495" s="87" t="s">
        <v>59</v>
      </c>
      <c r="R495" s="91"/>
      <c r="S495" s="90"/>
      <c r="T495" s="93"/>
      <c r="U495" s="90"/>
      <c r="V495" s="87" t="s">
        <v>89</v>
      </c>
      <c r="W495" s="87" t="s">
        <v>230</v>
      </c>
      <c r="X495" s="87" t="s">
        <v>419</v>
      </c>
      <c r="Y495" s="99">
        <v>38415.0</v>
      </c>
      <c r="Z495" s="163"/>
      <c r="AA495" s="163"/>
      <c r="AB495" s="163"/>
      <c r="AC495" s="81">
        <v>494.0</v>
      </c>
      <c r="AD495" s="90"/>
      <c r="AE495" s="87" t="s">
        <v>67</v>
      </c>
      <c r="AF495" s="162"/>
      <c r="AG495" s="87" t="s">
        <v>68</v>
      </c>
      <c r="AH495" s="87"/>
      <c r="AI495" s="87">
        <v>8.1265655858E10</v>
      </c>
      <c r="AJ495" s="87" t="s">
        <v>3620</v>
      </c>
      <c r="AK495" s="97" t="s">
        <v>3621</v>
      </c>
      <c r="AL495" s="87" t="s">
        <v>3622</v>
      </c>
      <c r="AM495" s="87" t="s">
        <v>96</v>
      </c>
      <c r="AN495" s="87" t="s">
        <v>97</v>
      </c>
      <c r="AO495" s="87" t="s">
        <v>1576</v>
      </c>
      <c r="AP495" s="87" t="s">
        <v>3623</v>
      </c>
      <c r="AQ495" s="87"/>
      <c r="AR495" s="87"/>
    </row>
    <row r="496">
      <c r="A496" s="89">
        <v>12.0</v>
      </c>
      <c r="B496" s="87" t="s">
        <v>3624</v>
      </c>
      <c r="C496" s="88" t="s">
        <v>3625</v>
      </c>
      <c r="D496" s="161"/>
      <c r="E496" s="161"/>
      <c r="F496" s="161"/>
      <c r="G496" s="89"/>
      <c r="H496" s="89"/>
      <c r="I496" s="90"/>
      <c r="J496" s="91"/>
      <c r="K496" s="164"/>
      <c r="L496" s="165"/>
      <c r="M496" s="166"/>
      <c r="N496" s="166"/>
      <c r="O496" s="167" t="s">
        <v>142</v>
      </c>
      <c r="P496" s="161"/>
      <c r="Q496" s="87" t="s">
        <v>3542</v>
      </c>
      <c r="R496" s="168"/>
      <c r="S496" s="165"/>
      <c r="T496" s="166"/>
      <c r="U496" s="165"/>
      <c r="V496" s="165"/>
      <c r="W496" s="167" t="s">
        <v>89</v>
      </c>
      <c r="X496" s="87" t="s">
        <v>3626</v>
      </c>
      <c r="Y496" s="169">
        <v>42675.0</v>
      </c>
      <c r="Z496" s="165"/>
      <c r="AA496" s="170"/>
      <c r="AB496" s="165"/>
      <c r="AC496" s="81">
        <v>495.0</v>
      </c>
      <c r="AD496" s="165"/>
      <c r="AE496" s="167" t="s">
        <v>67</v>
      </c>
      <c r="AF496" s="162"/>
      <c r="AG496" s="87" t="s">
        <v>130</v>
      </c>
      <c r="AH496" s="87"/>
      <c r="AI496" s="87">
        <v>8.5260041358E10</v>
      </c>
      <c r="AJ496" s="87" t="s">
        <v>3627</v>
      </c>
      <c r="AK496" s="97" t="s">
        <v>3628</v>
      </c>
      <c r="AL496" s="87" t="s">
        <v>3629</v>
      </c>
      <c r="AM496" s="87" t="s">
        <v>73</v>
      </c>
      <c r="AN496" s="87" t="s">
        <v>835</v>
      </c>
      <c r="AO496" s="87" t="s">
        <v>774</v>
      </c>
      <c r="AP496" s="87" t="s">
        <v>799</v>
      </c>
      <c r="AQ496" s="87">
        <v>0.0</v>
      </c>
      <c r="AR496" s="87">
        <v>0.0</v>
      </c>
    </row>
    <row r="497">
      <c r="A497" s="89">
        <v>13.0</v>
      </c>
      <c r="B497" s="87" t="s">
        <v>3630</v>
      </c>
      <c r="C497" s="88" t="s">
        <v>3631</v>
      </c>
      <c r="D497" s="161"/>
      <c r="E497" s="161"/>
      <c r="F497" s="161"/>
      <c r="G497" s="161"/>
      <c r="H497" s="89"/>
      <c r="I497" s="90"/>
      <c r="J497" s="91"/>
      <c r="K497" s="164"/>
      <c r="L497" s="165"/>
      <c r="M497" s="166"/>
      <c r="N497" s="166"/>
      <c r="O497" s="167" t="s">
        <v>532</v>
      </c>
      <c r="P497" s="161"/>
      <c r="Q497" s="87" t="s">
        <v>3542</v>
      </c>
      <c r="R497" s="168"/>
      <c r="S497" s="165"/>
      <c r="T497" s="166"/>
      <c r="U497" s="165"/>
      <c r="V497" s="165"/>
      <c r="W497" s="167" t="s">
        <v>285</v>
      </c>
      <c r="X497" s="87" t="s">
        <v>3632</v>
      </c>
      <c r="Y497" s="171">
        <v>37422.0</v>
      </c>
      <c r="Z497" s="165"/>
      <c r="AA497" s="170"/>
      <c r="AB497" s="165"/>
      <c r="AC497" s="81">
        <v>496.0</v>
      </c>
      <c r="AD497" s="165"/>
      <c r="AE497" s="167" t="s">
        <v>67</v>
      </c>
      <c r="AF497" s="90"/>
      <c r="AG497" s="87" t="s">
        <v>68</v>
      </c>
      <c r="AH497" s="87"/>
      <c r="AI497" s="87">
        <v>8.9621040098E10</v>
      </c>
      <c r="AJ497" s="87" t="s">
        <v>3633</v>
      </c>
      <c r="AK497" s="97" t="s">
        <v>3634</v>
      </c>
      <c r="AL497" s="87" t="s">
        <v>3635</v>
      </c>
      <c r="AM497" s="87" t="s">
        <v>73</v>
      </c>
      <c r="AN497" s="87" t="s">
        <v>74</v>
      </c>
      <c r="AO497" s="87" t="s">
        <v>191</v>
      </c>
      <c r="AP497" s="87" t="s">
        <v>2010</v>
      </c>
      <c r="AQ497" s="87">
        <v>0.0</v>
      </c>
      <c r="AR497" s="87">
        <v>0.0</v>
      </c>
    </row>
    <row r="498">
      <c r="A498" s="89">
        <v>14.0</v>
      </c>
      <c r="B498" s="87" t="s">
        <v>3636</v>
      </c>
      <c r="C498" s="88" t="s">
        <v>3637</v>
      </c>
      <c r="D498" s="161"/>
      <c r="E498" s="161"/>
      <c r="F498" s="161"/>
      <c r="G498" s="161"/>
      <c r="H498" s="161"/>
      <c r="I498" s="162"/>
      <c r="J498" s="161"/>
      <c r="K498" s="164"/>
      <c r="L498" s="165"/>
      <c r="M498" s="166"/>
      <c r="N498" s="166"/>
      <c r="O498" s="167" t="s">
        <v>142</v>
      </c>
      <c r="P498" s="161"/>
      <c r="Q498" s="87" t="s">
        <v>3542</v>
      </c>
      <c r="R498" s="164"/>
      <c r="S498" s="165"/>
      <c r="T498" s="166"/>
      <c r="U498" s="165"/>
      <c r="V498" s="165"/>
      <c r="W498" s="167" t="s">
        <v>89</v>
      </c>
      <c r="X498" s="87" t="s">
        <v>3156</v>
      </c>
      <c r="Y498" s="169">
        <v>44112.0</v>
      </c>
      <c r="Z498" s="165"/>
      <c r="AA498" s="172"/>
      <c r="AB498" s="165"/>
      <c r="AC498" s="81">
        <v>497.0</v>
      </c>
      <c r="AD498" s="165"/>
      <c r="AE498" s="167" t="s">
        <v>67</v>
      </c>
      <c r="AF498" s="173"/>
      <c r="AG498" s="87" t="s">
        <v>130</v>
      </c>
      <c r="AH498" s="87"/>
      <c r="AI498" s="87">
        <v>8.2360704492E10</v>
      </c>
      <c r="AJ498" s="87" t="s">
        <v>3638</v>
      </c>
      <c r="AK498" s="97" t="s">
        <v>3639</v>
      </c>
      <c r="AL498" s="87" t="s">
        <v>798</v>
      </c>
      <c r="AM498" s="87" t="s">
        <v>73</v>
      </c>
      <c r="AN498" s="87" t="s">
        <v>74</v>
      </c>
      <c r="AO498" s="87" t="s">
        <v>774</v>
      </c>
      <c r="AP498" s="87" t="s">
        <v>799</v>
      </c>
      <c r="AQ498" s="87"/>
      <c r="AR498" s="87"/>
    </row>
    <row r="499">
      <c r="A499" s="89">
        <v>15.0</v>
      </c>
      <c r="B499" s="87" t="s">
        <v>3640</v>
      </c>
      <c r="C499" s="88" t="s">
        <v>3641</v>
      </c>
      <c r="D499" s="161"/>
      <c r="E499" s="161"/>
      <c r="F499" s="161"/>
      <c r="G499" s="161"/>
      <c r="H499" s="161"/>
      <c r="I499" s="162"/>
      <c r="J499" s="161"/>
      <c r="K499" s="164"/>
      <c r="L499" s="165"/>
      <c r="M499" s="166"/>
      <c r="N499" s="166"/>
      <c r="O499" s="167" t="s">
        <v>142</v>
      </c>
      <c r="P499" s="161"/>
      <c r="Q499" s="87" t="s">
        <v>3542</v>
      </c>
      <c r="R499" s="164"/>
      <c r="S499" s="165"/>
      <c r="T499" s="166"/>
      <c r="U499" s="165"/>
      <c r="V499" s="165"/>
      <c r="W499" s="167" t="s">
        <v>89</v>
      </c>
      <c r="X499" s="87" t="s">
        <v>3642</v>
      </c>
      <c r="Y499" s="169">
        <v>41612.0</v>
      </c>
      <c r="Z499" s="165"/>
      <c r="AA499" s="172"/>
      <c r="AB499" s="165"/>
      <c r="AC499" s="81">
        <v>498.0</v>
      </c>
      <c r="AD499" s="165"/>
      <c r="AE499" s="167" t="s">
        <v>67</v>
      </c>
      <c r="AF499" s="173"/>
      <c r="AG499" s="87" t="s">
        <v>130</v>
      </c>
      <c r="AH499" s="87"/>
      <c r="AI499" s="87">
        <v>8.1263334555E10</v>
      </c>
      <c r="AJ499" s="87" t="s">
        <v>3643</v>
      </c>
      <c r="AK499" s="97" t="s">
        <v>3644</v>
      </c>
      <c r="AL499" s="87" t="s">
        <v>3645</v>
      </c>
      <c r="AM499" s="87" t="s">
        <v>73</v>
      </c>
      <c r="AN499" s="87" t="s">
        <v>74</v>
      </c>
      <c r="AO499" s="87" t="s">
        <v>774</v>
      </c>
      <c r="AP499" s="87" t="s">
        <v>775</v>
      </c>
      <c r="AQ499" s="87"/>
      <c r="AR499" s="87"/>
    </row>
    <row r="500">
      <c r="A500" s="89">
        <v>16.0</v>
      </c>
      <c r="B500" s="87" t="s">
        <v>3646</v>
      </c>
      <c r="C500" s="88" t="s">
        <v>3647</v>
      </c>
      <c r="D500" s="161"/>
      <c r="E500" s="161"/>
      <c r="F500" s="161"/>
      <c r="G500" s="161"/>
      <c r="H500" s="161"/>
      <c r="I500" s="162"/>
      <c r="J500" s="161"/>
      <c r="K500" s="164"/>
      <c r="L500" s="165"/>
      <c r="M500" s="166"/>
      <c r="N500" s="166"/>
      <c r="O500" s="167" t="s">
        <v>142</v>
      </c>
      <c r="P500" s="161"/>
      <c r="Q500" s="87" t="s">
        <v>3542</v>
      </c>
      <c r="R500" s="164"/>
      <c r="S500" s="165"/>
      <c r="T500" s="166"/>
      <c r="U500" s="165"/>
      <c r="V500" s="165"/>
      <c r="W500" s="167" t="s">
        <v>89</v>
      </c>
      <c r="X500" s="87" t="s">
        <v>3648</v>
      </c>
      <c r="Y500" s="169">
        <v>38930.0</v>
      </c>
      <c r="Z500" s="165"/>
      <c r="AA500" s="172"/>
      <c r="AB500" s="165"/>
      <c r="AC500" s="81">
        <v>499.0</v>
      </c>
      <c r="AD500" s="165"/>
      <c r="AE500" s="167" t="s">
        <v>67</v>
      </c>
      <c r="AF500" s="173"/>
      <c r="AG500" s="87" t="s">
        <v>68</v>
      </c>
      <c r="AH500" s="87"/>
      <c r="AI500" s="87">
        <v>8.1223780526E10</v>
      </c>
      <c r="AJ500" s="87" t="s">
        <v>3649</v>
      </c>
      <c r="AK500" s="97" t="s">
        <v>3650</v>
      </c>
      <c r="AL500" s="87" t="s">
        <v>3651</v>
      </c>
      <c r="AM500" s="87" t="s">
        <v>96</v>
      </c>
      <c r="AN500" s="87" t="s">
        <v>135</v>
      </c>
      <c r="AO500" s="87" t="s">
        <v>213</v>
      </c>
      <c r="AP500" s="87" t="s">
        <v>885</v>
      </c>
      <c r="AQ500" s="87">
        <v>0.0</v>
      </c>
      <c r="AR500" s="87">
        <v>0.0</v>
      </c>
    </row>
    <row r="501">
      <c r="A501" s="89">
        <v>17.0</v>
      </c>
      <c r="B501" s="87" t="s">
        <v>3652</v>
      </c>
      <c r="C501" s="88" t="s">
        <v>3653</v>
      </c>
      <c r="D501" s="161"/>
      <c r="E501" s="161"/>
      <c r="F501" s="161"/>
      <c r="G501" s="161"/>
      <c r="H501" s="161"/>
      <c r="I501" s="162"/>
      <c r="J501" s="161"/>
      <c r="K501" s="164"/>
      <c r="L501" s="165"/>
      <c r="M501" s="166"/>
      <c r="N501" s="166"/>
      <c r="O501" s="167" t="s">
        <v>142</v>
      </c>
      <c r="P501" s="161"/>
      <c r="Q501" s="87" t="s">
        <v>3542</v>
      </c>
      <c r="R501" s="164"/>
      <c r="S501" s="165"/>
      <c r="T501" s="166"/>
      <c r="U501" s="165"/>
      <c r="V501" s="165"/>
      <c r="W501" s="167" t="s">
        <v>89</v>
      </c>
      <c r="X501" s="87" t="s">
        <v>231</v>
      </c>
      <c r="Y501" s="171">
        <v>42045.0</v>
      </c>
      <c r="Z501" s="165"/>
      <c r="AA501" s="172"/>
      <c r="AB501" s="165"/>
      <c r="AC501" s="81">
        <v>500.0</v>
      </c>
      <c r="AD501" s="165"/>
      <c r="AE501" s="167" t="s">
        <v>220</v>
      </c>
      <c r="AF501" s="173"/>
      <c r="AG501" s="87" t="s">
        <v>130</v>
      </c>
      <c r="AH501" s="87"/>
      <c r="AI501" s="87">
        <v>8.1284365985E10</v>
      </c>
      <c r="AJ501" s="87" t="s">
        <v>3654</v>
      </c>
      <c r="AK501" s="97" t="s">
        <v>3655</v>
      </c>
      <c r="AL501" s="87" t="s">
        <v>3656</v>
      </c>
      <c r="AM501" s="87" t="s">
        <v>96</v>
      </c>
      <c r="AN501" s="87" t="s">
        <v>97</v>
      </c>
      <c r="AO501" s="87" t="s">
        <v>3398</v>
      </c>
      <c r="AP501" s="87" t="s">
        <v>3657</v>
      </c>
      <c r="AQ501" s="87">
        <v>0.0</v>
      </c>
      <c r="AR501" s="87">
        <v>0.0</v>
      </c>
    </row>
    <row r="502">
      <c r="A502" s="89">
        <v>18.0</v>
      </c>
      <c r="B502" s="87" t="s">
        <v>3658</v>
      </c>
      <c r="C502" s="88" t="s">
        <v>3659</v>
      </c>
      <c r="D502" s="161"/>
      <c r="E502" s="161"/>
      <c r="F502" s="161"/>
      <c r="G502" s="161"/>
      <c r="H502" s="161"/>
      <c r="I502" s="162"/>
      <c r="J502" s="161"/>
      <c r="K502" s="164"/>
      <c r="L502" s="165"/>
      <c r="M502" s="166"/>
      <c r="N502" s="166"/>
      <c r="O502" s="167" t="s">
        <v>142</v>
      </c>
      <c r="P502" s="161"/>
      <c r="Q502" s="87" t="s">
        <v>3542</v>
      </c>
      <c r="R502" s="164"/>
      <c r="S502" s="165"/>
      <c r="T502" s="166"/>
      <c r="U502" s="165"/>
      <c r="V502" s="165"/>
      <c r="W502" s="167" t="s">
        <v>89</v>
      </c>
      <c r="X502" s="87" t="s">
        <v>509</v>
      </c>
      <c r="Y502" s="169">
        <v>36682.0</v>
      </c>
      <c r="Z502" s="165"/>
      <c r="AA502" s="172"/>
      <c r="AB502" s="165"/>
      <c r="AC502" s="81">
        <v>501.0</v>
      </c>
      <c r="AD502" s="165"/>
      <c r="AE502" s="167" t="s">
        <v>67</v>
      </c>
      <c r="AF502" s="173"/>
      <c r="AG502" s="87" t="s">
        <v>130</v>
      </c>
      <c r="AH502" s="87"/>
      <c r="AI502" s="87">
        <v>8.1397626484E10</v>
      </c>
      <c r="AJ502" s="87" t="s">
        <v>3660</v>
      </c>
      <c r="AK502" s="97" t="s">
        <v>3661</v>
      </c>
      <c r="AL502" s="87" t="s">
        <v>3662</v>
      </c>
      <c r="AM502" s="87" t="s">
        <v>96</v>
      </c>
      <c r="AN502" s="87" t="s">
        <v>97</v>
      </c>
      <c r="AO502" s="87" t="s">
        <v>3398</v>
      </c>
      <c r="AP502" s="87" t="s">
        <v>3578</v>
      </c>
      <c r="AQ502" s="87">
        <v>0.0</v>
      </c>
      <c r="AR502" s="87">
        <v>0.0</v>
      </c>
    </row>
    <row r="503">
      <c r="A503" s="89">
        <v>19.0</v>
      </c>
      <c r="B503" s="87" t="s">
        <v>3663</v>
      </c>
      <c r="C503" s="88" t="s">
        <v>3664</v>
      </c>
      <c r="D503" s="161"/>
      <c r="E503" s="161"/>
      <c r="F503" s="161"/>
      <c r="G503" s="161"/>
      <c r="H503" s="161"/>
      <c r="I503" s="162"/>
      <c r="J503" s="161"/>
      <c r="K503" s="164"/>
      <c r="L503" s="165"/>
      <c r="M503" s="166"/>
      <c r="N503" s="166"/>
      <c r="O503" s="167" t="s">
        <v>532</v>
      </c>
      <c r="P503" s="161"/>
      <c r="Q503" s="87" t="s">
        <v>3542</v>
      </c>
      <c r="R503" s="164"/>
      <c r="S503" s="165"/>
      <c r="T503" s="166"/>
      <c r="U503" s="165"/>
      <c r="V503" s="165"/>
      <c r="W503" s="167" t="s">
        <v>285</v>
      </c>
      <c r="X503" s="87" t="s">
        <v>3665</v>
      </c>
      <c r="Y503" s="171">
        <v>38533.0</v>
      </c>
      <c r="Z503" s="165"/>
      <c r="AA503" s="172"/>
      <c r="AB503" s="165"/>
      <c r="AC503" s="81">
        <v>502.0</v>
      </c>
      <c r="AD503" s="165"/>
      <c r="AE503" s="167" t="s">
        <v>67</v>
      </c>
      <c r="AF503" s="173"/>
      <c r="AG503" s="87" t="s">
        <v>68</v>
      </c>
      <c r="AH503" s="87"/>
      <c r="AI503" s="87">
        <v>8.22744748E10</v>
      </c>
      <c r="AJ503" s="87" t="s">
        <v>3666</v>
      </c>
      <c r="AK503" s="97" t="s">
        <v>3667</v>
      </c>
      <c r="AL503" s="87" t="s">
        <v>3668</v>
      </c>
      <c r="AM503" s="87" t="s">
        <v>73</v>
      </c>
      <c r="AN503" s="87" t="s">
        <v>74</v>
      </c>
      <c r="AO503" s="87" t="s">
        <v>774</v>
      </c>
      <c r="AP503" s="87" t="s">
        <v>775</v>
      </c>
      <c r="AQ503" s="87">
        <v>0.0</v>
      </c>
      <c r="AR503" s="87">
        <v>0.0</v>
      </c>
    </row>
    <row r="504">
      <c r="A504" s="89">
        <v>20.0</v>
      </c>
      <c r="B504" s="87" t="s">
        <v>3669</v>
      </c>
      <c r="C504" s="88" t="s">
        <v>3670</v>
      </c>
      <c r="D504" s="161"/>
      <c r="E504" s="161"/>
      <c r="F504" s="161"/>
      <c r="G504" s="161"/>
      <c r="H504" s="161"/>
      <c r="I504" s="162"/>
      <c r="J504" s="161"/>
      <c r="K504" s="164"/>
      <c r="L504" s="165"/>
      <c r="M504" s="166"/>
      <c r="N504" s="166"/>
      <c r="O504" s="167" t="s">
        <v>532</v>
      </c>
      <c r="P504" s="161"/>
      <c r="Q504" s="87" t="s">
        <v>3542</v>
      </c>
      <c r="R504" s="164"/>
      <c r="S504" s="165"/>
      <c r="T504" s="166"/>
      <c r="U504" s="165"/>
      <c r="V504" s="165"/>
      <c r="W504" s="167" t="s">
        <v>285</v>
      </c>
      <c r="X504" s="87" t="s">
        <v>3671</v>
      </c>
      <c r="Y504" s="169">
        <v>37412.0</v>
      </c>
      <c r="Z504" s="165"/>
      <c r="AA504" s="172"/>
      <c r="AB504" s="165"/>
      <c r="AC504" s="81">
        <v>503.0</v>
      </c>
      <c r="AD504" s="165"/>
      <c r="AE504" s="167" t="s">
        <v>220</v>
      </c>
      <c r="AF504" s="173"/>
      <c r="AG504" s="87" t="s">
        <v>130</v>
      </c>
      <c r="AH504" s="87"/>
      <c r="AI504" s="87">
        <v>8.2286493097E10</v>
      </c>
      <c r="AJ504" s="87" t="s">
        <v>3672</v>
      </c>
      <c r="AK504" s="97" t="s">
        <v>3673</v>
      </c>
      <c r="AL504" s="87" t="s">
        <v>3674</v>
      </c>
      <c r="AM504" s="87" t="s">
        <v>73</v>
      </c>
      <c r="AN504" s="87" t="s">
        <v>481</v>
      </c>
      <c r="AO504" s="87" t="s">
        <v>75</v>
      </c>
      <c r="AP504" s="87" t="s">
        <v>1198</v>
      </c>
      <c r="AQ504" s="87">
        <v>0.0</v>
      </c>
      <c r="AR504" s="87">
        <v>0.0</v>
      </c>
    </row>
    <row r="505">
      <c r="A505" s="89">
        <v>21.0</v>
      </c>
      <c r="B505" s="87" t="s">
        <v>3675</v>
      </c>
      <c r="C505" s="88" t="s">
        <v>3676</v>
      </c>
      <c r="D505" s="161"/>
      <c r="E505" s="161"/>
      <c r="F505" s="161"/>
      <c r="G505" s="161"/>
      <c r="H505" s="161"/>
      <c r="I505" s="162"/>
      <c r="J505" s="161"/>
      <c r="K505" s="164"/>
      <c r="L505" s="165"/>
      <c r="M505" s="166"/>
      <c r="N505" s="166"/>
      <c r="O505" s="167" t="s">
        <v>142</v>
      </c>
      <c r="P505" s="161"/>
      <c r="Q505" s="87" t="s">
        <v>3542</v>
      </c>
      <c r="R505" s="164"/>
      <c r="S505" s="165"/>
      <c r="T505" s="166"/>
      <c r="U505" s="165"/>
      <c r="V505" s="165"/>
      <c r="W505" s="167" t="s">
        <v>89</v>
      </c>
      <c r="X505" s="87" t="s">
        <v>1231</v>
      </c>
      <c r="Y505" s="169">
        <v>40634.0</v>
      </c>
      <c r="Z505" s="165"/>
      <c r="AA505" s="172"/>
      <c r="AB505" s="165"/>
      <c r="AC505" s="81">
        <v>504.0</v>
      </c>
      <c r="AD505" s="165"/>
      <c r="AE505" s="167" t="s">
        <v>67</v>
      </c>
      <c r="AF505" s="173"/>
      <c r="AG505" s="87" t="s">
        <v>68</v>
      </c>
      <c r="AH505" s="87"/>
      <c r="AI505" s="87">
        <v>8.5297771441E10</v>
      </c>
      <c r="AJ505" s="87" t="s">
        <v>3677</v>
      </c>
      <c r="AK505" s="97" t="s">
        <v>3678</v>
      </c>
      <c r="AL505" s="87" t="s">
        <v>3679</v>
      </c>
      <c r="AM505" s="87" t="s">
        <v>73</v>
      </c>
      <c r="AN505" s="87" t="s">
        <v>74</v>
      </c>
      <c r="AO505" s="87" t="s">
        <v>454</v>
      </c>
      <c r="AP505" s="87" t="s">
        <v>455</v>
      </c>
      <c r="AQ505" s="87">
        <v>0.0</v>
      </c>
      <c r="AR505" s="87">
        <v>0.0</v>
      </c>
    </row>
    <row r="506">
      <c r="A506" s="89">
        <v>22.0</v>
      </c>
      <c r="B506" s="87" t="s">
        <v>3680</v>
      </c>
      <c r="C506" s="88" t="s">
        <v>3681</v>
      </c>
      <c r="D506" s="161"/>
      <c r="E506" s="161"/>
      <c r="F506" s="161"/>
      <c r="G506" s="161"/>
      <c r="H506" s="161"/>
      <c r="I506" s="162"/>
      <c r="J506" s="161"/>
      <c r="K506" s="164"/>
      <c r="L506" s="165"/>
      <c r="M506" s="166"/>
      <c r="N506" s="166"/>
      <c r="O506" s="167" t="s">
        <v>142</v>
      </c>
      <c r="P506" s="161"/>
      <c r="Q506" s="87" t="s">
        <v>3542</v>
      </c>
      <c r="R506" s="164"/>
      <c r="S506" s="165"/>
      <c r="T506" s="166"/>
      <c r="U506" s="165"/>
      <c r="V506" s="165"/>
      <c r="W506" s="167" t="s">
        <v>89</v>
      </c>
      <c r="X506" s="87" t="s">
        <v>3682</v>
      </c>
      <c r="Y506" s="171">
        <v>38607.0</v>
      </c>
      <c r="Z506" s="165"/>
      <c r="AA506" s="172"/>
      <c r="AB506" s="165"/>
      <c r="AC506" s="81">
        <v>505.0</v>
      </c>
      <c r="AD506" s="165"/>
      <c r="AE506" s="167" t="s">
        <v>67</v>
      </c>
      <c r="AF506" s="173"/>
      <c r="AG506" s="87" t="s">
        <v>68</v>
      </c>
      <c r="AH506" s="87"/>
      <c r="AI506" s="87">
        <v>8.2298074858E10</v>
      </c>
      <c r="AJ506" s="87" t="s">
        <v>3683</v>
      </c>
      <c r="AK506" s="97" t="s">
        <v>3684</v>
      </c>
      <c r="AL506" s="87" t="s">
        <v>3685</v>
      </c>
      <c r="AM506" s="87" t="s">
        <v>96</v>
      </c>
      <c r="AN506" s="87" t="s">
        <v>3686</v>
      </c>
      <c r="AO506" s="87" t="s">
        <v>3687</v>
      </c>
      <c r="AP506" s="87" t="s">
        <v>3688</v>
      </c>
      <c r="AQ506" s="87"/>
      <c r="AR506" s="87"/>
    </row>
    <row r="507">
      <c r="A507" s="89">
        <v>23.0</v>
      </c>
      <c r="B507" s="87" t="s">
        <v>3689</v>
      </c>
      <c r="C507" s="88" t="s">
        <v>3690</v>
      </c>
      <c r="D507" s="161"/>
      <c r="E507" s="161"/>
      <c r="F507" s="161"/>
      <c r="G507" s="161"/>
      <c r="H507" s="161"/>
      <c r="I507" s="162"/>
      <c r="J507" s="161"/>
      <c r="K507" s="164"/>
      <c r="L507" s="165"/>
      <c r="M507" s="166"/>
      <c r="N507" s="166"/>
      <c r="O507" s="167" t="s">
        <v>142</v>
      </c>
      <c r="P507" s="161"/>
      <c r="Q507" s="87" t="s">
        <v>3542</v>
      </c>
      <c r="R507" s="164"/>
      <c r="S507" s="165"/>
      <c r="T507" s="166"/>
      <c r="U507" s="165"/>
      <c r="V507" s="165"/>
      <c r="W507" s="167" t="s">
        <v>89</v>
      </c>
      <c r="X507" s="87" t="s">
        <v>745</v>
      </c>
      <c r="Y507" s="169">
        <v>39545.0</v>
      </c>
      <c r="Z507" s="165"/>
      <c r="AA507" s="172"/>
      <c r="AB507" s="165"/>
      <c r="AC507" s="81">
        <v>506.0</v>
      </c>
      <c r="AD507" s="165"/>
      <c r="AE507" s="167" t="s">
        <v>67</v>
      </c>
      <c r="AF507" s="173"/>
      <c r="AG507" s="87" t="s">
        <v>68</v>
      </c>
      <c r="AH507" s="87"/>
      <c r="AI507" s="87">
        <v>8.126594744E10</v>
      </c>
      <c r="AJ507" s="87" t="s">
        <v>3691</v>
      </c>
      <c r="AK507" s="97" t="s">
        <v>3692</v>
      </c>
      <c r="AL507" s="87" t="s">
        <v>3693</v>
      </c>
      <c r="AM507" s="87" t="s">
        <v>96</v>
      </c>
      <c r="AN507" s="87" t="s">
        <v>97</v>
      </c>
      <c r="AO507" s="87" t="s">
        <v>1422</v>
      </c>
      <c r="AP507" s="87" t="s">
        <v>3694</v>
      </c>
      <c r="AQ507" s="87">
        <v>0.0</v>
      </c>
      <c r="AR507" s="87">
        <v>0.0</v>
      </c>
    </row>
    <row r="508">
      <c r="A508" s="89">
        <v>24.0</v>
      </c>
      <c r="B508" s="87" t="s">
        <v>3695</v>
      </c>
      <c r="C508" s="88" t="s">
        <v>3696</v>
      </c>
      <c r="D508" s="161"/>
      <c r="E508" s="161"/>
      <c r="F508" s="161"/>
      <c r="G508" s="161"/>
      <c r="H508" s="161"/>
      <c r="I508" s="162"/>
      <c r="J508" s="161"/>
      <c r="K508" s="164"/>
      <c r="L508" s="165"/>
      <c r="M508" s="166"/>
      <c r="N508" s="166"/>
      <c r="O508" s="167" t="s">
        <v>142</v>
      </c>
      <c r="P508" s="161"/>
      <c r="Q508" s="87" t="s">
        <v>3542</v>
      </c>
      <c r="R508" s="164"/>
      <c r="S508" s="165"/>
      <c r="T508" s="166"/>
      <c r="U508" s="165"/>
      <c r="V508" s="165"/>
      <c r="W508" s="167" t="s">
        <v>89</v>
      </c>
      <c r="X508" s="87" t="s">
        <v>260</v>
      </c>
      <c r="Y508" s="171">
        <v>40022.0</v>
      </c>
      <c r="Z508" s="165"/>
      <c r="AA508" s="172"/>
      <c r="AB508" s="165"/>
      <c r="AC508" s="81">
        <v>507.0</v>
      </c>
      <c r="AD508" s="165"/>
      <c r="AE508" s="167" t="s">
        <v>67</v>
      </c>
      <c r="AF508" s="173"/>
      <c r="AG508" s="87" t="s">
        <v>130</v>
      </c>
      <c r="AH508" s="87"/>
      <c r="AI508" s="87">
        <v>8.1361247407E10</v>
      </c>
      <c r="AJ508" s="87" t="s">
        <v>3697</v>
      </c>
      <c r="AK508" s="97" t="s">
        <v>3698</v>
      </c>
      <c r="AL508" s="87" t="s">
        <v>3699</v>
      </c>
      <c r="AM508" s="87" t="s">
        <v>73</v>
      </c>
      <c r="AN508" s="87" t="s">
        <v>74</v>
      </c>
      <c r="AO508" s="87" t="s">
        <v>989</v>
      </c>
      <c r="AP508" s="87" t="s">
        <v>3700</v>
      </c>
      <c r="AQ508" s="87">
        <v>0.0</v>
      </c>
      <c r="AR508" s="87">
        <v>0.0</v>
      </c>
    </row>
    <row r="509">
      <c r="A509" s="89">
        <v>25.0</v>
      </c>
      <c r="B509" s="87" t="s">
        <v>3701</v>
      </c>
      <c r="C509" s="88" t="s">
        <v>3702</v>
      </c>
      <c r="D509" s="161"/>
      <c r="E509" s="161"/>
      <c r="F509" s="161"/>
      <c r="G509" s="161"/>
      <c r="H509" s="161"/>
      <c r="I509" s="162"/>
      <c r="J509" s="161"/>
      <c r="K509" s="164"/>
      <c r="L509" s="165"/>
      <c r="M509" s="166"/>
      <c r="N509" s="166"/>
      <c r="O509" s="167" t="s">
        <v>142</v>
      </c>
      <c r="P509" s="161"/>
      <c r="Q509" s="87" t="s">
        <v>3542</v>
      </c>
      <c r="R509" s="164"/>
      <c r="S509" s="165"/>
      <c r="T509" s="166"/>
      <c r="U509" s="165"/>
      <c r="V509" s="165"/>
      <c r="W509" s="167" t="s">
        <v>89</v>
      </c>
      <c r="X509" s="87" t="s">
        <v>671</v>
      </c>
      <c r="Y509" s="169">
        <v>41913.0</v>
      </c>
      <c r="Z509" s="165"/>
      <c r="AA509" s="172"/>
      <c r="AB509" s="165"/>
      <c r="AC509" s="81">
        <v>508.0</v>
      </c>
      <c r="AD509" s="165"/>
      <c r="AE509" s="167" t="s">
        <v>67</v>
      </c>
      <c r="AF509" s="173"/>
      <c r="AG509" s="87" t="s">
        <v>130</v>
      </c>
      <c r="AH509" s="87"/>
      <c r="AI509" s="87">
        <v>8.1362396604E10</v>
      </c>
      <c r="AJ509" s="87" t="s">
        <v>3703</v>
      </c>
      <c r="AK509" s="97" t="s">
        <v>3704</v>
      </c>
      <c r="AL509" s="87" t="s">
        <v>3705</v>
      </c>
      <c r="AM509" s="87" t="s">
        <v>73</v>
      </c>
      <c r="AN509" s="87" t="s">
        <v>74</v>
      </c>
      <c r="AO509" s="87" t="s">
        <v>989</v>
      </c>
      <c r="AP509" s="87" t="s">
        <v>1585</v>
      </c>
      <c r="AQ509" s="87"/>
      <c r="AR509" s="87"/>
    </row>
    <row r="510">
      <c r="A510" s="89">
        <v>26.0</v>
      </c>
      <c r="B510" s="87" t="s">
        <v>3706</v>
      </c>
      <c r="C510" s="88" t="s">
        <v>3707</v>
      </c>
      <c r="D510" s="161"/>
      <c r="E510" s="161"/>
      <c r="F510" s="161"/>
      <c r="G510" s="161"/>
      <c r="H510" s="161"/>
      <c r="I510" s="162"/>
      <c r="J510" s="161"/>
      <c r="K510" s="164"/>
      <c r="L510" s="165"/>
      <c r="M510" s="166"/>
      <c r="N510" s="166"/>
      <c r="O510" s="167" t="s">
        <v>142</v>
      </c>
      <c r="P510" s="161"/>
      <c r="Q510" s="87" t="s">
        <v>3542</v>
      </c>
      <c r="R510" s="164"/>
      <c r="S510" s="165"/>
      <c r="T510" s="166"/>
      <c r="U510" s="165"/>
      <c r="V510" s="165"/>
      <c r="W510" s="167" t="s">
        <v>89</v>
      </c>
      <c r="X510" s="87" t="s">
        <v>3708</v>
      </c>
      <c r="Y510" s="169">
        <v>40665.0</v>
      </c>
      <c r="Z510" s="165"/>
      <c r="AA510" s="172"/>
      <c r="AB510" s="165"/>
      <c r="AC510" s="81">
        <v>509.0</v>
      </c>
      <c r="AD510" s="165"/>
      <c r="AE510" s="167" t="s">
        <v>67</v>
      </c>
      <c r="AF510" s="173"/>
      <c r="AG510" s="87" t="s">
        <v>130</v>
      </c>
      <c r="AH510" s="87"/>
      <c r="AI510" s="87">
        <v>8.52972011E10</v>
      </c>
      <c r="AJ510" s="87" t="s">
        <v>3709</v>
      </c>
      <c r="AK510" s="97" t="s">
        <v>3710</v>
      </c>
      <c r="AL510" s="87" t="s">
        <v>3711</v>
      </c>
      <c r="AM510" s="87" t="s">
        <v>96</v>
      </c>
      <c r="AN510" s="87" t="s">
        <v>97</v>
      </c>
      <c r="AO510" s="87" t="s">
        <v>379</v>
      </c>
      <c r="AP510" s="87" t="s">
        <v>2205</v>
      </c>
      <c r="AQ510" s="87">
        <v>0.0</v>
      </c>
      <c r="AR510" s="87">
        <v>0.0</v>
      </c>
    </row>
    <row r="511">
      <c r="A511" s="89">
        <v>27.0</v>
      </c>
      <c r="B511" s="87" t="s">
        <v>3712</v>
      </c>
      <c r="C511" s="88" t="s">
        <v>3713</v>
      </c>
      <c r="D511" s="161"/>
      <c r="E511" s="161"/>
      <c r="F511" s="161"/>
      <c r="G511" s="161"/>
      <c r="H511" s="161"/>
      <c r="I511" s="162"/>
      <c r="J511" s="161"/>
      <c r="K511" s="164"/>
      <c r="L511" s="165"/>
      <c r="M511" s="166"/>
      <c r="N511" s="166"/>
      <c r="O511" s="167" t="s">
        <v>142</v>
      </c>
      <c r="P511" s="161"/>
      <c r="Q511" s="87" t="s">
        <v>3542</v>
      </c>
      <c r="R511" s="164"/>
      <c r="S511" s="165"/>
      <c r="T511" s="166"/>
      <c r="U511" s="165"/>
      <c r="V511" s="165"/>
      <c r="W511" s="167" t="s">
        <v>89</v>
      </c>
      <c r="X511" s="87" t="s">
        <v>2353</v>
      </c>
      <c r="Y511" s="169">
        <v>41549.0</v>
      </c>
      <c r="Z511" s="165"/>
      <c r="AA511" s="172"/>
      <c r="AB511" s="165"/>
      <c r="AC511" s="81">
        <v>510.0</v>
      </c>
      <c r="AD511" s="165"/>
      <c r="AE511" s="167" t="s">
        <v>220</v>
      </c>
      <c r="AF511" s="173"/>
      <c r="AG511" s="87" t="s">
        <v>68</v>
      </c>
      <c r="AH511" s="173"/>
      <c r="AI511" s="87">
        <v>8.126311221E9</v>
      </c>
      <c r="AJ511" s="87" t="s">
        <v>3714</v>
      </c>
      <c r="AK511" s="97" t="s">
        <v>3715</v>
      </c>
      <c r="AL511" s="87" t="s">
        <v>3716</v>
      </c>
      <c r="AM511" s="87" t="s">
        <v>73</v>
      </c>
      <c r="AN511" s="87" t="s">
        <v>74</v>
      </c>
      <c r="AO511" s="87" t="s">
        <v>774</v>
      </c>
      <c r="AP511" s="87" t="s">
        <v>942</v>
      </c>
      <c r="AQ511" s="87">
        <v>0.0</v>
      </c>
      <c r="AR511" s="87">
        <v>0.0</v>
      </c>
    </row>
    <row r="512">
      <c r="A512" s="89">
        <v>28.0</v>
      </c>
      <c r="B512" s="87" t="s">
        <v>3717</v>
      </c>
      <c r="C512" s="88" t="s">
        <v>3718</v>
      </c>
      <c r="D512" s="161"/>
      <c r="E512" s="161"/>
      <c r="F512" s="161"/>
      <c r="G512" s="161"/>
      <c r="H512" s="161"/>
      <c r="I512" s="162"/>
      <c r="J512" s="161"/>
      <c r="K512" s="164"/>
      <c r="L512" s="165"/>
      <c r="M512" s="166"/>
      <c r="N512" s="166"/>
      <c r="O512" s="167" t="s">
        <v>142</v>
      </c>
      <c r="P512" s="161"/>
      <c r="Q512" s="87" t="s">
        <v>3542</v>
      </c>
      <c r="R512" s="164"/>
      <c r="S512" s="165"/>
      <c r="T512" s="166"/>
      <c r="U512" s="165"/>
      <c r="V512" s="165"/>
      <c r="W512" s="167" t="s">
        <v>89</v>
      </c>
      <c r="X512" s="87" t="s">
        <v>3156</v>
      </c>
      <c r="Y512" s="171">
        <v>40416.0</v>
      </c>
      <c r="Z512" s="165"/>
      <c r="AA512" s="172"/>
      <c r="AB512" s="165"/>
      <c r="AC512" s="81">
        <v>511.0</v>
      </c>
      <c r="AD512" s="165"/>
      <c r="AE512" s="167" t="s">
        <v>67</v>
      </c>
      <c r="AF512" s="173"/>
      <c r="AG512" s="87" t="s">
        <v>130</v>
      </c>
      <c r="AH512" s="173"/>
      <c r="AI512" s="87">
        <v>8.139678406E10</v>
      </c>
      <c r="AJ512" s="87" t="s">
        <v>3719</v>
      </c>
      <c r="AK512" s="97" t="s">
        <v>3720</v>
      </c>
      <c r="AL512" s="87" t="s">
        <v>3721</v>
      </c>
      <c r="AM512" s="87" t="s">
        <v>96</v>
      </c>
      <c r="AN512" s="87" t="s">
        <v>74</v>
      </c>
      <c r="AO512" s="87" t="s">
        <v>989</v>
      </c>
      <c r="AP512" s="87" t="s">
        <v>3700</v>
      </c>
      <c r="AQ512" s="87">
        <v>0.0</v>
      </c>
      <c r="AR512" s="87">
        <v>0.0</v>
      </c>
    </row>
    <row r="513">
      <c r="A513" s="89">
        <v>29.0</v>
      </c>
      <c r="B513" s="87" t="s">
        <v>3722</v>
      </c>
      <c r="C513" s="88" t="s">
        <v>3723</v>
      </c>
      <c r="D513" s="161"/>
      <c r="E513" s="161"/>
      <c r="F513" s="161"/>
      <c r="G513" s="161"/>
      <c r="H513" s="161"/>
      <c r="I513" s="162"/>
      <c r="J513" s="161"/>
      <c r="K513" s="164"/>
      <c r="L513" s="165"/>
      <c r="M513" s="166"/>
      <c r="N513" s="166"/>
      <c r="O513" s="167" t="s">
        <v>142</v>
      </c>
      <c r="P513" s="161"/>
      <c r="Q513" s="87" t="s">
        <v>3542</v>
      </c>
      <c r="R513" s="164"/>
      <c r="S513" s="165"/>
      <c r="T513" s="166"/>
      <c r="U513" s="165"/>
      <c r="V513" s="165"/>
      <c r="W513" s="167" t="s">
        <v>89</v>
      </c>
      <c r="X513" s="87" t="s">
        <v>3724</v>
      </c>
      <c r="Y513" s="171">
        <v>40308.0</v>
      </c>
      <c r="Z513" s="165"/>
      <c r="AA513" s="172"/>
      <c r="AB513" s="165"/>
      <c r="AC513" s="81">
        <v>512.0</v>
      </c>
      <c r="AD513" s="165"/>
      <c r="AE513" s="167" t="s">
        <v>67</v>
      </c>
      <c r="AF513" s="173"/>
      <c r="AG513" s="87" t="s">
        <v>130</v>
      </c>
      <c r="AH513" s="173"/>
      <c r="AI513" s="87">
        <v>8.1396637303E10</v>
      </c>
      <c r="AJ513" s="87" t="s">
        <v>3725</v>
      </c>
      <c r="AK513" s="97" t="s">
        <v>3726</v>
      </c>
      <c r="AL513" s="87" t="s">
        <v>3727</v>
      </c>
      <c r="AM513" s="87" t="s">
        <v>73</v>
      </c>
      <c r="AN513" s="87" t="s">
        <v>481</v>
      </c>
      <c r="AO513" s="87" t="s">
        <v>582</v>
      </c>
      <c r="AP513" s="87" t="s">
        <v>900</v>
      </c>
      <c r="AQ513" s="87">
        <v>0.0</v>
      </c>
      <c r="AR513" s="87">
        <v>0.0</v>
      </c>
    </row>
    <row r="514">
      <c r="A514" s="89">
        <v>30.0</v>
      </c>
      <c r="B514" s="87" t="s">
        <v>3728</v>
      </c>
      <c r="C514" s="88" t="s">
        <v>3729</v>
      </c>
      <c r="D514" s="161"/>
      <c r="E514" s="161"/>
      <c r="F514" s="161"/>
      <c r="G514" s="161"/>
      <c r="H514" s="161"/>
      <c r="I514" s="162"/>
      <c r="J514" s="161"/>
      <c r="K514" s="164"/>
      <c r="L514" s="165"/>
      <c r="M514" s="166"/>
      <c r="N514" s="166"/>
      <c r="O514" s="167" t="s">
        <v>142</v>
      </c>
      <c r="P514" s="161"/>
      <c r="Q514" s="87" t="s">
        <v>3542</v>
      </c>
      <c r="R514" s="164"/>
      <c r="S514" s="165"/>
      <c r="T514" s="166"/>
      <c r="U514" s="165"/>
      <c r="V514" s="165"/>
      <c r="W514" s="167" t="s">
        <v>89</v>
      </c>
      <c r="X514" s="87" t="s">
        <v>64</v>
      </c>
      <c r="Y514" s="171">
        <v>44985.0</v>
      </c>
      <c r="Z514" s="165"/>
      <c r="AA514" s="172"/>
      <c r="AB514" s="165"/>
      <c r="AC514" s="81">
        <v>513.0</v>
      </c>
      <c r="AD514" s="165"/>
      <c r="AE514" s="167" t="s">
        <v>67</v>
      </c>
      <c r="AF514" s="173"/>
      <c r="AG514" s="87" t="s">
        <v>68</v>
      </c>
      <c r="AH514" s="173"/>
      <c r="AI514" s="87">
        <v>8.1361839462E10</v>
      </c>
      <c r="AJ514" s="174" t="s">
        <v>3730</v>
      </c>
      <c r="AK514" s="97" t="s">
        <v>3731</v>
      </c>
      <c r="AL514" s="87" t="s">
        <v>3732</v>
      </c>
      <c r="AM514" s="87" t="s">
        <v>73</v>
      </c>
      <c r="AN514" s="87" t="s">
        <v>481</v>
      </c>
      <c r="AO514" s="87" t="s">
        <v>178</v>
      </c>
      <c r="AP514" s="87" t="s">
        <v>2743</v>
      </c>
      <c r="AQ514" s="87"/>
      <c r="AR514" s="87"/>
    </row>
    <row r="515">
      <c r="A515" s="89">
        <v>31.0</v>
      </c>
      <c r="B515" s="87" t="s">
        <v>3733</v>
      </c>
      <c r="C515" s="88" t="s">
        <v>3734</v>
      </c>
      <c r="D515" s="161"/>
      <c r="E515" s="161"/>
      <c r="F515" s="161"/>
      <c r="G515" s="161"/>
      <c r="H515" s="161"/>
      <c r="I515" s="162"/>
      <c r="J515" s="161"/>
      <c r="K515" s="164"/>
      <c r="L515" s="165"/>
      <c r="M515" s="166"/>
      <c r="N515" s="166"/>
      <c r="O515" s="167" t="s">
        <v>142</v>
      </c>
      <c r="P515" s="161"/>
      <c r="Q515" s="87" t="s">
        <v>3542</v>
      </c>
      <c r="R515" s="164"/>
      <c r="S515" s="165"/>
      <c r="T515" s="166"/>
      <c r="U515" s="165"/>
      <c r="V515" s="165"/>
      <c r="W515" s="167" t="s">
        <v>89</v>
      </c>
      <c r="X515" s="87" t="s">
        <v>1231</v>
      </c>
      <c r="Y515" s="171">
        <v>43965.0</v>
      </c>
      <c r="Z515" s="165"/>
      <c r="AA515" s="172"/>
      <c r="AB515" s="165"/>
      <c r="AC515" s="81">
        <v>514.0</v>
      </c>
      <c r="AD515" s="165"/>
      <c r="AE515" s="167" t="s">
        <v>67</v>
      </c>
      <c r="AF515" s="173"/>
      <c r="AG515" s="87" t="s">
        <v>68</v>
      </c>
      <c r="AH515" s="173"/>
      <c r="AI515" s="87">
        <v>8.1269808182E10</v>
      </c>
      <c r="AJ515" s="87" t="s">
        <v>3735</v>
      </c>
      <c r="AK515" s="97" t="s">
        <v>3736</v>
      </c>
      <c r="AL515" s="87" t="s">
        <v>3737</v>
      </c>
      <c r="AM515" s="87" t="s">
        <v>73</v>
      </c>
      <c r="AN515" s="87" t="s">
        <v>74</v>
      </c>
      <c r="AO515" s="87" t="s">
        <v>178</v>
      </c>
      <c r="AP515" s="87" t="s">
        <v>179</v>
      </c>
      <c r="AQ515" s="87">
        <v>0.0</v>
      </c>
      <c r="AR515" s="87">
        <v>0.0</v>
      </c>
    </row>
    <row r="516">
      <c r="A516" s="89">
        <v>32.0</v>
      </c>
      <c r="B516" s="87" t="s">
        <v>3738</v>
      </c>
      <c r="C516" s="88" t="s">
        <v>3739</v>
      </c>
      <c r="D516" s="161"/>
      <c r="E516" s="161"/>
      <c r="F516" s="161"/>
      <c r="G516" s="161"/>
      <c r="H516" s="161"/>
      <c r="I516" s="162"/>
      <c r="J516" s="161"/>
      <c r="K516" s="164"/>
      <c r="L516" s="165"/>
      <c r="M516" s="166"/>
      <c r="N516" s="166"/>
      <c r="O516" s="167" t="s">
        <v>532</v>
      </c>
      <c r="P516" s="161"/>
      <c r="Q516" s="87" t="s">
        <v>3542</v>
      </c>
      <c r="R516" s="164"/>
      <c r="S516" s="165"/>
      <c r="T516" s="166"/>
      <c r="U516" s="165"/>
      <c r="V516" s="165"/>
      <c r="W516" s="167" t="s">
        <v>285</v>
      </c>
      <c r="X516" s="87" t="s">
        <v>2371</v>
      </c>
      <c r="Y516" s="169">
        <v>42857.0</v>
      </c>
      <c r="Z516" s="165"/>
      <c r="AA516" s="172"/>
      <c r="AB516" s="165"/>
      <c r="AC516" s="81">
        <v>515.0</v>
      </c>
      <c r="AD516" s="165"/>
      <c r="AE516" s="167" t="s">
        <v>67</v>
      </c>
      <c r="AF516" s="173"/>
      <c r="AG516" s="87" t="s">
        <v>68</v>
      </c>
      <c r="AH516" s="173"/>
      <c r="AI516" s="87">
        <v>8.779234222E10</v>
      </c>
      <c r="AJ516" s="87" t="s">
        <v>3740</v>
      </c>
      <c r="AK516" s="97" t="s">
        <v>3741</v>
      </c>
      <c r="AL516" s="87" t="s">
        <v>3742</v>
      </c>
      <c r="AM516" s="87" t="s">
        <v>73</v>
      </c>
      <c r="AN516" s="87" t="s">
        <v>481</v>
      </c>
      <c r="AO516" s="87" t="s">
        <v>118</v>
      </c>
      <c r="AP516" s="87" t="s">
        <v>1848</v>
      </c>
      <c r="AQ516" s="87">
        <v>1.0</v>
      </c>
      <c r="AR516" s="87">
        <v>12.0</v>
      </c>
    </row>
    <row r="517">
      <c r="A517" s="89">
        <v>33.0</v>
      </c>
      <c r="B517" s="87" t="s">
        <v>3743</v>
      </c>
      <c r="C517" s="88" t="s">
        <v>3744</v>
      </c>
      <c r="D517" s="161"/>
      <c r="E517" s="161"/>
      <c r="F517" s="161"/>
      <c r="G517" s="161"/>
      <c r="H517" s="161"/>
      <c r="I517" s="162"/>
      <c r="J517" s="161"/>
      <c r="K517" s="164"/>
      <c r="L517" s="165"/>
      <c r="M517" s="166"/>
      <c r="N517" s="166"/>
      <c r="O517" s="167" t="s">
        <v>142</v>
      </c>
      <c r="P517" s="161"/>
      <c r="Q517" s="87" t="s">
        <v>3542</v>
      </c>
      <c r="R517" s="164"/>
      <c r="S517" s="165"/>
      <c r="T517" s="166"/>
      <c r="U517" s="165"/>
      <c r="V517" s="165"/>
      <c r="W517" s="167" t="s">
        <v>89</v>
      </c>
      <c r="X517" s="87" t="s">
        <v>1231</v>
      </c>
      <c r="Y517" s="171">
        <v>42457.0</v>
      </c>
      <c r="Z517" s="165"/>
      <c r="AA517" s="172"/>
      <c r="AB517" s="165"/>
      <c r="AC517" s="81">
        <v>516.0</v>
      </c>
      <c r="AD517" s="165"/>
      <c r="AE517" s="167" t="s">
        <v>67</v>
      </c>
      <c r="AF517" s="173"/>
      <c r="AG517" s="87" t="s">
        <v>68</v>
      </c>
      <c r="AH517" s="173"/>
      <c r="AI517" s="87">
        <v>8.2187754141E10</v>
      </c>
      <c r="AJ517" s="87" t="s">
        <v>3745</v>
      </c>
      <c r="AK517" s="97" t="s">
        <v>3746</v>
      </c>
      <c r="AL517" s="87" t="s">
        <v>3747</v>
      </c>
      <c r="AM517" s="87" t="s">
        <v>96</v>
      </c>
      <c r="AN517" s="87" t="s">
        <v>97</v>
      </c>
      <c r="AO517" s="87" t="s">
        <v>379</v>
      </c>
      <c r="AP517" s="87" t="s">
        <v>389</v>
      </c>
      <c r="AQ517" s="87"/>
      <c r="AR517" s="87"/>
    </row>
    <row r="518">
      <c r="A518" s="89">
        <v>34.0</v>
      </c>
      <c r="B518" s="87" t="s">
        <v>3748</v>
      </c>
      <c r="C518" s="88" t="s">
        <v>3749</v>
      </c>
      <c r="D518" s="161"/>
      <c r="E518" s="161"/>
      <c r="F518" s="161"/>
      <c r="G518" s="161"/>
      <c r="H518" s="161"/>
      <c r="I518" s="162"/>
      <c r="J518" s="161"/>
      <c r="K518" s="164"/>
      <c r="L518" s="165"/>
      <c r="M518" s="166"/>
      <c r="N518" s="166"/>
      <c r="O518" s="167" t="s">
        <v>142</v>
      </c>
      <c r="P518" s="161"/>
      <c r="Q518" s="87" t="s">
        <v>3542</v>
      </c>
      <c r="R518" s="164"/>
      <c r="S518" s="165"/>
      <c r="T518" s="166"/>
      <c r="U518" s="165"/>
      <c r="V518" s="165"/>
      <c r="W518" s="167" t="s">
        <v>89</v>
      </c>
      <c r="X518" s="87" t="s">
        <v>244</v>
      </c>
      <c r="Y518" s="169">
        <v>43504.0</v>
      </c>
      <c r="Z518" s="165"/>
      <c r="AA518" s="172"/>
      <c r="AB518" s="165"/>
      <c r="AC518" s="81">
        <v>517.0</v>
      </c>
      <c r="AD518" s="165"/>
      <c r="AE518" s="167" t="s">
        <v>67</v>
      </c>
      <c r="AF518" s="173"/>
      <c r="AG518" s="87" t="s">
        <v>130</v>
      </c>
      <c r="AH518" s="173"/>
      <c r="AI518" s="87">
        <v>8.5260735297E10</v>
      </c>
      <c r="AJ518" s="87" t="s">
        <v>3750</v>
      </c>
      <c r="AK518" s="97" t="s">
        <v>3751</v>
      </c>
      <c r="AL518" s="87" t="s">
        <v>3752</v>
      </c>
      <c r="AM518" s="87" t="s">
        <v>73</v>
      </c>
      <c r="AN518" s="87" t="s">
        <v>74</v>
      </c>
      <c r="AO518" s="87" t="s">
        <v>989</v>
      </c>
      <c r="AP518" s="87" t="s">
        <v>3753</v>
      </c>
      <c r="AQ518" s="87" t="s">
        <v>77</v>
      </c>
      <c r="AR518" s="87" t="s">
        <v>77</v>
      </c>
    </row>
    <row r="519">
      <c r="A519" s="89">
        <v>35.0</v>
      </c>
      <c r="B519" s="87" t="s">
        <v>3754</v>
      </c>
      <c r="C519" s="88" t="s">
        <v>3755</v>
      </c>
      <c r="D519" s="161"/>
      <c r="E519" s="161"/>
      <c r="F519" s="161"/>
      <c r="G519" s="161"/>
      <c r="H519" s="161"/>
      <c r="I519" s="162"/>
      <c r="J519" s="161"/>
      <c r="K519" s="164"/>
      <c r="L519" s="165"/>
      <c r="M519" s="166"/>
      <c r="N519" s="166"/>
      <c r="O519" s="167" t="s">
        <v>142</v>
      </c>
      <c r="P519" s="161"/>
      <c r="Q519" s="87" t="s">
        <v>3542</v>
      </c>
      <c r="R519" s="164"/>
      <c r="S519" s="165"/>
      <c r="T519" s="166"/>
      <c r="U519" s="165"/>
      <c r="V519" s="165"/>
      <c r="W519" s="167" t="s">
        <v>89</v>
      </c>
      <c r="X519" s="87" t="s">
        <v>3756</v>
      </c>
      <c r="Y519" s="171">
        <v>40166.0</v>
      </c>
      <c r="Z519" s="165"/>
      <c r="AA519" s="172"/>
      <c r="AB519" s="165"/>
      <c r="AC519" s="81">
        <v>518.0</v>
      </c>
      <c r="AD519" s="165"/>
      <c r="AE519" s="167" t="s">
        <v>311</v>
      </c>
      <c r="AF519" s="173"/>
      <c r="AG519" s="87" t="s">
        <v>130</v>
      </c>
      <c r="AH519" s="173"/>
      <c r="AI519" s="87">
        <v>8.11648051E9</v>
      </c>
      <c r="AJ519" s="87" t="s">
        <v>3757</v>
      </c>
      <c r="AK519" s="97" t="s">
        <v>3758</v>
      </c>
      <c r="AL519" s="87" t="s">
        <v>3759</v>
      </c>
      <c r="AM519" s="87" t="s">
        <v>96</v>
      </c>
      <c r="AN519" s="87" t="s">
        <v>97</v>
      </c>
      <c r="AO519" s="87" t="s">
        <v>379</v>
      </c>
      <c r="AP519" s="87" t="s">
        <v>2205</v>
      </c>
      <c r="AQ519" s="87">
        <v>0.0</v>
      </c>
      <c r="AR519" s="87">
        <v>0.0</v>
      </c>
    </row>
    <row r="520">
      <c r="A520" s="89">
        <v>36.0</v>
      </c>
      <c r="B520" s="87" t="s">
        <v>3760</v>
      </c>
      <c r="C520" s="88" t="s">
        <v>3761</v>
      </c>
      <c r="D520" s="161"/>
      <c r="E520" s="161"/>
      <c r="F520" s="161"/>
      <c r="G520" s="161"/>
      <c r="H520" s="161"/>
      <c r="I520" s="162"/>
      <c r="J520" s="161"/>
      <c r="K520" s="164"/>
      <c r="L520" s="165"/>
      <c r="M520" s="166"/>
      <c r="N520" s="166"/>
      <c r="O520" s="167" t="s">
        <v>519</v>
      </c>
      <c r="P520" s="161"/>
      <c r="Q520" s="87" t="s">
        <v>3542</v>
      </c>
      <c r="R520" s="164"/>
      <c r="S520" s="165"/>
      <c r="T520" s="166"/>
      <c r="U520" s="165"/>
      <c r="V520" s="165"/>
      <c r="W520" s="167" t="s">
        <v>267</v>
      </c>
      <c r="X520" s="87" t="s">
        <v>3762</v>
      </c>
      <c r="Y520" s="171">
        <v>35994.0</v>
      </c>
      <c r="Z520" s="165"/>
      <c r="AA520" s="172"/>
      <c r="AB520" s="165"/>
      <c r="AC520" s="81">
        <v>519.0</v>
      </c>
      <c r="AD520" s="165"/>
      <c r="AE520" s="167" t="s">
        <v>220</v>
      </c>
      <c r="AF520" s="173"/>
      <c r="AG520" s="87" t="s">
        <v>130</v>
      </c>
      <c r="AH520" s="173"/>
      <c r="AI520" s="87">
        <v>8.5261526614E10</v>
      </c>
      <c r="AJ520" s="87" t="s">
        <v>3763</v>
      </c>
      <c r="AK520" s="97" t="s">
        <v>3764</v>
      </c>
      <c r="AL520" s="87" t="s">
        <v>3765</v>
      </c>
      <c r="AM520" s="87" t="s">
        <v>73</v>
      </c>
      <c r="AN520" s="87" t="s">
        <v>74</v>
      </c>
      <c r="AO520" s="87" t="s">
        <v>774</v>
      </c>
      <c r="AP520" s="87" t="s">
        <v>799</v>
      </c>
      <c r="AQ520" s="87">
        <v>0.0</v>
      </c>
      <c r="AR520" s="87">
        <v>0.0</v>
      </c>
    </row>
    <row r="521">
      <c r="A521" s="89">
        <v>37.0</v>
      </c>
      <c r="B521" s="87" t="s">
        <v>3766</v>
      </c>
      <c r="C521" s="88" t="s">
        <v>3767</v>
      </c>
      <c r="D521" s="161"/>
      <c r="E521" s="161"/>
      <c r="F521" s="161"/>
      <c r="G521" s="161"/>
      <c r="H521" s="161"/>
      <c r="I521" s="162"/>
      <c r="J521" s="161"/>
      <c r="K521" s="164"/>
      <c r="L521" s="165"/>
      <c r="M521" s="166"/>
      <c r="N521" s="166"/>
      <c r="O521" s="167" t="s">
        <v>142</v>
      </c>
      <c r="P521" s="161"/>
      <c r="Q521" s="87" t="s">
        <v>3542</v>
      </c>
      <c r="R521" s="164"/>
      <c r="S521" s="165"/>
      <c r="T521" s="166"/>
      <c r="U521" s="165"/>
      <c r="V521" s="165"/>
      <c r="W521" s="167" t="s">
        <v>89</v>
      </c>
      <c r="X521" s="87" t="s">
        <v>3768</v>
      </c>
      <c r="Y521" s="171">
        <v>43092.0</v>
      </c>
      <c r="Z521" s="165"/>
      <c r="AA521" s="172"/>
      <c r="AB521" s="165"/>
      <c r="AC521" s="81">
        <v>520.0</v>
      </c>
      <c r="AD521" s="165"/>
      <c r="AE521" s="167" t="s">
        <v>311</v>
      </c>
      <c r="AF521" s="173"/>
      <c r="AG521" s="87" t="s">
        <v>68</v>
      </c>
      <c r="AH521" s="173"/>
      <c r="AI521" s="87">
        <v>8.116086996E9</v>
      </c>
      <c r="AJ521" s="87" t="s">
        <v>3769</v>
      </c>
      <c r="AK521" s="97" t="s">
        <v>3770</v>
      </c>
      <c r="AL521" s="87" t="s">
        <v>3771</v>
      </c>
      <c r="AM521" s="87" t="s">
        <v>96</v>
      </c>
      <c r="AN521" s="87" t="s">
        <v>135</v>
      </c>
      <c r="AO521" s="87" t="s">
        <v>98</v>
      </c>
      <c r="AP521" s="87" t="s">
        <v>3309</v>
      </c>
      <c r="AQ521" s="87">
        <v>0.0</v>
      </c>
      <c r="AR521" s="87">
        <v>0.0</v>
      </c>
    </row>
    <row r="522">
      <c r="A522" s="89">
        <v>38.0</v>
      </c>
      <c r="B522" s="87" t="s">
        <v>3772</v>
      </c>
      <c r="C522" s="88" t="s">
        <v>3773</v>
      </c>
      <c r="D522" s="161"/>
      <c r="E522" s="161"/>
      <c r="F522" s="161"/>
      <c r="G522" s="161"/>
      <c r="H522" s="161"/>
      <c r="I522" s="162"/>
      <c r="J522" s="161"/>
      <c r="K522" s="164"/>
      <c r="L522" s="165"/>
      <c r="M522" s="166"/>
      <c r="N522" s="166"/>
      <c r="O522" s="167" t="s">
        <v>532</v>
      </c>
      <c r="P522" s="161"/>
      <c r="Q522" s="87" t="s">
        <v>3542</v>
      </c>
      <c r="R522" s="164"/>
      <c r="S522" s="165"/>
      <c r="T522" s="166"/>
      <c r="U522" s="165"/>
      <c r="V522" s="165"/>
      <c r="W522" s="167" t="s">
        <v>285</v>
      </c>
      <c r="X522" s="87" t="s">
        <v>3774</v>
      </c>
      <c r="Y522" s="171">
        <v>39613.0</v>
      </c>
      <c r="Z522" s="165"/>
      <c r="AA522" s="172"/>
      <c r="AB522" s="165"/>
      <c r="AC522" s="81">
        <v>521.0</v>
      </c>
      <c r="AD522" s="165"/>
      <c r="AE522" s="167" t="s">
        <v>67</v>
      </c>
      <c r="AF522" s="173"/>
      <c r="AG522" s="87" t="s">
        <v>130</v>
      </c>
      <c r="AH522" s="173"/>
      <c r="AI522" s="87">
        <v>8.1264847277E10</v>
      </c>
      <c r="AJ522" s="87" t="s">
        <v>3775</v>
      </c>
      <c r="AK522" s="97" t="s">
        <v>3776</v>
      </c>
      <c r="AL522" s="87" t="s">
        <v>3777</v>
      </c>
      <c r="AM522" s="87" t="s">
        <v>73</v>
      </c>
      <c r="AN522" s="87" t="s">
        <v>166</v>
      </c>
      <c r="AO522" s="87" t="s">
        <v>596</v>
      </c>
      <c r="AP522" s="87" t="s">
        <v>3778</v>
      </c>
      <c r="AQ522" s="87"/>
      <c r="AR522" s="87"/>
    </row>
    <row r="523">
      <c r="A523" s="89">
        <v>39.0</v>
      </c>
      <c r="B523" s="87" t="s">
        <v>3779</v>
      </c>
      <c r="C523" s="88" t="s">
        <v>3780</v>
      </c>
      <c r="D523" s="161"/>
      <c r="E523" s="161"/>
      <c r="F523" s="161"/>
      <c r="G523" s="161"/>
      <c r="H523" s="161"/>
      <c r="I523" s="162"/>
      <c r="J523" s="161"/>
      <c r="K523" s="164"/>
      <c r="L523" s="165"/>
      <c r="M523" s="166"/>
      <c r="N523" s="166"/>
      <c r="O523" s="167" t="s">
        <v>142</v>
      </c>
      <c r="P523" s="161"/>
      <c r="Q523" s="87" t="s">
        <v>3542</v>
      </c>
      <c r="R523" s="164"/>
      <c r="S523" s="165"/>
      <c r="T523" s="166"/>
      <c r="U523" s="165"/>
      <c r="V523" s="165"/>
      <c r="W523" s="167" t="s">
        <v>89</v>
      </c>
      <c r="X523" s="87" t="s">
        <v>2064</v>
      </c>
      <c r="Y523" s="171">
        <v>40107.0</v>
      </c>
      <c r="Z523" s="165"/>
      <c r="AA523" s="172"/>
      <c r="AB523" s="165"/>
      <c r="AC523" s="81">
        <v>522.0</v>
      </c>
      <c r="AD523" s="165"/>
      <c r="AE523" s="167" t="s">
        <v>67</v>
      </c>
      <c r="AF523" s="173"/>
      <c r="AG523" s="87" t="s">
        <v>130</v>
      </c>
      <c r="AH523" s="173"/>
      <c r="AI523" s="87">
        <v>8.1262933399E10</v>
      </c>
      <c r="AJ523" s="87" t="s">
        <v>3781</v>
      </c>
      <c r="AK523" s="97" t="s">
        <v>3782</v>
      </c>
      <c r="AL523" s="87" t="s">
        <v>3783</v>
      </c>
      <c r="AM523" s="87" t="s">
        <v>73</v>
      </c>
      <c r="AN523" s="87" t="s">
        <v>166</v>
      </c>
      <c r="AO523" s="87" t="s">
        <v>596</v>
      </c>
      <c r="AP523" s="87" t="s">
        <v>2170</v>
      </c>
      <c r="AQ523" s="87" t="s">
        <v>77</v>
      </c>
      <c r="AR523" s="87" t="s">
        <v>77</v>
      </c>
    </row>
    <row r="524">
      <c r="A524" s="89">
        <v>40.0</v>
      </c>
      <c r="B524" s="87" t="s">
        <v>3784</v>
      </c>
      <c r="C524" s="88" t="s">
        <v>3785</v>
      </c>
      <c r="D524" s="161"/>
      <c r="E524" s="161"/>
      <c r="F524" s="161"/>
      <c r="G524" s="161"/>
      <c r="H524" s="161"/>
      <c r="I524" s="162"/>
      <c r="J524" s="161"/>
      <c r="K524" s="164"/>
      <c r="L524" s="165"/>
      <c r="M524" s="166"/>
      <c r="N524" s="166"/>
      <c r="O524" s="167" t="s">
        <v>142</v>
      </c>
      <c r="P524" s="161"/>
      <c r="Q524" s="87" t="s">
        <v>3542</v>
      </c>
      <c r="R524" s="164"/>
      <c r="S524" s="165"/>
      <c r="T524" s="166"/>
      <c r="U524" s="165"/>
      <c r="V524" s="165"/>
      <c r="W524" s="167" t="s">
        <v>89</v>
      </c>
      <c r="X524" s="87" t="s">
        <v>1780</v>
      </c>
      <c r="Y524" s="175" t="s">
        <v>1104</v>
      </c>
      <c r="Z524" s="165"/>
      <c r="AA524" s="172"/>
      <c r="AB524" s="165"/>
      <c r="AC524" s="81">
        <v>523.0</v>
      </c>
      <c r="AD524" s="165"/>
      <c r="AE524" s="167" t="s">
        <v>67</v>
      </c>
      <c r="AF524" s="173"/>
      <c r="AG524" s="87" t="s">
        <v>68</v>
      </c>
      <c r="AH524" s="173"/>
      <c r="AI524" s="87">
        <v>8.1376661126E10</v>
      </c>
      <c r="AJ524" s="87" t="s">
        <v>3786</v>
      </c>
      <c r="AK524" s="97" t="s">
        <v>3787</v>
      </c>
      <c r="AL524" s="87" t="s">
        <v>3788</v>
      </c>
      <c r="AM524" s="87" t="s">
        <v>96</v>
      </c>
      <c r="AN524" s="87" t="s">
        <v>135</v>
      </c>
      <c r="AO524" s="87" t="s">
        <v>1429</v>
      </c>
      <c r="AP524" s="87" t="s">
        <v>1960</v>
      </c>
      <c r="AQ524" s="87">
        <v>1.0</v>
      </c>
      <c r="AR524" s="87"/>
    </row>
    <row r="525">
      <c r="A525" s="89">
        <v>41.0</v>
      </c>
      <c r="B525" s="87" t="s">
        <v>3789</v>
      </c>
      <c r="C525" s="88" t="s">
        <v>3790</v>
      </c>
      <c r="D525" s="161"/>
      <c r="E525" s="161"/>
      <c r="F525" s="161"/>
      <c r="G525" s="161"/>
      <c r="H525" s="161"/>
      <c r="I525" s="162"/>
      <c r="J525" s="161"/>
      <c r="K525" s="164"/>
      <c r="L525" s="165"/>
      <c r="M525" s="166"/>
      <c r="N525" s="166"/>
      <c r="O525" s="167" t="s">
        <v>532</v>
      </c>
      <c r="P525" s="161"/>
      <c r="Q525" s="87" t="s">
        <v>3542</v>
      </c>
      <c r="R525" s="164"/>
      <c r="S525" s="165"/>
      <c r="T525" s="166"/>
      <c r="U525" s="165"/>
      <c r="V525" s="165"/>
      <c r="W525" s="167" t="s">
        <v>285</v>
      </c>
      <c r="X525" s="87" t="s">
        <v>3791</v>
      </c>
      <c r="Y525" s="171">
        <v>39613.0</v>
      </c>
      <c r="Z525" s="165"/>
      <c r="AA525" s="172"/>
      <c r="AB525" s="165"/>
      <c r="AC525" s="81">
        <v>524.0</v>
      </c>
      <c r="AD525" s="165"/>
      <c r="AE525" s="167" t="s">
        <v>67</v>
      </c>
      <c r="AF525" s="173"/>
      <c r="AG525" s="87" t="s">
        <v>68</v>
      </c>
      <c r="AH525" s="173"/>
      <c r="AI525" s="87">
        <v>8.1362303022E10</v>
      </c>
      <c r="AJ525" s="87" t="s">
        <v>3792</v>
      </c>
      <c r="AK525" s="97" t="s">
        <v>3793</v>
      </c>
      <c r="AL525" s="87" t="s">
        <v>3794</v>
      </c>
      <c r="AM525" s="87" t="s">
        <v>73</v>
      </c>
      <c r="AN525" s="87" t="s">
        <v>74</v>
      </c>
      <c r="AO525" s="87" t="s">
        <v>178</v>
      </c>
      <c r="AP525" s="87" t="s">
        <v>2743</v>
      </c>
      <c r="AQ525" s="87">
        <v>0.0</v>
      </c>
      <c r="AR525" s="87">
        <v>0.0</v>
      </c>
    </row>
    <row r="526">
      <c r="A526" s="89">
        <v>42.0</v>
      </c>
      <c r="B526" s="87" t="s">
        <v>3795</v>
      </c>
      <c r="C526" s="88" t="s">
        <v>3796</v>
      </c>
      <c r="D526" s="161"/>
      <c r="E526" s="161"/>
      <c r="F526" s="161"/>
      <c r="G526" s="161"/>
      <c r="H526" s="161"/>
      <c r="I526" s="162"/>
      <c r="J526" s="161"/>
      <c r="K526" s="164"/>
      <c r="L526" s="165"/>
      <c r="M526" s="166"/>
      <c r="N526" s="166"/>
      <c r="O526" s="167" t="s">
        <v>142</v>
      </c>
      <c r="P526" s="161"/>
      <c r="Q526" s="87" t="s">
        <v>3542</v>
      </c>
      <c r="R526" s="164"/>
      <c r="S526" s="165"/>
      <c r="T526" s="166"/>
      <c r="U526" s="165"/>
      <c r="V526" s="165"/>
      <c r="W526" s="167" t="s">
        <v>89</v>
      </c>
      <c r="X526" s="87" t="s">
        <v>3797</v>
      </c>
      <c r="Y526" s="169">
        <v>42796.0</v>
      </c>
      <c r="Z526" s="165"/>
      <c r="AA526" s="172"/>
      <c r="AB526" s="165"/>
      <c r="AC526" s="81">
        <v>525.0</v>
      </c>
      <c r="AD526" s="165"/>
      <c r="AE526" s="167" t="s">
        <v>67</v>
      </c>
      <c r="AF526" s="173"/>
      <c r="AG526" s="87" t="s">
        <v>68</v>
      </c>
      <c r="AH526" s="173"/>
      <c r="AI526" s="87">
        <v>8.1260236236E10</v>
      </c>
      <c r="AJ526" s="87" t="s">
        <v>3798</v>
      </c>
      <c r="AK526" s="97" t="s">
        <v>3799</v>
      </c>
      <c r="AL526" s="87" t="s">
        <v>3800</v>
      </c>
      <c r="AM526" s="87" t="s">
        <v>73</v>
      </c>
      <c r="AN526" s="87" t="s">
        <v>481</v>
      </c>
      <c r="AO526" s="87" t="s">
        <v>1698</v>
      </c>
      <c r="AP526" s="87" t="s">
        <v>3420</v>
      </c>
      <c r="AQ526" s="87"/>
      <c r="AR526" s="87"/>
    </row>
    <row r="527">
      <c r="A527" s="89">
        <v>43.0</v>
      </c>
      <c r="B527" s="87" t="s">
        <v>3801</v>
      </c>
      <c r="C527" s="88" t="s">
        <v>3802</v>
      </c>
      <c r="D527" s="161"/>
      <c r="E527" s="161"/>
      <c r="F527" s="161"/>
      <c r="G527" s="161"/>
      <c r="H527" s="161"/>
      <c r="I527" s="162"/>
      <c r="J527" s="161"/>
      <c r="K527" s="164"/>
      <c r="L527" s="165"/>
      <c r="M527" s="166"/>
      <c r="N527" s="166"/>
      <c r="O527" s="167" t="s">
        <v>142</v>
      </c>
      <c r="P527" s="161"/>
      <c r="Q527" s="87" t="s">
        <v>3542</v>
      </c>
      <c r="R527" s="164"/>
      <c r="S527" s="165"/>
      <c r="T527" s="166"/>
      <c r="U527" s="165"/>
      <c r="V527" s="165"/>
      <c r="W527" s="167" t="s">
        <v>89</v>
      </c>
      <c r="X527" s="87" t="s">
        <v>3803</v>
      </c>
      <c r="Y527" s="171">
        <v>38372.0</v>
      </c>
      <c r="Z527" s="165"/>
      <c r="AA527" s="172"/>
      <c r="AB527" s="165"/>
      <c r="AC527" s="81">
        <v>526.0</v>
      </c>
      <c r="AD527" s="165"/>
      <c r="AE527" s="167" t="s">
        <v>67</v>
      </c>
      <c r="AF527" s="173"/>
      <c r="AG527" s="87" t="s">
        <v>130</v>
      </c>
      <c r="AH527" s="173"/>
      <c r="AI527" s="87">
        <v>8.116390058E9</v>
      </c>
      <c r="AJ527" s="87" t="s">
        <v>3804</v>
      </c>
      <c r="AK527" s="97" t="s">
        <v>3805</v>
      </c>
      <c r="AL527" s="87" t="s">
        <v>3806</v>
      </c>
      <c r="AM527" s="87" t="s">
        <v>73</v>
      </c>
      <c r="AN527" s="87" t="s">
        <v>74</v>
      </c>
      <c r="AO527" s="87" t="s">
        <v>582</v>
      </c>
      <c r="AP527" s="87" t="s">
        <v>3807</v>
      </c>
      <c r="AQ527" s="87">
        <v>0.0</v>
      </c>
      <c r="AR527" s="87">
        <v>0.0</v>
      </c>
    </row>
    <row r="528">
      <c r="A528" s="89">
        <v>44.0</v>
      </c>
      <c r="B528" s="87" t="s">
        <v>3808</v>
      </c>
      <c r="C528" s="88" t="s">
        <v>3809</v>
      </c>
      <c r="D528" s="161"/>
      <c r="E528" s="161"/>
      <c r="F528" s="161"/>
      <c r="G528" s="161"/>
      <c r="H528" s="161"/>
      <c r="I528" s="162"/>
      <c r="J528" s="161"/>
      <c r="K528" s="164"/>
      <c r="L528" s="165"/>
      <c r="M528" s="166"/>
      <c r="N528" s="166"/>
      <c r="O528" s="167" t="s">
        <v>142</v>
      </c>
      <c r="P528" s="161"/>
      <c r="Q528" s="87" t="s">
        <v>3542</v>
      </c>
      <c r="R528" s="164"/>
      <c r="S528" s="165"/>
      <c r="T528" s="166"/>
      <c r="U528" s="165"/>
      <c r="V528" s="165"/>
      <c r="W528" s="167" t="s">
        <v>89</v>
      </c>
      <c r="X528" s="87" t="s">
        <v>1528</v>
      </c>
      <c r="Y528" s="169">
        <v>42530.0</v>
      </c>
      <c r="Z528" s="165"/>
      <c r="AA528" s="172"/>
      <c r="AB528" s="165"/>
      <c r="AC528" s="81">
        <v>527.0</v>
      </c>
      <c r="AD528" s="165"/>
      <c r="AE528" s="167" t="s">
        <v>220</v>
      </c>
      <c r="AF528" s="173"/>
      <c r="AG528" s="87" t="s">
        <v>68</v>
      </c>
      <c r="AH528" s="173"/>
      <c r="AI528" s="87">
        <v>8.1269815998E10</v>
      </c>
      <c r="AJ528" s="87" t="s">
        <v>3810</v>
      </c>
      <c r="AK528" s="97" t="s">
        <v>3811</v>
      </c>
      <c r="AL528" s="87" t="s">
        <v>3812</v>
      </c>
      <c r="AM528" s="87" t="s">
        <v>73</v>
      </c>
      <c r="AN528" s="87" t="s">
        <v>835</v>
      </c>
      <c r="AO528" s="87" t="s">
        <v>774</v>
      </c>
      <c r="AP528" s="87" t="s">
        <v>775</v>
      </c>
      <c r="AQ528" s="87">
        <v>0.0</v>
      </c>
      <c r="AR528" s="87">
        <v>0.0</v>
      </c>
    </row>
    <row r="529">
      <c r="A529" s="89">
        <v>45.0</v>
      </c>
      <c r="B529" s="87" t="s">
        <v>3813</v>
      </c>
      <c r="C529" s="88" t="s">
        <v>3814</v>
      </c>
      <c r="D529" s="161"/>
      <c r="E529" s="161"/>
      <c r="F529" s="161"/>
      <c r="G529" s="161"/>
      <c r="H529" s="161"/>
      <c r="I529" s="162"/>
      <c r="J529" s="161"/>
      <c r="K529" s="164"/>
      <c r="L529" s="165"/>
      <c r="M529" s="166"/>
      <c r="N529" s="166"/>
      <c r="O529" s="167" t="s">
        <v>142</v>
      </c>
      <c r="P529" s="161"/>
      <c r="Q529" s="87" t="s">
        <v>3542</v>
      </c>
      <c r="R529" s="164"/>
      <c r="S529" s="165"/>
      <c r="T529" s="166"/>
      <c r="U529" s="165"/>
      <c r="V529" s="165"/>
      <c r="W529" s="167" t="s">
        <v>89</v>
      </c>
      <c r="X529" s="87" t="s">
        <v>244</v>
      </c>
      <c r="Y529" s="169">
        <v>41183.0</v>
      </c>
      <c r="Z529" s="165"/>
      <c r="AA529" s="172"/>
      <c r="AB529" s="165"/>
      <c r="AC529" s="81">
        <v>528.0</v>
      </c>
      <c r="AD529" s="165"/>
      <c r="AE529" s="167" t="s">
        <v>67</v>
      </c>
      <c r="AF529" s="173"/>
      <c r="AG529" s="87" t="s">
        <v>130</v>
      </c>
      <c r="AH529" s="173"/>
      <c r="AI529" s="87">
        <v>8.1807702702E10</v>
      </c>
      <c r="AJ529" s="87" t="s">
        <v>3815</v>
      </c>
      <c r="AK529" s="97" t="s">
        <v>3816</v>
      </c>
      <c r="AL529" s="87" t="s">
        <v>3817</v>
      </c>
      <c r="AM529" s="87" t="s">
        <v>96</v>
      </c>
      <c r="AN529" s="87" t="s">
        <v>97</v>
      </c>
      <c r="AO529" s="87" t="s">
        <v>178</v>
      </c>
      <c r="AP529" s="87" t="s">
        <v>998</v>
      </c>
      <c r="AQ529" s="87"/>
      <c r="AR529" s="87"/>
    </row>
    <row r="530">
      <c r="A530" s="89">
        <v>46.0</v>
      </c>
      <c r="B530" s="87" t="s">
        <v>3818</v>
      </c>
      <c r="C530" s="88" t="s">
        <v>3819</v>
      </c>
      <c r="D530" s="161"/>
      <c r="E530" s="161"/>
      <c r="F530" s="161"/>
      <c r="G530" s="161"/>
      <c r="H530" s="161"/>
      <c r="I530" s="162"/>
      <c r="J530" s="161"/>
      <c r="K530" s="164"/>
      <c r="L530" s="165"/>
      <c r="M530" s="166"/>
      <c r="N530" s="166"/>
      <c r="O530" s="167" t="s">
        <v>142</v>
      </c>
      <c r="P530" s="161"/>
      <c r="Q530" s="87" t="s">
        <v>3542</v>
      </c>
      <c r="R530" s="164"/>
      <c r="S530" s="165"/>
      <c r="T530" s="166"/>
      <c r="U530" s="165"/>
      <c r="V530" s="165"/>
      <c r="W530" s="167" t="s">
        <v>89</v>
      </c>
      <c r="X530" s="87" t="s">
        <v>244</v>
      </c>
      <c r="Y530" s="171">
        <v>40539.0</v>
      </c>
      <c r="Z530" s="165"/>
      <c r="AA530" s="172"/>
      <c r="AB530" s="165"/>
      <c r="AC530" s="81">
        <v>529.0</v>
      </c>
      <c r="AD530" s="165"/>
      <c r="AE530" s="167" t="s">
        <v>67</v>
      </c>
      <c r="AF530" s="173"/>
      <c r="AG530" s="87" t="s">
        <v>130</v>
      </c>
      <c r="AH530" s="173"/>
      <c r="AI530" s="87">
        <v>8.137074619E10</v>
      </c>
      <c r="AJ530" s="87" t="s">
        <v>3820</v>
      </c>
      <c r="AK530" s="97" t="s">
        <v>1733</v>
      </c>
      <c r="AL530" s="87" t="s">
        <v>3821</v>
      </c>
      <c r="AM530" s="87" t="s">
        <v>73</v>
      </c>
      <c r="AN530" s="87" t="s">
        <v>74</v>
      </c>
      <c r="AO530" s="87" t="s">
        <v>360</v>
      </c>
      <c r="AP530" s="87" t="s">
        <v>893</v>
      </c>
      <c r="AQ530" s="87"/>
      <c r="AR530" s="87"/>
    </row>
    <row r="531">
      <c r="A531" s="89">
        <v>47.0</v>
      </c>
      <c r="B531" s="87" t="s">
        <v>3822</v>
      </c>
      <c r="C531" s="88" t="s">
        <v>3823</v>
      </c>
      <c r="D531" s="161"/>
      <c r="E531" s="161"/>
      <c r="F531" s="161"/>
      <c r="G531" s="161"/>
      <c r="H531" s="161"/>
      <c r="I531" s="162"/>
      <c r="J531" s="161"/>
      <c r="K531" s="164"/>
      <c r="L531" s="165"/>
      <c r="M531" s="166"/>
      <c r="N531" s="166"/>
      <c r="O531" s="167" t="s">
        <v>142</v>
      </c>
      <c r="P531" s="161"/>
      <c r="Q531" s="87" t="s">
        <v>3542</v>
      </c>
      <c r="R531" s="164"/>
      <c r="S531" s="165"/>
      <c r="T531" s="166"/>
      <c r="U531" s="165"/>
      <c r="V531" s="165"/>
      <c r="W531" s="167" t="s">
        <v>89</v>
      </c>
      <c r="X531" s="87" t="s">
        <v>3824</v>
      </c>
      <c r="Y531" s="171">
        <v>43026.0</v>
      </c>
      <c r="Z531" s="165"/>
      <c r="AA531" s="172"/>
      <c r="AB531" s="165"/>
      <c r="AC531" s="81">
        <v>530.0</v>
      </c>
      <c r="AD531" s="165"/>
      <c r="AE531" s="167" t="s">
        <v>220</v>
      </c>
      <c r="AF531" s="173"/>
      <c r="AG531" s="87" t="s">
        <v>130</v>
      </c>
      <c r="AH531" s="173"/>
      <c r="AI531" s="87">
        <v>8.2370976334E10</v>
      </c>
      <c r="AJ531" s="87" t="s">
        <v>3825</v>
      </c>
      <c r="AK531" s="97" t="s">
        <v>3826</v>
      </c>
      <c r="AL531" s="87" t="s">
        <v>3827</v>
      </c>
      <c r="AM531" s="87" t="s">
        <v>96</v>
      </c>
      <c r="AN531" s="87" t="s">
        <v>150</v>
      </c>
      <c r="AO531" s="87" t="s">
        <v>1060</v>
      </c>
      <c r="AP531" s="87" t="s">
        <v>3828</v>
      </c>
      <c r="AQ531" s="87">
        <v>0.0</v>
      </c>
      <c r="AR531" s="87">
        <v>0.0</v>
      </c>
    </row>
    <row r="532">
      <c r="A532" s="89">
        <v>48.0</v>
      </c>
      <c r="B532" s="87" t="s">
        <v>3829</v>
      </c>
      <c r="C532" s="88" t="s">
        <v>3830</v>
      </c>
      <c r="D532" s="161"/>
      <c r="E532" s="161"/>
      <c r="F532" s="161"/>
      <c r="G532" s="161"/>
      <c r="H532" s="161"/>
      <c r="I532" s="162"/>
      <c r="J532" s="161"/>
      <c r="K532" s="164"/>
      <c r="L532" s="165"/>
      <c r="M532" s="166"/>
      <c r="N532" s="166"/>
      <c r="O532" s="167" t="s">
        <v>142</v>
      </c>
      <c r="P532" s="161"/>
      <c r="Q532" s="87" t="s">
        <v>3542</v>
      </c>
      <c r="R532" s="164"/>
      <c r="S532" s="165"/>
      <c r="T532" s="166"/>
      <c r="U532" s="165"/>
      <c r="V532" s="165"/>
      <c r="W532" s="167" t="s">
        <v>89</v>
      </c>
      <c r="X532" s="87" t="s">
        <v>3831</v>
      </c>
      <c r="Y532" s="171">
        <v>41578.0</v>
      </c>
      <c r="Z532" s="165"/>
      <c r="AA532" s="172"/>
      <c r="AB532" s="165"/>
      <c r="AC532" s="81">
        <v>531.0</v>
      </c>
      <c r="AD532" s="165"/>
      <c r="AE532" s="167" t="s">
        <v>67</v>
      </c>
      <c r="AF532" s="173"/>
      <c r="AG532" s="87" t="s">
        <v>130</v>
      </c>
      <c r="AH532" s="173"/>
      <c r="AI532" s="87">
        <v>8.1262879051E10</v>
      </c>
      <c r="AJ532" s="87" t="s">
        <v>3832</v>
      </c>
      <c r="AK532" s="97" t="s">
        <v>3833</v>
      </c>
      <c r="AL532" s="87" t="s">
        <v>3834</v>
      </c>
      <c r="AM532" s="87" t="s">
        <v>73</v>
      </c>
      <c r="AN532" s="87" t="s">
        <v>74</v>
      </c>
      <c r="AO532" s="87" t="s">
        <v>1698</v>
      </c>
      <c r="AP532" s="87" t="s">
        <v>3835</v>
      </c>
      <c r="AQ532" s="87">
        <v>0.0</v>
      </c>
      <c r="AR532" s="87">
        <v>0.0</v>
      </c>
    </row>
    <row r="533">
      <c r="A533" s="89">
        <v>49.0</v>
      </c>
      <c r="B533" s="87" t="s">
        <v>3836</v>
      </c>
      <c r="C533" s="88" t="s">
        <v>3837</v>
      </c>
      <c r="D533" s="161"/>
      <c r="E533" s="161"/>
      <c r="F533" s="161"/>
      <c r="G533" s="161"/>
      <c r="H533" s="161"/>
      <c r="I533" s="162"/>
      <c r="J533" s="161"/>
      <c r="K533" s="164"/>
      <c r="L533" s="165"/>
      <c r="M533" s="166"/>
      <c r="N533" s="166"/>
      <c r="O533" s="167" t="s">
        <v>532</v>
      </c>
      <c r="P533" s="161"/>
      <c r="Q533" s="87" t="s">
        <v>3542</v>
      </c>
      <c r="R533" s="164"/>
      <c r="S533" s="165"/>
      <c r="T533" s="166"/>
      <c r="U533" s="165"/>
      <c r="V533" s="165"/>
      <c r="W533" s="167" t="s">
        <v>285</v>
      </c>
      <c r="X533" s="87" t="s">
        <v>3838</v>
      </c>
      <c r="Y533" s="171">
        <v>40294.0</v>
      </c>
      <c r="Z533" s="165"/>
      <c r="AA533" s="172"/>
      <c r="AB533" s="165"/>
      <c r="AC533" s="81">
        <v>532.0</v>
      </c>
      <c r="AD533" s="165"/>
      <c r="AE533" s="167" t="s">
        <v>67</v>
      </c>
      <c r="AF533" s="173"/>
      <c r="AG533" s="87" t="s">
        <v>68</v>
      </c>
      <c r="AH533" s="173"/>
      <c r="AI533" s="87">
        <v>8.1215231716E10</v>
      </c>
      <c r="AJ533" s="87" t="s">
        <v>3839</v>
      </c>
      <c r="AK533" s="97" t="s">
        <v>3840</v>
      </c>
      <c r="AL533" s="87" t="s">
        <v>3841</v>
      </c>
      <c r="AM533" s="87" t="s">
        <v>732</v>
      </c>
      <c r="AN533" s="87" t="s">
        <v>97</v>
      </c>
      <c r="AO533" s="87" t="s">
        <v>3842</v>
      </c>
      <c r="AP533" s="87" t="s">
        <v>3843</v>
      </c>
      <c r="AQ533" s="87"/>
      <c r="AR533" s="87"/>
    </row>
    <row r="534">
      <c r="A534" s="89">
        <v>50.0</v>
      </c>
      <c r="B534" s="87" t="s">
        <v>3844</v>
      </c>
      <c r="C534" s="176" t="s">
        <v>3845</v>
      </c>
      <c r="D534" s="161"/>
      <c r="E534" s="161"/>
      <c r="F534" s="161"/>
      <c r="G534" s="161"/>
      <c r="H534" s="161"/>
      <c r="I534" s="162"/>
      <c r="J534" s="161"/>
      <c r="K534" s="161"/>
      <c r="L534" s="162"/>
      <c r="M534" s="161"/>
      <c r="N534" s="161"/>
      <c r="O534" s="87" t="s">
        <v>142</v>
      </c>
      <c r="P534" s="161"/>
      <c r="Q534" s="87" t="s">
        <v>3542</v>
      </c>
      <c r="R534" s="161"/>
      <c r="S534" s="173"/>
      <c r="T534" s="161"/>
      <c r="U534" s="173"/>
      <c r="V534" s="87" t="s">
        <v>89</v>
      </c>
      <c r="W534" s="87"/>
      <c r="X534" s="87"/>
      <c r="Y534" s="94"/>
      <c r="Z534" s="162"/>
      <c r="AA534" s="162"/>
      <c r="AB534" s="173"/>
      <c r="AC534" s="81">
        <v>533.0</v>
      </c>
      <c r="AD534" s="173"/>
      <c r="AE534" s="87" t="s">
        <v>67</v>
      </c>
      <c r="AF534" s="173"/>
      <c r="AG534" s="87" t="s">
        <v>68</v>
      </c>
      <c r="AH534" s="173"/>
      <c r="AI534" s="87">
        <v>8.5765372169E10</v>
      </c>
      <c r="AJ534" s="87" t="s">
        <v>3846</v>
      </c>
      <c r="AK534" s="97" t="s">
        <v>3847</v>
      </c>
      <c r="AL534" s="87" t="s">
        <v>3848</v>
      </c>
      <c r="AM534" s="87" t="s">
        <v>73</v>
      </c>
      <c r="AN534" s="87" t="s">
        <v>74</v>
      </c>
      <c r="AO534" s="87" t="s">
        <v>774</v>
      </c>
      <c r="AP534" s="87" t="s">
        <v>942</v>
      </c>
      <c r="AQ534" s="87"/>
      <c r="AR534" s="87"/>
    </row>
    <row r="535">
      <c r="A535" s="124"/>
      <c r="B535" s="135"/>
      <c r="C535" s="136"/>
      <c r="D535" s="124"/>
      <c r="E535" s="124"/>
      <c r="F535" s="124"/>
      <c r="G535" s="124"/>
      <c r="H535" s="137"/>
      <c r="I535" s="135"/>
      <c r="J535" s="138"/>
      <c r="K535" s="138"/>
      <c r="L535" s="177"/>
      <c r="M535" s="178"/>
      <c r="N535" s="179"/>
      <c r="O535" s="139"/>
      <c r="P535" s="124"/>
      <c r="Q535" s="139"/>
      <c r="R535" s="137"/>
      <c r="S535" s="180"/>
      <c r="T535" s="181"/>
      <c r="U535" s="180"/>
      <c r="V535" s="177"/>
      <c r="W535" s="139"/>
      <c r="X535" s="139"/>
      <c r="Y535" s="143"/>
      <c r="Z535" s="180"/>
      <c r="AA535" s="141"/>
      <c r="AB535" s="180"/>
      <c r="AC535" s="81">
        <v>534.0</v>
      </c>
      <c r="AD535" s="177"/>
      <c r="AE535" s="139"/>
      <c r="AF535" s="139"/>
      <c r="AG535" s="139"/>
      <c r="AH535" s="139"/>
      <c r="AI535" s="139"/>
      <c r="AJ535" s="139"/>
      <c r="AK535" s="145"/>
      <c r="AL535" s="139"/>
      <c r="AM535" s="139"/>
      <c r="AN535" s="139"/>
      <c r="AO535" s="139"/>
      <c r="AP535" s="139"/>
      <c r="AQ535" s="139"/>
      <c r="AR535" s="139"/>
    </row>
    <row r="536">
      <c r="A536" s="12" t="s">
        <v>3849</v>
      </c>
      <c r="B536" s="116"/>
      <c r="C536" s="117"/>
      <c r="D536" s="118"/>
      <c r="E536" s="118"/>
      <c r="F536" s="118"/>
      <c r="G536" s="118"/>
      <c r="H536" s="118"/>
      <c r="I536" s="116"/>
      <c r="J536" s="118"/>
      <c r="K536" s="118"/>
      <c r="L536" s="116"/>
      <c r="M536" s="118"/>
      <c r="N536" s="118"/>
      <c r="O536" s="116"/>
      <c r="P536" s="118"/>
      <c r="Q536" s="116"/>
      <c r="R536" s="118"/>
      <c r="S536" s="116"/>
      <c r="T536" s="118"/>
      <c r="U536" s="116"/>
      <c r="V536" s="116"/>
      <c r="W536" s="116"/>
      <c r="X536" s="116"/>
      <c r="Y536" s="116"/>
      <c r="Z536" s="116"/>
      <c r="AA536" s="116"/>
      <c r="AB536" s="116"/>
      <c r="AC536" s="81">
        <v>535.0</v>
      </c>
      <c r="AD536" s="119"/>
      <c r="AE536" s="119"/>
      <c r="AF536" s="119"/>
      <c r="AG536" s="119"/>
      <c r="AH536" s="119"/>
      <c r="AI536" s="119"/>
      <c r="AJ536" s="119"/>
      <c r="AK536" s="29"/>
      <c r="AL536" s="119"/>
      <c r="AM536" s="119"/>
      <c r="AN536" s="119"/>
      <c r="AO536" s="119"/>
      <c r="AP536" s="119"/>
      <c r="AQ536" s="119"/>
      <c r="AR536" s="119"/>
    </row>
    <row r="537">
      <c r="A537" s="21">
        <f>sum(A535+1)</f>
        <v>1</v>
      </c>
      <c r="B537" s="21" t="s">
        <v>3850</v>
      </c>
      <c r="C537" s="38" t="s">
        <v>3851</v>
      </c>
      <c r="D537" s="23">
        <v>13.0</v>
      </c>
      <c r="E537" s="23">
        <v>0.0</v>
      </c>
      <c r="F537" s="23" t="s">
        <v>50</v>
      </c>
      <c r="G537" s="23" t="s">
        <v>51</v>
      </c>
      <c r="H537" s="24">
        <v>39083.0</v>
      </c>
      <c r="I537" s="21" t="s">
        <v>82</v>
      </c>
      <c r="J537" s="21" t="s">
        <v>83</v>
      </c>
      <c r="K537" s="21" t="s">
        <v>195</v>
      </c>
      <c r="L537" s="21" t="s">
        <v>105</v>
      </c>
      <c r="M537" s="25">
        <v>44835.0</v>
      </c>
      <c r="N537" s="23" t="s">
        <v>56</v>
      </c>
      <c r="O537" s="21" t="s">
        <v>3852</v>
      </c>
      <c r="P537" s="23" t="s">
        <v>107</v>
      </c>
      <c r="Q537" s="21" t="s">
        <v>3853</v>
      </c>
      <c r="R537" s="24">
        <v>46076.0</v>
      </c>
      <c r="S537" s="23" t="s">
        <v>87</v>
      </c>
      <c r="T537" s="29"/>
      <c r="U537" s="23" t="s">
        <v>105</v>
      </c>
      <c r="V537" s="21" t="s">
        <v>89</v>
      </c>
      <c r="W537" s="21" t="s">
        <v>3854</v>
      </c>
      <c r="X537" s="21" t="s">
        <v>3855</v>
      </c>
      <c r="Y537" s="27">
        <v>40065.0</v>
      </c>
      <c r="Z537" s="23" t="s">
        <v>65</v>
      </c>
      <c r="AA537" s="28">
        <v>52970.0</v>
      </c>
      <c r="AB537" s="29"/>
      <c r="AC537" s="23">
        <v>215.0</v>
      </c>
      <c r="AD537" s="21" t="s">
        <v>66</v>
      </c>
      <c r="AE537" s="21" t="s">
        <v>67</v>
      </c>
      <c r="AF537" s="21" t="s">
        <v>92</v>
      </c>
      <c r="AG537" s="21" t="s">
        <v>68</v>
      </c>
      <c r="AH537" s="21" t="s">
        <v>131</v>
      </c>
      <c r="AI537" s="21">
        <v>8.1260360421E10</v>
      </c>
      <c r="AJ537" s="21" t="s">
        <v>3856</v>
      </c>
      <c r="AK537" s="21" t="s">
        <v>3857</v>
      </c>
      <c r="AL537" s="21" t="s">
        <v>3858</v>
      </c>
      <c r="AM537" s="21" t="s">
        <v>73</v>
      </c>
      <c r="AN537" s="21" t="s">
        <v>74</v>
      </c>
      <c r="AO537" s="21" t="s">
        <v>774</v>
      </c>
      <c r="AP537" s="21" t="s">
        <v>775</v>
      </c>
      <c r="AQ537" s="21" t="s">
        <v>77</v>
      </c>
      <c r="AR537" s="21" t="s">
        <v>77</v>
      </c>
    </row>
    <row r="538">
      <c r="A538" s="21">
        <f t="shared" ref="A538:A545" si="8">SUM(A537+1)</f>
        <v>2</v>
      </c>
      <c r="B538" s="21" t="s">
        <v>3859</v>
      </c>
      <c r="C538" s="38" t="s">
        <v>3860</v>
      </c>
      <c r="D538" s="23">
        <v>14.0</v>
      </c>
      <c r="E538" s="23">
        <v>1.0</v>
      </c>
      <c r="F538" s="23" t="s">
        <v>50</v>
      </c>
      <c r="G538" s="23" t="s">
        <v>51</v>
      </c>
      <c r="H538" s="24">
        <v>40179.0</v>
      </c>
      <c r="I538" s="21" t="s">
        <v>102</v>
      </c>
      <c r="J538" s="21" t="s">
        <v>103</v>
      </c>
      <c r="K538" s="21" t="s">
        <v>104</v>
      </c>
      <c r="L538" s="21" t="s">
        <v>105</v>
      </c>
      <c r="M538" s="25">
        <v>45017.0</v>
      </c>
      <c r="N538" s="23" t="s">
        <v>56</v>
      </c>
      <c r="O538" s="21" t="s">
        <v>3861</v>
      </c>
      <c r="P538" s="23" t="s">
        <v>3549</v>
      </c>
      <c r="Q538" s="21" t="s">
        <v>3862</v>
      </c>
      <c r="R538" s="24">
        <v>45000.0</v>
      </c>
      <c r="S538" s="23" t="s">
        <v>3863</v>
      </c>
      <c r="T538" s="29"/>
      <c r="U538" s="23" t="s">
        <v>88</v>
      </c>
      <c r="V538" s="21" t="s">
        <v>89</v>
      </c>
      <c r="W538" s="30"/>
      <c r="X538" s="21" t="s">
        <v>1010</v>
      </c>
      <c r="Y538" s="21" t="s">
        <v>3864</v>
      </c>
      <c r="Z538" s="23" t="s">
        <v>114</v>
      </c>
      <c r="AA538" s="28">
        <v>46388.0</v>
      </c>
      <c r="AB538" s="29"/>
      <c r="AC538" s="23">
        <v>216.0</v>
      </c>
      <c r="AD538" s="21" t="s">
        <v>66</v>
      </c>
      <c r="AE538" s="21" t="s">
        <v>67</v>
      </c>
      <c r="AF538" s="30"/>
      <c r="AG538" s="21" t="s">
        <v>68</v>
      </c>
      <c r="AH538" s="21" t="s">
        <v>131</v>
      </c>
      <c r="AI538" s="21">
        <v>8.5361865488E10</v>
      </c>
      <c r="AJ538" s="21" t="s">
        <v>3865</v>
      </c>
      <c r="AK538" s="21" t="s">
        <v>3866</v>
      </c>
      <c r="AL538" s="21" t="s">
        <v>3867</v>
      </c>
      <c r="AM538" s="21" t="s">
        <v>96</v>
      </c>
      <c r="AN538" s="21" t="s">
        <v>97</v>
      </c>
      <c r="AO538" s="21" t="s">
        <v>98</v>
      </c>
      <c r="AP538" s="21" t="s">
        <v>2220</v>
      </c>
      <c r="AQ538" s="30"/>
      <c r="AR538" s="30"/>
    </row>
    <row r="539">
      <c r="A539" s="21">
        <f t="shared" si="8"/>
        <v>3</v>
      </c>
      <c r="B539" s="39" t="s">
        <v>3868</v>
      </c>
      <c r="C539" s="57" t="s">
        <v>3869</v>
      </c>
      <c r="D539" s="39">
        <v>17.0</v>
      </c>
      <c r="E539" s="39">
        <v>7.0</v>
      </c>
      <c r="F539" s="39" t="s">
        <v>50</v>
      </c>
      <c r="G539" s="39" t="s">
        <v>51</v>
      </c>
      <c r="H539" s="42">
        <v>34029.0</v>
      </c>
      <c r="I539" s="39" t="s">
        <v>82</v>
      </c>
      <c r="J539" s="39" t="s">
        <v>83</v>
      </c>
      <c r="K539" s="39" t="s">
        <v>3870</v>
      </c>
      <c r="L539" s="39" t="s">
        <v>61</v>
      </c>
      <c r="M539" s="42">
        <v>42278.0</v>
      </c>
      <c r="N539" s="39" t="s">
        <v>141</v>
      </c>
      <c r="O539" s="39" t="s">
        <v>229</v>
      </c>
      <c r="P539" s="43"/>
      <c r="Q539" s="39" t="s">
        <v>59</v>
      </c>
      <c r="R539" s="42">
        <v>45292.0</v>
      </c>
      <c r="S539" s="39" t="s">
        <v>143</v>
      </c>
      <c r="T539" s="46"/>
      <c r="U539" s="39" t="s">
        <v>144</v>
      </c>
      <c r="V539" s="39" t="s">
        <v>89</v>
      </c>
      <c r="W539" s="39" t="s">
        <v>218</v>
      </c>
      <c r="X539" s="39" t="s">
        <v>3871</v>
      </c>
      <c r="Y539" s="39" t="s">
        <v>3872</v>
      </c>
      <c r="Z539" s="43"/>
      <c r="AA539" s="45">
        <v>46032.0</v>
      </c>
      <c r="AB539" s="46"/>
      <c r="AC539" s="23">
        <v>217.0</v>
      </c>
      <c r="AD539" s="39" t="s">
        <v>66</v>
      </c>
      <c r="AE539" s="39" t="s">
        <v>67</v>
      </c>
      <c r="AF539" s="65"/>
      <c r="AG539" s="39" t="s">
        <v>130</v>
      </c>
      <c r="AH539" s="39" t="s">
        <v>288</v>
      </c>
      <c r="AI539" s="39">
        <v>8.236977332E10</v>
      </c>
      <c r="AJ539" s="39" t="s">
        <v>3873</v>
      </c>
      <c r="AK539" s="39" t="s">
        <v>3874</v>
      </c>
      <c r="AL539" s="39" t="s">
        <v>3875</v>
      </c>
      <c r="AM539" s="39" t="s">
        <v>96</v>
      </c>
      <c r="AN539" s="39" t="s">
        <v>135</v>
      </c>
      <c r="AO539" s="39" t="s">
        <v>499</v>
      </c>
      <c r="AP539" s="39" t="s">
        <v>1396</v>
      </c>
      <c r="AQ539" s="43"/>
      <c r="AR539" s="43"/>
    </row>
    <row r="540">
      <c r="A540" s="21">
        <f t="shared" si="8"/>
        <v>4</v>
      </c>
      <c r="B540" s="39" t="s">
        <v>3876</v>
      </c>
      <c r="C540" s="57" t="s">
        <v>3877</v>
      </c>
      <c r="D540" s="39">
        <v>24.0</v>
      </c>
      <c r="E540" s="39">
        <v>1.0</v>
      </c>
      <c r="F540" s="39" t="s">
        <v>50</v>
      </c>
      <c r="G540" s="39" t="s">
        <v>51</v>
      </c>
      <c r="H540" s="42">
        <v>34639.0</v>
      </c>
      <c r="I540" s="39" t="s">
        <v>82</v>
      </c>
      <c r="J540" s="39" t="s">
        <v>83</v>
      </c>
      <c r="K540" s="39" t="s">
        <v>228</v>
      </c>
      <c r="L540" s="39" t="s">
        <v>105</v>
      </c>
      <c r="M540" s="42">
        <v>44652.0</v>
      </c>
      <c r="N540" s="39" t="s">
        <v>141</v>
      </c>
      <c r="O540" s="39" t="s">
        <v>173</v>
      </c>
      <c r="P540" s="43"/>
      <c r="Q540" s="39" t="s">
        <v>59</v>
      </c>
      <c r="R540" s="42">
        <v>45292.0</v>
      </c>
      <c r="S540" s="39" t="s">
        <v>143</v>
      </c>
      <c r="T540" s="46"/>
      <c r="U540" s="39" t="s">
        <v>144</v>
      </c>
      <c r="V540" s="39" t="s">
        <v>89</v>
      </c>
      <c r="W540" s="39" t="s">
        <v>218</v>
      </c>
      <c r="X540" s="39" t="s">
        <v>3878</v>
      </c>
      <c r="Y540" s="39" t="s">
        <v>3879</v>
      </c>
      <c r="Z540" s="43"/>
      <c r="AA540" s="45">
        <v>46758.0</v>
      </c>
      <c r="AB540" s="46"/>
      <c r="AC540" s="23">
        <v>218.0</v>
      </c>
      <c r="AD540" s="39" t="s">
        <v>66</v>
      </c>
      <c r="AE540" s="39" t="s">
        <v>67</v>
      </c>
      <c r="AF540" s="39" t="s">
        <v>92</v>
      </c>
      <c r="AG540" s="39" t="s">
        <v>130</v>
      </c>
      <c r="AH540" s="39" t="s">
        <v>69</v>
      </c>
      <c r="AI540" s="39">
        <v>8.1269894973E10</v>
      </c>
      <c r="AJ540" s="39" t="s">
        <v>3880</v>
      </c>
      <c r="AK540" s="39" t="s">
        <v>3881</v>
      </c>
      <c r="AL540" s="39" t="s">
        <v>3882</v>
      </c>
      <c r="AM540" s="39" t="s">
        <v>96</v>
      </c>
      <c r="AN540" s="39" t="s">
        <v>97</v>
      </c>
      <c r="AO540" s="39" t="s">
        <v>499</v>
      </c>
      <c r="AP540" s="39" t="s">
        <v>3883</v>
      </c>
      <c r="AQ540" s="43"/>
      <c r="AR540" s="43"/>
    </row>
    <row r="541">
      <c r="A541" s="21">
        <f t="shared" si="8"/>
        <v>5</v>
      </c>
      <c r="B541" s="39" t="s">
        <v>3884</v>
      </c>
      <c r="C541" s="57" t="s">
        <v>3885</v>
      </c>
      <c r="D541" s="39">
        <v>16.0</v>
      </c>
      <c r="E541" s="39">
        <v>3.0</v>
      </c>
      <c r="F541" s="39" t="s">
        <v>80</v>
      </c>
      <c r="G541" s="39" t="s">
        <v>81</v>
      </c>
      <c r="H541" s="42">
        <v>39873.0</v>
      </c>
      <c r="I541" s="39" t="s">
        <v>82</v>
      </c>
      <c r="J541" s="39" t="s">
        <v>83</v>
      </c>
      <c r="K541" s="39" t="s">
        <v>1505</v>
      </c>
      <c r="L541" s="39" t="s">
        <v>88</v>
      </c>
      <c r="M541" s="42">
        <v>44287.0</v>
      </c>
      <c r="N541" s="39" t="s">
        <v>141</v>
      </c>
      <c r="O541" s="39" t="s">
        <v>173</v>
      </c>
      <c r="P541" s="43"/>
      <c r="Q541" s="39" t="s">
        <v>59</v>
      </c>
      <c r="R541" s="42">
        <v>45292.0</v>
      </c>
      <c r="S541" s="39" t="s">
        <v>143</v>
      </c>
      <c r="T541" s="46"/>
      <c r="U541" s="39" t="s">
        <v>144</v>
      </c>
      <c r="V541" s="39" t="s">
        <v>89</v>
      </c>
      <c r="W541" s="39" t="s">
        <v>3886</v>
      </c>
      <c r="X541" s="39" t="s">
        <v>198</v>
      </c>
      <c r="Y541" s="39" t="s">
        <v>3887</v>
      </c>
      <c r="Z541" s="43"/>
      <c r="AA541" s="45">
        <v>50047.0</v>
      </c>
      <c r="AB541" s="46"/>
      <c r="AC541" s="23">
        <v>219.0</v>
      </c>
      <c r="AD541" s="39" t="s">
        <v>66</v>
      </c>
      <c r="AE541" s="39" t="s">
        <v>67</v>
      </c>
      <c r="AF541" s="43"/>
      <c r="AG541" s="39" t="s">
        <v>68</v>
      </c>
      <c r="AH541" s="39" t="s">
        <v>69</v>
      </c>
      <c r="AI541" s="39">
        <v>8.1361750344E10</v>
      </c>
      <c r="AJ541" s="39" t="s">
        <v>3888</v>
      </c>
      <c r="AK541" s="39" t="s">
        <v>3889</v>
      </c>
      <c r="AL541" s="39" t="s">
        <v>3890</v>
      </c>
      <c r="AM541" s="39" t="s">
        <v>96</v>
      </c>
      <c r="AN541" s="39" t="s">
        <v>3891</v>
      </c>
      <c r="AO541" s="39" t="s">
        <v>989</v>
      </c>
      <c r="AP541" s="39" t="s">
        <v>1585</v>
      </c>
      <c r="AQ541" s="39" t="s">
        <v>77</v>
      </c>
      <c r="AR541" s="39" t="s">
        <v>77</v>
      </c>
    </row>
    <row r="542">
      <c r="A542" s="21">
        <f t="shared" si="8"/>
        <v>6</v>
      </c>
      <c r="B542" s="39" t="s">
        <v>3892</v>
      </c>
      <c r="C542" s="57" t="s">
        <v>3893</v>
      </c>
      <c r="D542" s="39">
        <v>23.0</v>
      </c>
      <c r="E542" s="39">
        <v>2.0</v>
      </c>
      <c r="F542" s="39" t="s">
        <v>50</v>
      </c>
      <c r="G542" s="39" t="s">
        <v>51</v>
      </c>
      <c r="H542" s="42">
        <v>40664.0</v>
      </c>
      <c r="I542" s="39" t="s">
        <v>82</v>
      </c>
      <c r="J542" s="39" t="s">
        <v>83</v>
      </c>
      <c r="K542" s="39" t="s">
        <v>417</v>
      </c>
      <c r="L542" s="39" t="s">
        <v>105</v>
      </c>
      <c r="M542" s="42">
        <v>45566.0</v>
      </c>
      <c r="N542" s="39" t="s">
        <v>141</v>
      </c>
      <c r="O542" s="39" t="s">
        <v>229</v>
      </c>
      <c r="P542" s="43"/>
      <c r="Q542" s="39" t="s">
        <v>59</v>
      </c>
      <c r="R542" s="42">
        <v>45292.0</v>
      </c>
      <c r="S542" s="39" t="s">
        <v>143</v>
      </c>
      <c r="T542" s="46"/>
      <c r="U542" s="39" t="s">
        <v>144</v>
      </c>
      <c r="V542" s="39" t="s">
        <v>89</v>
      </c>
      <c r="W542" s="39" t="s">
        <v>90</v>
      </c>
      <c r="X542" s="39" t="s">
        <v>648</v>
      </c>
      <c r="Y542" s="39" t="s">
        <v>3894</v>
      </c>
      <c r="Z542" s="43"/>
      <c r="AA542" s="45">
        <v>48218.0</v>
      </c>
      <c r="AB542" s="46"/>
      <c r="AC542" s="23">
        <v>220.0</v>
      </c>
      <c r="AD542" s="39" t="s">
        <v>66</v>
      </c>
      <c r="AE542" s="39" t="s">
        <v>67</v>
      </c>
      <c r="AF542" s="39" t="s">
        <v>92</v>
      </c>
      <c r="AG542" s="39" t="s">
        <v>68</v>
      </c>
      <c r="AH542" s="39" t="s">
        <v>246</v>
      </c>
      <c r="AI542" s="39">
        <v>8.529666108E10</v>
      </c>
      <c r="AJ542" s="39" t="s">
        <v>3895</v>
      </c>
      <c r="AK542" s="39" t="s">
        <v>3896</v>
      </c>
      <c r="AL542" s="39" t="s">
        <v>3897</v>
      </c>
      <c r="AM542" s="39" t="s">
        <v>96</v>
      </c>
      <c r="AN542" s="39" t="s">
        <v>514</v>
      </c>
      <c r="AO542" s="39" t="s">
        <v>1291</v>
      </c>
      <c r="AP542" s="39" t="s">
        <v>3383</v>
      </c>
      <c r="AQ542" s="43"/>
      <c r="AR542" s="43"/>
    </row>
    <row r="543">
      <c r="A543" s="21">
        <f t="shared" si="8"/>
        <v>7</v>
      </c>
      <c r="B543" s="39" t="s">
        <v>3898</v>
      </c>
      <c r="C543" s="57" t="s">
        <v>3899</v>
      </c>
      <c r="D543" s="39">
        <v>19.0</v>
      </c>
      <c r="E543" s="39">
        <v>3.0</v>
      </c>
      <c r="F543" s="39" t="s">
        <v>50</v>
      </c>
      <c r="G543" s="39" t="s">
        <v>51</v>
      </c>
      <c r="H543" s="42">
        <v>39448.0</v>
      </c>
      <c r="I543" s="39" t="s">
        <v>102</v>
      </c>
      <c r="J543" s="39" t="s">
        <v>103</v>
      </c>
      <c r="K543" s="39" t="s">
        <v>3900</v>
      </c>
      <c r="L543" s="39" t="s">
        <v>105</v>
      </c>
      <c r="M543" s="42">
        <v>45017.0</v>
      </c>
      <c r="N543" s="39" t="s">
        <v>141</v>
      </c>
      <c r="O543" s="39" t="s">
        <v>229</v>
      </c>
      <c r="P543" s="43"/>
      <c r="Q543" s="39" t="s">
        <v>59</v>
      </c>
      <c r="R543" s="42">
        <v>45292.0</v>
      </c>
      <c r="S543" s="39" t="s">
        <v>143</v>
      </c>
      <c r="T543" s="46"/>
      <c r="U543" s="39" t="s">
        <v>144</v>
      </c>
      <c r="V543" s="39" t="s">
        <v>89</v>
      </c>
      <c r="W543" s="39" t="s">
        <v>2398</v>
      </c>
      <c r="X543" s="39" t="s">
        <v>3901</v>
      </c>
      <c r="Y543" s="39" t="s">
        <v>3902</v>
      </c>
      <c r="Z543" s="39" t="s">
        <v>114</v>
      </c>
      <c r="AA543" s="45">
        <v>47485.0</v>
      </c>
      <c r="AB543" s="46"/>
      <c r="AC543" s="23">
        <v>221.0</v>
      </c>
      <c r="AD543" s="39" t="s">
        <v>66</v>
      </c>
      <c r="AE543" s="39" t="s">
        <v>67</v>
      </c>
      <c r="AF543" s="39" t="s">
        <v>92</v>
      </c>
      <c r="AG543" s="39" t="s">
        <v>68</v>
      </c>
      <c r="AH543" s="39" t="s">
        <v>246</v>
      </c>
      <c r="AI543" s="39">
        <v>8.5275928795E10</v>
      </c>
      <c r="AJ543" s="39" t="s">
        <v>3903</v>
      </c>
      <c r="AK543" s="39" t="s">
        <v>3904</v>
      </c>
      <c r="AL543" s="39" t="s">
        <v>3905</v>
      </c>
      <c r="AM543" s="39" t="s">
        <v>96</v>
      </c>
      <c r="AN543" s="39" t="s">
        <v>150</v>
      </c>
      <c r="AO543" s="39" t="s">
        <v>151</v>
      </c>
      <c r="AP543" s="39" t="s">
        <v>343</v>
      </c>
      <c r="AQ543" s="43"/>
      <c r="AR543" s="43"/>
    </row>
    <row r="544">
      <c r="A544" s="21">
        <f t="shared" si="8"/>
        <v>8</v>
      </c>
      <c r="B544" s="39" t="s">
        <v>3906</v>
      </c>
      <c r="C544" s="57" t="s">
        <v>3907</v>
      </c>
      <c r="D544" s="39">
        <v>12.0</v>
      </c>
      <c r="E544" s="39">
        <v>3.0</v>
      </c>
      <c r="F544" s="39" t="s">
        <v>80</v>
      </c>
      <c r="G544" s="39" t="s">
        <v>81</v>
      </c>
      <c r="H544" s="42">
        <v>40179.0</v>
      </c>
      <c r="I544" s="39" t="s">
        <v>82</v>
      </c>
      <c r="J544" s="39" t="s">
        <v>83</v>
      </c>
      <c r="K544" s="39" t="s">
        <v>228</v>
      </c>
      <c r="L544" s="39" t="s">
        <v>105</v>
      </c>
      <c r="M544" s="42">
        <v>44652.0</v>
      </c>
      <c r="N544" s="39" t="s">
        <v>141</v>
      </c>
      <c r="O544" s="39" t="s">
        <v>173</v>
      </c>
      <c r="P544" s="43"/>
      <c r="Q544" s="39" t="s">
        <v>59</v>
      </c>
      <c r="R544" s="42">
        <v>45292.0</v>
      </c>
      <c r="S544" s="39" t="s">
        <v>143</v>
      </c>
      <c r="T544" s="46"/>
      <c r="U544" s="39" t="s">
        <v>144</v>
      </c>
      <c r="V544" s="39" t="s">
        <v>89</v>
      </c>
      <c r="W544" s="39" t="s">
        <v>3908</v>
      </c>
      <c r="X544" s="39" t="s">
        <v>244</v>
      </c>
      <c r="Y544" s="39" t="s">
        <v>3909</v>
      </c>
      <c r="Z544" s="43"/>
      <c r="AA544" s="45">
        <v>51877.0</v>
      </c>
      <c r="AB544" s="46"/>
      <c r="AC544" s="23">
        <v>222.0</v>
      </c>
      <c r="AD544" s="39" t="s">
        <v>66</v>
      </c>
      <c r="AE544" s="39" t="s">
        <v>67</v>
      </c>
      <c r="AF544" s="39" t="s">
        <v>92</v>
      </c>
      <c r="AG544" s="39" t="s">
        <v>130</v>
      </c>
      <c r="AH544" s="39" t="s">
        <v>131</v>
      </c>
      <c r="AI544" s="39">
        <v>8.5371197302E10</v>
      </c>
      <c r="AJ544" s="39" t="s">
        <v>3910</v>
      </c>
      <c r="AK544" s="39" t="s">
        <v>3911</v>
      </c>
      <c r="AL544" s="39" t="s">
        <v>3912</v>
      </c>
      <c r="AM544" s="39" t="s">
        <v>96</v>
      </c>
      <c r="AN544" s="39" t="s">
        <v>414</v>
      </c>
      <c r="AO544" s="39" t="s">
        <v>292</v>
      </c>
      <c r="AP544" s="39" t="s">
        <v>1711</v>
      </c>
      <c r="AQ544" s="43"/>
      <c r="AR544" s="43"/>
    </row>
    <row r="545">
      <c r="A545" s="21">
        <f t="shared" si="8"/>
        <v>9</v>
      </c>
      <c r="B545" s="49" t="s">
        <v>3913</v>
      </c>
      <c r="C545" s="50" t="s">
        <v>3914</v>
      </c>
      <c r="D545" s="49">
        <v>0.0</v>
      </c>
      <c r="E545" s="49">
        <v>0.0</v>
      </c>
      <c r="F545" s="49" t="s">
        <v>80</v>
      </c>
      <c r="G545" s="49" t="s">
        <v>81</v>
      </c>
      <c r="H545" s="51">
        <v>45778.0</v>
      </c>
      <c r="I545" s="49" t="s">
        <v>80</v>
      </c>
      <c r="J545" s="49" t="s">
        <v>81</v>
      </c>
      <c r="K545" s="49" t="s">
        <v>240</v>
      </c>
      <c r="L545" s="49" t="s">
        <v>105</v>
      </c>
      <c r="M545" s="51">
        <v>45778.0</v>
      </c>
      <c r="N545" s="49" t="s">
        <v>141</v>
      </c>
      <c r="O545" s="49" t="s">
        <v>1670</v>
      </c>
      <c r="P545" s="52"/>
      <c r="Q545" s="49" t="s">
        <v>3853</v>
      </c>
      <c r="R545" s="51">
        <v>45778.0</v>
      </c>
      <c r="S545" s="49" t="s">
        <v>242</v>
      </c>
      <c r="T545" s="53"/>
      <c r="U545" s="49" t="s">
        <v>105</v>
      </c>
      <c r="V545" s="49" t="s">
        <v>89</v>
      </c>
      <c r="W545" s="49" t="s">
        <v>2185</v>
      </c>
      <c r="X545" s="49" t="s">
        <v>3915</v>
      </c>
      <c r="Y545" s="49" t="s">
        <v>3916</v>
      </c>
      <c r="Z545" s="52"/>
      <c r="AA545" s="146">
        <v>55888.0</v>
      </c>
      <c r="AB545" s="52"/>
      <c r="AC545" s="23">
        <v>223.0</v>
      </c>
      <c r="AD545" s="49" t="s">
        <v>5</v>
      </c>
      <c r="AE545" s="49" t="s">
        <v>220</v>
      </c>
      <c r="AF545" s="49" t="s">
        <v>129</v>
      </c>
      <c r="AG545" s="49" t="s">
        <v>130</v>
      </c>
      <c r="AH545" s="49" t="s">
        <v>246</v>
      </c>
      <c r="AI545" s="49">
        <v>8.5361171097E10</v>
      </c>
      <c r="AJ545" s="49" t="s">
        <v>3917</v>
      </c>
      <c r="AK545" s="49" t="s">
        <v>3918</v>
      </c>
      <c r="AL545" s="49" t="s">
        <v>3919</v>
      </c>
      <c r="AM545" s="49" t="s">
        <v>96</v>
      </c>
      <c r="AN545" s="49" t="s">
        <v>3920</v>
      </c>
      <c r="AO545" s="49" t="s">
        <v>3921</v>
      </c>
      <c r="AP545" s="49" t="s">
        <v>3922</v>
      </c>
      <c r="AQ545" s="52"/>
      <c r="AR545" s="52"/>
    </row>
    <row r="546">
      <c r="A546" s="75">
        <v>10.0</v>
      </c>
      <c r="B546" s="72" t="s">
        <v>3923</v>
      </c>
      <c r="C546" s="73" t="s">
        <v>3924</v>
      </c>
      <c r="D546" s="74"/>
      <c r="E546" s="74"/>
      <c r="F546" s="74"/>
      <c r="G546" s="75" t="s">
        <v>531</v>
      </c>
      <c r="H546" s="76">
        <v>45901.0</v>
      </c>
      <c r="I546" s="77"/>
      <c r="J546" s="74"/>
      <c r="K546" s="75" t="s">
        <v>518</v>
      </c>
      <c r="L546" s="72" t="s">
        <v>105</v>
      </c>
      <c r="M546" s="76">
        <v>45901.0</v>
      </c>
      <c r="N546" s="74"/>
      <c r="O546" s="72" t="s">
        <v>532</v>
      </c>
      <c r="P546" s="74"/>
      <c r="Q546" s="72" t="s">
        <v>3853</v>
      </c>
      <c r="R546" s="76">
        <v>45901.0</v>
      </c>
      <c r="S546" s="72" t="s">
        <v>518</v>
      </c>
      <c r="T546" s="78">
        <v>45826.0</v>
      </c>
      <c r="U546" s="72" t="s">
        <v>144</v>
      </c>
      <c r="V546" s="72" t="s">
        <v>285</v>
      </c>
      <c r="W546" s="72" t="s">
        <v>3925</v>
      </c>
      <c r="X546" s="72" t="s">
        <v>3926</v>
      </c>
      <c r="Y546" s="79">
        <v>35584.0</v>
      </c>
      <c r="Z546" s="77"/>
      <c r="AA546" s="80"/>
      <c r="AB546" s="80"/>
      <c r="AC546" s="81">
        <v>545.0</v>
      </c>
      <c r="AD546" s="72" t="s">
        <v>522</v>
      </c>
      <c r="AE546" s="72" t="s">
        <v>67</v>
      </c>
      <c r="AF546" s="72" t="s">
        <v>92</v>
      </c>
      <c r="AG546" s="72" t="s">
        <v>68</v>
      </c>
      <c r="AH546" s="77"/>
      <c r="AI546" s="72">
        <v>8.21626371E10</v>
      </c>
      <c r="AJ546" s="82" t="s">
        <v>3927</v>
      </c>
      <c r="AK546" s="85" t="s">
        <v>3928</v>
      </c>
      <c r="AL546" s="72" t="s">
        <v>3929</v>
      </c>
      <c r="AM546" s="72" t="s">
        <v>96</v>
      </c>
      <c r="AN546" s="72" t="s">
        <v>414</v>
      </c>
      <c r="AO546" s="82" t="s">
        <v>213</v>
      </c>
      <c r="AP546" s="82" t="s">
        <v>1366</v>
      </c>
      <c r="AQ546" s="77"/>
      <c r="AR546" s="77"/>
    </row>
    <row r="547">
      <c r="A547" s="75">
        <v>11.0</v>
      </c>
      <c r="B547" s="72" t="s">
        <v>3930</v>
      </c>
      <c r="C547" s="73" t="s">
        <v>3931</v>
      </c>
      <c r="D547" s="74"/>
      <c r="E547" s="74"/>
      <c r="F547" s="74"/>
      <c r="G547" s="75" t="s">
        <v>550</v>
      </c>
      <c r="H547" s="182"/>
      <c r="I547" s="77"/>
      <c r="J547" s="74"/>
      <c r="K547" s="74"/>
      <c r="L547" s="77"/>
      <c r="M547" s="182"/>
      <c r="N547" s="74"/>
      <c r="O547" s="72" t="s">
        <v>519</v>
      </c>
      <c r="P547" s="74"/>
      <c r="Q547" s="183" t="s">
        <v>3853</v>
      </c>
      <c r="R547" s="182"/>
      <c r="S547" s="77"/>
      <c r="T547" s="184"/>
      <c r="U547" s="77"/>
      <c r="V547" s="72" t="s">
        <v>267</v>
      </c>
      <c r="W547" s="183" t="s">
        <v>2636</v>
      </c>
      <c r="X547" s="183" t="s">
        <v>3932</v>
      </c>
      <c r="Y547" s="185">
        <v>36868.0</v>
      </c>
      <c r="Z547" s="77"/>
      <c r="AA547" s="77"/>
      <c r="AB547" s="77"/>
      <c r="AC547" s="81">
        <v>546.0</v>
      </c>
      <c r="AD547" s="72" t="s">
        <v>522</v>
      </c>
      <c r="AE547" s="183" t="s">
        <v>220</v>
      </c>
      <c r="AF547" s="183" t="s">
        <v>129</v>
      </c>
      <c r="AG547" s="183" t="s">
        <v>130</v>
      </c>
      <c r="AH547" s="183" t="s">
        <v>246</v>
      </c>
      <c r="AI547" s="186">
        <v>8.2360387533E10</v>
      </c>
      <c r="AJ547" s="183" t="s">
        <v>3933</v>
      </c>
      <c r="AK547" s="85" t="s">
        <v>3934</v>
      </c>
      <c r="AL547" s="183" t="s">
        <v>3935</v>
      </c>
      <c r="AM547" s="183" t="s">
        <v>73</v>
      </c>
      <c r="AN547" s="183" t="s">
        <v>74</v>
      </c>
      <c r="AO547" s="183" t="s">
        <v>1446</v>
      </c>
      <c r="AP547" s="183" t="s">
        <v>3555</v>
      </c>
      <c r="AQ547" s="77"/>
      <c r="AR547" s="77"/>
    </row>
    <row r="548">
      <c r="A548" s="89">
        <v>12.0</v>
      </c>
      <c r="B548" s="87" t="s">
        <v>3936</v>
      </c>
      <c r="C548" s="88" t="s">
        <v>3937</v>
      </c>
      <c r="D548" s="161"/>
      <c r="E548" s="161"/>
      <c r="F548" s="161"/>
      <c r="G548" s="161"/>
      <c r="H548" s="161"/>
      <c r="I548" s="162"/>
      <c r="J548" s="89"/>
      <c r="K548" s="89"/>
      <c r="L548" s="90"/>
      <c r="M548" s="91"/>
      <c r="N548" s="161"/>
      <c r="O548" s="87" t="s">
        <v>142</v>
      </c>
      <c r="P548" s="161"/>
      <c r="Q548" s="87" t="s">
        <v>3853</v>
      </c>
      <c r="R548" s="91"/>
      <c r="S548" s="90"/>
      <c r="T548" s="93"/>
      <c r="U548" s="90"/>
      <c r="V548" s="87" t="s">
        <v>89</v>
      </c>
      <c r="W548" s="87" t="s">
        <v>218</v>
      </c>
      <c r="X548" s="87" t="s">
        <v>3022</v>
      </c>
      <c r="Y548" s="94">
        <v>40450.0</v>
      </c>
      <c r="Z548" s="163"/>
      <c r="AA548" s="163"/>
      <c r="AB548" s="163"/>
      <c r="AC548" s="81">
        <v>547.0</v>
      </c>
      <c r="AD548" s="90"/>
      <c r="AE548" s="87" t="s">
        <v>67</v>
      </c>
      <c r="AF548" s="90"/>
      <c r="AG548" s="87" t="s">
        <v>130</v>
      </c>
      <c r="AH548" s="87"/>
      <c r="AI548" s="87">
        <v>8.1213777655E10</v>
      </c>
      <c r="AJ548" s="87" t="s">
        <v>3938</v>
      </c>
      <c r="AK548" s="97" t="s">
        <v>3939</v>
      </c>
      <c r="AL548" s="87" t="s">
        <v>3940</v>
      </c>
      <c r="AM548" s="87" t="s">
        <v>732</v>
      </c>
      <c r="AN548" s="87" t="s">
        <v>135</v>
      </c>
      <c r="AO548" s="87" t="s">
        <v>499</v>
      </c>
      <c r="AP548" s="87" t="s">
        <v>2466</v>
      </c>
      <c r="AQ548" s="87">
        <v>0.0</v>
      </c>
      <c r="AR548" s="87">
        <v>0.0</v>
      </c>
    </row>
    <row r="549">
      <c r="A549" s="89">
        <v>13.0</v>
      </c>
      <c r="B549" s="87" t="s">
        <v>3941</v>
      </c>
      <c r="C549" s="88" t="s">
        <v>3942</v>
      </c>
      <c r="D549" s="161"/>
      <c r="E549" s="161"/>
      <c r="F549" s="161"/>
      <c r="G549" s="161"/>
      <c r="H549" s="161"/>
      <c r="I549" s="162"/>
      <c r="J549" s="89"/>
      <c r="K549" s="89"/>
      <c r="L549" s="90"/>
      <c r="M549" s="91"/>
      <c r="N549" s="161"/>
      <c r="O549" s="87" t="s">
        <v>532</v>
      </c>
      <c r="P549" s="161"/>
      <c r="Q549" s="87" t="s">
        <v>3853</v>
      </c>
      <c r="R549" s="91"/>
      <c r="S549" s="90"/>
      <c r="T549" s="93"/>
      <c r="U549" s="90"/>
      <c r="V549" s="87" t="s">
        <v>285</v>
      </c>
      <c r="W549" s="87" t="s">
        <v>1017</v>
      </c>
      <c r="X549" s="87" t="s">
        <v>3943</v>
      </c>
      <c r="Y549" s="94">
        <v>40294.0</v>
      </c>
      <c r="Z549" s="163"/>
      <c r="AA549" s="163"/>
      <c r="AB549" s="163"/>
      <c r="AC549" s="81">
        <v>548.0</v>
      </c>
      <c r="AD549" s="90"/>
      <c r="AE549" s="87" t="s">
        <v>67</v>
      </c>
      <c r="AF549" s="162"/>
      <c r="AG549" s="87" t="s">
        <v>68</v>
      </c>
      <c r="AH549" s="87" t="s">
        <v>69</v>
      </c>
      <c r="AI549" s="87">
        <v>8.1260333392E10</v>
      </c>
      <c r="AJ549" s="87" t="s">
        <v>3944</v>
      </c>
      <c r="AK549" s="97" t="s">
        <v>3945</v>
      </c>
      <c r="AL549" s="87" t="s">
        <v>3946</v>
      </c>
      <c r="AM549" s="87" t="s">
        <v>73</v>
      </c>
      <c r="AN549" s="87" t="s">
        <v>74</v>
      </c>
      <c r="AO549" s="87" t="s">
        <v>989</v>
      </c>
      <c r="AP549" s="87" t="s">
        <v>3700</v>
      </c>
      <c r="AQ549" s="87">
        <v>0.0</v>
      </c>
      <c r="AR549" s="87">
        <v>0.0</v>
      </c>
    </row>
    <row r="550">
      <c r="A550" s="89">
        <v>14.0</v>
      </c>
      <c r="B550" s="87" t="s">
        <v>3947</v>
      </c>
      <c r="C550" s="88" t="s">
        <v>3948</v>
      </c>
      <c r="D550" s="161"/>
      <c r="E550" s="161"/>
      <c r="F550" s="161"/>
      <c r="G550" s="161"/>
      <c r="H550" s="161"/>
      <c r="I550" s="162"/>
      <c r="J550" s="89"/>
      <c r="K550" s="89"/>
      <c r="L550" s="90"/>
      <c r="M550" s="91"/>
      <c r="N550" s="161"/>
      <c r="O550" s="87" t="s">
        <v>142</v>
      </c>
      <c r="P550" s="161"/>
      <c r="Q550" s="87" t="s">
        <v>3853</v>
      </c>
      <c r="R550" s="91"/>
      <c r="S550" s="90"/>
      <c r="T550" s="93"/>
      <c r="U550" s="90"/>
      <c r="V550" s="87" t="s">
        <v>89</v>
      </c>
      <c r="W550" s="87" t="s">
        <v>230</v>
      </c>
      <c r="X550" s="87" t="s">
        <v>1231</v>
      </c>
      <c r="Y550" s="99">
        <v>41554.0</v>
      </c>
      <c r="Z550" s="162"/>
      <c r="AA550" s="163"/>
      <c r="AB550" s="163"/>
      <c r="AC550" s="81">
        <v>549.0</v>
      </c>
      <c r="AD550" s="90"/>
      <c r="AE550" s="87" t="s">
        <v>67</v>
      </c>
      <c r="AF550" s="162"/>
      <c r="AG550" s="87" t="s">
        <v>68</v>
      </c>
      <c r="AH550" s="87"/>
      <c r="AI550" s="87">
        <v>8.2164894112E10</v>
      </c>
      <c r="AJ550" s="87" t="s">
        <v>3949</v>
      </c>
      <c r="AK550" s="97" t="s">
        <v>3950</v>
      </c>
      <c r="AL550" s="87" t="s">
        <v>3951</v>
      </c>
      <c r="AM550" s="87" t="s">
        <v>96</v>
      </c>
      <c r="AN550" s="87" t="s">
        <v>97</v>
      </c>
      <c r="AO550" s="87" t="s">
        <v>213</v>
      </c>
      <c r="AP550" s="87" t="s">
        <v>885</v>
      </c>
      <c r="AQ550" s="87"/>
      <c r="AR550" s="87"/>
    </row>
    <row r="551">
      <c r="A551" s="89">
        <v>15.0</v>
      </c>
      <c r="B551" s="87" t="s">
        <v>3952</v>
      </c>
      <c r="C551" s="88" t="s">
        <v>3953</v>
      </c>
      <c r="D551" s="161"/>
      <c r="E551" s="161"/>
      <c r="F551" s="161"/>
      <c r="G551" s="161"/>
      <c r="H551" s="161"/>
      <c r="I551" s="162"/>
      <c r="J551" s="161"/>
      <c r="K551" s="161"/>
      <c r="L551" s="162"/>
      <c r="M551" s="161"/>
      <c r="N551" s="161"/>
      <c r="O551" s="87" t="s">
        <v>532</v>
      </c>
      <c r="P551" s="161"/>
      <c r="Q551" s="87" t="s">
        <v>3853</v>
      </c>
      <c r="R551" s="161"/>
      <c r="S551" s="162"/>
      <c r="T551" s="161"/>
      <c r="U551" s="162"/>
      <c r="V551" s="87" t="s">
        <v>285</v>
      </c>
      <c r="W551" s="87" t="s">
        <v>1017</v>
      </c>
      <c r="X551" s="87" t="s">
        <v>3954</v>
      </c>
      <c r="Y551" s="94">
        <v>38888.0</v>
      </c>
      <c r="Z551" s="162"/>
      <c r="AA551" s="162"/>
      <c r="AB551" s="162"/>
      <c r="AC551" s="81">
        <v>550.0</v>
      </c>
      <c r="AD551" s="163"/>
      <c r="AE551" s="87" t="s">
        <v>67</v>
      </c>
      <c r="AF551" s="163"/>
      <c r="AG551" s="87" t="s">
        <v>68</v>
      </c>
      <c r="AH551" s="87"/>
      <c r="AI551" s="87">
        <v>8.216277237E10</v>
      </c>
      <c r="AJ551" s="87" t="s">
        <v>3955</v>
      </c>
      <c r="AK551" s="97" t="s">
        <v>3956</v>
      </c>
      <c r="AL551" s="87" t="s">
        <v>3957</v>
      </c>
      <c r="AM551" s="87" t="s">
        <v>96</v>
      </c>
      <c r="AN551" s="87" t="s">
        <v>97</v>
      </c>
      <c r="AO551" s="87" t="s">
        <v>546</v>
      </c>
      <c r="AP551" s="87" t="s">
        <v>3958</v>
      </c>
      <c r="AQ551" s="87">
        <v>0.0</v>
      </c>
      <c r="AR551" s="87">
        <v>0.0</v>
      </c>
    </row>
    <row r="552">
      <c r="A552" s="89">
        <v>16.0</v>
      </c>
      <c r="B552" s="87" t="s">
        <v>3959</v>
      </c>
      <c r="C552" s="88" t="s">
        <v>3960</v>
      </c>
      <c r="D552" s="161"/>
      <c r="E552" s="161"/>
      <c r="F552" s="161"/>
      <c r="G552" s="161"/>
      <c r="H552" s="161"/>
      <c r="I552" s="162"/>
      <c r="J552" s="161"/>
      <c r="K552" s="161"/>
      <c r="L552" s="162"/>
      <c r="M552" s="161"/>
      <c r="N552" s="161"/>
      <c r="O552" s="87" t="s">
        <v>519</v>
      </c>
      <c r="P552" s="161"/>
      <c r="Q552" s="87" t="s">
        <v>3853</v>
      </c>
      <c r="R552" s="161"/>
      <c r="S552" s="162"/>
      <c r="T552" s="161"/>
      <c r="U552" s="162"/>
      <c r="V552" s="87" t="s">
        <v>267</v>
      </c>
      <c r="W552" s="87" t="s">
        <v>3961</v>
      </c>
      <c r="X552" s="87" t="s">
        <v>268</v>
      </c>
      <c r="Y552" s="94">
        <v>38609.0</v>
      </c>
      <c r="Z552" s="162"/>
      <c r="AA552" s="162"/>
      <c r="AB552" s="162"/>
      <c r="AC552" s="81">
        <v>551.0</v>
      </c>
      <c r="AD552" s="162"/>
      <c r="AE552" s="87" t="s">
        <v>67</v>
      </c>
      <c r="AF552" s="162"/>
      <c r="AG552" s="87" t="s">
        <v>130</v>
      </c>
      <c r="AH552" s="87"/>
      <c r="AI552" s="87">
        <v>8.2261161862E10</v>
      </c>
      <c r="AJ552" s="87" t="s">
        <v>3962</v>
      </c>
      <c r="AK552" s="97" t="s">
        <v>3963</v>
      </c>
      <c r="AL552" s="87" t="s">
        <v>3964</v>
      </c>
      <c r="AM552" s="87" t="s">
        <v>96</v>
      </c>
      <c r="AN552" s="87" t="s">
        <v>150</v>
      </c>
      <c r="AO552" s="87" t="s">
        <v>281</v>
      </c>
      <c r="AP552" s="87" t="s">
        <v>3965</v>
      </c>
      <c r="AQ552" s="87"/>
      <c r="AR552" s="87"/>
    </row>
    <row r="553">
      <c r="A553" s="89">
        <v>17.0</v>
      </c>
      <c r="B553" s="87" t="s">
        <v>3966</v>
      </c>
      <c r="C553" s="88" t="s">
        <v>3967</v>
      </c>
      <c r="D553" s="161"/>
      <c r="E553" s="161"/>
      <c r="F553" s="161"/>
      <c r="G553" s="161"/>
      <c r="H553" s="161"/>
      <c r="I553" s="162"/>
      <c r="J553" s="161"/>
      <c r="K553" s="161"/>
      <c r="L553" s="162"/>
      <c r="M553" s="161"/>
      <c r="N553" s="161"/>
      <c r="O553" s="87" t="s">
        <v>142</v>
      </c>
      <c r="P553" s="161"/>
      <c r="Q553" s="87" t="s">
        <v>3853</v>
      </c>
      <c r="R553" s="161"/>
      <c r="S553" s="162"/>
      <c r="T553" s="161"/>
      <c r="U553" s="162"/>
      <c r="V553" s="87" t="s">
        <v>89</v>
      </c>
      <c r="W553" s="87" t="s">
        <v>1520</v>
      </c>
      <c r="X553" s="87" t="s">
        <v>3968</v>
      </c>
      <c r="Y553" s="94">
        <v>39777.0</v>
      </c>
      <c r="Z553" s="162"/>
      <c r="AA553" s="162"/>
      <c r="AB553" s="162"/>
      <c r="AC553" s="81">
        <v>552.0</v>
      </c>
      <c r="AD553" s="163"/>
      <c r="AE553" s="87" t="s">
        <v>67</v>
      </c>
      <c r="AF553" s="163"/>
      <c r="AG553" s="87" t="s">
        <v>68</v>
      </c>
      <c r="AH553" s="87"/>
      <c r="AI553" s="87">
        <v>8.137558869E10</v>
      </c>
      <c r="AJ553" s="87" t="s">
        <v>3969</v>
      </c>
      <c r="AK553" s="97" t="s">
        <v>3970</v>
      </c>
      <c r="AL553" s="87" t="s">
        <v>3971</v>
      </c>
      <c r="AM553" s="87" t="s">
        <v>96</v>
      </c>
      <c r="AN553" s="87" t="s">
        <v>150</v>
      </c>
      <c r="AO553" s="87" t="s">
        <v>281</v>
      </c>
      <c r="AP553" s="87" t="s">
        <v>1942</v>
      </c>
      <c r="AQ553" s="87">
        <v>2.0</v>
      </c>
      <c r="AR553" s="87">
        <v>1.0</v>
      </c>
    </row>
    <row r="554">
      <c r="A554" s="89">
        <v>18.0</v>
      </c>
      <c r="B554" s="87" t="s">
        <v>3972</v>
      </c>
      <c r="C554" s="88" t="s">
        <v>3973</v>
      </c>
      <c r="D554" s="161"/>
      <c r="E554" s="161"/>
      <c r="F554" s="161"/>
      <c r="G554" s="161"/>
      <c r="H554" s="161"/>
      <c r="I554" s="162"/>
      <c r="J554" s="161"/>
      <c r="K554" s="89"/>
      <c r="L554" s="90"/>
      <c r="M554" s="91"/>
      <c r="N554" s="161"/>
      <c r="O554" s="87" t="s">
        <v>532</v>
      </c>
      <c r="P554" s="161"/>
      <c r="Q554" s="87" t="s">
        <v>3853</v>
      </c>
      <c r="R554" s="91"/>
      <c r="S554" s="90"/>
      <c r="T554" s="93"/>
      <c r="U554" s="90"/>
      <c r="V554" s="87" t="s">
        <v>285</v>
      </c>
      <c r="W554" s="87"/>
      <c r="X554" s="87" t="s">
        <v>3974</v>
      </c>
      <c r="Y554" s="94">
        <v>32276.0</v>
      </c>
      <c r="Z554" s="162"/>
      <c r="AA554" s="163"/>
      <c r="AB554" s="162"/>
      <c r="AC554" s="81">
        <v>553.0</v>
      </c>
      <c r="AD554" s="90"/>
      <c r="AE554" s="87" t="s">
        <v>67</v>
      </c>
      <c r="AF554" s="90"/>
      <c r="AG554" s="87" t="s">
        <v>68</v>
      </c>
      <c r="AH554" s="87"/>
      <c r="AI554" s="87">
        <v>8.1263257888E10</v>
      </c>
      <c r="AJ554" s="87" t="s">
        <v>3975</v>
      </c>
      <c r="AK554" s="97" t="s">
        <v>3976</v>
      </c>
      <c r="AL554" s="87" t="s">
        <v>3977</v>
      </c>
      <c r="AM554" s="87" t="s">
        <v>73</v>
      </c>
      <c r="AN554" s="87" t="s">
        <v>74</v>
      </c>
      <c r="AO554" s="87" t="s">
        <v>582</v>
      </c>
      <c r="AP554" s="87" t="s">
        <v>3978</v>
      </c>
      <c r="AQ554" s="87">
        <v>5.0</v>
      </c>
      <c r="AR554" s="87">
        <v>3.0</v>
      </c>
    </row>
    <row r="555">
      <c r="A555" s="89">
        <v>19.0</v>
      </c>
      <c r="B555" s="87" t="s">
        <v>3979</v>
      </c>
      <c r="C555" s="88" t="s">
        <v>3980</v>
      </c>
      <c r="D555" s="161"/>
      <c r="E555" s="161"/>
      <c r="F555" s="161"/>
      <c r="G555" s="161"/>
      <c r="H555" s="161"/>
      <c r="I555" s="162"/>
      <c r="J555" s="161"/>
      <c r="K555" s="161"/>
      <c r="L555" s="162"/>
      <c r="M555" s="161"/>
      <c r="N555" s="161"/>
      <c r="O555" s="87" t="s">
        <v>142</v>
      </c>
      <c r="P555" s="161"/>
      <c r="Q555" s="87" t="s">
        <v>3853</v>
      </c>
      <c r="R555" s="161"/>
      <c r="S555" s="173"/>
      <c r="T555" s="161"/>
      <c r="U555" s="173"/>
      <c r="V555" s="87" t="s">
        <v>89</v>
      </c>
      <c r="W555" s="87" t="s">
        <v>2304</v>
      </c>
      <c r="X555" s="87" t="s">
        <v>161</v>
      </c>
      <c r="Y555" s="94">
        <v>39438.0</v>
      </c>
      <c r="Z555" s="162"/>
      <c r="AA555" s="162"/>
      <c r="AB555" s="173"/>
      <c r="AC555" s="81">
        <v>554.0</v>
      </c>
      <c r="AD555" s="173"/>
      <c r="AE555" s="87" t="s">
        <v>311</v>
      </c>
      <c r="AF555" s="173"/>
      <c r="AG555" s="87" t="s">
        <v>68</v>
      </c>
      <c r="AH555" s="87"/>
      <c r="AI555" s="87">
        <v>8.1370830625E10</v>
      </c>
      <c r="AJ555" s="87" t="s">
        <v>3981</v>
      </c>
      <c r="AK555" s="97" t="s">
        <v>3982</v>
      </c>
      <c r="AL555" s="87" t="s">
        <v>3983</v>
      </c>
      <c r="AM555" s="87" t="s">
        <v>73</v>
      </c>
      <c r="AN555" s="87" t="s">
        <v>150</v>
      </c>
      <c r="AO555" s="87" t="s">
        <v>281</v>
      </c>
      <c r="AP555" s="87" t="s">
        <v>1883</v>
      </c>
      <c r="AQ555" s="87"/>
      <c r="AR555" s="87"/>
    </row>
    <row r="556">
      <c r="A556" s="89">
        <v>20.0</v>
      </c>
      <c r="B556" s="87" t="s">
        <v>3984</v>
      </c>
      <c r="C556" s="88" t="s">
        <v>3985</v>
      </c>
      <c r="D556" s="161"/>
      <c r="E556" s="161"/>
      <c r="F556" s="161"/>
      <c r="G556" s="161"/>
      <c r="H556" s="161"/>
      <c r="I556" s="162"/>
      <c r="J556" s="161"/>
      <c r="K556" s="161"/>
      <c r="L556" s="162"/>
      <c r="M556" s="161"/>
      <c r="N556" s="161"/>
      <c r="O556" s="87" t="s">
        <v>142</v>
      </c>
      <c r="P556" s="161"/>
      <c r="Q556" s="87" t="s">
        <v>3853</v>
      </c>
      <c r="R556" s="161"/>
      <c r="S556" s="173"/>
      <c r="T556" s="161"/>
      <c r="U556" s="173"/>
      <c r="V556" s="87" t="s">
        <v>89</v>
      </c>
      <c r="W556" s="87" t="s">
        <v>3986</v>
      </c>
      <c r="X556" s="87" t="s">
        <v>3449</v>
      </c>
      <c r="Y556" s="94">
        <v>37721.0</v>
      </c>
      <c r="Z556" s="162"/>
      <c r="AA556" s="162"/>
      <c r="AB556" s="173"/>
      <c r="AC556" s="81">
        <v>555.0</v>
      </c>
      <c r="AD556" s="173"/>
      <c r="AE556" s="87" t="s">
        <v>67</v>
      </c>
      <c r="AF556" s="173"/>
      <c r="AG556" s="87" t="s">
        <v>130</v>
      </c>
      <c r="AH556" s="87"/>
      <c r="AI556" s="87" t="s">
        <v>3987</v>
      </c>
      <c r="AJ556" s="87" t="s">
        <v>3988</v>
      </c>
      <c r="AK556" s="97" t="s">
        <v>3989</v>
      </c>
      <c r="AL556" s="87" t="s">
        <v>3990</v>
      </c>
      <c r="AM556" s="87" t="s">
        <v>96</v>
      </c>
      <c r="AN556" s="87" t="s">
        <v>135</v>
      </c>
      <c r="AO556" s="87" t="s">
        <v>445</v>
      </c>
      <c r="AP556" s="87" t="s">
        <v>446</v>
      </c>
      <c r="AQ556" s="87">
        <v>0.0</v>
      </c>
      <c r="AR556" s="87">
        <v>0.0</v>
      </c>
    </row>
    <row r="557">
      <c r="A557" s="89">
        <v>21.0</v>
      </c>
      <c r="B557" s="87" t="s">
        <v>3991</v>
      </c>
      <c r="C557" s="88" t="s">
        <v>3992</v>
      </c>
      <c r="D557" s="161"/>
      <c r="E557" s="161"/>
      <c r="F557" s="161"/>
      <c r="G557" s="161"/>
      <c r="H557" s="161"/>
      <c r="I557" s="162"/>
      <c r="J557" s="161"/>
      <c r="K557" s="161"/>
      <c r="L557" s="162"/>
      <c r="M557" s="161"/>
      <c r="N557" s="161"/>
      <c r="O557" s="87" t="s">
        <v>142</v>
      </c>
      <c r="P557" s="161"/>
      <c r="Q557" s="87" t="s">
        <v>3853</v>
      </c>
      <c r="R557" s="161"/>
      <c r="S557" s="173"/>
      <c r="T557" s="161"/>
      <c r="U557" s="173"/>
      <c r="V557" s="87" t="s">
        <v>89</v>
      </c>
      <c r="W557" s="87" t="s">
        <v>1826</v>
      </c>
      <c r="X557" s="87" t="s">
        <v>419</v>
      </c>
      <c r="Y557" s="94">
        <v>35509.0</v>
      </c>
      <c r="Z557" s="162"/>
      <c r="AA557" s="162"/>
      <c r="AB557" s="173"/>
      <c r="AC557" s="81">
        <v>556.0</v>
      </c>
      <c r="AD557" s="173"/>
      <c r="AE557" s="87" t="s">
        <v>220</v>
      </c>
      <c r="AF557" s="173"/>
      <c r="AG557" s="87" t="s">
        <v>68</v>
      </c>
      <c r="AH557" s="87"/>
      <c r="AI557" s="87">
        <v>8.136046076E10</v>
      </c>
      <c r="AJ557" s="87" t="s">
        <v>3993</v>
      </c>
      <c r="AK557" s="97" t="s">
        <v>3994</v>
      </c>
      <c r="AL557" s="87" t="s">
        <v>3995</v>
      </c>
      <c r="AM557" s="87" t="s">
        <v>96</v>
      </c>
      <c r="AN557" s="87" t="s">
        <v>97</v>
      </c>
      <c r="AO557" s="87" t="s">
        <v>499</v>
      </c>
      <c r="AP557" s="87" t="s">
        <v>1479</v>
      </c>
      <c r="AQ557" s="87"/>
      <c r="AR557" s="87"/>
    </row>
    <row r="558">
      <c r="A558" s="89">
        <v>22.0</v>
      </c>
      <c r="B558" s="87" t="s">
        <v>3996</v>
      </c>
      <c r="C558" s="88" t="s">
        <v>3997</v>
      </c>
      <c r="D558" s="161"/>
      <c r="E558" s="161"/>
      <c r="F558" s="161"/>
      <c r="G558" s="161"/>
      <c r="H558" s="161"/>
      <c r="I558" s="162"/>
      <c r="J558" s="161"/>
      <c r="K558" s="161"/>
      <c r="L558" s="162"/>
      <c r="M558" s="161"/>
      <c r="N558" s="161"/>
      <c r="O558" s="87" t="s">
        <v>142</v>
      </c>
      <c r="P558" s="161"/>
      <c r="Q558" s="87" t="s">
        <v>3853</v>
      </c>
      <c r="R558" s="161"/>
      <c r="S558" s="173"/>
      <c r="T558" s="161"/>
      <c r="U558" s="173"/>
      <c r="V558" s="87" t="s">
        <v>89</v>
      </c>
      <c r="W558" s="87" t="s">
        <v>678</v>
      </c>
      <c r="X558" s="87" t="s">
        <v>3998</v>
      </c>
      <c r="Y558" s="94">
        <v>39071.0</v>
      </c>
      <c r="Z558" s="162"/>
      <c r="AA558" s="162"/>
      <c r="AB558" s="173"/>
      <c r="AC558" s="81">
        <v>557.0</v>
      </c>
      <c r="AD558" s="173"/>
      <c r="AE558" s="87" t="s">
        <v>67</v>
      </c>
      <c r="AF558" s="173"/>
      <c r="AG558" s="87" t="s">
        <v>68</v>
      </c>
      <c r="AH558" s="87"/>
      <c r="AI558" s="87">
        <v>8.95611702211E11</v>
      </c>
      <c r="AJ558" s="87" t="s">
        <v>3999</v>
      </c>
      <c r="AK558" s="97" t="s">
        <v>4000</v>
      </c>
      <c r="AL558" s="87" t="s">
        <v>4001</v>
      </c>
      <c r="AM558" s="87" t="s">
        <v>96</v>
      </c>
      <c r="AN558" s="87" t="s">
        <v>150</v>
      </c>
      <c r="AO558" s="87" t="s">
        <v>628</v>
      </c>
      <c r="AP558" s="87" t="s">
        <v>628</v>
      </c>
      <c r="AQ558" s="87"/>
      <c r="AR558" s="87"/>
    </row>
    <row r="559">
      <c r="A559" s="89">
        <v>23.0</v>
      </c>
      <c r="B559" s="87" t="s">
        <v>4002</v>
      </c>
      <c r="C559" s="88" t="s">
        <v>4003</v>
      </c>
      <c r="D559" s="161"/>
      <c r="E559" s="161"/>
      <c r="F559" s="161"/>
      <c r="G559" s="161"/>
      <c r="H559" s="161"/>
      <c r="I559" s="162"/>
      <c r="J559" s="161"/>
      <c r="K559" s="161"/>
      <c r="L559" s="162"/>
      <c r="M559" s="161"/>
      <c r="N559" s="161"/>
      <c r="O559" s="87" t="s">
        <v>142</v>
      </c>
      <c r="P559" s="161"/>
      <c r="Q559" s="87" t="s">
        <v>3853</v>
      </c>
      <c r="R559" s="161"/>
      <c r="S559" s="173"/>
      <c r="T559" s="161"/>
      <c r="U559" s="173"/>
      <c r="V559" s="87" t="s">
        <v>89</v>
      </c>
      <c r="W559" s="87" t="s">
        <v>160</v>
      </c>
      <c r="X559" s="87" t="s">
        <v>1231</v>
      </c>
      <c r="Y559" s="94">
        <v>42851.0</v>
      </c>
      <c r="Z559" s="162"/>
      <c r="AA559" s="162"/>
      <c r="AB559" s="173"/>
      <c r="AC559" s="81">
        <v>558.0</v>
      </c>
      <c r="AD559" s="173"/>
      <c r="AE559" s="87" t="s">
        <v>67</v>
      </c>
      <c r="AF559" s="173"/>
      <c r="AG559" s="87" t="s">
        <v>130</v>
      </c>
      <c r="AH559" s="87"/>
      <c r="AI559" s="87">
        <v>8.1263498196E10</v>
      </c>
      <c r="AJ559" s="87" t="s">
        <v>4004</v>
      </c>
      <c r="AK559" s="97" t="s">
        <v>4005</v>
      </c>
      <c r="AL559" s="87" t="s">
        <v>4006</v>
      </c>
      <c r="AM559" s="87" t="s">
        <v>73</v>
      </c>
      <c r="AN559" s="87" t="s">
        <v>74</v>
      </c>
      <c r="AO559" s="87" t="s">
        <v>178</v>
      </c>
      <c r="AP559" s="87" t="s">
        <v>4007</v>
      </c>
      <c r="AQ559" s="87"/>
      <c r="AR559" s="87"/>
    </row>
    <row r="560">
      <c r="A560" s="89">
        <v>24.0</v>
      </c>
      <c r="B560" s="87" t="s">
        <v>4008</v>
      </c>
      <c r="C560" s="88" t="s">
        <v>4009</v>
      </c>
      <c r="D560" s="161"/>
      <c r="E560" s="161"/>
      <c r="F560" s="161"/>
      <c r="G560" s="161"/>
      <c r="H560" s="161"/>
      <c r="I560" s="162"/>
      <c r="J560" s="161"/>
      <c r="K560" s="161"/>
      <c r="L560" s="162"/>
      <c r="M560" s="161"/>
      <c r="N560" s="161"/>
      <c r="O560" s="87" t="s">
        <v>142</v>
      </c>
      <c r="P560" s="161"/>
      <c r="Q560" s="87" t="s">
        <v>3853</v>
      </c>
      <c r="R560" s="161"/>
      <c r="S560" s="173"/>
      <c r="T560" s="161"/>
      <c r="U560" s="173"/>
      <c r="V560" s="87" t="s">
        <v>89</v>
      </c>
      <c r="W560" s="87" t="s">
        <v>2016</v>
      </c>
      <c r="X560" s="87" t="s">
        <v>4010</v>
      </c>
      <c r="Y560" s="99">
        <v>40458.0</v>
      </c>
      <c r="Z560" s="162"/>
      <c r="AA560" s="162"/>
      <c r="AB560" s="173"/>
      <c r="AC560" s="81">
        <v>559.0</v>
      </c>
      <c r="AD560" s="173"/>
      <c r="AE560" s="87" t="s">
        <v>67</v>
      </c>
      <c r="AF560" s="173"/>
      <c r="AG560" s="87" t="s">
        <v>130</v>
      </c>
      <c r="AH560" s="87"/>
      <c r="AI560" s="87">
        <v>8.1260200111E10</v>
      </c>
      <c r="AJ560" s="87" t="s">
        <v>4011</v>
      </c>
      <c r="AK560" s="97" t="s">
        <v>4012</v>
      </c>
      <c r="AL560" s="87" t="s">
        <v>4013</v>
      </c>
      <c r="AM560" s="87" t="s">
        <v>96</v>
      </c>
      <c r="AN560" s="87" t="s">
        <v>97</v>
      </c>
      <c r="AO560" s="87" t="s">
        <v>499</v>
      </c>
      <c r="AP560" s="87" t="s">
        <v>1358</v>
      </c>
      <c r="AQ560" s="87">
        <v>0.0</v>
      </c>
      <c r="AR560" s="87">
        <v>0.0</v>
      </c>
    </row>
    <row r="561">
      <c r="A561" s="89">
        <v>25.0</v>
      </c>
      <c r="B561" s="87" t="s">
        <v>4014</v>
      </c>
      <c r="C561" s="88" t="s">
        <v>4015</v>
      </c>
      <c r="D561" s="161"/>
      <c r="E561" s="161"/>
      <c r="F561" s="161"/>
      <c r="G561" s="161"/>
      <c r="H561" s="161"/>
      <c r="I561" s="162"/>
      <c r="J561" s="161"/>
      <c r="K561" s="161"/>
      <c r="L561" s="162"/>
      <c r="M561" s="161"/>
      <c r="N561" s="161"/>
      <c r="O561" s="87" t="s">
        <v>142</v>
      </c>
      <c r="P561" s="161"/>
      <c r="Q561" s="87" t="s">
        <v>3853</v>
      </c>
      <c r="R561" s="161"/>
      <c r="S561" s="173"/>
      <c r="T561" s="161"/>
      <c r="U561" s="173"/>
      <c r="V561" s="87" t="s">
        <v>89</v>
      </c>
      <c r="W561" s="87" t="s">
        <v>90</v>
      </c>
      <c r="X561" s="87" t="s">
        <v>1231</v>
      </c>
      <c r="Y561" s="94">
        <v>38244.0</v>
      </c>
      <c r="Z561" s="162"/>
      <c r="AA561" s="162"/>
      <c r="AB561" s="173"/>
      <c r="AC561" s="81">
        <v>560.0</v>
      </c>
      <c r="AD561" s="173"/>
      <c r="AE561" s="87" t="s">
        <v>67</v>
      </c>
      <c r="AF561" s="173"/>
      <c r="AG561" s="87" t="s">
        <v>68</v>
      </c>
      <c r="AH561" s="87"/>
      <c r="AI561" s="87">
        <v>8.95603543979E11</v>
      </c>
      <c r="AJ561" s="87" t="s">
        <v>4016</v>
      </c>
      <c r="AK561" s="97" t="s">
        <v>804</v>
      </c>
      <c r="AL561" s="87" t="s">
        <v>4017</v>
      </c>
      <c r="AM561" s="87" t="s">
        <v>73</v>
      </c>
      <c r="AN561" s="87" t="s">
        <v>74</v>
      </c>
      <c r="AO561" s="87" t="s">
        <v>191</v>
      </c>
      <c r="AP561" s="87" t="s">
        <v>2010</v>
      </c>
      <c r="AQ561" s="87">
        <v>0.0</v>
      </c>
      <c r="AR561" s="87">
        <v>0.0</v>
      </c>
    </row>
    <row r="562">
      <c r="A562" s="89">
        <v>26.0</v>
      </c>
      <c r="B562" s="87" t="s">
        <v>4018</v>
      </c>
      <c r="C562" s="88" t="s">
        <v>4019</v>
      </c>
      <c r="D562" s="161"/>
      <c r="E562" s="161"/>
      <c r="F562" s="161"/>
      <c r="G562" s="161"/>
      <c r="H562" s="161"/>
      <c r="I562" s="162"/>
      <c r="J562" s="161"/>
      <c r="K562" s="161"/>
      <c r="L562" s="162"/>
      <c r="M562" s="161"/>
      <c r="N562" s="161"/>
      <c r="O562" s="87" t="s">
        <v>142</v>
      </c>
      <c r="P562" s="161"/>
      <c r="Q562" s="87" t="s">
        <v>3853</v>
      </c>
      <c r="R562" s="161"/>
      <c r="S562" s="173"/>
      <c r="T562" s="161"/>
      <c r="U562" s="173"/>
      <c r="V562" s="87" t="s">
        <v>89</v>
      </c>
      <c r="W562" s="87" t="s">
        <v>160</v>
      </c>
      <c r="X562" s="87" t="s">
        <v>4020</v>
      </c>
      <c r="Y562" s="94">
        <v>41195.0</v>
      </c>
      <c r="Z562" s="162"/>
      <c r="AA562" s="162"/>
      <c r="AB562" s="173"/>
      <c r="AC562" s="81">
        <v>561.0</v>
      </c>
      <c r="AD562" s="173"/>
      <c r="AE562" s="87" t="s">
        <v>67</v>
      </c>
      <c r="AF562" s="173"/>
      <c r="AG562" s="87" t="s">
        <v>68</v>
      </c>
      <c r="AH562" s="87"/>
      <c r="AI562" s="87">
        <v>8.2381701102E10</v>
      </c>
      <c r="AJ562" s="87" t="s">
        <v>4021</v>
      </c>
      <c r="AK562" s="97" t="s">
        <v>4022</v>
      </c>
      <c r="AL562" s="87" t="s">
        <v>4023</v>
      </c>
      <c r="AM562" s="87" t="s">
        <v>96</v>
      </c>
      <c r="AN562" s="87" t="s">
        <v>97</v>
      </c>
      <c r="AO562" s="87" t="s">
        <v>499</v>
      </c>
      <c r="AP562" s="87" t="s">
        <v>657</v>
      </c>
      <c r="AQ562" s="87">
        <v>0.0</v>
      </c>
      <c r="AR562" s="87">
        <v>0.0</v>
      </c>
    </row>
    <row r="563">
      <c r="A563" s="89">
        <v>27.0</v>
      </c>
      <c r="B563" s="87" t="s">
        <v>4024</v>
      </c>
      <c r="C563" s="88" t="s">
        <v>4025</v>
      </c>
      <c r="D563" s="161"/>
      <c r="E563" s="161"/>
      <c r="F563" s="161"/>
      <c r="G563" s="161"/>
      <c r="H563" s="161"/>
      <c r="I563" s="162"/>
      <c r="J563" s="161"/>
      <c r="K563" s="161"/>
      <c r="L563" s="162"/>
      <c r="M563" s="161"/>
      <c r="N563" s="161"/>
      <c r="O563" s="87" t="s">
        <v>142</v>
      </c>
      <c r="P563" s="161"/>
      <c r="Q563" s="87" t="s">
        <v>3853</v>
      </c>
      <c r="R563" s="161"/>
      <c r="S563" s="173"/>
      <c r="T563" s="161"/>
      <c r="U563" s="173"/>
      <c r="V563" s="87" t="s">
        <v>89</v>
      </c>
      <c r="W563" s="87" t="s">
        <v>160</v>
      </c>
      <c r="X563" s="87" t="s">
        <v>509</v>
      </c>
      <c r="Y563" s="94">
        <v>40871.0</v>
      </c>
      <c r="Z563" s="162"/>
      <c r="AA563" s="162"/>
      <c r="AB563" s="173"/>
      <c r="AC563" s="81">
        <v>562.0</v>
      </c>
      <c r="AD563" s="173"/>
      <c r="AE563" s="87" t="s">
        <v>67</v>
      </c>
      <c r="AF563" s="173"/>
      <c r="AG563" s="87" t="s">
        <v>68</v>
      </c>
      <c r="AH563" s="87"/>
      <c r="AI563" s="87">
        <v>8.1377484997E10</v>
      </c>
      <c r="AJ563" s="87" t="s">
        <v>4026</v>
      </c>
      <c r="AK563" s="97" t="s">
        <v>4027</v>
      </c>
      <c r="AL563" s="87" t="s">
        <v>4028</v>
      </c>
      <c r="AM563" s="87" t="s">
        <v>96</v>
      </c>
      <c r="AN563" s="87" t="s">
        <v>150</v>
      </c>
      <c r="AO563" s="87" t="s">
        <v>281</v>
      </c>
      <c r="AP563" s="87" t="s">
        <v>657</v>
      </c>
      <c r="AQ563" s="87" t="s">
        <v>77</v>
      </c>
      <c r="AR563" s="87" t="s">
        <v>77</v>
      </c>
    </row>
    <row r="564">
      <c r="A564" s="89">
        <v>28.0</v>
      </c>
      <c r="B564" s="87" t="s">
        <v>4029</v>
      </c>
      <c r="C564" s="88" t="s">
        <v>4030</v>
      </c>
      <c r="D564" s="161"/>
      <c r="E564" s="161"/>
      <c r="F564" s="161"/>
      <c r="G564" s="161"/>
      <c r="H564" s="161"/>
      <c r="I564" s="162"/>
      <c r="J564" s="161"/>
      <c r="K564" s="161"/>
      <c r="L564" s="162"/>
      <c r="M564" s="161"/>
      <c r="N564" s="161"/>
      <c r="O564" s="87" t="s">
        <v>142</v>
      </c>
      <c r="P564" s="161"/>
      <c r="Q564" s="87" t="s">
        <v>3853</v>
      </c>
      <c r="R564" s="161"/>
      <c r="S564" s="173"/>
      <c r="T564" s="161"/>
      <c r="U564" s="173"/>
      <c r="V564" s="87" t="s">
        <v>159</v>
      </c>
      <c r="W564" s="87" t="s">
        <v>4031</v>
      </c>
      <c r="X564" s="87" t="s">
        <v>4032</v>
      </c>
      <c r="Y564" s="99">
        <v>42250.0</v>
      </c>
      <c r="Z564" s="162"/>
      <c r="AA564" s="162"/>
      <c r="AB564" s="173"/>
      <c r="AC564" s="81">
        <v>563.0</v>
      </c>
      <c r="AD564" s="173"/>
      <c r="AE564" s="87" t="s">
        <v>67</v>
      </c>
      <c r="AF564" s="173"/>
      <c r="AG564" s="87" t="s">
        <v>68</v>
      </c>
      <c r="AH564" s="87"/>
      <c r="AI564" s="87">
        <v>8.1265656271E10</v>
      </c>
      <c r="AJ564" s="87" t="s">
        <v>4033</v>
      </c>
      <c r="AK564" s="97" t="s">
        <v>4034</v>
      </c>
      <c r="AL564" s="87" t="s">
        <v>4035</v>
      </c>
      <c r="AM564" s="87" t="s">
        <v>73</v>
      </c>
      <c r="AN564" s="87" t="s">
        <v>74</v>
      </c>
      <c r="AO564" s="87" t="s">
        <v>774</v>
      </c>
      <c r="AP564" s="87" t="s">
        <v>4036</v>
      </c>
      <c r="AQ564" s="87">
        <v>0.0</v>
      </c>
      <c r="AR564" s="87">
        <v>0.0</v>
      </c>
    </row>
    <row r="565">
      <c r="A565" s="89">
        <v>29.0</v>
      </c>
      <c r="B565" s="87" t="s">
        <v>4037</v>
      </c>
      <c r="C565" s="88" t="s">
        <v>4038</v>
      </c>
      <c r="D565" s="161"/>
      <c r="E565" s="161"/>
      <c r="F565" s="161"/>
      <c r="G565" s="161"/>
      <c r="H565" s="161"/>
      <c r="I565" s="162"/>
      <c r="J565" s="161"/>
      <c r="K565" s="161"/>
      <c r="L565" s="162"/>
      <c r="M565" s="161"/>
      <c r="N565" s="161"/>
      <c r="O565" s="87" t="s">
        <v>519</v>
      </c>
      <c r="P565" s="161"/>
      <c r="Q565" s="87" t="s">
        <v>3853</v>
      </c>
      <c r="R565" s="161"/>
      <c r="S565" s="173"/>
      <c r="T565" s="161"/>
      <c r="U565" s="173"/>
      <c r="V565" s="87" t="s">
        <v>267</v>
      </c>
      <c r="W565" s="87" t="s">
        <v>4039</v>
      </c>
      <c r="X565" s="87" t="s">
        <v>4040</v>
      </c>
      <c r="Y565" s="99">
        <v>37926.0</v>
      </c>
      <c r="Z565" s="162"/>
      <c r="AA565" s="162"/>
      <c r="AB565" s="173"/>
      <c r="AC565" s="81">
        <v>564.0</v>
      </c>
      <c r="AD565" s="173"/>
      <c r="AE565" s="87" t="s">
        <v>311</v>
      </c>
      <c r="AF565" s="173"/>
      <c r="AG565" s="87" t="s">
        <v>68</v>
      </c>
      <c r="AH565" s="87"/>
      <c r="AI565" s="87">
        <v>8.137571117E10</v>
      </c>
      <c r="AJ565" s="87" t="s">
        <v>4041</v>
      </c>
      <c r="AK565" s="97" t="s">
        <v>4042</v>
      </c>
      <c r="AL565" s="87" t="s">
        <v>4043</v>
      </c>
      <c r="AM565" s="87" t="s">
        <v>96</v>
      </c>
      <c r="AN565" s="87" t="s">
        <v>150</v>
      </c>
      <c r="AO565" s="87" t="s">
        <v>281</v>
      </c>
      <c r="AP565" s="87" t="s">
        <v>1404</v>
      </c>
      <c r="AQ565" s="87"/>
      <c r="AR565" s="87"/>
    </row>
    <row r="566">
      <c r="A566" s="89">
        <v>30.0</v>
      </c>
      <c r="B566" s="87" t="s">
        <v>4044</v>
      </c>
      <c r="C566" s="88" t="s">
        <v>4045</v>
      </c>
      <c r="D566" s="161"/>
      <c r="E566" s="161"/>
      <c r="F566" s="161"/>
      <c r="G566" s="161"/>
      <c r="H566" s="161"/>
      <c r="I566" s="162"/>
      <c r="J566" s="161"/>
      <c r="K566" s="161"/>
      <c r="L566" s="162"/>
      <c r="M566" s="161"/>
      <c r="N566" s="161"/>
      <c r="O566" s="87" t="s">
        <v>142</v>
      </c>
      <c r="P566" s="161"/>
      <c r="Q566" s="87" t="s">
        <v>3853</v>
      </c>
      <c r="R566" s="161"/>
      <c r="S566" s="173"/>
      <c r="T566" s="161"/>
      <c r="U566" s="173"/>
      <c r="V566" s="87" t="s">
        <v>89</v>
      </c>
      <c r="W566" s="87" t="s">
        <v>374</v>
      </c>
      <c r="X566" s="87" t="s">
        <v>4046</v>
      </c>
      <c r="Y566" s="94">
        <v>40950.0</v>
      </c>
      <c r="Z566" s="162"/>
      <c r="AA566" s="162"/>
      <c r="AB566" s="173"/>
      <c r="AC566" s="81">
        <v>565.0</v>
      </c>
      <c r="AD566" s="173"/>
      <c r="AE566" s="87" t="s">
        <v>220</v>
      </c>
      <c r="AF566" s="173"/>
      <c r="AG566" s="87" t="s">
        <v>68</v>
      </c>
      <c r="AH566" s="87"/>
      <c r="AI566" s="87">
        <v>8.216386543E10</v>
      </c>
      <c r="AJ566" s="87" t="s">
        <v>4047</v>
      </c>
      <c r="AK566" s="97" t="s">
        <v>4048</v>
      </c>
      <c r="AL566" s="87" t="s">
        <v>4049</v>
      </c>
      <c r="AM566" s="87" t="s">
        <v>73</v>
      </c>
      <c r="AN566" s="87" t="s">
        <v>74</v>
      </c>
      <c r="AO566" s="87" t="s">
        <v>774</v>
      </c>
      <c r="AP566" s="87" t="s">
        <v>799</v>
      </c>
      <c r="AQ566" s="87">
        <v>0.0</v>
      </c>
      <c r="AR566" s="87">
        <v>0.0</v>
      </c>
    </row>
    <row r="567">
      <c r="A567" s="89">
        <v>31.0</v>
      </c>
      <c r="B567" s="87" t="s">
        <v>4050</v>
      </c>
      <c r="C567" s="88" t="s">
        <v>4051</v>
      </c>
      <c r="D567" s="161"/>
      <c r="E567" s="161"/>
      <c r="F567" s="161"/>
      <c r="G567" s="161"/>
      <c r="H567" s="161"/>
      <c r="I567" s="162"/>
      <c r="J567" s="161"/>
      <c r="K567" s="161"/>
      <c r="L567" s="162"/>
      <c r="M567" s="161"/>
      <c r="N567" s="161"/>
      <c r="O567" s="87" t="s">
        <v>142</v>
      </c>
      <c r="P567" s="161"/>
      <c r="Q567" s="87" t="s">
        <v>3853</v>
      </c>
      <c r="R567" s="161"/>
      <c r="S567" s="173"/>
      <c r="T567" s="161"/>
      <c r="U567" s="173"/>
      <c r="V567" s="87" t="s">
        <v>89</v>
      </c>
      <c r="W567" s="87" t="s">
        <v>90</v>
      </c>
      <c r="X567" s="87" t="s">
        <v>260</v>
      </c>
      <c r="Y567" s="94">
        <v>36659.0</v>
      </c>
      <c r="Z567" s="162"/>
      <c r="AA567" s="162"/>
      <c r="AB567" s="173"/>
      <c r="AC567" s="81">
        <v>566.0</v>
      </c>
      <c r="AD567" s="173"/>
      <c r="AE567" s="87" t="s">
        <v>67</v>
      </c>
      <c r="AF567" s="173"/>
      <c r="AG567" s="87" t="s">
        <v>130</v>
      </c>
      <c r="AH567" s="87" t="s">
        <v>69</v>
      </c>
      <c r="AI567" s="87">
        <v>8.1277253521E10</v>
      </c>
      <c r="AJ567" s="87" t="s">
        <v>4052</v>
      </c>
      <c r="AK567" s="97" t="s">
        <v>4053</v>
      </c>
      <c r="AL567" s="87" t="s">
        <v>4054</v>
      </c>
      <c r="AM567" s="87" t="s">
        <v>96</v>
      </c>
      <c r="AN567" s="87" t="s">
        <v>97</v>
      </c>
      <c r="AO567" s="87" t="s">
        <v>292</v>
      </c>
      <c r="AP567" s="87" t="s">
        <v>1735</v>
      </c>
      <c r="AQ567" s="87">
        <v>0.0</v>
      </c>
      <c r="AR567" s="87">
        <v>0.0</v>
      </c>
    </row>
    <row r="568">
      <c r="A568" s="89">
        <v>32.0</v>
      </c>
      <c r="B568" s="87" t="s">
        <v>4055</v>
      </c>
      <c r="C568" s="88" t="s">
        <v>4056</v>
      </c>
      <c r="D568" s="161"/>
      <c r="E568" s="161"/>
      <c r="F568" s="161"/>
      <c r="G568" s="161"/>
      <c r="H568" s="161"/>
      <c r="I568" s="162"/>
      <c r="J568" s="161"/>
      <c r="K568" s="161"/>
      <c r="L568" s="162"/>
      <c r="M568" s="161"/>
      <c r="N568" s="161"/>
      <c r="O568" s="87" t="s">
        <v>532</v>
      </c>
      <c r="P568" s="161"/>
      <c r="Q568" s="87" t="s">
        <v>3853</v>
      </c>
      <c r="R568" s="161"/>
      <c r="S568" s="173"/>
      <c r="T568" s="161"/>
      <c r="U568" s="173"/>
      <c r="V568" s="87" t="s">
        <v>285</v>
      </c>
      <c r="W568" s="87"/>
      <c r="X568" s="87" t="s">
        <v>4057</v>
      </c>
      <c r="Y568" s="94">
        <v>43598.0</v>
      </c>
      <c r="Z568" s="162"/>
      <c r="AA568" s="162"/>
      <c r="AB568" s="173"/>
      <c r="AC568" s="81">
        <v>567.0</v>
      </c>
      <c r="AD568" s="173"/>
      <c r="AE568" s="87" t="s">
        <v>311</v>
      </c>
      <c r="AF568" s="173"/>
      <c r="AG568" s="87" t="s">
        <v>68</v>
      </c>
      <c r="AH568" s="87"/>
      <c r="AI568" s="87">
        <v>8.216365617E10</v>
      </c>
      <c r="AJ568" s="87" t="s">
        <v>4058</v>
      </c>
      <c r="AK568" s="97" t="s">
        <v>4059</v>
      </c>
      <c r="AL568" s="87" t="s">
        <v>4060</v>
      </c>
      <c r="AM568" s="87" t="s">
        <v>96</v>
      </c>
      <c r="AN568" s="87" t="s">
        <v>97</v>
      </c>
      <c r="AO568" s="87" t="s">
        <v>98</v>
      </c>
      <c r="AP568" s="87" t="s">
        <v>4061</v>
      </c>
      <c r="AQ568" s="87"/>
      <c r="AR568" s="87"/>
    </row>
    <row r="569">
      <c r="A569" s="89">
        <v>33.0</v>
      </c>
      <c r="B569" s="87" t="s">
        <v>4062</v>
      </c>
      <c r="C569" s="88" t="s">
        <v>4063</v>
      </c>
      <c r="D569" s="161"/>
      <c r="E569" s="161"/>
      <c r="F569" s="161"/>
      <c r="G569" s="161"/>
      <c r="H569" s="161"/>
      <c r="I569" s="162"/>
      <c r="J569" s="161"/>
      <c r="K569" s="161"/>
      <c r="L569" s="162"/>
      <c r="M569" s="161"/>
      <c r="N569" s="161"/>
      <c r="O569" s="87" t="s">
        <v>142</v>
      </c>
      <c r="P569" s="161"/>
      <c r="Q569" s="87" t="s">
        <v>3853</v>
      </c>
      <c r="R569" s="161"/>
      <c r="S569" s="173"/>
      <c r="T569" s="161"/>
      <c r="U569" s="173"/>
      <c r="V569" s="87" t="s">
        <v>89</v>
      </c>
      <c r="W569" s="87" t="s">
        <v>90</v>
      </c>
      <c r="X569" s="87" t="s">
        <v>4064</v>
      </c>
      <c r="Y569" s="99">
        <v>40795.0</v>
      </c>
      <c r="Z569" s="162"/>
      <c r="AA569" s="162"/>
      <c r="AB569" s="173"/>
      <c r="AC569" s="81">
        <v>568.0</v>
      </c>
      <c r="AD569" s="173"/>
      <c r="AE569" s="87" t="s">
        <v>67</v>
      </c>
      <c r="AF569" s="173"/>
      <c r="AG569" s="87" t="s">
        <v>130</v>
      </c>
      <c r="AH569" s="173"/>
      <c r="AI569" s="87">
        <v>8.1263474808E10</v>
      </c>
      <c r="AJ569" s="87" t="s">
        <v>4065</v>
      </c>
      <c r="AK569" s="97" t="s">
        <v>4066</v>
      </c>
      <c r="AL569" s="87" t="s">
        <v>4067</v>
      </c>
      <c r="AM569" s="87" t="s">
        <v>73</v>
      </c>
      <c r="AN569" s="87" t="s">
        <v>166</v>
      </c>
      <c r="AO569" s="87" t="s">
        <v>596</v>
      </c>
      <c r="AP569" s="87" t="s">
        <v>2743</v>
      </c>
      <c r="AQ569" s="87">
        <v>0.0</v>
      </c>
      <c r="AR569" s="87">
        <v>0.0</v>
      </c>
    </row>
    <row r="570">
      <c r="A570" s="89">
        <v>34.0</v>
      </c>
      <c r="B570" s="87" t="s">
        <v>4068</v>
      </c>
      <c r="C570" s="88" t="s">
        <v>4069</v>
      </c>
      <c r="D570" s="161"/>
      <c r="E570" s="161"/>
      <c r="F570" s="161"/>
      <c r="G570" s="161"/>
      <c r="H570" s="161"/>
      <c r="I570" s="162"/>
      <c r="J570" s="161"/>
      <c r="K570" s="161"/>
      <c r="L570" s="162"/>
      <c r="M570" s="161"/>
      <c r="N570" s="161"/>
      <c r="O570" s="87" t="s">
        <v>142</v>
      </c>
      <c r="P570" s="161"/>
      <c r="Q570" s="87" t="s">
        <v>3853</v>
      </c>
      <c r="R570" s="161"/>
      <c r="S570" s="173"/>
      <c r="T570" s="161"/>
      <c r="U570" s="173"/>
      <c r="V570" s="87" t="s">
        <v>89</v>
      </c>
      <c r="W570" s="87" t="s">
        <v>2016</v>
      </c>
      <c r="X570" s="87" t="s">
        <v>4070</v>
      </c>
      <c r="Y570" s="94">
        <v>42688.0</v>
      </c>
      <c r="Z570" s="162"/>
      <c r="AA570" s="162"/>
      <c r="AB570" s="173"/>
      <c r="AC570" s="81">
        <v>569.0</v>
      </c>
      <c r="AD570" s="173"/>
      <c r="AE570" s="87" t="s">
        <v>67</v>
      </c>
      <c r="AF570" s="173"/>
      <c r="AG570" s="87" t="s">
        <v>68</v>
      </c>
      <c r="AH570" s="173"/>
      <c r="AI570" s="87">
        <v>8.2166512257E10</v>
      </c>
      <c r="AJ570" s="87" t="s">
        <v>4071</v>
      </c>
      <c r="AK570" s="97" t="s">
        <v>4072</v>
      </c>
      <c r="AL570" s="87" t="s">
        <v>4073</v>
      </c>
      <c r="AM570" s="87" t="s">
        <v>73</v>
      </c>
      <c r="AN570" s="87" t="s">
        <v>166</v>
      </c>
      <c r="AO570" s="87" t="s">
        <v>596</v>
      </c>
      <c r="AP570" s="87" t="s">
        <v>1842</v>
      </c>
      <c r="AQ570" s="87"/>
      <c r="AR570" s="87"/>
    </row>
    <row r="571">
      <c r="A571" s="89">
        <v>35.0</v>
      </c>
      <c r="B571" s="87" t="s">
        <v>4074</v>
      </c>
      <c r="C571" s="88" t="s">
        <v>4075</v>
      </c>
      <c r="D571" s="161"/>
      <c r="E571" s="161"/>
      <c r="F571" s="161"/>
      <c r="G571" s="161"/>
      <c r="H571" s="161"/>
      <c r="I571" s="162"/>
      <c r="J571" s="161"/>
      <c r="K571" s="161"/>
      <c r="L571" s="162"/>
      <c r="M571" s="161"/>
      <c r="N571" s="161"/>
      <c r="O571" s="87" t="s">
        <v>519</v>
      </c>
      <c r="P571" s="161"/>
      <c r="Q571" s="87" t="s">
        <v>3853</v>
      </c>
      <c r="R571" s="161"/>
      <c r="S571" s="173"/>
      <c r="T571" s="161"/>
      <c r="U571" s="173"/>
      <c r="V571" s="87" t="s">
        <v>267</v>
      </c>
      <c r="W571" s="87" t="s">
        <v>4076</v>
      </c>
      <c r="X571" s="87" t="s">
        <v>4077</v>
      </c>
      <c r="Y571" s="94">
        <v>36850.0</v>
      </c>
      <c r="Z571" s="162"/>
      <c r="AA571" s="162"/>
      <c r="AB571" s="173"/>
      <c r="AC571" s="81">
        <v>570.0</v>
      </c>
      <c r="AD571" s="173"/>
      <c r="AE571" s="87" t="s">
        <v>220</v>
      </c>
      <c r="AF571" s="173"/>
      <c r="AG571" s="87" t="s">
        <v>130</v>
      </c>
      <c r="AH571" s="173"/>
      <c r="AI571" s="87">
        <v>8.213738615E10</v>
      </c>
      <c r="AJ571" s="87" t="s">
        <v>4078</v>
      </c>
      <c r="AK571" s="97" t="s">
        <v>4079</v>
      </c>
      <c r="AL571" s="87" t="s">
        <v>4080</v>
      </c>
      <c r="AM571" s="87" t="s">
        <v>73</v>
      </c>
      <c r="AN571" s="87" t="s">
        <v>74</v>
      </c>
      <c r="AO571" s="87" t="s">
        <v>925</v>
      </c>
      <c r="AP571" s="87" t="s">
        <v>4081</v>
      </c>
      <c r="AQ571" s="87">
        <v>0.0</v>
      </c>
      <c r="AR571" s="87">
        <v>0.0</v>
      </c>
    </row>
    <row r="572">
      <c r="A572" s="89">
        <v>36.0</v>
      </c>
      <c r="B572" s="87" t="s">
        <v>4082</v>
      </c>
      <c r="C572" s="88" t="s">
        <v>4083</v>
      </c>
      <c r="D572" s="161"/>
      <c r="E572" s="161"/>
      <c r="F572" s="161"/>
      <c r="G572" s="161"/>
      <c r="H572" s="161"/>
      <c r="I572" s="162"/>
      <c r="J572" s="161"/>
      <c r="K572" s="161"/>
      <c r="L572" s="162"/>
      <c r="M572" s="161"/>
      <c r="N572" s="161"/>
      <c r="O572" s="87" t="s">
        <v>532</v>
      </c>
      <c r="P572" s="161"/>
      <c r="Q572" s="87" t="s">
        <v>3853</v>
      </c>
      <c r="R572" s="161"/>
      <c r="S572" s="173"/>
      <c r="T572" s="161"/>
      <c r="U572" s="173"/>
      <c r="V572" s="87" t="s">
        <v>285</v>
      </c>
      <c r="W572" s="87" t="s">
        <v>1035</v>
      </c>
      <c r="X572" s="87" t="s">
        <v>4084</v>
      </c>
      <c r="Y572" s="94">
        <v>33019.0</v>
      </c>
      <c r="Z572" s="162"/>
      <c r="AA572" s="162"/>
      <c r="AB572" s="173"/>
      <c r="AC572" s="81">
        <v>571.0</v>
      </c>
      <c r="AD572" s="173"/>
      <c r="AE572" s="87" t="s">
        <v>67</v>
      </c>
      <c r="AF572" s="173"/>
      <c r="AG572" s="87" t="s">
        <v>68</v>
      </c>
      <c r="AH572" s="173"/>
      <c r="AI572" s="87">
        <v>8.1370600708E10</v>
      </c>
      <c r="AJ572" s="87" t="s">
        <v>4085</v>
      </c>
      <c r="AK572" s="97" t="s">
        <v>4086</v>
      </c>
      <c r="AL572" s="87" t="s">
        <v>4087</v>
      </c>
      <c r="AM572" s="87" t="s">
        <v>96</v>
      </c>
      <c r="AN572" s="87" t="s">
        <v>135</v>
      </c>
      <c r="AO572" s="87" t="s">
        <v>445</v>
      </c>
      <c r="AP572" s="87" t="s">
        <v>2466</v>
      </c>
      <c r="AQ572" s="87"/>
      <c r="AR572" s="87"/>
    </row>
    <row r="573">
      <c r="A573" s="89">
        <v>37.0</v>
      </c>
      <c r="B573" s="87" t="s">
        <v>4088</v>
      </c>
      <c r="C573" s="88" t="s">
        <v>4089</v>
      </c>
      <c r="D573" s="161"/>
      <c r="E573" s="161"/>
      <c r="F573" s="161"/>
      <c r="G573" s="161"/>
      <c r="H573" s="161"/>
      <c r="I573" s="162"/>
      <c r="J573" s="161"/>
      <c r="K573" s="161"/>
      <c r="L573" s="162"/>
      <c r="M573" s="161"/>
      <c r="N573" s="161"/>
      <c r="O573" s="87" t="s">
        <v>142</v>
      </c>
      <c r="P573" s="161"/>
      <c r="Q573" s="87" t="s">
        <v>3853</v>
      </c>
      <c r="R573" s="161"/>
      <c r="S573" s="173"/>
      <c r="T573" s="161"/>
      <c r="U573" s="173"/>
      <c r="V573" s="87" t="s">
        <v>89</v>
      </c>
      <c r="W573" s="87" t="s">
        <v>90</v>
      </c>
      <c r="X573" s="87" t="s">
        <v>244</v>
      </c>
      <c r="Y573" s="94">
        <v>43027.0</v>
      </c>
      <c r="Z573" s="162"/>
      <c r="AA573" s="162"/>
      <c r="AB573" s="173"/>
      <c r="AC573" s="81">
        <v>572.0</v>
      </c>
      <c r="AD573" s="173"/>
      <c r="AE573" s="87" t="s">
        <v>67</v>
      </c>
      <c r="AF573" s="173"/>
      <c r="AG573" s="87" t="s">
        <v>68</v>
      </c>
      <c r="AH573" s="173"/>
      <c r="AI573" s="87">
        <v>8.13611794E10</v>
      </c>
      <c r="AJ573" s="87" t="s">
        <v>4090</v>
      </c>
      <c r="AK573" s="97" t="s">
        <v>4091</v>
      </c>
      <c r="AL573" s="87" t="s">
        <v>4092</v>
      </c>
      <c r="AM573" s="87" t="s">
        <v>96</v>
      </c>
      <c r="AN573" s="87" t="s">
        <v>97</v>
      </c>
      <c r="AO573" s="87" t="s">
        <v>292</v>
      </c>
      <c r="AP573" s="87" t="s">
        <v>683</v>
      </c>
      <c r="AQ573" s="87">
        <v>1.0</v>
      </c>
      <c r="AR573" s="87"/>
    </row>
    <row r="574">
      <c r="A574" s="89">
        <v>38.0</v>
      </c>
      <c r="B574" s="87" t="s">
        <v>4093</v>
      </c>
      <c r="C574" s="88" t="s">
        <v>4094</v>
      </c>
      <c r="D574" s="161"/>
      <c r="E574" s="161"/>
      <c r="F574" s="161"/>
      <c r="G574" s="161"/>
      <c r="H574" s="161"/>
      <c r="I574" s="162"/>
      <c r="J574" s="161"/>
      <c r="K574" s="161"/>
      <c r="L574" s="162"/>
      <c r="M574" s="161"/>
      <c r="N574" s="161"/>
      <c r="O574" s="87" t="s">
        <v>142</v>
      </c>
      <c r="P574" s="161"/>
      <c r="Q574" s="87" t="s">
        <v>3853</v>
      </c>
      <c r="R574" s="161"/>
      <c r="S574" s="173"/>
      <c r="T574" s="161"/>
      <c r="U574" s="173"/>
      <c r="V574" s="87" t="s">
        <v>89</v>
      </c>
      <c r="W574" s="87" t="s">
        <v>1811</v>
      </c>
      <c r="X574" s="87" t="s">
        <v>1231</v>
      </c>
      <c r="Y574" s="94">
        <v>41752.0</v>
      </c>
      <c r="Z574" s="162"/>
      <c r="AA574" s="162"/>
      <c r="AB574" s="173"/>
      <c r="AC574" s="81">
        <v>573.0</v>
      </c>
      <c r="AD574" s="173"/>
      <c r="AE574" s="87" t="s">
        <v>67</v>
      </c>
      <c r="AF574" s="173"/>
      <c r="AG574" s="87" t="s">
        <v>130</v>
      </c>
      <c r="AH574" s="173"/>
      <c r="AI574" s="87">
        <v>8.5262365477E10</v>
      </c>
      <c r="AJ574" s="87" t="s">
        <v>4095</v>
      </c>
      <c r="AK574" s="97" t="s">
        <v>4096</v>
      </c>
      <c r="AL574" s="87" t="s">
        <v>4097</v>
      </c>
      <c r="AM574" s="87" t="s">
        <v>73</v>
      </c>
      <c r="AN574" s="87" t="s">
        <v>74</v>
      </c>
      <c r="AO574" s="87" t="s">
        <v>191</v>
      </c>
      <c r="AP574" s="87" t="s">
        <v>2010</v>
      </c>
      <c r="AQ574" s="87"/>
      <c r="AR574" s="87"/>
    </row>
    <row r="575">
      <c r="A575" s="89">
        <v>39.0</v>
      </c>
      <c r="B575" s="87" t="s">
        <v>4098</v>
      </c>
      <c r="C575" s="88" t="s">
        <v>4099</v>
      </c>
      <c r="D575" s="161"/>
      <c r="E575" s="161"/>
      <c r="F575" s="161"/>
      <c r="G575" s="161"/>
      <c r="H575" s="161"/>
      <c r="I575" s="162"/>
      <c r="J575" s="161"/>
      <c r="K575" s="161"/>
      <c r="L575" s="162"/>
      <c r="M575" s="161"/>
      <c r="N575" s="161"/>
      <c r="O575" s="87" t="s">
        <v>519</v>
      </c>
      <c r="P575" s="161"/>
      <c r="Q575" s="87" t="s">
        <v>3853</v>
      </c>
      <c r="R575" s="161"/>
      <c r="S575" s="173"/>
      <c r="T575" s="161"/>
      <c r="U575" s="173"/>
      <c r="V575" s="87" t="s">
        <v>267</v>
      </c>
      <c r="W575" s="87" t="s">
        <v>4100</v>
      </c>
      <c r="X575" s="87" t="s">
        <v>4101</v>
      </c>
      <c r="Y575" s="94">
        <v>38616.0</v>
      </c>
      <c r="Z575" s="162"/>
      <c r="AA575" s="162"/>
      <c r="AB575" s="173"/>
      <c r="AC575" s="81">
        <v>574.0</v>
      </c>
      <c r="AD575" s="173"/>
      <c r="AE575" s="87" t="s">
        <v>67</v>
      </c>
      <c r="AF575" s="173"/>
      <c r="AG575" s="87" t="s">
        <v>68</v>
      </c>
      <c r="AH575" s="173"/>
      <c r="AI575" s="87">
        <v>8.5362408137E10</v>
      </c>
      <c r="AJ575" s="87" t="s">
        <v>4102</v>
      </c>
      <c r="AK575" s="97" t="s">
        <v>4103</v>
      </c>
      <c r="AL575" s="87" t="s">
        <v>4104</v>
      </c>
      <c r="AM575" s="87" t="s">
        <v>732</v>
      </c>
      <c r="AN575" s="87" t="s">
        <v>97</v>
      </c>
      <c r="AO575" s="87" t="s">
        <v>4105</v>
      </c>
      <c r="AP575" s="87" t="s">
        <v>1816</v>
      </c>
      <c r="AQ575" s="87"/>
      <c r="AR575" s="87"/>
    </row>
    <row r="576">
      <c r="A576" s="89">
        <v>40.0</v>
      </c>
      <c r="B576" s="87" t="s">
        <v>4106</v>
      </c>
      <c r="C576" s="88" t="s">
        <v>4107</v>
      </c>
      <c r="D576" s="161"/>
      <c r="E576" s="161"/>
      <c r="F576" s="161"/>
      <c r="G576" s="161"/>
      <c r="H576" s="161"/>
      <c r="I576" s="162"/>
      <c r="J576" s="161"/>
      <c r="K576" s="161"/>
      <c r="L576" s="162"/>
      <c r="M576" s="161"/>
      <c r="N576" s="161"/>
      <c r="O576" s="87" t="s">
        <v>532</v>
      </c>
      <c r="P576" s="161"/>
      <c r="Q576" s="87" t="s">
        <v>3853</v>
      </c>
      <c r="R576" s="161"/>
      <c r="S576" s="173"/>
      <c r="T576" s="161"/>
      <c r="U576" s="173"/>
      <c r="V576" s="87" t="s">
        <v>285</v>
      </c>
      <c r="W576" s="87" t="s">
        <v>4108</v>
      </c>
      <c r="X576" s="87" t="s">
        <v>4109</v>
      </c>
      <c r="Y576" s="94">
        <v>34485.0</v>
      </c>
      <c r="Z576" s="162"/>
      <c r="AA576" s="162"/>
      <c r="AB576" s="173"/>
      <c r="AC576" s="81">
        <v>575.0</v>
      </c>
      <c r="AD576" s="173"/>
      <c r="AE576" s="87" t="s">
        <v>67</v>
      </c>
      <c r="AF576" s="173"/>
      <c r="AG576" s="87" t="s">
        <v>68</v>
      </c>
      <c r="AH576" s="173"/>
      <c r="AI576" s="87">
        <v>8.121242312E10</v>
      </c>
      <c r="AJ576" s="87" t="s">
        <v>4110</v>
      </c>
      <c r="AK576" s="97" t="s">
        <v>4111</v>
      </c>
      <c r="AL576" s="87" t="s">
        <v>4112</v>
      </c>
      <c r="AM576" s="87" t="s">
        <v>96</v>
      </c>
      <c r="AN576" s="87" t="s">
        <v>97</v>
      </c>
      <c r="AO576" s="87" t="s">
        <v>499</v>
      </c>
      <c r="AP576" s="87" t="s">
        <v>464</v>
      </c>
      <c r="AQ576" s="87">
        <v>0.0</v>
      </c>
      <c r="AR576" s="87">
        <v>0.0</v>
      </c>
    </row>
    <row r="577">
      <c r="A577" s="89">
        <v>41.0</v>
      </c>
      <c r="B577" s="87" t="s">
        <v>4113</v>
      </c>
      <c r="C577" s="88" t="s">
        <v>4114</v>
      </c>
      <c r="D577" s="161"/>
      <c r="E577" s="161"/>
      <c r="F577" s="161"/>
      <c r="G577" s="161"/>
      <c r="H577" s="161"/>
      <c r="I577" s="162"/>
      <c r="J577" s="161"/>
      <c r="K577" s="161"/>
      <c r="L577" s="162"/>
      <c r="M577" s="161"/>
      <c r="N577" s="161"/>
      <c r="O577" s="87" t="s">
        <v>142</v>
      </c>
      <c r="P577" s="161"/>
      <c r="Q577" s="87" t="s">
        <v>3853</v>
      </c>
      <c r="R577" s="161"/>
      <c r="S577" s="173"/>
      <c r="T577" s="161"/>
      <c r="U577" s="173"/>
      <c r="V577" s="87" t="s">
        <v>159</v>
      </c>
      <c r="W577" s="87" t="s">
        <v>230</v>
      </c>
      <c r="X577" s="87" t="s">
        <v>231</v>
      </c>
      <c r="Y577" s="94">
        <v>41305.0</v>
      </c>
      <c r="Z577" s="162"/>
      <c r="AA577" s="162"/>
      <c r="AB577" s="173"/>
      <c r="AC577" s="81">
        <v>576.0</v>
      </c>
      <c r="AD577" s="173"/>
      <c r="AE577" s="87" t="s">
        <v>67</v>
      </c>
      <c r="AF577" s="173"/>
      <c r="AG577" s="87" t="s">
        <v>68</v>
      </c>
      <c r="AH577" s="173"/>
      <c r="AI577" s="87">
        <v>8.2160777171E10</v>
      </c>
      <c r="AJ577" s="87" t="s">
        <v>4115</v>
      </c>
      <c r="AK577" s="97" t="s">
        <v>4116</v>
      </c>
      <c r="AL577" s="87" t="s">
        <v>4117</v>
      </c>
      <c r="AM577" s="87" t="s">
        <v>96</v>
      </c>
      <c r="AN577" s="87" t="s">
        <v>97</v>
      </c>
      <c r="AO577" s="87" t="s">
        <v>499</v>
      </c>
      <c r="AP577" s="87" t="s">
        <v>4118</v>
      </c>
      <c r="AQ577" s="87">
        <v>0.0</v>
      </c>
      <c r="AR577" s="87">
        <v>0.0</v>
      </c>
    </row>
    <row r="578">
      <c r="A578" s="89">
        <v>42.0</v>
      </c>
      <c r="B578" s="87" t="s">
        <v>4119</v>
      </c>
      <c r="C578" s="88" t="s">
        <v>4120</v>
      </c>
      <c r="D578" s="161"/>
      <c r="E578" s="161"/>
      <c r="F578" s="161"/>
      <c r="G578" s="161"/>
      <c r="H578" s="161"/>
      <c r="I578" s="162"/>
      <c r="J578" s="161"/>
      <c r="K578" s="161"/>
      <c r="L578" s="162"/>
      <c r="M578" s="161"/>
      <c r="N578" s="161"/>
      <c r="O578" s="87" t="s">
        <v>142</v>
      </c>
      <c r="P578" s="161"/>
      <c r="Q578" s="87" t="s">
        <v>3853</v>
      </c>
      <c r="R578" s="161"/>
      <c r="S578" s="173"/>
      <c r="T578" s="161"/>
      <c r="U578" s="173"/>
      <c r="V578" s="87" t="s">
        <v>89</v>
      </c>
      <c r="W578" s="87"/>
      <c r="X578" s="87" t="s">
        <v>671</v>
      </c>
      <c r="Y578" s="94">
        <v>40445.0</v>
      </c>
      <c r="Z578" s="162"/>
      <c r="AA578" s="162"/>
      <c r="AB578" s="173"/>
      <c r="AC578" s="81">
        <v>577.0</v>
      </c>
      <c r="AD578" s="173"/>
      <c r="AE578" s="87" t="s">
        <v>67</v>
      </c>
      <c r="AF578" s="173"/>
      <c r="AG578" s="87" t="s">
        <v>68</v>
      </c>
      <c r="AH578" s="173"/>
      <c r="AI578" s="87">
        <v>8.2164128455E10</v>
      </c>
      <c r="AJ578" s="87" t="s">
        <v>4121</v>
      </c>
      <c r="AK578" s="97" t="s">
        <v>4122</v>
      </c>
      <c r="AL578" s="87" t="s">
        <v>4123</v>
      </c>
      <c r="AM578" s="87" t="s">
        <v>73</v>
      </c>
      <c r="AN578" s="87" t="s">
        <v>74</v>
      </c>
      <c r="AO578" s="87" t="s">
        <v>454</v>
      </c>
      <c r="AP578" s="87" t="s">
        <v>1753</v>
      </c>
      <c r="AQ578" s="87">
        <v>0.0</v>
      </c>
      <c r="AR578" s="87">
        <v>10.0</v>
      </c>
    </row>
    <row r="579">
      <c r="A579" s="89">
        <v>43.0</v>
      </c>
      <c r="B579" s="87" t="s">
        <v>4124</v>
      </c>
      <c r="C579" s="88" t="s">
        <v>4125</v>
      </c>
      <c r="D579" s="161"/>
      <c r="E579" s="161"/>
      <c r="F579" s="161"/>
      <c r="G579" s="161"/>
      <c r="H579" s="161"/>
      <c r="I579" s="162"/>
      <c r="J579" s="161"/>
      <c r="K579" s="161"/>
      <c r="L579" s="162"/>
      <c r="M579" s="161"/>
      <c r="N579" s="161"/>
      <c r="O579" s="87" t="s">
        <v>532</v>
      </c>
      <c r="P579" s="161"/>
      <c r="Q579" s="87" t="s">
        <v>3853</v>
      </c>
      <c r="R579" s="161"/>
      <c r="S579" s="173"/>
      <c r="T579" s="161"/>
      <c r="U579" s="173"/>
      <c r="V579" s="87" t="s">
        <v>285</v>
      </c>
      <c r="W579" s="87" t="s">
        <v>903</v>
      </c>
      <c r="X579" s="87" t="s">
        <v>4126</v>
      </c>
      <c r="Y579" s="94">
        <v>35938.0</v>
      </c>
      <c r="Z579" s="162"/>
      <c r="AA579" s="162"/>
      <c r="AB579" s="173"/>
      <c r="AC579" s="81">
        <v>578.0</v>
      </c>
      <c r="AD579" s="173"/>
      <c r="AE579" s="87" t="s">
        <v>67</v>
      </c>
      <c r="AF579" s="173"/>
      <c r="AG579" s="87" t="s">
        <v>130</v>
      </c>
      <c r="AH579" s="173"/>
      <c r="AI579" s="87">
        <v>8.1361123332E10</v>
      </c>
      <c r="AJ579" s="87" t="s">
        <v>4127</v>
      </c>
      <c r="AK579" s="97" t="s">
        <v>4128</v>
      </c>
      <c r="AL579" s="87" t="s">
        <v>4129</v>
      </c>
      <c r="AM579" s="87" t="s">
        <v>96</v>
      </c>
      <c r="AN579" s="87" t="s">
        <v>97</v>
      </c>
      <c r="AO579" s="87" t="s">
        <v>213</v>
      </c>
      <c r="AP579" s="87" t="s">
        <v>556</v>
      </c>
      <c r="AQ579" s="87"/>
      <c r="AR579" s="87"/>
    </row>
    <row r="580">
      <c r="A580" s="89">
        <v>44.0</v>
      </c>
      <c r="B580" s="87" t="s">
        <v>4130</v>
      </c>
      <c r="C580" s="88" t="s">
        <v>4131</v>
      </c>
      <c r="D580" s="161"/>
      <c r="E580" s="161"/>
      <c r="F580" s="161"/>
      <c r="G580" s="161"/>
      <c r="H580" s="161"/>
      <c r="I580" s="162"/>
      <c r="J580" s="161"/>
      <c r="K580" s="161"/>
      <c r="L580" s="162"/>
      <c r="M580" s="161"/>
      <c r="N580" s="161"/>
      <c r="O580" s="87" t="s">
        <v>142</v>
      </c>
      <c r="P580" s="161"/>
      <c r="Q580" s="87" t="s">
        <v>3853</v>
      </c>
      <c r="R580" s="161"/>
      <c r="S580" s="173"/>
      <c r="T580" s="161"/>
      <c r="U580" s="173"/>
      <c r="V580" s="87" t="s">
        <v>89</v>
      </c>
      <c r="W580" s="87" t="s">
        <v>90</v>
      </c>
      <c r="X580" s="87" t="s">
        <v>1119</v>
      </c>
      <c r="Y580" s="99">
        <v>44537.0</v>
      </c>
      <c r="Z580" s="162"/>
      <c r="AA580" s="162"/>
      <c r="AB580" s="173"/>
      <c r="AC580" s="81">
        <v>579.0</v>
      </c>
      <c r="AD580" s="173"/>
      <c r="AE580" s="87" t="s">
        <v>311</v>
      </c>
      <c r="AF580" s="173"/>
      <c r="AG580" s="87" t="s">
        <v>130</v>
      </c>
      <c r="AH580" s="173"/>
      <c r="AI580" s="87">
        <v>8.1911281707E10</v>
      </c>
      <c r="AJ580" s="87" t="s">
        <v>4132</v>
      </c>
      <c r="AK580" s="97" t="s">
        <v>4133</v>
      </c>
      <c r="AL580" s="87" t="s">
        <v>4134</v>
      </c>
      <c r="AM580" s="87" t="s">
        <v>73</v>
      </c>
      <c r="AN580" s="87" t="s">
        <v>166</v>
      </c>
      <c r="AO580" s="87" t="s">
        <v>596</v>
      </c>
      <c r="AP580" s="87" t="s">
        <v>4135</v>
      </c>
      <c r="AQ580" s="87">
        <v>0.0</v>
      </c>
      <c r="AR580" s="87">
        <v>0.0</v>
      </c>
    </row>
    <row r="581">
      <c r="A581" s="89">
        <v>45.0</v>
      </c>
      <c r="B581" s="87" t="s">
        <v>4136</v>
      </c>
      <c r="C581" s="88" t="s">
        <v>4137</v>
      </c>
      <c r="D581" s="161"/>
      <c r="E581" s="161"/>
      <c r="F581" s="161"/>
      <c r="G581" s="161"/>
      <c r="H581" s="161"/>
      <c r="I581" s="162"/>
      <c r="J581" s="161"/>
      <c r="K581" s="161"/>
      <c r="L581" s="162"/>
      <c r="M581" s="161"/>
      <c r="N581" s="161"/>
      <c r="O581" s="87" t="s">
        <v>142</v>
      </c>
      <c r="P581" s="161"/>
      <c r="Q581" s="87" t="s">
        <v>3853</v>
      </c>
      <c r="R581" s="161"/>
      <c r="S581" s="173"/>
      <c r="T581" s="161"/>
      <c r="U581" s="173"/>
      <c r="V581" s="87" t="s">
        <v>89</v>
      </c>
      <c r="W581" s="87" t="s">
        <v>4138</v>
      </c>
      <c r="X581" s="87" t="s">
        <v>671</v>
      </c>
      <c r="Y581" s="99">
        <v>44140.0</v>
      </c>
      <c r="Z581" s="162"/>
      <c r="AA581" s="162"/>
      <c r="AB581" s="173"/>
      <c r="AC581" s="81">
        <v>580.0</v>
      </c>
      <c r="AD581" s="173"/>
      <c r="AE581" s="87" t="s">
        <v>67</v>
      </c>
      <c r="AF581" s="173"/>
      <c r="AG581" s="87" t="s">
        <v>130</v>
      </c>
      <c r="AH581" s="173"/>
      <c r="AI581" s="87">
        <v>8.5768912753E10</v>
      </c>
      <c r="AJ581" s="87" t="s">
        <v>4139</v>
      </c>
      <c r="AK581" s="97" t="s">
        <v>4140</v>
      </c>
      <c r="AL581" s="87" t="s">
        <v>4141</v>
      </c>
      <c r="AM581" s="87" t="s">
        <v>732</v>
      </c>
      <c r="AN581" s="87" t="s">
        <v>135</v>
      </c>
      <c r="AO581" s="87" t="s">
        <v>499</v>
      </c>
      <c r="AP581" s="87" t="s">
        <v>1396</v>
      </c>
      <c r="AQ581" s="87">
        <v>0.0</v>
      </c>
      <c r="AR581" s="87">
        <v>0.0</v>
      </c>
    </row>
    <row r="582">
      <c r="A582" s="89">
        <v>46.0</v>
      </c>
      <c r="B582" s="87" t="s">
        <v>4142</v>
      </c>
      <c r="C582" s="88" t="s">
        <v>4143</v>
      </c>
      <c r="D582" s="161"/>
      <c r="E582" s="161"/>
      <c r="F582" s="161"/>
      <c r="G582" s="161"/>
      <c r="H582" s="161"/>
      <c r="I582" s="162"/>
      <c r="J582" s="161"/>
      <c r="K582" s="161"/>
      <c r="L582" s="162"/>
      <c r="M582" s="161"/>
      <c r="N582" s="161"/>
      <c r="O582" s="87" t="s">
        <v>142</v>
      </c>
      <c r="P582" s="161"/>
      <c r="Q582" s="87" t="s">
        <v>3853</v>
      </c>
      <c r="R582" s="161"/>
      <c r="S582" s="173"/>
      <c r="T582" s="161"/>
      <c r="U582" s="173"/>
      <c r="V582" s="87" t="s">
        <v>89</v>
      </c>
      <c r="W582" s="87" t="s">
        <v>218</v>
      </c>
      <c r="X582" s="87" t="s">
        <v>1010</v>
      </c>
      <c r="Y582" s="99">
        <v>43075.0</v>
      </c>
      <c r="Z582" s="162"/>
      <c r="AA582" s="162"/>
      <c r="AB582" s="173"/>
      <c r="AC582" s="81">
        <v>581.0</v>
      </c>
      <c r="AD582" s="173"/>
      <c r="AE582" s="87" t="s">
        <v>67</v>
      </c>
      <c r="AF582" s="173"/>
      <c r="AG582" s="87" t="s">
        <v>130</v>
      </c>
      <c r="AH582" s="173"/>
      <c r="AI582" s="87">
        <v>8.3190923747E10</v>
      </c>
      <c r="AJ582" s="87" t="s">
        <v>4144</v>
      </c>
      <c r="AK582" s="97" t="s">
        <v>4145</v>
      </c>
      <c r="AL582" s="87" t="s">
        <v>4146</v>
      </c>
      <c r="AM582" s="87" t="s">
        <v>1029</v>
      </c>
      <c r="AN582" s="87" t="s">
        <v>97</v>
      </c>
      <c r="AO582" s="87" t="s">
        <v>1576</v>
      </c>
      <c r="AP582" s="87" t="s">
        <v>4147</v>
      </c>
      <c r="AQ582" s="87">
        <v>0.0</v>
      </c>
      <c r="AR582" s="87">
        <v>0.0</v>
      </c>
    </row>
    <row r="583">
      <c r="A583" s="89">
        <v>47.0</v>
      </c>
      <c r="B583" s="87" t="s">
        <v>4148</v>
      </c>
      <c r="C583" s="88" t="s">
        <v>4149</v>
      </c>
      <c r="D583" s="161"/>
      <c r="E583" s="161"/>
      <c r="F583" s="161"/>
      <c r="G583" s="161"/>
      <c r="H583" s="161"/>
      <c r="I583" s="162"/>
      <c r="J583" s="161"/>
      <c r="K583" s="161"/>
      <c r="L583" s="162"/>
      <c r="M583" s="161"/>
      <c r="N583" s="161"/>
      <c r="O583" s="87" t="s">
        <v>142</v>
      </c>
      <c r="P583" s="161"/>
      <c r="Q583" s="87" t="s">
        <v>3853</v>
      </c>
      <c r="R583" s="161"/>
      <c r="S583" s="173"/>
      <c r="T583" s="161"/>
      <c r="U583" s="173"/>
      <c r="V583" s="87" t="s">
        <v>89</v>
      </c>
      <c r="W583" s="87" t="s">
        <v>243</v>
      </c>
      <c r="X583" s="87" t="s">
        <v>4150</v>
      </c>
      <c r="Y583" s="94">
        <v>34997.0</v>
      </c>
      <c r="Z583" s="162"/>
      <c r="AA583" s="162"/>
      <c r="AB583" s="173"/>
      <c r="AC583" s="81">
        <v>582.0</v>
      </c>
      <c r="AD583" s="173"/>
      <c r="AE583" s="87" t="s">
        <v>220</v>
      </c>
      <c r="AF583" s="173"/>
      <c r="AG583" s="87" t="s">
        <v>130</v>
      </c>
      <c r="AH583" s="173"/>
      <c r="AI583" s="87">
        <v>8.1397063324E10</v>
      </c>
      <c r="AJ583" s="87" t="s">
        <v>4151</v>
      </c>
      <c r="AK583" s="97" t="s">
        <v>4152</v>
      </c>
      <c r="AL583" s="87" t="s">
        <v>4153</v>
      </c>
      <c r="AM583" s="87" t="s">
        <v>96</v>
      </c>
      <c r="AN583" s="87" t="s">
        <v>97</v>
      </c>
      <c r="AO583" s="87" t="s">
        <v>213</v>
      </c>
      <c r="AP583" s="87" t="s">
        <v>1366</v>
      </c>
      <c r="AQ583" s="87">
        <v>0.0</v>
      </c>
      <c r="AR583" s="87">
        <v>0.0</v>
      </c>
    </row>
    <row r="584">
      <c r="A584" s="89">
        <v>48.0</v>
      </c>
      <c r="B584" s="87" t="s">
        <v>4154</v>
      </c>
      <c r="C584" s="88" t="s">
        <v>4155</v>
      </c>
      <c r="D584" s="161"/>
      <c r="E584" s="161"/>
      <c r="F584" s="161"/>
      <c r="G584" s="161"/>
      <c r="H584" s="161"/>
      <c r="I584" s="162"/>
      <c r="J584" s="161"/>
      <c r="K584" s="161"/>
      <c r="L584" s="162"/>
      <c r="M584" s="161"/>
      <c r="N584" s="161"/>
      <c r="O584" s="87" t="s">
        <v>142</v>
      </c>
      <c r="P584" s="161"/>
      <c r="Q584" s="87" t="s">
        <v>3853</v>
      </c>
      <c r="R584" s="161"/>
      <c r="S584" s="173"/>
      <c r="T584" s="161"/>
      <c r="U584" s="173"/>
      <c r="V584" s="87"/>
      <c r="W584" s="87"/>
      <c r="X584" s="87"/>
      <c r="Y584" s="100"/>
      <c r="Z584" s="162"/>
      <c r="AA584" s="162"/>
      <c r="AB584" s="173"/>
      <c r="AC584" s="81">
        <v>583.0</v>
      </c>
      <c r="AD584" s="173"/>
      <c r="AE584" s="87" t="s">
        <v>67</v>
      </c>
      <c r="AF584" s="173"/>
      <c r="AG584" s="87" t="s">
        <v>130</v>
      </c>
      <c r="AH584" s="173"/>
      <c r="AI584" s="87">
        <v>8.1262500364E10</v>
      </c>
      <c r="AJ584" s="87" t="s">
        <v>4156</v>
      </c>
      <c r="AK584" s="97" t="s">
        <v>4157</v>
      </c>
      <c r="AL584" s="87" t="s">
        <v>4158</v>
      </c>
      <c r="AM584" s="87" t="s">
        <v>73</v>
      </c>
      <c r="AN584" s="87" t="s">
        <v>74</v>
      </c>
      <c r="AO584" s="87" t="s">
        <v>178</v>
      </c>
      <c r="AP584" s="87" t="s">
        <v>2743</v>
      </c>
      <c r="AQ584" s="87">
        <v>0.0</v>
      </c>
      <c r="AR584" s="87">
        <v>0.0</v>
      </c>
    </row>
    <row r="585">
      <c r="A585" s="89">
        <v>49.0</v>
      </c>
      <c r="B585" s="87" t="s">
        <v>4159</v>
      </c>
      <c r="C585" s="88" t="s">
        <v>4160</v>
      </c>
      <c r="D585" s="161"/>
      <c r="E585" s="161"/>
      <c r="F585" s="161"/>
      <c r="G585" s="161"/>
      <c r="H585" s="161"/>
      <c r="I585" s="162"/>
      <c r="J585" s="161"/>
      <c r="K585" s="161"/>
      <c r="L585" s="162"/>
      <c r="M585" s="161"/>
      <c r="N585" s="161"/>
      <c r="O585" s="87" t="s">
        <v>142</v>
      </c>
      <c r="P585" s="161"/>
      <c r="Q585" s="87" t="s">
        <v>3853</v>
      </c>
      <c r="R585" s="161"/>
      <c r="S585" s="173"/>
      <c r="T585" s="161"/>
      <c r="U585" s="173"/>
      <c r="V585" s="87" t="s">
        <v>89</v>
      </c>
      <c r="W585" s="87" t="s">
        <v>218</v>
      </c>
      <c r="X585" s="87" t="s">
        <v>4161</v>
      </c>
      <c r="Y585" s="99">
        <v>42982.0</v>
      </c>
      <c r="Z585" s="162"/>
      <c r="AA585" s="162"/>
      <c r="AB585" s="173"/>
      <c r="AC585" s="81">
        <v>584.0</v>
      </c>
      <c r="AD585" s="173"/>
      <c r="AE585" s="87" t="s">
        <v>220</v>
      </c>
      <c r="AF585" s="173"/>
      <c r="AG585" s="87" t="s">
        <v>130</v>
      </c>
      <c r="AH585" s="173"/>
      <c r="AI585" s="87">
        <v>8.1260542423E10</v>
      </c>
      <c r="AJ585" s="87" t="s">
        <v>4162</v>
      </c>
      <c r="AK585" s="97" t="s">
        <v>4163</v>
      </c>
      <c r="AL585" s="87" t="s">
        <v>4164</v>
      </c>
      <c r="AM585" s="87" t="s">
        <v>96</v>
      </c>
      <c r="AN585" s="87" t="s">
        <v>97</v>
      </c>
      <c r="AO585" s="87" t="s">
        <v>213</v>
      </c>
      <c r="AP585" s="87" t="s">
        <v>556</v>
      </c>
      <c r="AQ585" s="87"/>
      <c r="AR585" s="87"/>
    </row>
    <row r="586">
      <c r="A586" s="89">
        <v>50.0</v>
      </c>
      <c r="B586" s="87" t="s">
        <v>4165</v>
      </c>
      <c r="C586" s="88" t="s">
        <v>4166</v>
      </c>
      <c r="D586" s="161"/>
      <c r="E586" s="161"/>
      <c r="F586" s="161"/>
      <c r="G586" s="161"/>
      <c r="H586" s="161"/>
      <c r="I586" s="162"/>
      <c r="J586" s="161"/>
      <c r="K586" s="161"/>
      <c r="L586" s="162"/>
      <c r="M586" s="161"/>
      <c r="N586" s="161"/>
      <c r="O586" s="87" t="s">
        <v>142</v>
      </c>
      <c r="P586" s="161"/>
      <c r="Q586" s="87" t="s">
        <v>3853</v>
      </c>
      <c r="R586" s="161"/>
      <c r="S586" s="173"/>
      <c r="T586" s="161"/>
      <c r="U586" s="173"/>
      <c r="V586" s="87" t="s">
        <v>89</v>
      </c>
      <c r="W586" s="87" t="s">
        <v>1214</v>
      </c>
      <c r="X586" s="87" t="s">
        <v>1231</v>
      </c>
      <c r="Y586" s="99">
        <v>39699.0</v>
      </c>
      <c r="Z586" s="162"/>
      <c r="AA586" s="162"/>
      <c r="AB586" s="173"/>
      <c r="AC586" s="81">
        <v>585.0</v>
      </c>
      <c r="AD586" s="173"/>
      <c r="AE586" s="87" t="s">
        <v>67</v>
      </c>
      <c r="AF586" s="173"/>
      <c r="AG586" s="87" t="s">
        <v>130</v>
      </c>
      <c r="AH586" s="173"/>
      <c r="AI586" s="87">
        <v>8.1264643535E10</v>
      </c>
      <c r="AJ586" s="87" t="s">
        <v>4167</v>
      </c>
      <c r="AK586" s="97" t="s">
        <v>4168</v>
      </c>
      <c r="AL586" s="87" t="s">
        <v>4169</v>
      </c>
      <c r="AM586" s="87" t="s">
        <v>73</v>
      </c>
      <c r="AN586" s="87" t="s">
        <v>74</v>
      </c>
      <c r="AO586" s="87" t="s">
        <v>774</v>
      </c>
      <c r="AP586" s="87" t="s">
        <v>942</v>
      </c>
      <c r="AQ586" s="87">
        <v>0.0</v>
      </c>
      <c r="AR586" s="87">
        <v>0.0</v>
      </c>
    </row>
    <row r="587">
      <c r="A587" s="89">
        <v>51.0</v>
      </c>
      <c r="B587" s="87" t="s">
        <v>4170</v>
      </c>
      <c r="C587" s="88" t="s">
        <v>4171</v>
      </c>
      <c r="D587" s="161"/>
      <c r="E587" s="161"/>
      <c r="F587" s="161"/>
      <c r="G587" s="161"/>
      <c r="H587" s="161"/>
      <c r="I587" s="162"/>
      <c r="J587" s="161"/>
      <c r="K587" s="161"/>
      <c r="L587" s="162"/>
      <c r="M587" s="161"/>
      <c r="N587" s="161"/>
      <c r="O587" s="87" t="s">
        <v>142</v>
      </c>
      <c r="P587" s="161"/>
      <c r="Q587" s="87" t="s">
        <v>3853</v>
      </c>
      <c r="R587" s="161"/>
      <c r="S587" s="173"/>
      <c r="T587" s="161"/>
      <c r="U587" s="173"/>
      <c r="V587" s="87" t="s">
        <v>89</v>
      </c>
      <c r="W587" s="87" t="s">
        <v>678</v>
      </c>
      <c r="X587" s="87" t="s">
        <v>4172</v>
      </c>
      <c r="Y587" s="99">
        <v>41246.0</v>
      </c>
      <c r="Z587" s="162"/>
      <c r="AA587" s="162"/>
      <c r="AB587" s="173"/>
      <c r="AC587" s="81">
        <v>586.0</v>
      </c>
      <c r="AD587" s="173"/>
      <c r="AE587" s="87" t="s">
        <v>220</v>
      </c>
      <c r="AF587" s="173"/>
      <c r="AG587" s="87" t="s">
        <v>130</v>
      </c>
      <c r="AH587" s="173"/>
      <c r="AI587" s="87">
        <v>8.1362346569E10</v>
      </c>
      <c r="AJ587" s="87" t="s">
        <v>4173</v>
      </c>
      <c r="AK587" s="97" t="s">
        <v>4174</v>
      </c>
      <c r="AL587" s="87" t="s">
        <v>4175</v>
      </c>
      <c r="AM587" s="87" t="s">
        <v>96</v>
      </c>
      <c r="AN587" s="87" t="s">
        <v>97</v>
      </c>
      <c r="AO587" s="87" t="s">
        <v>292</v>
      </c>
      <c r="AP587" s="87" t="s">
        <v>1711</v>
      </c>
      <c r="AQ587" s="87"/>
      <c r="AR587" s="87"/>
    </row>
    <row r="588">
      <c r="A588" s="89">
        <v>52.0</v>
      </c>
      <c r="B588" s="87" t="s">
        <v>4176</v>
      </c>
      <c r="C588" s="88" t="s">
        <v>4177</v>
      </c>
      <c r="D588" s="161"/>
      <c r="E588" s="161"/>
      <c r="F588" s="161"/>
      <c r="G588" s="161"/>
      <c r="H588" s="161"/>
      <c r="I588" s="162"/>
      <c r="J588" s="161"/>
      <c r="K588" s="161"/>
      <c r="L588" s="162"/>
      <c r="M588" s="161"/>
      <c r="N588" s="161"/>
      <c r="O588" s="87" t="s">
        <v>142</v>
      </c>
      <c r="P588" s="161"/>
      <c r="Q588" s="87" t="s">
        <v>3853</v>
      </c>
      <c r="R588" s="161"/>
      <c r="S588" s="173"/>
      <c r="T588" s="161"/>
      <c r="U588" s="173"/>
      <c r="V588" s="87" t="s">
        <v>89</v>
      </c>
      <c r="W588" s="87" t="s">
        <v>218</v>
      </c>
      <c r="X588" s="87" t="s">
        <v>4178</v>
      </c>
      <c r="Y588" s="94">
        <v>43936.0</v>
      </c>
      <c r="Z588" s="162"/>
      <c r="AA588" s="162"/>
      <c r="AB588" s="173"/>
      <c r="AC588" s="81">
        <v>587.0</v>
      </c>
      <c r="AD588" s="173"/>
      <c r="AE588" s="87" t="s">
        <v>220</v>
      </c>
      <c r="AF588" s="173"/>
      <c r="AG588" s="87" t="s">
        <v>68</v>
      </c>
      <c r="AH588" s="173"/>
      <c r="AI588" s="87">
        <v>8.5262411254E10</v>
      </c>
      <c r="AJ588" s="87" t="s">
        <v>4179</v>
      </c>
      <c r="AK588" s="97" t="s">
        <v>4180</v>
      </c>
      <c r="AL588" s="87" t="s">
        <v>4181</v>
      </c>
      <c r="AM588" s="87" t="s">
        <v>96</v>
      </c>
      <c r="AN588" s="87" t="s">
        <v>97</v>
      </c>
      <c r="AO588" s="87" t="s">
        <v>292</v>
      </c>
      <c r="AP588" s="87" t="s">
        <v>1711</v>
      </c>
      <c r="AQ588" s="87"/>
      <c r="AR588" s="87"/>
    </row>
    <row r="589">
      <c r="A589" s="89">
        <v>53.0</v>
      </c>
      <c r="B589" s="87" t="s">
        <v>4182</v>
      </c>
      <c r="C589" s="88" t="s">
        <v>4183</v>
      </c>
      <c r="D589" s="161"/>
      <c r="E589" s="161"/>
      <c r="F589" s="161"/>
      <c r="G589" s="161"/>
      <c r="H589" s="161"/>
      <c r="I589" s="162"/>
      <c r="J589" s="161"/>
      <c r="K589" s="161"/>
      <c r="L589" s="162"/>
      <c r="M589" s="161"/>
      <c r="N589" s="161"/>
      <c r="O589" s="87" t="s">
        <v>142</v>
      </c>
      <c r="P589" s="161"/>
      <c r="Q589" s="87" t="s">
        <v>3853</v>
      </c>
      <c r="R589" s="161"/>
      <c r="S589" s="173"/>
      <c r="T589" s="161"/>
      <c r="U589" s="173"/>
      <c r="V589" s="87" t="s">
        <v>89</v>
      </c>
      <c r="W589" s="87"/>
      <c r="X589" s="87" t="s">
        <v>4184</v>
      </c>
      <c r="Y589" s="94">
        <v>36304.0</v>
      </c>
      <c r="Z589" s="162"/>
      <c r="AA589" s="162"/>
      <c r="AB589" s="173"/>
      <c r="AC589" s="81">
        <v>588.0</v>
      </c>
      <c r="AD589" s="173"/>
      <c r="AE589" s="87" t="s">
        <v>67</v>
      </c>
      <c r="AF589" s="173"/>
      <c r="AG589" s="87" t="s">
        <v>68</v>
      </c>
      <c r="AH589" s="173"/>
      <c r="AI589" s="87">
        <v>8.126425927E9</v>
      </c>
      <c r="AJ589" s="87" t="s">
        <v>4185</v>
      </c>
      <c r="AK589" s="97" t="s">
        <v>4186</v>
      </c>
      <c r="AL589" s="87" t="s">
        <v>4187</v>
      </c>
      <c r="AM589" s="87" t="s">
        <v>96</v>
      </c>
      <c r="AN589" s="87" t="s">
        <v>97</v>
      </c>
      <c r="AO589" s="87" t="s">
        <v>213</v>
      </c>
      <c r="AP589" s="87" t="s">
        <v>4188</v>
      </c>
      <c r="AQ589" s="87"/>
      <c r="AR589" s="87"/>
    </row>
    <row r="590">
      <c r="A590" s="89">
        <v>54.0</v>
      </c>
      <c r="B590" s="87" t="s">
        <v>4189</v>
      </c>
      <c r="C590" s="88" t="s">
        <v>4190</v>
      </c>
      <c r="D590" s="161"/>
      <c r="E590" s="161"/>
      <c r="F590" s="161"/>
      <c r="G590" s="161"/>
      <c r="H590" s="161"/>
      <c r="I590" s="162"/>
      <c r="J590" s="161"/>
      <c r="K590" s="161"/>
      <c r="L590" s="162"/>
      <c r="M590" s="161"/>
      <c r="N590" s="161"/>
      <c r="O590" s="87" t="s">
        <v>142</v>
      </c>
      <c r="P590" s="161"/>
      <c r="Q590" s="87" t="s">
        <v>3853</v>
      </c>
      <c r="R590" s="161"/>
      <c r="S590" s="173"/>
      <c r="T590" s="161"/>
      <c r="U590" s="173"/>
      <c r="V590" s="87" t="s">
        <v>89</v>
      </c>
      <c r="W590" s="87" t="s">
        <v>1214</v>
      </c>
      <c r="X590" s="87" t="s">
        <v>260</v>
      </c>
      <c r="Y590" s="94">
        <v>44029.0</v>
      </c>
      <c r="Z590" s="162"/>
      <c r="AA590" s="162"/>
      <c r="AB590" s="173"/>
      <c r="AC590" s="81">
        <v>589.0</v>
      </c>
      <c r="AD590" s="173"/>
      <c r="AE590" s="87" t="s">
        <v>67</v>
      </c>
      <c r="AF590" s="173"/>
      <c r="AG590" s="87" t="s">
        <v>68</v>
      </c>
      <c r="AH590" s="173"/>
      <c r="AI590" s="87">
        <v>8.1262945952E10</v>
      </c>
      <c r="AJ590" s="87" t="s">
        <v>4191</v>
      </c>
      <c r="AK590" s="97" t="s">
        <v>4192</v>
      </c>
      <c r="AL590" s="87" t="s">
        <v>4193</v>
      </c>
      <c r="AM590" s="87" t="s">
        <v>73</v>
      </c>
      <c r="AN590" s="87" t="s">
        <v>481</v>
      </c>
      <c r="AO590" s="87" t="s">
        <v>191</v>
      </c>
      <c r="AP590" s="87" t="s">
        <v>836</v>
      </c>
      <c r="AQ590" s="87">
        <v>0.0</v>
      </c>
      <c r="AR590" s="87">
        <v>0.0</v>
      </c>
    </row>
    <row r="591">
      <c r="A591" s="89">
        <v>55.0</v>
      </c>
      <c r="B591" s="87" t="s">
        <v>4194</v>
      </c>
      <c r="C591" s="88" t="s">
        <v>4195</v>
      </c>
      <c r="D591" s="161"/>
      <c r="E591" s="161"/>
      <c r="F591" s="161"/>
      <c r="G591" s="161"/>
      <c r="H591" s="161"/>
      <c r="I591" s="162"/>
      <c r="J591" s="161"/>
      <c r="K591" s="161"/>
      <c r="L591" s="162"/>
      <c r="M591" s="161"/>
      <c r="N591" s="161"/>
      <c r="O591" s="87" t="s">
        <v>142</v>
      </c>
      <c r="P591" s="161"/>
      <c r="Q591" s="87" t="s">
        <v>3853</v>
      </c>
      <c r="R591" s="161"/>
      <c r="S591" s="173"/>
      <c r="T591" s="161"/>
      <c r="U591" s="173"/>
      <c r="V591" s="87" t="s">
        <v>89</v>
      </c>
      <c r="W591" s="87" t="s">
        <v>2132</v>
      </c>
      <c r="X591" s="87" t="s">
        <v>745</v>
      </c>
      <c r="Y591" s="99">
        <v>36375.0</v>
      </c>
      <c r="Z591" s="162"/>
      <c r="AA591" s="162"/>
      <c r="AB591" s="173"/>
      <c r="AC591" s="81">
        <v>590.0</v>
      </c>
      <c r="AD591" s="173"/>
      <c r="AE591" s="87" t="s">
        <v>67</v>
      </c>
      <c r="AF591" s="173"/>
      <c r="AG591" s="87" t="s">
        <v>68</v>
      </c>
      <c r="AH591" s="173"/>
      <c r="AI591" s="87">
        <v>8.1263924889E10</v>
      </c>
      <c r="AJ591" s="87" t="s">
        <v>4196</v>
      </c>
      <c r="AK591" s="97" t="s">
        <v>4197</v>
      </c>
      <c r="AL591" s="87" t="s">
        <v>4198</v>
      </c>
      <c r="AM591" s="87" t="s">
        <v>73</v>
      </c>
      <c r="AN591" s="87" t="s">
        <v>481</v>
      </c>
      <c r="AO591" s="87" t="s">
        <v>1698</v>
      </c>
      <c r="AP591" s="87" t="s">
        <v>1699</v>
      </c>
      <c r="AQ591" s="87">
        <v>1.0</v>
      </c>
      <c r="AR591" s="87">
        <v>1.0</v>
      </c>
    </row>
    <row r="592">
      <c r="A592" s="89">
        <v>56.0</v>
      </c>
      <c r="B592" s="87" t="s">
        <v>4199</v>
      </c>
      <c r="C592" s="88" t="s">
        <v>4200</v>
      </c>
      <c r="D592" s="161"/>
      <c r="E592" s="161"/>
      <c r="F592" s="161"/>
      <c r="G592" s="161"/>
      <c r="H592" s="161"/>
      <c r="I592" s="162"/>
      <c r="J592" s="161"/>
      <c r="K592" s="161"/>
      <c r="L592" s="162"/>
      <c r="M592" s="161"/>
      <c r="N592" s="161"/>
      <c r="O592" s="87" t="s">
        <v>142</v>
      </c>
      <c r="P592" s="161"/>
      <c r="Q592" s="87" t="s">
        <v>3853</v>
      </c>
      <c r="R592" s="161"/>
      <c r="S592" s="173"/>
      <c r="T592" s="161"/>
      <c r="U592" s="173"/>
      <c r="V592" s="87" t="s">
        <v>89</v>
      </c>
      <c r="W592" s="87" t="s">
        <v>2132</v>
      </c>
      <c r="X592" s="87" t="s">
        <v>648</v>
      </c>
      <c r="Y592" s="94">
        <v>39039.0</v>
      </c>
      <c r="Z592" s="162"/>
      <c r="AA592" s="162"/>
      <c r="AB592" s="173"/>
      <c r="AC592" s="81">
        <v>591.0</v>
      </c>
      <c r="AD592" s="173"/>
      <c r="AE592" s="87" t="s">
        <v>67</v>
      </c>
      <c r="AF592" s="173"/>
      <c r="AG592" s="87" t="s">
        <v>68</v>
      </c>
      <c r="AH592" s="173"/>
      <c r="AI592" s="87">
        <v>8.13622283E10</v>
      </c>
      <c r="AJ592" s="87" t="s">
        <v>4201</v>
      </c>
      <c r="AK592" s="97" t="s">
        <v>4202</v>
      </c>
      <c r="AL592" s="87" t="s">
        <v>4203</v>
      </c>
      <c r="AM592" s="87" t="s">
        <v>73</v>
      </c>
      <c r="AN592" s="87" t="s">
        <v>166</v>
      </c>
      <c r="AO592" s="87" t="s">
        <v>596</v>
      </c>
      <c r="AP592" s="87" t="s">
        <v>2170</v>
      </c>
      <c r="AQ592" s="87"/>
      <c r="AR592" s="87"/>
    </row>
    <row r="593">
      <c r="A593" s="124"/>
      <c r="B593" s="135"/>
      <c r="C593" s="136"/>
      <c r="D593" s="124"/>
      <c r="E593" s="124"/>
      <c r="F593" s="124"/>
      <c r="G593" s="124"/>
      <c r="H593" s="137"/>
      <c r="I593" s="135"/>
      <c r="J593" s="138"/>
      <c r="K593" s="138"/>
      <c r="L593" s="139"/>
      <c r="M593" s="140"/>
      <c r="N593" s="124"/>
      <c r="O593" s="139"/>
      <c r="P593" s="124"/>
      <c r="Q593" s="139"/>
      <c r="R593" s="137"/>
      <c r="S593" s="141"/>
      <c r="T593" s="137"/>
      <c r="U593" s="141"/>
      <c r="V593" s="139"/>
      <c r="W593" s="139"/>
      <c r="X593" s="139"/>
      <c r="Y593" s="143"/>
      <c r="Z593" s="141"/>
      <c r="AA593" s="141"/>
      <c r="AB593" s="141"/>
      <c r="AC593" s="81">
        <v>592.0</v>
      </c>
      <c r="AD593" s="139"/>
      <c r="AE593" s="139"/>
      <c r="AF593" s="139"/>
      <c r="AG593" s="139"/>
      <c r="AH593" s="139"/>
      <c r="AI593" s="139"/>
      <c r="AJ593" s="139"/>
      <c r="AK593" s="145"/>
      <c r="AL593" s="139"/>
      <c r="AM593" s="139"/>
      <c r="AN593" s="139"/>
      <c r="AO593" s="139"/>
      <c r="AP593" s="139"/>
      <c r="AQ593" s="139"/>
      <c r="AR593" s="139"/>
    </row>
    <row r="594">
      <c r="A594" s="12" t="s">
        <v>4204</v>
      </c>
      <c r="B594" s="116"/>
      <c r="C594" s="117"/>
      <c r="D594" s="118"/>
      <c r="E594" s="118"/>
      <c r="F594" s="118"/>
      <c r="G594" s="118"/>
      <c r="H594" s="118"/>
      <c r="I594" s="116"/>
      <c r="J594" s="118"/>
      <c r="K594" s="118"/>
      <c r="L594" s="116"/>
      <c r="M594" s="118"/>
      <c r="N594" s="118"/>
      <c r="O594" s="116"/>
      <c r="P594" s="118"/>
      <c r="Q594" s="116"/>
      <c r="R594" s="118"/>
      <c r="S594" s="116"/>
      <c r="T594" s="118"/>
      <c r="U594" s="116"/>
      <c r="V594" s="116"/>
      <c r="W594" s="116"/>
      <c r="X594" s="116"/>
      <c r="Y594" s="116"/>
      <c r="Z594" s="116"/>
      <c r="AA594" s="116"/>
      <c r="AB594" s="116"/>
      <c r="AC594" s="81">
        <v>593.0</v>
      </c>
      <c r="AD594" s="119"/>
      <c r="AE594" s="119"/>
      <c r="AF594" s="119"/>
      <c r="AG594" s="119"/>
      <c r="AH594" s="119"/>
      <c r="AI594" s="119"/>
      <c r="AJ594" s="119"/>
      <c r="AK594" s="29"/>
      <c r="AL594" s="119"/>
      <c r="AM594" s="119"/>
      <c r="AN594" s="119"/>
      <c r="AO594" s="119"/>
      <c r="AP594" s="119"/>
      <c r="AQ594" s="119"/>
      <c r="AR594" s="119"/>
    </row>
    <row r="595">
      <c r="A595" s="21">
        <f>SUM(A593+1)</f>
        <v>1</v>
      </c>
      <c r="B595" s="21" t="s">
        <v>4205</v>
      </c>
      <c r="C595" s="31" t="s">
        <v>4206</v>
      </c>
      <c r="D595" s="23">
        <v>18.0</v>
      </c>
      <c r="E595" s="23">
        <v>4.0</v>
      </c>
      <c r="F595" s="23" t="s">
        <v>171</v>
      </c>
      <c r="G595" s="23" t="s">
        <v>172</v>
      </c>
      <c r="H595" s="32">
        <v>37956.0</v>
      </c>
      <c r="I595" s="21" t="s">
        <v>254</v>
      </c>
      <c r="J595" s="21" t="s">
        <v>255</v>
      </c>
      <c r="K595" s="21" t="s">
        <v>494</v>
      </c>
      <c r="L595" s="21" t="s">
        <v>495</v>
      </c>
      <c r="M595" s="33">
        <v>45383.0</v>
      </c>
      <c r="N595" s="23" t="s">
        <v>56</v>
      </c>
      <c r="O595" s="21" t="s">
        <v>4207</v>
      </c>
      <c r="P595" s="23" t="s">
        <v>107</v>
      </c>
      <c r="Q595" s="21" t="s">
        <v>4208</v>
      </c>
      <c r="R595" s="32">
        <v>46076.0</v>
      </c>
      <c r="S595" s="23" t="s">
        <v>87</v>
      </c>
      <c r="T595" s="35"/>
      <c r="U595" s="23" t="s">
        <v>105</v>
      </c>
      <c r="V595" s="21" t="s">
        <v>159</v>
      </c>
      <c r="W595" s="21" t="s">
        <v>218</v>
      </c>
      <c r="X595" s="21" t="s">
        <v>745</v>
      </c>
      <c r="Y595" s="21" t="s">
        <v>3394</v>
      </c>
      <c r="Z595" s="21" t="s">
        <v>114</v>
      </c>
      <c r="AA595" s="32">
        <v>50048.0</v>
      </c>
      <c r="AB595" s="35"/>
      <c r="AC595" s="23">
        <v>225.0</v>
      </c>
      <c r="AD595" s="21" t="s">
        <v>66</v>
      </c>
      <c r="AE595" s="21" t="s">
        <v>67</v>
      </c>
      <c r="AF595" s="187"/>
      <c r="AG595" s="21" t="s">
        <v>68</v>
      </c>
      <c r="AH595" s="187"/>
      <c r="AI595" s="21">
        <v>8.5297232777E10</v>
      </c>
      <c r="AJ595" s="21" t="s">
        <v>4209</v>
      </c>
      <c r="AK595" s="21" t="s">
        <v>4210</v>
      </c>
      <c r="AL595" s="21" t="s">
        <v>4211</v>
      </c>
      <c r="AM595" s="21" t="s">
        <v>96</v>
      </c>
      <c r="AN595" s="21" t="s">
        <v>135</v>
      </c>
      <c r="AO595" s="21" t="s">
        <v>236</v>
      </c>
      <c r="AP595" s="21" t="s">
        <v>152</v>
      </c>
      <c r="AQ595" s="37"/>
      <c r="AR595" s="37"/>
    </row>
    <row r="596">
      <c r="A596" s="21">
        <f t="shared" ref="A596:A603" si="9">SUM(A595+1)</f>
        <v>2</v>
      </c>
      <c r="B596" s="21" t="s">
        <v>4212</v>
      </c>
      <c r="C596" s="31" t="s">
        <v>4213</v>
      </c>
      <c r="D596" s="23">
        <v>12.0</v>
      </c>
      <c r="E596" s="23">
        <v>0.0</v>
      </c>
      <c r="F596" s="23" t="s">
        <v>82</v>
      </c>
      <c r="G596" s="23" t="s">
        <v>83</v>
      </c>
      <c r="H596" s="32">
        <v>43191.0</v>
      </c>
      <c r="I596" s="21" t="s">
        <v>82</v>
      </c>
      <c r="J596" s="21" t="s">
        <v>83</v>
      </c>
      <c r="K596" s="21" t="s">
        <v>4214</v>
      </c>
      <c r="L596" s="21" t="s">
        <v>4215</v>
      </c>
      <c r="M596" s="33">
        <v>43191.0</v>
      </c>
      <c r="N596" s="23" t="s">
        <v>141</v>
      </c>
      <c r="O596" s="21" t="s">
        <v>4216</v>
      </c>
      <c r="P596" s="35"/>
      <c r="Q596" s="21" t="s">
        <v>4217</v>
      </c>
      <c r="R596" s="32">
        <v>45292.0</v>
      </c>
      <c r="S596" s="23" t="s">
        <v>143</v>
      </c>
      <c r="T596" s="35"/>
      <c r="U596" s="23" t="s">
        <v>144</v>
      </c>
      <c r="V596" s="21" t="s">
        <v>89</v>
      </c>
      <c r="W596" s="21" t="s">
        <v>4218</v>
      </c>
      <c r="X596" s="21" t="s">
        <v>1337</v>
      </c>
      <c r="Y596" s="21" t="s">
        <v>4219</v>
      </c>
      <c r="Z596" s="37"/>
      <c r="AA596" s="32">
        <v>50415.0</v>
      </c>
      <c r="AB596" s="35"/>
      <c r="AC596" s="23">
        <v>226.0</v>
      </c>
      <c r="AD596" s="21" t="s">
        <v>66</v>
      </c>
      <c r="AE596" s="21" t="s">
        <v>67</v>
      </c>
      <c r="AF596" s="21" t="s">
        <v>92</v>
      </c>
      <c r="AG596" s="21" t="s">
        <v>130</v>
      </c>
      <c r="AH596" s="21" t="s">
        <v>131</v>
      </c>
      <c r="AI596" s="21">
        <v>8.2276477485E10</v>
      </c>
      <c r="AJ596" s="21" t="s">
        <v>4220</v>
      </c>
      <c r="AK596" s="21" t="s">
        <v>4221</v>
      </c>
      <c r="AL596" s="21" t="s">
        <v>4222</v>
      </c>
      <c r="AM596" s="21" t="s">
        <v>73</v>
      </c>
      <c r="AN596" s="21" t="s">
        <v>481</v>
      </c>
      <c r="AO596" s="21" t="s">
        <v>360</v>
      </c>
      <c r="AP596" s="21" t="s">
        <v>666</v>
      </c>
      <c r="AQ596" s="37"/>
      <c r="AR596" s="37"/>
    </row>
    <row r="597">
      <c r="A597" s="21">
        <f t="shared" si="9"/>
        <v>3</v>
      </c>
      <c r="B597" s="39" t="s">
        <v>4223</v>
      </c>
      <c r="C597" s="62" t="s">
        <v>4224</v>
      </c>
      <c r="D597" s="39">
        <v>14.0</v>
      </c>
      <c r="E597" s="39">
        <v>7.0</v>
      </c>
      <c r="F597" s="39" t="s">
        <v>296</v>
      </c>
      <c r="G597" s="39" t="s">
        <v>297</v>
      </c>
      <c r="H597" s="63">
        <v>37104.0</v>
      </c>
      <c r="I597" s="39" t="s">
        <v>82</v>
      </c>
      <c r="J597" s="39" t="s">
        <v>83</v>
      </c>
      <c r="K597" s="39" t="s">
        <v>4225</v>
      </c>
      <c r="L597" s="39" t="s">
        <v>61</v>
      </c>
      <c r="M597" s="63">
        <v>42644.0</v>
      </c>
      <c r="N597" s="39" t="s">
        <v>141</v>
      </c>
      <c r="O597" s="39" t="s">
        <v>173</v>
      </c>
      <c r="P597" s="64"/>
      <c r="Q597" s="39" t="s">
        <v>59</v>
      </c>
      <c r="R597" s="63">
        <v>45292.0</v>
      </c>
      <c r="S597" s="39" t="s">
        <v>143</v>
      </c>
      <c r="T597" s="64"/>
      <c r="U597" s="39" t="s">
        <v>144</v>
      </c>
      <c r="V597" s="39" t="s">
        <v>89</v>
      </c>
      <c r="W597" s="39" t="s">
        <v>230</v>
      </c>
      <c r="X597" s="39" t="s">
        <v>231</v>
      </c>
      <c r="Y597" s="39" t="s">
        <v>4226</v>
      </c>
      <c r="Z597" s="39" t="s">
        <v>114</v>
      </c>
      <c r="AA597" s="63">
        <v>48586.0</v>
      </c>
      <c r="AB597" s="64"/>
      <c r="AC597" s="23">
        <v>227.0</v>
      </c>
      <c r="AD597" s="39" t="s">
        <v>66</v>
      </c>
      <c r="AE597" s="39" t="s">
        <v>67</v>
      </c>
      <c r="AF597" s="39" t="s">
        <v>92</v>
      </c>
      <c r="AG597" s="39" t="s">
        <v>130</v>
      </c>
      <c r="AH597" s="39" t="s">
        <v>288</v>
      </c>
      <c r="AI597" s="39">
        <v>8.1260400266E10</v>
      </c>
      <c r="AJ597" s="39" t="s">
        <v>4227</v>
      </c>
      <c r="AK597" s="39" t="s">
        <v>4228</v>
      </c>
      <c r="AL597" s="39" t="s">
        <v>4229</v>
      </c>
      <c r="AM597" s="39" t="s">
        <v>96</v>
      </c>
      <c r="AN597" s="39" t="s">
        <v>150</v>
      </c>
      <c r="AO597" s="39" t="s">
        <v>151</v>
      </c>
      <c r="AP597" s="39" t="s">
        <v>4230</v>
      </c>
      <c r="AQ597" s="39">
        <v>0.0</v>
      </c>
      <c r="AR597" s="39">
        <v>0.0</v>
      </c>
    </row>
    <row r="598">
      <c r="A598" s="21">
        <f t="shared" si="9"/>
        <v>4</v>
      </c>
      <c r="B598" s="39" t="s">
        <v>4231</v>
      </c>
      <c r="C598" s="62" t="s">
        <v>4232</v>
      </c>
      <c r="D598" s="39">
        <v>11.0</v>
      </c>
      <c r="E598" s="39">
        <v>0.0</v>
      </c>
      <c r="F598" s="39" t="s">
        <v>80</v>
      </c>
      <c r="G598" s="39" t="s">
        <v>81</v>
      </c>
      <c r="H598" s="63">
        <v>39356.0</v>
      </c>
      <c r="I598" s="39" t="s">
        <v>82</v>
      </c>
      <c r="J598" s="39" t="s">
        <v>83</v>
      </c>
      <c r="K598" s="39" t="s">
        <v>4233</v>
      </c>
      <c r="L598" s="39" t="s">
        <v>61</v>
      </c>
      <c r="M598" s="63">
        <v>42826.0</v>
      </c>
      <c r="N598" s="39" t="s">
        <v>141</v>
      </c>
      <c r="O598" s="39" t="s">
        <v>173</v>
      </c>
      <c r="P598" s="64"/>
      <c r="Q598" s="39" t="s">
        <v>59</v>
      </c>
      <c r="R598" s="63">
        <v>45292.0</v>
      </c>
      <c r="S598" s="39" t="s">
        <v>143</v>
      </c>
      <c r="T598" s="64"/>
      <c r="U598" s="39" t="s">
        <v>144</v>
      </c>
      <c r="V598" s="39" t="s">
        <v>159</v>
      </c>
      <c r="W598" s="39" t="s">
        <v>218</v>
      </c>
      <c r="X598" s="39" t="s">
        <v>161</v>
      </c>
      <c r="Y598" s="39" t="s">
        <v>3566</v>
      </c>
      <c r="Z598" s="39" t="s">
        <v>114</v>
      </c>
      <c r="AA598" s="63">
        <v>50049.0</v>
      </c>
      <c r="AB598" s="64"/>
      <c r="AC598" s="23">
        <v>228.0</v>
      </c>
      <c r="AD598" s="39" t="s">
        <v>66</v>
      </c>
      <c r="AE598" s="39" t="s">
        <v>311</v>
      </c>
      <c r="AF598" s="39" t="s">
        <v>92</v>
      </c>
      <c r="AG598" s="39" t="s">
        <v>130</v>
      </c>
      <c r="AH598" s="39" t="s">
        <v>131</v>
      </c>
      <c r="AI598" s="39">
        <v>8.5275105999E10</v>
      </c>
      <c r="AJ598" s="39" t="s">
        <v>4234</v>
      </c>
      <c r="AK598" s="39" t="s">
        <v>4235</v>
      </c>
      <c r="AL598" s="39" t="s">
        <v>4236</v>
      </c>
      <c r="AM598" s="39" t="s">
        <v>96</v>
      </c>
      <c r="AN598" s="39" t="s">
        <v>97</v>
      </c>
      <c r="AO598" s="39" t="s">
        <v>272</v>
      </c>
      <c r="AP598" s="39" t="s">
        <v>4237</v>
      </c>
      <c r="AQ598" s="65"/>
      <c r="AR598" s="65"/>
    </row>
    <row r="599">
      <c r="A599" s="21">
        <f t="shared" si="9"/>
        <v>5</v>
      </c>
      <c r="B599" s="39" t="s">
        <v>4238</v>
      </c>
      <c r="C599" s="62" t="s">
        <v>4239</v>
      </c>
      <c r="D599" s="39">
        <v>15.0</v>
      </c>
      <c r="E599" s="39">
        <v>5.0</v>
      </c>
      <c r="F599" s="39" t="s">
        <v>50</v>
      </c>
      <c r="G599" s="39" t="s">
        <v>51</v>
      </c>
      <c r="H599" s="63">
        <v>40179.0</v>
      </c>
      <c r="I599" s="39" t="s">
        <v>82</v>
      </c>
      <c r="J599" s="39" t="s">
        <v>83</v>
      </c>
      <c r="K599" s="39" t="s">
        <v>140</v>
      </c>
      <c r="L599" s="39" t="s">
        <v>105</v>
      </c>
      <c r="M599" s="63">
        <v>45809.0</v>
      </c>
      <c r="N599" s="39" t="s">
        <v>141</v>
      </c>
      <c r="O599" s="39" t="s">
        <v>173</v>
      </c>
      <c r="P599" s="64"/>
      <c r="Q599" s="39" t="s">
        <v>59</v>
      </c>
      <c r="R599" s="63">
        <v>45292.0</v>
      </c>
      <c r="S599" s="39" t="s">
        <v>143</v>
      </c>
      <c r="T599" s="64"/>
      <c r="U599" s="39" t="s">
        <v>144</v>
      </c>
      <c r="V599" s="39" t="s">
        <v>89</v>
      </c>
      <c r="W599" s="39" t="s">
        <v>218</v>
      </c>
      <c r="X599" s="39" t="s">
        <v>97</v>
      </c>
      <c r="Y599" s="39" t="s">
        <v>2032</v>
      </c>
      <c r="Z599" s="65"/>
      <c r="AA599" s="63">
        <v>50777.0</v>
      </c>
      <c r="AB599" s="64"/>
      <c r="AC599" s="23">
        <v>229.0</v>
      </c>
      <c r="AD599" s="39" t="s">
        <v>66</v>
      </c>
      <c r="AE599" s="39" t="s">
        <v>67</v>
      </c>
      <c r="AF599" s="39" t="s">
        <v>92</v>
      </c>
      <c r="AG599" s="39" t="s">
        <v>68</v>
      </c>
      <c r="AH599" s="39" t="s">
        <v>69</v>
      </c>
      <c r="AI599" s="39">
        <v>8.1264614228E10</v>
      </c>
      <c r="AJ599" s="39" t="s">
        <v>4240</v>
      </c>
      <c r="AK599" s="39" t="s">
        <v>4241</v>
      </c>
      <c r="AL599" s="39" t="s">
        <v>4242</v>
      </c>
      <c r="AM599" s="39" t="s">
        <v>96</v>
      </c>
      <c r="AN599" s="39" t="s">
        <v>74</v>
      </c>
      <c r="AO599" s="39" t="s">
        <v>1291</v>
      </c>
      <c r="AP599" s="39" t="s">
        <v>167</v>
      </c>
      <c r="AQ599" s="39">
        <v>0.0</v>
      </c>
      <c r="AR599" s="39">
        <v>0.0</v>
      </c>
    </row>
    <row r="600">
      <c r="A600" s="21">
        <f t="shared" si="9"/>
        <v>6</v>
      </c>
      <c r="B600" s="39" t="s">
        <v>4243</v>
      </c>
      <c r="C600" s="62" t="s">
        <v>4244</v>
      </c>
      <c r="D600" s="39">
        <v>22.0</v>
      </c>
      <c r="E600" s="39">
        <v>10.0</v>
      </c>
      <c r="F600" s="39" t="s">
        <v>50</v>
      </c>
      <c r="G600" s="39" t="s">
        <v>51</v>
      </c>
      <c r="H600" s="63">
        <v>39448.0</v>
      </c>
      <c r="I600" s="39" t="s">
        <v>82</v>
      </c>
      <c r="J600" s="39" t="s">
        <v>83</v>
      </c>
      <c r="K600" s="39" t="s">
        <v>140</v>
      </c>
      <c r="L600" s="39" t="s">
        <v>105</v>
      </c>
      <c r="M600" s="63">
        <v>45809.0</v>
      </c>
      <c r="N600" s="39" t="s">
        <v>141</v>
      </c>
      <c r="O600" s="39" t="s">
        <v>229</v>
      </c>
      <c r="P600" s="64"/>
      <c r="Q600" s="39" t="s">
        <v>59</v>
      </c>
      <c r="R600" s="63">
        <v>45292.0</v>
      </c>
      <c r="S600" s="39" t="s">
        <v>143</v>
      </c>
      <c r="T600" s="64"/>
      <c r="U600" s="39" t="s">
        <v>144</v>
      </c>
      <c r="V600" s="39" t="s">
        <v>89</v>
      </c>
      <c r="W600" s="39" t="s">
        <v>90</v>
      </c>
      <c r="X600" s="39" t="s">
        <v>1521</v>
      </c>
      <c r="Y600" s="39" t="s">
        <v>4245</v>
      </c>
      <c r="Z600" s="39" t="s">
        <v>114</v>
      </c>
      <c r="AA600" s="63">
        <v>46757.0</v>
      </c>
      <c r="AB600" s="64"/>
      <c r="AC600" s="23">
        <v>230.0</v>
      </c>
      <c r="AD600" s="39" t="s">
        <v>66</v>
      </c>
      <c r="AE600" s="39" t="s">
        <v>67</v>
      </c>
      <c r="AF600" s="39" t="s">
        <v>92</v>
      </c>
      <c r="AG600" s="39" t="s">
        <v>68</v>
      </c>
      <c r="AH600" s="39" t="s">
        <v>131</v>
      </c>
      <c r="AI600" s="39">
        <v>8.126389099E10</v>
      </c>
      <c r="AJ600" s="39" t="s">
        <v>4246</v>
      </c>
      <c r="AK600" s="39" t="s">
        <v>4247</v>
      </c>
      <c r="AL600" s="39" t="s">
        <v>4248</v>
      </c>
      <c r="AM600" s="39" t="s">
        <v>96</v>
      </c>
      <c r="AN600" s="39" t="s">
        <v>481</v>
      </c>
      <c r="AO600" s="39" t="s">
        <v>454</v>
      </c>
      <c r="AP600" s="39" t="s">
        <v>491</v>
      </c>
      <c r="AQ600" s="64"/>
      <c r="AR600" s="64"/>
    </row>
    <row r="601">
      <c r="A601" s="21">
        <f t="shared" si="9"/>
        <v>7</v>
      </c>
      <c r="B601" s="39" t="s">
        <v>4249</v>
      </c>
      <c r="C601" s="62" t="s">
        <v>4250</v>
      </c>
      <c r="D601" s="39">
        <v>19.0</v>
      </c>
      <c r="E601" s="39">
        <v>10.0</v>
      </c>
      <c r="F601" s="39" t="s">
        <v>171</v>
      </c>
      <c r="G601" s="39" t="s">
        <v>172</v>
      </c>
      <c r="H601" s="63">
        <v>39448.0</v>
      </c>
      <c r="I601" s="39" t="s">
        <v>102</v>
      </c>
      <c r="J601" s="39" t="s">
        <v>103</v>
      </c>
      <c r="K601" s="39" t="s">
        <v>217</v>
      </c>
      <c r="L601" s="39" t="s">
        <v>61</v>
      </c>
      <c r="M601" s="63">
        <v>45383.0</v>
      </c>
      <c r="N601" s="39" t="s">
        <v>141</v>
      </c>
      <c r="O601" s="39" t="s">
        <v>229</v>
      </c>
      <c r="P601" s="64"/>
      <c r="Q601" s="39" t="s">
        <v>59</v>
      </c>
      <c r="R601" s="63">
        <v>45292.0</v>
      </c>
      <c r="S601" s="39" t="s">
        <v>143</v>
      </c>
      <c r="T601" s="64"/>
      <c r="U601" s="39" t="s">
        <v>144</v>
      </c>
      <c r="V601" s="39" t="s">
        <v>267</v>
      </c>
      <c r="W601" s="39" t="s">
        <v>3932</v>
      </c>
      <c r="X601" s="39" t="s">
        <v>4251</v>
      </c>
      <c r="Y601" s="132">
        <v>36428.0</v>
      </c>
      <c r="Z601" s="64"/>
      <c r="AA601" s="63">
        <v>48953.0</v>
      </c>
      <c r="AB601" s="64"/>
      <c r="AC601" s="23">
        <v>231.0</v>
      </c>
      <c r="AD601" s="39" t="s">
        <v>66</v>
      </c>
      <c r="AE601" s="39" t="s">
        <v>311</v>
      </c>
      <c r="AF601" s="39" t="s">
        <v>92</v>
      </c>
      <c r="AG601" s="39" t="s">
        <v>130</v>
      </c>
      <c r="AH601" s="65"/>
      <c r="AI601" s="39">
        <v>8.2272187716E10</v>
      </c>
      <c r="AJ601" s="39" t="s">
        <v>4252</v>
      </c>
      <c r="AK601" s="39" t="s">
        <v>4253</v>
      </c>
      <c r="AL601" s="39" t="s">
        <v>4254</v>
      </c>
      <c r="AM601" s="39" t="s">
        <v>96</v>
      </c>
      <c r="AN601" s="39" t="s">
        <v>514</v>
      </c>
      <c r="AO601" s="39" t="s">
        <v>203</v>
      </c>
      <c r="AP601" s="39" t="s">
        <v>4255</v>
      </c>
      <c r="AQ601" s="65"/>
      <c r="AR601" s="65"/>
    </row>
    <row r="602">
      <c r="A602" s="21">
        <f t="shared" si="9"/>
        <v>8</v>
      </c>
      <c r="B602" s="39" t="s">
        <v>4256</v>
      </c>
      <c r="C602" s="62" t="s">
        <v>4257</v>
      </c>
      <c r="D602" s="39">
        <v>9.0</v>
      </c>
      <c r="E602" s="39">
        <v>3.0</v>
      </c>
      <c r="F602" s="39" t="s">
        <v>50</v>
      </c>
      <c r="G602" s="39" t="s">
        <v>51</v>
      </c>
      <c r="H602" s="63">
        <v>40179.0</v>
      </c>
      <c r="I602" s="39" t="s">
        <v>102</v>
      </c>
      <c r="J602" s="39" t="s">
        <v>103</v>
      </c>
      <c r="K602" s="39" t="s">
        <v>217</v>
      </c>
      <c r="L602" s="39" t="s">
        <v>105</v>
      </c>
      <c r="M602" s="63">
        <v>45383.0</v>
      </c>
      <c r="N602" s="39" t="s">
        <v>141</v>
      </c>
      <c r="O602" s="39" t="s">
        <v>229</v>
      </c>
      <c r="P602" s="64"/>
      <c r="Q602" s="39" t="s">
        <v>59</v>
      </c>
      <c r="R602" s="63">
        <v>45292.0</v>
      </c>
      <c r="S602" s="39" t="s">
        <v>143</v>
      </c>
      <c r="T602" s="64"/>
      <c r="U602" s="39" t="s">
        <v>144</v>
      </c>
      <c r="V602" s="39" t="s">
        <v>89</v>
      </c>
      <c r="W602" s="39" t="s">
        <v>218</v>
      </c>
      <c r="X602" s="39" t="s">
        <v>2024</v>
      </c>
      <c r="Y602" s="39" t="s">
        <v>4258</v>
      </c>
      <c r="Z602" s="39" t="s">
        <v>114</v>
      </c>
      <c r="AA602" s="63">
        <v>48953.0</v>
      </c>
      <c r="AB602" s="64"/>
      <c r="AC602" s="23">
        <v>232.0</v>
      </c>
      <c r="AD602" s="39" t="s">
        <v>66</v>
      </c>
      <c r="AE602" s="39" t="s">
        <v>67</v>
      </c>
      <c r="AF602" s="39" t="s">
        <v>92</v>
      </c>
      <c r="AG602" s="39" t="s">
        <v>130</v>
      </c>
      <c r="AH602" s="39" t="s">
        <v>69</v>
      </c>
      <c r="AI602" s="39">
        <v>8.1397288262E10</v>
      </c>
      <c r="AJ602" s="39" t="s">
        <v>4259</v>
      </c>
      <c r="AK602" s="39" t="s">
        <v>4260</v>
      </c>
      <c r="AL602" s="39" t="s">
        <v>4261</v>
      </c>
      <c r="AM602" s="39" t="s">
        <v>96</v>
      </c>
      <c r="AN602" s="39" t="s">
        <v>97</v>
      </c>
      <c r="AO602" s="39" t="s">
        <v>136</v>
      </c>
      <c r="AP602" s="39" t="s">
        <v>4262</v>
      </c>
      <c r="AQ602" s="64"/>
      <c r="AR602" s="64"/>
    </row>
    <row r="603">
      <c r="A603" s="21">
        <f t="shared" si="9"/>
        <v>9</v>
      </c>
      <c r="B603" s="39" t="s">
        <v>4263</v>
      </c>
      <c r="C603" s="62" t="s">
        <v>4264</v>
      </c>
      <c r="D603" s="39">
        <v>4.0</v>
      </c>
      <c r="E603" s="39">
        <v>11.0</v>
      </c>
      <c r="F603" s="39" t="s">
        <v>171</v>
      </c>
      <c r="G603" s="39" t="s">
        <v>172</v>
      </c>
      <c r="H603" s="63">
        <v>42125.0</v>
      </c>
      <c r="I603" s="39" t="s">
        <v>80</v>
      </c>
      <c r="J603" s="39" t="s">
        <v>81</v>
      </c>
      <c r="K603" s="39" t="s">
        <v>155</v>
      </c>
      <c r="L603" s="39" t="s">
        <v>88</v>
      </c>
      <c r="M603" s="63">
        <v>44652.0</v>
      </c>
      <c r="N603" s="39" t="s">
        <v>141</v>
      </c>
      <c r="O603" s="39" t="s">
        <v>173</v>
      </c>
      <c r="P603" s="64"/>
      <c r="Q603" s="39" t="s">
        <v>4208</v>
      </c>
      <c r="R603" s="63">
        <v>46023.0</v>
      </c>
      <c r="S603" s="39" t="s">
        <v>4265</v>
      </c>
      <c r="T603" s="64"/>
      <c r="U603" s="39" t="s">
        <v>105</v>
      </c>
      <c r="V603" s="39" t="s">
        <v>89</v>
      </c>
      <c r="W603" s="39" t="s">
        <v>230</v>
      </c>
      <c r="X603" s="39" t="s">
        <v>161</v>
      </c>
      <c r="Y603" s="39" t="s">
        <v>4266</v>
      </c>
      <c r="Z603" s="39" t="s">
        <v>114</v>
      </c>
      <c r="AA603" s="63">
        <v>50777.0</v>
      </c>
      <c r="AB603" s="64"/>
      <c r="AC603" s="23">
        <v>233.0</v>
      </c>
      <c r="AD603" s="39" t="s">
        <v>66</v>
      </c>
      <c r="AE603" s="39" t="s">
        <v>220</v>
      </c>
      <c r="AF603" s="39" t="s">
        <v>92</v>
      </c>
      <c r="AG603" s="39" t="s">
        <v>130</v>
      </c>
      <c r="AH603" s="39" t="s">
        <v>246</v>
      </c>
      <c r="AI603" s="39">
        <v>8.1376888822E10</v>
      </c>
      <c r="AJ603" s="39" t="s">
        <v>4267</v>
      </c>
      <c r="AK603" s="39" t="s">
        <v>4268</v>
      </c>
      <c r="AL603" s="39" t="s">
        <v>4269</v>
      </c>
      <c r="AM603" s="39" t="s">
        <v>73</v>
      </c>
      <c r="AN603" s="39" t="s">
        <v>481</v>
      </c>
      <c r="AO603" s="39" t="s">
        <v>1047</v>
      </c>
      <c r="AP603" s="39" t="s">
        <v>4270</v>
      </c>
      <c r="AQ603" s="39" t="s">
        <v>77</v>
      </c>
      <c r="AR603" s="39" t="s">
        <v>77</v>
      </c>
    </row>
    <row r="604">
      <c r="A604" s="75">
        <v>9.0</v>
      </c>
      <c r="B604" s="72" t="s">
        <v>4271</v>
      </c>
      <c r="C604" s="73" t="s">
        <v>4272</v>
      </c>
      <c r="D604" s="74"/>
      <c r="E604" s="74"/>
      <c r="F604" s="74"/>
      <c r="G604" s="75" t="s">
        <v>550</v>
      </c>
      <c r="H604" s="74"/>
      <c r="I604" s="77"/>
      <c r="J604" s="74"/>
      <c r="K604" s="74"/>
      <c r="L604" s="77"/>
      <c r="M604" s="74"/>
      <c r="N604" s="74"/>
      <c r="O604" s="72" t="s">
        <v>519</v>
      </c>
      <c r="P604" s="74"/>
      <c r="Q604" s="72" t="s">
        <v>4208</v>
      </c>
      <c r="R604" s="74"/>
      <c r="S604" s="77"/>
      <c r="T604" s="74"/>
      <c r="U604" s="77"/>
      <c r="V604" s="72" t="s">
        <v>267</v>
      </c>
      <c r="W604" s="72" t="s">
        <v>4273</v>
      </c>
      <c r="X604" s="72" t="s">
        <v>244</v>
      </c>
      <c r="Y604" s="79">
        <v>44322.0</v>
      </c>
      <c r="Z604" s="77"/>
      <c r="AA604" s="77"/>
      <c r="AB604" s="77"/>
      <c r="AC604" s="81">
        <v>602.0</v>
      </c>
      <c r="AD604" s="72" t="s">
        <v>522</v>
      </c>
      <c r="AE604" s="72" t="s">
        <v>67</v>
      </c>
      <c r="AF604" s="72" t="s">
        <v>129</v>
      </c>
      <c r="AG604" s="72" t="s">
        <v>68</v>
      </c>
      <c r="AH604" s="72" t="s">
        <v>69</v>
      </c>
      <c r="AI604" s="188">
        <v>8.2138046564E10</v>
      </c>
      <c r="AJ604" s="72" t="s">
        <v>4274</v>
      </c>
      <c r="AK604" s="85" t="s">
        <v>4275</v>
      </c>
      <c r="AL604" s="72" t="s">
        <v>4276</v>
      </c>
      <c r="AM604" s="72" t="s">
        <v>732</v>
      </c>
      <c r="AN604" s="72" t="s">
        <v>97</v>
      </c>
      <c r="AO604" s="72" t="s">
        <v>4105</v>
      </c>
      <c r="AP604" s="72" t="s">
        <v>99</v>
      </c>
      <c r="AQ604" s="77"/>
      <c r="AR604" s="77"/>
    </row>
    <row r="605">
      <c r="A605" s="75">
        <v>10.0</v>
      </c>
      <c r="B605" s="72" t="s">
        <v>4277</v>
      </c>
      <c r="C605" s="73" t="s">
        <v>4278</v>
      </c>
      <c r="D605" s="74"/>
      <c r="E605" s="74"/>
      <c r="F605" s="74"/>
      <c r="G605" s="75" t="s">
        <v>531</v>
      </c>
      <c r="H605" s="76">
        <v>45901.0</v>
      </c>
      <c r="I605" s="77"/>
      <c r="J605" s="74"/>
      <c r="K605" s="75" t="s">
        <v>518</v>
      </c>
      <c r="L605" s="72" t="s">
        <v>105</v>
      </c>
      <c r="M605" s="76">
        <v>45901.0</v>
      </c>
      <c r="N605" s="74"/>
      <c r="O605" s="72" t="s">
        <v>532</v>
      </c>
      <c r="P605" s="74"/>
      <c r="Q605" s="72" t="s">
        <v>4208</v>
      </c>
      <c r="R605" s="76">
        <v>45901.0</v>
      </c>
      <c r="S605" s="72" t="s">
        <v>518</v>
      </c>
      <c r="T605" s="78">
        <v>45826.0</v>
      </c>
      <c r="U605" s="72" t="s">
        <v>144</v>
      </c>
      <c r="V605" s="72" t="s">
        <v>285</v>
      </c>
      <c r="W605" s="72" t="s">
        <v>4279</v>
      </c>
      <c r="X605" s="72" t="s">
        <v>4280</v>
      </c>
      <c r="Y605" s="84">
        <v>41418.0</v>
      </c>
      <c r="Z605" s="77"/>
      <c r="AA605" s="77"/>
      <c r="AB605" s="77"/>
      <c r="AC605" s="81">
        <v>603.0</v>
      </c>
      <c r="AD605" s="72" t="s">
        <v>522</v>
      </c>
      <c r="AE605" s="72" t="s">
        <v>67</v>
      </c>
      <c r="AF605" s="72" t="s">
        <v>92</v>
      </c>
      <c r="AG605" s="72" t="s">
        <v>68</v>
      </c>
      <c r="AH605" s="77"/>
      <c r="AI605" s="72">
        <v>8.22324217E10</v>
      </c>
      <c r="AJ605" s="82" t="s">
        <v>4281</v>
      </c>
      <c r="AK605" s="85" t="s">
        <v>4282</v>
      </c>
      <c r="AL605" s="72" t="s">
        <v>4283</v>
      </c>
      <c r="AM605" s="82" t="s">
        <v>96</v>
      </c>
      <c r="AN605" s="82" t="s">
        <v>1792</v>
      </c>
      <c r="AO605" s="82" t="s">
        <v>4284</v>
      </c>
      <c r="AP605" s="82" t="s">
        <v>4285</v>
      </c>
      <c r="AQ605" s="80"/>
      <c r="AR605" s="77"/>
    </row>
    <row r="606">
      <c r="A606" s="189">
        <v>11.0</v>
      </c>
      <c r="B606" s="190" t="s">
        <v>4286</v>
      </c>
      <c r="C606" s="191" t="s">
        <v>4287</v>
      </c>
      <c r="D606" s="192"/>
      <c r="E606" s="192"/>
      <c r="F606" s="192"/>
      <c r="G606" s="192"/>
      <c r="H606" s="192"/>
      <c r="I606" s="193"/>
      <c r="J606" s="189"/>
      <c r="K606" s="189"/>
      <c r="L606" s="194"/>
      <c r="M606" s="195"/>
      <c r="N606" s="192"/>
      <c r="O606" s="190" t="s">
        <v>142</v>
      </c>
      <c r="P606" s="192"/>
      <c r="Q606" s="190" t="s">
        <v>4208</v>
      </c>
      <c r="R606" s="195"/>
      <c r="S606" s="194"/>
      <c r="T606" s="196"/>
      <c r="U606" s="194"/>
      <c r="V606" s="190" t="s">
        <v>89</v>
      </c>
      <c r="W606" s="190" t="s">
        <v>1193</v>
      </c>
      <c r="X606" s="190" t="s">
        <v>865</v>
      </c>
      <c r="Y606" s="197">
        <v>41217.0</v>
      </c>
      <c r="Z606" s="198"/>
      <c r="AA606" s="198"/>
      <c r="AB606" s="198"/>
      <c r="AC606" s="81">
        <v>604.0</v>
      </c>
      <c r="AD606" s="194"/>
      <c r="AE606" s="190" t="s">
        <v>67</v>
      </c>
      <c r="AF606" s="194"/>
      <c r="AG606" s="190" t="s">
        <v>68</v>
      </c>
      <c r="AH606" s="190"/>
      <c r="AI606" s="190">
        <v>8.5296764999E10</v>
      </c>
      <c r="AJ606" s="190" t="s">
        <v>4288</v>
      </c>
      <c r="AK606" s="199" t="s">
        <v>4289</v>
      </c>
      <c r="AL606" s="190" t="s">
        <v>4290</v>
      </c>
      <c r="AM606" s="190" t="s">
        <v>73</v>
      </c>
      <c r="AN606" s="190" t="s">
        <v>74</v>
      </c>
      <c r="AO606" s="190" t="s">
        <v>75</v>
      </c>
      <c r="AP606" s="190" t="s">
        <v>1236</v>
      </c>
      <c r="AQ606" s="190">
        <v>13.0</v>
      </c>
      <c r="AR606" s="190">
        <v>6.0</v>
      </c>
    </row>
    <row r="607">
      <c r="A607" s="89">
        <v>12.0</v>
      </c>
      <c r="B607" s="87" t="s">
        <v>4291</v>
      </c>
      <c r="C607" s="88" t="s">
        <v>4292</v>
      </c>
      <c r="D607" s="161"/>
      <c r="E607" s="161"/>
      <c r="F607" s="161"/>
      <c r="G607" s="161"/>
      <c r="H607" s="161"/>
      <c r="I607" s="162"/>
      <c r="J607" s="89"/>
      <c r="K607" s="89"/>
      <c r="L607" s="90"/>
      <c r="M607" s="91"/>
      <c r="N607" s="161"/>
      <c r="O607" s="87" t="s">
        <v>142</v>
      </c>
      <c r="P607" s="161"/>
      <c r="Q607" s="87" t="s">
        <v>4208</v>
      </c>
      <c r="R607" s="91"/>
      <c r="S607" s="90"/>
      <c r="T607" s="93"/>
      <c r="U607" s="90"/>
      <c r="V607" s="87" t="s">
        <v>89</v>
      </c>
      <c r="W607" s="87" t="s">
        <v>90</v>
      </c>
      <c r="X607" s="87" t="s">
        <v>1819</v>
      </c>
      <c r="Y607" s="94">
        <v>42723.0</v>
      </c>
      <c r="Z607" s="162"/>
      <c r="AA607" s="163"/>
      <c r="AB607" s="163"/>
      <c r="AC607" s="81">
        <v>605.0</v>
      </c>
      <c r="AD607" s="90"/>
      <c r="AE607" s="87" t="s">
        <v>67</v>
      </c>
      <c r="AF607" s="162"/>
      <c r="AG607" s="87" t="s">
        <v>68</v>
      </c>
      <c r="AH607" s="87"/>
      <c r="AI607" s="87">
        <v>8.2182914621E10</v>
      </c>
      <c r="AJ607" s="87" t="s">
        <v>4293</v>
      </c>
      <c r="AK607" s="97" t="s">
        <v>4294</v>
      </c>
      <c r="AL607" s="87" t="s">
        <v>4295</v>
      </c>
      <c r="AM607" s="87" t="s">
        <v>73</v>
      </c>
      <c r="AN607" s="87" t="s">
        <v>74</v>
      </c>
      <c r="AO607" s="87" t="s">
        <v>925</v>
      </c>
      <c r="AP607" s="87" t="s">
        <v>2751</v>
      </c>
      <c r="AQ607" s="87">
        <v>0.0</v>
      </c>
      <c r="AR607" s="87">
        <v>0.0</v>
      </c>
    </row>
    <row r="608">
      <c r="A608" s="89">
        <v>13.0</v>
      </c>
      <c r="B608" s="87" t="s">
        <v>4296</v>
      </c>
      <c r="C608" s="88" t="s">
        <v>4297</v>
      </c>
      <c r="D608" s="161"/>
      <c r="E608" s="161"/>
      <c r="F608" s="161"/>
      <c r="G608" s="161"/>
      <c r="H608" s="161"/>
      <c r="I608" s="162"/>
      <c r="J608" s="161"/>
      <c r="K608" s="89"/>
      <c r="L608" s="90"/>
      <c r="M608" s="91"/>
      <c r="N608" s="161"/>
      <c r="O608" s="87" t="s">
        <v>142</v>
      </c>
      <c r="P608" s="161"/>
      <c r="Q608" s="87" t="s">
        <v>4208</v>
      </c>
      <c r="R608" s="91"/>
      <c r="S608" s="90"/>
      <c r="T608" s="93"/>
      <c r="U608" s="90"/>
      <c r="V608" s="87" t="s">
        <v>89</v>
      </c>
      <c r="W608" s="87" t="s">
        <v>1214</v>
      </c>
      <c r="X608" s="87" t="s">
        <v>4298</v>
      </c>
      <c r="Y608" s="94">
        <v>41260.0</v>
      </c>
      <c r="Z608" s="162"/>
      <c r="AA608" s="162"/>
      <c r="AB608" s="162"/>
      <c r="AC608" s="81">
        <v>606.0</v>
      </c>
      <c r="AD608" s="90"/>
      <c r="AE608" s="87" t="s">
        <v>67</v>
      </c>
      <c r="AF608" s="90"/>
      <c r="AG608" s="87" t="s">
        <v>68</v>
      </c>
      <c r="AH608" s="87"/>
      <c r="AI608" s="87">
        <v>8.116558889E9</v>
      </c>
      <c r="AJ608" s="87" t="s">
        <v>4299</v>
      </c>
      <c r="AK608" s="97" t="s">
        <v>4300</v>
      </c>
      <c r="AL608" s="87" t="s">
        <v>4301</v>
      </c>
      <c r="AM608" s="87" t="s">
        <v>73</v>
      </c>
      <c r="AN608" s="87" t="s">
        <v>835</v>
      </c>
      <c r="AO608" s="87" t="s">
        <v>360</v>
      </c>
      <c r="AP608" s="87" t="s">
        <v>666</v>
      </c>
      <c r="AQ608" s="87"/>
      <c r="AR608" s="87"/>
    </row>
    <row r="609">
      <c r="A609" s="89">
        <v>14.0</v>
      </c>
      <c r="B609" s="87" t="s">
        <v>4302</v>
      </c>
      <c r="C609" s="88" t="s">
        <v>4303</v>
      </c>
      <c r="D609" s="161"/>
      <c r="E609" s="161"/>
      <c r="F609" s="161"/>
      <c r="G609" s="161"/>
      <c r="H609" s="161"/>
      <c r="I609" s="162"/>
      <c r="J609" s="161"/>
      <c r="K609" s="89"/>
      <c r="L609" s="90"/>
      <c r="M609" s="91"/>
      <c r="N609" s="161"/>
      <c r="O609" s="87" t="s">
        <v>142</v>
      </c>
      <c r="P609" s="161"/>
      <c r="Q609" s="87" t="s">
        <v>4208</v>
      </c>
      <c r="R609" s="91"/>
      <c r="S609" s="90"/>
      <c r="T609" s="93"/>
      <c r="U609" s="90"/>
      <c r="V609" s="87" t="s">
        <v>89</v>
      </c>
      <c r="W609" s="87" t="s">
        <v>90</v>
      </c>
      <c r="X609" s="87" t="s">
        <v>244</v>
      </c>
      <c r="Y609" s="94">
        <v>42117.0</v>
      </c>
      <c r="Z609" s="162"/>
      <c r="AA609" s="163"/>
      <c r="AB609" s="163"/>
      <c r="AC609" s="81">
        <v>607.0</v>
      </c>
      <c r="AD609" s="90"/>
      <c r="AE609" s="87" t="s">
        <v>220</v>
      </c>
      <c r="AF609" s="90"/>
      <c r="AG609" s="87" t="s">
        <v>68</v>
      </c>
      <c r="AH609" s="87"/>
      <c r="AI609" s="87">
        <v>8.1260629088E10</v>
      </c>
      <c r="AJ609" s="87" t="s">
        <v>4304</v>
      </c>
      <c r="AK609" s="97" t="s">
        <v>4305</v>
      </c>
      <c r="AL609" s="87" t="s">
        <v>4306</v>
      </c>
      <c r="AM609" s="87" t="s">
        <v>3371</v>
      </c>
      <c r="AN609" s="87" t="s">
        <v>97</v>
      </c>
      <c r="AO609" s="87" t="s">
        <v>4307</v>
      </c>
      <c r="AP609" s="87" t="s">
        <v>4308</v>
      </c>
      <c r="AQ609" s="87"/>
      <c r="AR609" s="87"/>
    </row>
    <row r="610">
      <c r="A610" s="89">
        <v>15.0</v>
      </c>
      <c r="B610" s="87" t="s">
        <v>4309</v>
      </c>
      <c r="C610" s="88" t="s">
        <v>4310</v>
      </c>
      <c r="D610" s="161"/>
      <c r="E610" s="161"/>
      <c r="F610" s="161"/>
      <c r="G610" s="161"/>
      <c r="H610" s="161"/>
      <c r="I610" s="162"/>
      <c r="J610" s="161"/>
      <c r="K610" s="161"/>
      <c r="L610" s="162"/>
      <c r="M610" s="161"/>
      <c r="N610" s="161"/>
      <c r="O610" s="87" t="s">
        <v>532</v>
      </c>
      <c r="P610" s="161"/>
      <c r="Q610" s="87" t="s">
        <v>4208</v>
      </c>
      <c r="R610" s="161"/>
      <c r="S610" s="173"/>
      <c r="T610" s="161"/>
      <c r="U610" s="173"/>
      <c r="V610" s="87" t="s">
        <v>285</v>
      </c>
      <c r="W610" s="87" t="s">
        <v>4311</v>
      </c>
      <c r="X610" s="87" t="s">
        <v>4312</v>
      </c>
      <c r="Y610" s="94">
        <v>39613.0</v>
      </c>
      <c r="Z610" s="162"/>
      <c r="AA610" s="162"/>
      <c r="AB610" s="173"/>
      <c r="AC610" s="81">
        <v>608.0</v>
      </c>
      <c r="AD610" s="173"/>
      <c r="AE610" s="87" t="s">
        <v>67</v>
      </c>
      <c r="AF610" s="173"/>
      <c r="AG610" s="87" t="s">
        <v>68</v>
      </c>
      <c r="AH610" s="87"/>
      <c r="AI610" s="87">
        <v>8.1913670826E10</v>
      </c>
      <c r="AJ610" s="87" t="s">
        <v>4313</v>
      </c>
      <c r="AK610" s="97" t="s">
        <v>4314</v>
      </c>
      <c r="AL610" s="87" t="s">
        <v>4315</v>
      </c>
      <c r="AM610" s="87" t="s">
        <v>732</v>
      </c>
      <c r="AN610" s="87" t="s">
        <v>2266</v>
      </c>
      <c r="AO610" s="87" t="s">
        <v>151</v>
      </c>
      <c r="AP610" s="87" t="s">
        <v>4316</v>
      </c>
      <c r="AQ610" s="87"/>
      <c r="AR610" s="87"/>
    </row>
    <row r="611">
      <c r="A611" s="89">
        <v>16.0</v>
      </c>
      <c r="B611" s="87" t="s">
        <v>4317</v>
      </c>
      <c r="C611" s="88" t="s">
        <v>4318</v>
      </c>
      <c r="D611" s="161"/>
      <c r="E611" s="161"/>
      <c r="F611" s="161"/>
      <c r="G611" s="161"/>
      <c r="H611" s="161"/>
      <c r="I611" s="162"/>
      <c r="J611" s="161"/>
      <c r="K611" s="161"/>
      <c r="L611" s="162"/>
      <c r="M611" s="161"/>
      <c r="N611" s="161"/>
      <c r="O611" s="87" t="s">
        <v>142</v>
      </c>
      <c r="P611" s="161"/>
      <c r="Q611" s="87" t="s">
        <v>4208</v>
      </c>
      <c r="R611" s="161"/>
      <c r="S611" s="173"/>
      <c r="T611" s="161"/>
      <c r="U611" s="173"/>
      <c r="V611" s="87" t="s">
        <v>89</v>
      </c>
      <c r="W611" s="87" t="s">
        <v>160</v>
      </c>
      <c r="X611" s="87" t="s">
        <v>419</v>
      </c>
      <c r="Y611" s="100" t="s">
        <v>1104</v>
      </c>
      <c r="Z611" s="162"/>
      <c r="AA611" s="162"/>
      <c r="AB611" s="173"/>
      <c r="AC611" s="81">
        <v>609.0</v>
      </c>
      <c r="AD611" s="173"/>
      <c r="AE611" s="87" t="s">
        <v>220</v>
      </c>
      <c r="AF611" s="173"/>
      <c r="AG611" s="87" t="s">
        <v>68</v>
      </c>
      <c r="AH611" s="87"/>
      <c r="AI611" s="87">
        <v>8.1366881009E10</v>
      </c>
      <c r="AJ611" s="87" t="s">
        <v>4319</v>
      </c>
      <c r="AK611" s="97" t="s">
        <v>4320</v>
      </c>
      <c r="AL611" s="87" t="s">
        <v>4321</v>
      </c>
      <c r="AM611" s="87" t="s">
        <v>96</v>
      </c>
      <c r="AN611" s="87" t="s">
        <v>135</v>
      </c>
      <c r="AO611" s="87" t="s">
        <v>4307</v>
      </c>
      <c r="AP611" s="87"/>
      <c r="AQ611" s="87"/>
      <c r="AR611" s="87"/>
    </row>
    <row r="612">
      <c r="A612" s="89">
        <v>17.0</v>
      </c>
      <c r="B612" s="87" t="s">
        <v>4322</v>
      </c>
      <c r="C612" s="88" t="s">
        <v>4323</v>
      </c>
      <c r="D612" s="161"/>
      <c r="E612" s="161"/>
      <c r="F612" s="161"/>
      <c r="G612" s="161"/>
      <c r="H612" s="161"/>
      <c r="I612" s="162"/>
      <c r="J612" s="161"/>
      <c r="K612" s="161"/>
      <c r="L612" s="162"/>
      <c r="M612" s="161"/>
      <c r="N612" s="161"/>
      <c r="O612" s="87" t="s">
        <v>142</v>
      </c>
      <c r="P612" s="161"/>
      <c r="Q612" s="87" t="s">
        <v>4208</v>
      </c>
      <c r="R612" s="161"/>
      <c r="S612" s="173"/>
      <c r="T612" s="161"/>
      <c r="U612" s="173"/>
      <c r="V612" s="87" t="s">
        <v>89</v>
      </c>
      <c r="W612" s="87" t="s">
        <v>1214</v>
      </c>
      <c r="X612" s="87" t="s">
        <v>260</v>
      </c>
      <c r="Y612" s="94">
        <v>40659.0</v>
      </c>
      <c r="Z612" s="162"/>
      <c r="AA612" s="162"/>
      <c r="AB612" s="173"/>
      <c r="AC612" s="81">
        <v>610.0</v>
      </c>
      <c r="AD612" s="173"/>
      <c r="AE612" s="87" t="s">
        <v>67</v>
      </c>
      <c r="AF612" s="173"/>
      <c r="AG612" s="87" t="s">
        <v>130</v>
      </c>
      <c r="AH612" s="87"/>
      <c r="AI612" s="87">
        <v>8.2161616132E10</v>
      </c>
      <c r="AJ612" s="87" t="s">
        <v>4324</v>
      </c>
      <c r="AK612" s="97" t="s">
        <v>4325</v>
      </c>
      <c r="AL612" s="87" t="s">
        <v>4326</v>
      </c>
      <c r="AM612" s="87" t="s">
        <v>73</v>
      </c>
      <c r="AN612" s="87" t="s">
        <v>74</v>
      </c>
      <c r="AO612" s="87" t="s">
        <v>982</v>
      </c>
      <c r="AP612" s="87" t="s">
        <v>605</v>
      </c>
      <c r="AQ612" s="87">
        <v>46.0</v>
      </c>
      <c r="AR612" s="87">
        <v>19.0</v>
      </c>
    </row>
    <row r="613">
      <c r="A613" s="89">
        <v>18.0</v>
      </c>
      <c r="B613" s="87" t="s">
        <v>4327</v>
      </c>
      <c r="C613" s="88" t="s">
        <v>4328</v>
      </c>
      <c r="D613" s="161"/>
      <c r="E613" s="161"/>
      <c r="F613" s="161"/>
      <c r="G613" s="161"/>
      <c r="H613" s="161"/>
      <c r="I613" s="162"/>
      <c r="J613" s="161"/>
      <c r="K613" s="161"/>
      <c r="L613" s="162"/>
      <c r="M613" s="161"/>
      <c r="N613" s="161"/>
      <c r="O613" s="87" t="s">
        <v>142</v>
      </c>
      <c r="P613" s="161"/>
      <c r="Q613" s="87" t="s">
        <v>4208</v>
      </c>
      <c r="R613" s="161"/>
      <c r="S613" s="173"/>
      <c r="T613" s="161"/>
      <c r="U613" s="173"/>
      <c r="V613" s="87" t="s">
        <v>89</v>
      </c>
      <c r="W613" s="87" t="s">
        <v>90</v>
      </c>
      <c r="X613" s="87" t="s">
        <v>2353</v>
      </c>
      <c r="Y613" s="94">
        <v>39557.0</v>
      </c>
      <c r="Z613" s="162"/>
      <c r="AA613" s="162"/>
      <c r="AB613" s="173"/>
      <c r="AC613" s="81">
        <v>611.0</v>
      </c>
      <c r="AD613" s="173"/>
      <c r="AE613" s="87" t="s">
        <v>220</v>
      </c>
      <c r="AF613" s="173"/>
      <c r="AG613" s="87" t="s">
        <v>68</v>
      </c>
      <c r="AH613" s="87"/>
      <c r="AI613" s="87">
        <v>8.5359592266E10</v>
      </c>
      <c r="AJ613" s="87" t="s">
        <v>4329</v>
      </c>
      <c r="AK613" s="97" t="s">
        <v>4330</v>
      </c>
      <c r="AL613" s="87" t="s">
        <v>4331</v>
      </c>
      <c r="AM613" s="87" t="s">
        <v>73</v>
      </c>
      <c r="AN613" s="87" t="s">
        <v>74</v>
      </c>
      <c r="AO613" s="87" t="s">
        <v>454</v>
      </c>
      <c r="AP613" s="87" t="s">
        <v>1753</v>
      </c>
      <c r="AQ613" s="87">
        <v>0.0</v>
      </c>
      <c r="AR613" s="87">
        <v>0.0</v>
      </c>
    </row>
    <row r="614">
      <c r="A614" s="89">
        <v>19.0</v>
      </c>
      <c r="B614" s="87" t="s">
        <v>4332</v>
      </c>
      <c r="C614" s="88" t="s">
        <v>4333</v>
      </c>
      <c r="D614" s="161"/>
      <c r="E614" s="161"/>
      <c r="F614" s="161"/>
      <c r="G614" s="161"/>
      <c r="H614" s="161"/>
      <c r="I614" s="162"/>
      <c r="J614" s="161"/>
      <c r="K614" s="161"/>
      <c r="L614" s="162"/>
      <c r="M614" s="161"/>
      <c r="N614" s="161"/>
      <c r="O614" s="87" t="s">
        <v>142</v>
      </c>
      <c r="P614" s="161"/>
      <c r="Q614" s="87" t="s">
        <v>4208</v>
      </c>
      <c r="R614" s="161"/>
      <c r="S614" s="173"/>
      <c r="T614" s="161"/>
      <c r="U614" s="173"/>
      <c r="V614" s="87" t="s">
        <v>89</v>
      </c>
      <c r="W614" s="87" t="s">
        <v>795</v>
      </c>
      <c r="X614" s="87" t="s">
        <v>648</v>
      </c>
      <c r="Y614" s="94">
        <v>42931.0</v>
      </c>
      <c r="Z614" s="162"/>
      <c r="AA614" s="162"/>
      <c r="AB614" s="173"/>
      <c r="AC614" s="81">
        <v>612.0</v>
      </c>
      <c r="AD614" s="173"/>
      <c r="AE614" s="87" t="s">
        <v>67</v>
      </c>
      <c r="AF614" s="173"/>
      <c r="AG614" s="87" t="s">
        <v>130</v>
      </c>
      <c r="AH614" s="87"/>
      <c r="AI614" s="87">
        <v>8.7724836304E10</v>
      </c>
      <c r="AJ614" s="87" t="s">
        <v>4334</v>
      </c>
      <c r="AK614" s="97" t="s">
        <v>4335</v>
      </c>
      <c r="AL614" s="87" t="s">
        <v>4336</v>
      </c>
      <c r="AM614" s="87" t="s">
        <v>73</v>
      </c>
      <c r="AN614" s="87" t="s">
        <v>74</v>
      </c>
      <c r="AO614" s="87" t="s">
        <v>203</v>
      </c>
      <c r="AP614" s="87" t="s">
        <v>204</v>
      </c>
      <c r="AQ614" s="87"/>
      <c r="AR614" s="87"/>
    </row>
    <row r="615">
      <c r="A615" s="89">
        <v>20.0</v>
      </c>
      <c r="B615" s="87" t="s">
        <v>4337</v>
      </c>
      <c r="C615" s="88" t="s">
        <v>4338</v>
      </c>
      <c r="D615" s="161"/>
      <c r="E615" s="161"/>
      <c r="F615" s="161"/>
      <c r="G615" s="161"/>
      <c r="H615" s="161"/>
      <c r="I615" s="162"/>
      <c r="J615" s="161"/>
      <c r="K615" s="161"/>
      <c r="L615" s="162"/>
      <c r="M615" s="161"/>
      <c r="N615" s="161"/>
      <c r="O615" s="87" t="s">
        <v>142</v>
      </c>
      <c r="P615" s="161"/>
      <c r="Q615" s="87" t="s">
        <v>4208</v>
      </c>
      <c r="R615" s="161"/>
      <c r="S615" s="173"/>
      <c r="T615" s="161"/>
      <c r="U615" s="173"/>
      <c r="V615" s="87" t="s">
        <v>89</v>
      </c>
      <c r="W615" s="87" t="s">
        <v>1214</v>
      </c>
      <c r="X615" s="87" t="s">
        <v>1231</v>
      </c>
      <c r="Y615" s="94">
        <v>40472.0</v>
      </c>
      <c r="Z615" s="162"/>
      <c r="AA615" s="162"/>
      <c r="AB615" s="173"/>
      <c r="AC615" s="81">
        <v>613.0</v>
      </c>
      <c r="AD615" s="173"/>
      <c r="AE615" s="87" t="s">
        <v>67</v>
      </c>
      <c r="AF615" s="173"/>
      <c r="AG615" s="87" t="s">
        <v>130</v>
      </c>
      <c r="AH615" s="87"/>
      <c r="AI615" s="87">
        <v>8.136107222E10</v>
      </c>
      <c r="AJ615" s="87" t="s">
        <v>4339</v>
      </c>
      <c r="AK615" s="97" t="s">
        <v>4340</v>
      </c>
      <c r="AL615" s="87" t="s">
        <v>4341</v>
      </c>
      <c r="AM615" s="87" t="s">
        <v>73</v>
      </c>
      <c r="AN615" s="87" t="s">
        <v>481</v>
      </c>
      <c r="AO615" s="87" t="s">
        <v>454</v>
      </c>
      <c r="AP615" s="87" t="s">
        <v>1753</v>
      </c>
      <c r="AQ615" s="87">
        <v>6.0</v>
      </c>
      <c r="AR615" s="87">
        <v>6.0</v>
      </c>
    </row>
    <row r="616">
      <c r="A616" s="89">
        <v>21.0</v>
      </c>
      <c r="B616" s="87" t="s">
        <v>4342</v>
      </c>
      <c r="C616" s="88" t="s">
        <v>4343</v>
      </c>
      <c r="D616" s="161"/>
      <c r="E616" s="161"/>
      <c r="F616" s="161"/>
      <c r="G616" s="161"/>
      <c r="H616" s="161"/>
      <c r="I616" s="162"/>
      <c r="J616" s="161"/>
      <c r="K616" s="161"/>
      <c r="L616" s="162"/>
      <c r="M616" s="161"/>
      <c r="N616" s="161"/>
      <c r="O616" s="87" t="s">
        <v>142</v>
      </c>
      <c r="P616" s="161"/>
      <c r="Q616" s="87" t="s">
        <v>4208</v>
      </c>
      <c r="R616" s="161"/>
      <c r="S616" s="173"/>
      <c r="T616" s="161"/>
      <c r="U616" s="173"/>
      <c r="V616" s="87" t="s">
        <v>89</v>
      </c>
      <c r="W616" s="87" t="s">
        <v>3148</v>
      </c>
      <c r="X616" s="87" t="s">
        <v>64</v>
      </c>
      <c r="Y616" s="94">
        <v>38035.0</v>
      </c>
      <c r="Z616" s="162"/>
      <c r="AA616" s="162"/>
      <c r="AB616" s="173"/>
      <c r="AC616" s="81">
        <v>614.0</v>
      </c>
      <c r="AD616" s="173"/>
      <c r="AE616" s="87" t="s">
        <v>67</v>
      </c>
      <c r="AF616" s="173"/>
      <c r="AG616" s="87" t="s">
        <v>130</v>
      </c>
      <c r="AH616" s="87"/>
      <c r="AI616" s="87">
        <v>8.5184187455E10</v>
      </c>
      <c r="AJ616" s="87" t="s">
        <v>4344</v>
      </c>
      <c r="AK616" s="97" t="s">
        <v>4345</v>
      </c>
      <c r="AL616" s="87" t="s">
        <v>4346</v>
      </c>
      <c r="AM616" s="87" t="s">
        <v>73</v>
      </c>
      <c r="AN616" s="87" t="s">
        <v>74</v>
      </c>
      <c r="AO616" s="87" t="s">
        <v>932</v>
      </c>
      <c r="AP616" s="87" t="s">
        <v>933</v>
      </c>
      <c r="AQ616" s="87">
        <v>0.0</v>
      </c>
      <c r="AR616" s="87">
        <v>0.0</v>
      </c>
    </row>
    <row r="617">
      <c r="A617" s="89">
        <v>22.0</v>
      </c>
      <c r="B617" s="87" t="s">
        <v>4347</v>
      </c>
      <c r="C617" s="88" t="s">
        <v>4348</v>
      </c>
      <c r="D617" s="161"/>
      <c r="E617" s="161"/>
      <c r="F617" s="161"/>
      <c r="G617" s="161"/>
      <c r="H617" s="161"/>
      <c r="I617" s="162"/>
      <c r="J617" s="161"/>
      <c r="K617" s="161"/>
      <c r="L617" s="162"/>
      <c r="M617" s="161"/>
      <c r="N617" s="161"/>
      <c r="O617" s="87" t="s">
        <v>142</v>
      </c>
      <c r="P617" s="161"/>
      <c r="Q617" s="87" t="s">
        <v>4208</v>
      </c>
      <c r="R617" s="161"/>
      <c r="S617" s="173"/>
      <c r="T617" s="161"/>
      <c r="U617" s="173"/>
      <c r="V617" s="87" t="s">
        <v>89</v>
      </c>
      <c r="W617" s="87" t="s">
        <v>374</v>
      </c>
      <c r="X617" s="87" t="s">
        <v>4349</v>
      </c>
      <c r="Y617" s="94">
        <v>38635.0</v>
      </c>
      <c r="Z617" s="162"/>
      <c r="AA617" s="162"/>
      <c r="AB617" s="173"/>
      <c r="AC617" s="81">
        <v>615.0</v>
      </c>
      <c r="AD617" s="173"/>
      <c r="AE617" s="87" t="s">
        <v>220</v>
      </c>
      <c r="AF617" s="173"/>
      <c r="AG617" s="87" t="s">
        <v>68</v>
      </c>
      <c r="AH617" s="87"/>
      <c r="AI617" s="87">
        <v>8.95365674769E11</v>
      </c>
      <c r="AJ617" s="87" t="s">
        <v>4350</v>
      </c>
      <c r="AK617" s="97" t="s">
        <v>4351</v>
      </c>
      <c r="AL617" s="87" t="s">
        <v>4352</v>
      </c>
      <c r="AM617" s="87" t="s">
        <v>73</v>
      </c>
      <c r="AN617" s="87" t="s">
        <v>74</v>
      </c>
      <c r="AO617" s="87" t="s">
        <v>118</v>
      </c>
      <c r="AP617" s="87" t="s">
        <v>4353</v>
      </c>
      <c r="AQ617" s="87"/>
      <c r="AR617" s="87"/>
    </row>
    <row r="618">
      <c r="A618" s="89">
        <v>23.0</v>
      </c>
      <c r="B618" s="87" t="s">
        <v>4354</v>
      </c>
      <c r="C618" s="88" t="s">
        <v>4355</v>
      </c>
      <c r="D618" s="161"/>
      <c r="E618" s="161"/>
      <c r="F618" s="161"/>
      <c r="G618" s="161"/>
      <c r="H618" s="161"/>
      <c r="I618" s="162"/>
      <c r="J618" s="161"/>
      <c r="K618" s="161"/>
      <c r="L618" s="162"/>
      <c r="M618" s="161"/>
      <c r="N618" s="161"/>
      <c r="O618" s="87" t="s">
        <v>142</v>
      </c>
      <c r="P618" s="161"/>
      <c r="Q618" s="87" t="s">
        <v>4208</v>
      </c>
      <c r="R618" s="161"/>
      <c r="S618" s="173"/>
      <c r="T618" s="161"/>
      <c r="U618" s="173"/>
      <c r="V618" s="87" t="s">
        <v>89</v>
      </c>
      <c r="W618" s="87" t="s">
        <v>160</v>
      </c>
      <c r="X618" s="87" t="s">
        <v>4356</v>
      </c>
      <c r="Y618" s="100" t="s">
        <v>1104</v>
      </c>
      <c r="Z618" s="162"/>
      <c r="AA618" s="162"/>
      <c r="AB618" s="173"/>
      <c r="AC618" s="81">
        <v>616.0</v>
      </c>
      <c r="AD618" s="173"/>
      <c r="AE618" s="87" t="s">
        <v>67</v>
      </c>
      <c r="AF618" s="173"/>
      <c r="AG618" s="87" t="s">
        <v>68</v>
      </c>
      <c r="AH618" s="87"/>
      <c r="AI618" s="87">
        <v>8.1265564034E10</v>
      </c>
      <c r="AJ618" s="87" t="s">
        <v>4357</v>
      </c>
      <c r="AK618" s="97" t="s">
        <v>4358</v>
      </c>
      <c r="AL618" s="87" t="s">
        <v>4359</v>
      </c>
      <c r="AM618" s="87" t="s">
        <v>692</v>
      </c>
      <c r="AN618" s="87" t="s">
        <v>97</v>
      </c>
      <c r="AO618" s="87" t="s">
        <v>546</v>
      </c>
      <c r="AP618" s="87" t="s">
        <v>3958</v>
      </c>
      <c r="AQ618" s="87"/>
      <c r="AR618" s="87"/>
    </row>
    <row r="619">
      <c r="A619" s="89">
        <v>24.0</v>
      </c>
      <c r="B619" s="87" t="s">
        <v>4360</v>
      </c>
      <c r="C619" s="88" t="s">
        <v>4361</v>
      </c>
      <c r="D619" s="161"/>
      <c r="E619" s="161"/>
      <c r="F619" s="161"/>
      <c r="G619" s="161"/>
      <c r="H619" s="161"/>
      <c r="I619" s="162"/>
      <c r="J619" s="161"/>
      <c r="K619" s="161"/>
      <c r="L619" s="162"/>
      <c r="M619" s="161"/>
      <c r="N619" s="161"/>
      <c r="O619" s="87" t="s">
        <v>142</v>
      </c>
      <c r="P619" s="161"/>
      <c r="Q619" s="87" t="s">
        <v>4208</v>
      </c>
      <c r="R619" s="161"/>
      <c r="S619" s="173"/>
      <c r="T619" s="161"/>
      <c r="U619" s="173"/>
      <c r="V619" s="87" t="s">
        <v>159</v>
      </c>
      <c r="W619" s="87" t="s">
        <v>4362</v>
      </c>
      <c r="X619" s="87" t="s">
        <v>648</v>
      </c>
      <c r="Y619" s="94">
        <v>42931.0</v>
      </c>
      <c r="Z619" s="162"/>
      <c r="AA619" s="162"/>
      <c r="AB619" s="173"/>
      <c r="AC619" s="81">
        <v>617.0</v>
      </c>
      <c r="AD619" s="173"/>
      <c r="AE619" s="87" t="s">
        <v>67</v>
      </c>
      <c r="AF619" s="173"/>
      <c r="AG619" s="87" t="s">
        <v>130</v>
      </c>
      <c r="AH619" s="87"/>
      <c r="AI619" s="87">
        <v>8.5361722216E10</v>
      </c>
      <c r="AJ619" s="87" t="s">
        <v>4363</v>
      </c>
      <c r="AK619" s="97" t="s">
        <v>4364</v>
      </c>
      <c r="AL619" s="87" t="s">
        <v>4365</v>
      </c>
      <c r="AM619" s="87" t="s">
        <v>73</v>
      </c>
      <c r="AN619" s="87" t="s">
        <v>481</v>
      </c>
      <c r="AO619" s="87" t="s">
        <v>360</v>
      </c>
      <c r="AP619" s="87" t="s">
        <v>2897</v>
      </c>
      <c r="AQ619" s="87"/>
      <c r="AR619" s="87"/>
    </row>
    <row r="620">
      <c r="A620" s="89">
        <v>25.0</v>
      </c>
      <c r="B620" s="87" t="s">
        <v>4366</v>
      </c>
      <c r="C620" s="88" t="s">
        <v>4367</v>
      </c>
      <c r="D620" s="161"/>
      <c r="E620" s="161"/>
      <c r="F620" s="161"/>
      <c r="G620" s="161"/>
      <c r="H620" s="161"/>
      <c r="I620" s="162"/>
      <c r="J620" s="161"/>
      <c r="K620" s="161"/>
      <c r="L620" s="162"/>
      <c r="M620" s="161"/>
      <c r="N620" s="161"/>
      <c r="O620" s="87" t="s">
        <v>532</v>
      </c>
      <c r="P620" s="161"/>
      <c r="Q620" s="87" t="s">
        <v>4208</v>
      </c>
      <c r="R620" s="161"/>
      <c r="S620" s="173"/>
      <c r="T620" s="161"/>
      <c r="U620" s="173"/>
      <c r="V620" s="87" t="s">
        <v>285</v>
      </c>
      <c r="W620" s="87"/>
      <c r="X620" s="87" t="s">
        <v>4368</v>
      </c>
      <c r="Y620" s="94">
        <v>38887.0</v>
      </c>
      <c r="Z620" s="162"/>
      <c r="AA620" s="162"/>
      <c r="AB620" s="173"/>
      <c r="AC620" s="81">
        <v>618.0</v>
      </c>
      <c r="AD620" s="173"/>
      <c r="AE620" s="87" t="s">
        <v>67</v>
      </c>
      <c r="AF620" s="173"/>
      <c r="AG620" s="87" t="s">
        <v>68</v>
      </c>
      <c r="AH620" s="87"/>
      <c r="AI620" s="87">
        <v>8.1269123005E10</v>
      </c>
      <c r="AJ620" s="87" t="s">
        <v>4369</v>
      </c>
      <c r="AK620" s="97" t="s">
        <v>4370</v>
      </c>
      <c r="AL620" s="87"/>
      <c r="AM620" s="87" t="s">
        <v>732</v>
      </c>
      <c r="AN620" s="87" t="s">
        <v>135</v>
      </c>
      <c r="AO620" s="87" t="s">
        <v>98</v>
      </c>
      <c r="AP620" s="87" t="s">
        <v>4371</v>
      </c>
      <c r="AQ620" s="87"/>
      <c r="AR620" s="87"/>
    </row>
    <row r="621">
      <c r="A621" s="89">
        <v>26.0</v>
      </c>
      <c r="B621" s="87" t="s">
        <v>4372</v>
      </c>
      <c r="C621" s="88" t="s">
        <v>4373</v>
      </c>
      <c r="D621" s="161"/>
      <c r="E621" s="161"/>
      <c r="F621" s="161"/>
      <c r="G621" s="161"/>
      <c r="H621" s="161"/>
      <c r="I621" s="162"/>
      <c r="J621" s="161"/>
      <c r="K621" s="161"/>
      <c r="L621" s="162"/>
      <c r="M621" s="161"/>
      <c r="N621" s="161"/>
      <c r="O621" s="87" t="s">
        <v>142</v>
      </c>
      <c r="P621" s="161"/>
      <c r="Q621" s="87" t="s">
        <v>4208</v>
      </c>
      <c r="R621" s="161"/>
      <c r="S621" s="173"/>
      <c r="T621" s="161"/>
      <c r="U621" s="173"/>
      <c r="V621" s="87" t="s">
        <v>89</v>
      </c>
      <c r="W621" s="87" t="s">
        <v>795</v>
      </c>
      <c r="X621" s="87" t="s">
        <v>244</v>
      </c>
      <c r="Y621" s="94">
        <v>41453.0</v>
      </c>
      <c r="Z621" s="162"/>
      <c r="AA621" s="162"/>
      <c r="AB621" s="173"/>
      <c r="AC621" s="81">
        <v>619.0</v>
      </c>
      <c r="AD621" s="173"/>
      <c r="AE621" s="87" t="s">
        <v>67</v>
      </c>
      <c r="AF621" s="173"/>
      <c r="AG621" s="87" t="s">
        <v>68</v>
      </c>
      <c r="AH621" s="87"/>
      <c r="AI621" s="87">
        <v>8.5275694991E10</v>
      </c>
      <c r="AJ621" s="87" t="s">
        <v>4374</v>
      </c>
      <c r="AK621" s="97" t="s">
        <v>4375</v>
      </c>
      <c r="AL621" s="87" t="s">
        <v>4376</v>
      </c>
      <c r="AM621" s="87" t="s">
        <v>73</v>
      </c>
      <c r="AN621" s="87" t="s">
        <v>74</v>
      </c>
      <c r="AO621" s="87" t="s">
        <v>1291</v>
      </c>
      <c r="AP621" s="87" t="s">
        <v>167</v>
      </c>
      <c r="AQ621" s="87" t="s">
        <v>77</v>
      </c>
      <c r="AR621" s="87" t="s">
        <v>77</v>
      </c>
    </row>
    <row r="622">
      <c r="A622" s="89">
        <v>27.0</v>
      </c>
      <c r="B622" s="87" t="s">
        <v>4377</v>
      </c>
      <c r="C622" s="88" t="s">
        <v>4378</v>
      </c>
      <c r="D622" s="161"/>
      <c r="E622" s="161"/>
      <c r="F622" s="161"/>
      <c r="G622" s="161"/>
      <c r="H622" s="161"/>
      <c r="I622" s="162"/>
      <c r="J622" s="161"/>
      <c r="K622" s="161"/>
      <c r="L622" s="162"/>
      <c r="M622" s="161"/>
      <c r="N622" s="161"/>
      <c r="O622" s="87" t="s">
        <v>142</v>
      </c>
      <c r="P622" s="161"/>
      <c r="Q622" s="87" t="s">
        <v>4208</v>
      </c>
      <c r="R622" s="161"/>
      <c r="S622" s="173"/>
      <c r="T622" s="161"/>
      <c r="U622" s="173"/>
      <c r="V622" s="87" t="s">
        <v>89</v>
      </c>
      <c r="W622" s="87" t="s">
        <v>90</v>
      </c>
      <c r="X622" s="87" t="s">
        <v>1215</v>
      </c>
      <c r="Y622" s="94">
        <v>43661.0</v>
      </c>
      <c r="Z622" s="162"/>
      <c r="AA622" s="162"/>
      <c r="AB622" s="173"/>
      <c r="AC622" s="81">
        <v>620.0</v>
      </c>
      <c r="AD622" s="173"/>
      <c r="AE622" s="87" t="s">
        <v>67</v>
      </c>
      <c r="AF622" s="173"/>
      <c r="AG622" s="87" t="s">
        <v>130</v>
      </c>
      <c r="AH622" s="87"/>
      <c r="AI622" s="87">
        <v>8.11606011E9</v>
      </c>
      <c r="AJ622" s="87" t="s">
        <v>4379</v>
      </c>
      <c r="AK622" s="97" t="s">
        <v>4380</v>
      </c>
      <c r="AL622" s="87" t="s">
        <v>4381</v>
      </c>
      <c r="AM622" s="87" t="s">
        <v>73</v>
      </c>
      <c r="AN622" s="87" t="s">
        <v>775</v>
      </c>
      <c r="AO622" s="87" t="s">
        <v>4382</v>
      </c>
      <c r="AP622" s="87" t="s">
        <v>4383</v>
      </c>
      <c r="AQ622" s="87"/>
      <c r="AR622" s="87"/>
    </row>
    <row r="623">
      <c r="A623" s="89">
        <v>28.0</v>
      </c>
      <c r="B623" s="87" t="s">
        <v>4384</v>
      </c>
      <c r="C623" s="88" t="s">
        <v>4385</v>
      </c>
      <c r="D623" s="161"/>
      <c r="E623" s="161"/>
      <c r="F623" s="161"/>
      <c r="G623" s="161"/>
      <c r="H623" s="161"/>
      <c r="I623" s="162"/>
      <c r="J623" s="161"/>
      <c r="K623" s="161"/>
      <c r="L623" s="162"/>
      <c r="M623" s="161"/>
      <c r="N623" s="161"/>
      <c r="O623" s="87" t="s">
        <v>142</v>
      </c>
      <c r="P623" s="161"/>
      <c r="Q623" s="87" t="s">
        <v>4208</v>
      </c>
      <c r="R623" s="161"/>
      <c r="S623" s="173"/>
      <c r="T623" s="161"/>
      <c r="U623" s="173"/>
      <c r="V623" s="87" t="s">
        <v>89</v>
      </c>
      <c r="W623" s="87"/>
      <c r="X623" s="87" t="s">
        <v>260</v>
      </c>
      <c r="Y623" s="94">
        <v>39674.0</v>
      </c>
      <c r="Z623" s="162"/>
      <c r="AA623" s="162"/>
      <c r="AB623" s="173"/>
      <c r="AC623" s="81">
        <v>621.0</v>
      </c>
      <c r="AD623" s="173"/>
      <c r="AE623" s="87" t="s">
        <v>67</v>
      </c>
      <c r="AF623" s="173"/>
      <c r="AG623" s="87" t="s">
        <v>68</v>
      </c>
      <c r="AH623" s="87"/>
      <c r="AI623" s="87">
        <v>8.2165323134E10</v>
      </c>
      <c r="AJ623" s="87" t="s">
        <v>4386</v>
      </c>
      <c r="AK623" s="97" t="s">
        <v>4387</v>
      </c>
      <c r="AL623" s="87" t="s">
        <v>4388</v>
      </c>
      <c r="AM623" s="87" t="s">
        <v>73</v>
      </c>
      <c r="AN623" s="87" t="s">
        <v>74</v>
      </c>
      <c r="AO623" s="87" t="s">
        <v>1047</v>
      </c>
      <c r="AP623" s="87" t="s">
        <v>4389</v>
      </c>
      <c r="AQ623" s="87"/>
      <c r="AR623" s="87"/>
    </row>
    <row r="624">
      <c r="A624" s="89">
        <v>29.0</v>
      </c>
      <c r="B624" s="87" t="s">
        <v>4390</v>
      </c>
      <c r="C624" s="88" t="s">
        <v>4391</v>
      </c>
      <c r="D624" s="161"/>
      <c r="E624" s="161"/>
      <c r="F624" s="161"/>
      <c r="G624" s="161"/>
      <c r="H624" s="161"/>
      <c r="I624" s="162"/>
      <c r="J624" s="161"/>
      <c r="K624" s="161"/>
      <c r="L624" s="162"/>
      <c r="M624" s="161"/>
      <c r="N624" s="161"/>
      <c r="O624" s="87" t="s">
        <v>532</v>
      </c>
      <c r="P624" s="161"/>
      <c r="Q624" s="87" t="s">
        <v>4208</v>
      </c>
      <c r="R624" s="161"/>
      <c r="S624" s="173"/>
      <c r="T624" s="161"/>
      <c r="U624" s="173"/>
      <c r="V624" s="87" t="s">
        <v>285</v>
      </c>
      <c r="W624" s="87" t="s">
        <v>374</v>
      </c>
      <c r="X624" s="87" t="s">
        <v>4392</v>
      </c>
      <c r="Y624" s="94">
        <v>41418.0</v>
      </c>
      <c r="Z624" s="162"/>
      <c r="AA624" s="162"/>
      <c r="AB624" s="173"/>
      <c r="AC624" s="81">
        <v>622.0</v>
      </c>
      <c r="AD624" s="173"/>
      <c r="AE624" s="87" t="s">
        <v>67</v>
      </c>
      <c r="AF624" s="173"/>
      <c r="AG624" s="87" t="s">
        <v>130</v>
      </c>
      <c r="AH624" s="87"/>
      <c r="AI624" s="87">
        <v>8.216418828E10</v>
      </c>
      <c r="AJ624" s="87" t="s">
        <v>4393</v>
      </c>
      <c r="AK624" s="97" t="s">
        <v>4394</v>
      </c>
      <c r="AL624" s="87" t="s">
        <v>4395</v>
      </c>
      <c r="AM624" s="87" t="s">
        <v>73</v>
      </c>
      <c r="AN624" s="87" t="s">
        <v>166</v>
      </c>
      <c r="AO624" s="87" t="s">
        <v>167</v>
      </c>
      <c r="AP624" s="87" t="s">
        <v>1265</v>
      </c>
      <c r="AQ624" s="87" t="s">
        <v>77</v>
      </c>
      <c r="AR624" s="87" t="s">
        <v>77</v>
      </c>
    </row>
    <row r="625">
      <c r="A625" s="89">
        <v>30.0</v>
      </c>
      <c r="B625" s="87" t="s">
        <v>4396</v>
      </c>
      <c r="C625" s="88" t="s">
        <v>4397</v>
      </c>
      <c r="D625" s="161"/>
      <c r="E625" s="161"/>
      <c r="F625" s="161"/>
      <c r="G625" s="161"/>
      <c r="H625" s="161"/>
      <c r="I625" s="162"/>
      <c r="J625" s="161"/>
      <c r="K625" s="161"/>
      <c r="L625" s="162"/>
      <c r="M625" s="161"/>
      <c r="N625" s="161"/>
      <c r="O625" s="87" t="s">
        <v>142</v>
      </c>
      <c r="P625" s="161"/>
      <c r="Q625" s="87" t="s">
        <v>4208</v>
      </c>
      <c r="R625" s="161"/>
      <c r="S625" s="173"/>
      <c r="T625" s="161"/>
      <c r="U625" s="173"/>
      <c r="V625" s="87" t="s">
        <v>89</v>
      </c>
      <c r="W625" s="87" t="s">
        <v>218</v>
      </c>
      <c r="X625" s="87" t="s">
        <v>4398</v>
      </c>
      <c r="Y625" s="99">
        <v>39394.0</v>
      </c>
      <c r="Z625" s="162"/>
      <c r="AA625" s="162"/>
      <c r="AB625" s="173"/>
      <c r="AC625" s="81">
        <v>623.0</v>
      </c>
      <c r="AD625" s="173"/>
      <c r="AE625" s="87" t="s">
        <v>67</v>
      </c>
      <c r="AF625" s="173"/>
      <c r="AG625" s="87" t="s">
        <v>130</v>
      </c>
      <c r="AH625" s="173"/>
      <c r="AI625" s="87">
        <v>8.1260887279E10</v>
      </c>
      <c r="AJ625" s="87" t="s">
        <v>4399</v>
      </c>
      <c r="AK625" s="97" t="s">
        <v>4400</v>
      </c>
      <c r="AL625" s="87" t="s">
        <v>4401</v>
      </c>
      <c r="AM625" s="87" t="s">
        <v>73</v>
      </c>
      <c r="AN625" s="87" t="s">
        <v>74</v>
      </c>
      <c r="AO625" s="87" t="s">
        <v>989</v>
      </c>
      <c r="AP625" s="87" t="s">
        <v>538</v>
      </c>
      <c r="AQ625" s="87">
        <v>0.0</v>
      </c>
      <c r="AR625" s="87">
        <v>0.0</v>
      </c>
    </row>
    <row r="626">
      <c r="A626" s="89">
        <v>31.0</v>
      </c>
      <c r="B626" s="87" t="s">
        <v>4402</v>
      </c>
      <c r="C626" s="88" t="s">
        <v>4403</v>
      </c>
      <c r="D626" s="161"/>
      <c r="E626" s="161"/>
      <c r="F626" s="161"/>
      <c r="G626" s="161"/>
      <c r="H626" s="161"/>
      <c r="I626" s="162"/>
      <c r="J626" s="161"/>
      <c r="K626" s="161"/>
      <c r="L626" s="162"/>
      <c r="M626" s="161"/>
      <c r="N626" s="161"/>
      <c r="O626" s="87" t="s">
        <v>142</v>
      </c>
      <c r="P626" s="161"/>
      <c r="Q626" s="87" t="s">
        <v>4208</v>
      </c>
      <c r="R626" s="161"/>
      <c r="S626" s="173"/>
      <c r="T626" s="161"/>
      <c r="U626" s="173"/>
      <c r="V626" s="87" t="s">
        <v>89</v>
      </c>
      <c r="W626" s="87" t="s">
        <v>640</v>
      </c>
      <c r="X626" s="87" t="s">
        <v>2786</v>
      </c>
      <c r="Y626" s="99">
        <v>42339.0</v>
      </c>
      <c r="Z626" s="162"/>
      <c r="AA626" s="162"/>
      <c r="AB626" s="173"/>
      <c r="AC626" s="81">
        <v>624.0</v>
      </c>
      <c r="AD626" s="173"/>
      <c r="AE626" s="87" t="s">
        <v>220</v>
      </c>
      <c r="AF626" s="173"/>
      <c r="AG626" s="87" t="s">
        <v>68</v>
      </c>
      <c r="AH626" s="173"/>
      <c r="AI626" s="87">
        <v>8.2368813771E10</v>
      </c>
      <c r="AJ626" s="87" t="s">
        <v>4404</v>
      </c>
      <c r="AK626" s="97" t="s">
        <v>4405</v>
      </c>
      <c r="AL626" s="87" t="s">
        <v>4406</v>
      </c>
      <c r="AM626" s="87" t="s">
        <v>73</v>
      </c>
      <c r="AN626" s="87" t="s">
        <v>481</v>
      </c>
      <c r="AO626" s="87" t="s">
        <v>4407</v>
      </c>
      <c r="AP626" s="87" t="s">
        <v>1007</v>
      </c>
      <c r="AQ626" s="87"/>
      <c r="AR626" s="87"/>
    </row>
    <row r="627">
      <c r="A627" s="89">
        <v>32.0</v>
      </c>
      <c r="B627" s="87" t="s">
        <v>4408</v>
      </c>
      <c r="C627" s="88" t="s">
        <v>4409</v>
      </c>
      <c r="D627" s="161"/>
      <c r="E627" s="161"/>
      <c r="F627" s="161"/>
      <c r="G627" s="161"/>
      <c r="H627" s="161"/>
      <c r="I627" s="162"/>
      <c r="J627" s="161"/>
      <c r="K627" s="161"/>
      <c r="L627" s="162"/>
      <c r="M627" s="161"/>
      <c r="N627" s="161"/>
      <c r="O627" s="87" t="s">
        <v>142</v>
      </c>
      <c r="P627" s="161"/>
      <c r="Q627" s="87" t="s">
        <v>4208</v>
      </c>
      <c r="R627" s="161"/>
      <c r="S627" s="173"/>
      <c r="T627" s="161"/>
      <c r="U627" s="173"/>
      <c r="V627" s="87" t="s">
        <v>89</v>
      </c>
      <c r="W627" s="87" t="s">
        <v>90</v>
      </c>
      <c r="X627" s="87" t="s">
        <v>1819</v>
      </c>
      <c r="Y627" s="94">
        <v>42598.0</v>
      </c>
      <c r="Z627" s="162"/>
      <c r="AA627" s="162"/>
      <c r="AB627" s="173"/>
      <c r="AC627" s="81">
        <v>625.0</v>
      </c>
      <c r="AD627" s="173"/>
      <c r="AE627" s="87" t="s">
        <v>67</v>
      </c>
      <c r="AF627" s="173"/>
      <c r="AG627" s="87" t="s">
        <v>130</v>
      </c>
      <c r="AH627" s="173"/>
      <c r="AI627" s="87">
        <v>8.1212368618E10</v>
      </c>
      <c r="AJ627" s="87" t="s">
        <v>4410</v>
      </c>
      <c r="AK627" s="97" t="s">
        <v>4411</v>
      </c>
      <c r="AL627" s="87" t="s">
        <v>4412</v>
      </c>
      <c r="AM627" s="87" t="s">
        <v>73</v>
      </c>
      <c r="AN627" s="87" t="s">
        <v>74</v>
      </c>
      <c r="AO627" s="87" t="s">
        <v>1047</v>
      </c>
      <c r="AP627" s="87" t="s">
        <v>4413</v>
      </c>
      <c r="AQ627" s="87">
        <v>0.0</v>
      </c>
      <c r="AR627" s="87">
        <v>0.0</v>
      </c>
    </row>
    <row r="628">
      <c r="A628" s="89">
        <v>33.0</v>
      </c>
      <c r="B628" s="87" t="s">
        <v>4414</v>
      </c>
      <c r="C628" s="88" t="s">
        <v>4415</v>
      </c>
      <c r="D628" s="161"/>
      <c r="E628" s="161"/>
      <c r="F628" s="161"/>
      <c r="G628" s="161"/>
      <c r="H628" s="161"/>
      <c r="I628" s="162"/>
      <c r="J628" s="161"/>
      <c r="K628" s="161"/>
      <c r="L628" s="162"/>
      <c r="M628" s="161"/>
      <c r="N628" s="161"/>
      <c r="O628" s="87" t="s">
        <v>519</v>
      </c>
      <c r="P628" s="161"/>
      <c r="Q628" s="87" t="s">
        <v>4208</v>
      </c>
      <c r="R628" s="161"/>
      <c r="S628" s="173"/>
      <c r="T628" s="161"/>
      <c r="U628" s="173"/>
      <c r="V628" s="87" t="s">
        <v>267</v>
      </c>
      <c r="W628" s="87" t="s">
        <v>4416</v>
      </c>
      <c r="X628" s="87" t="s">
        <v>231</v>
      </c>
      <c r="Y628" s="94">
        <v>39624.0</v>
      </c>
      <c r="Z628" s="162"/>
      <c r="AA628" s="162"/>
      <c r="AB628" s="173"/>
      <c r="AC628" s="81">
        <v>626.0</v>
      </c>
      <c r="AD628" s="173"/>
      <c r="AE628" s="87" t="s">
        <v>67</v>
      </c>
      <c r="AF628" s="173"/>
      <c r="AG628" s="87" t="s">
        <v>130</v>
      </c>
      <c r="AH628" s="173"/>
      <c r="AI628" s="87">
        <v>8.1266017456E10</v>
      </c>
      <c r="AJ628" s="87" t="s">
        <v>4417</v>
      </c>
      <c r="AK628" s="97" t="s">
        <v>4418</v>
      </c>
      <c r="AL628" s="87" t="s">
        <v>4419</v>
      </c>
      <c r="AM628" s="87" t="s">
        <v>96</v>
      </c>
      <c r="AN628" s="87" t="s">
        <v>97</v>
      </c>
      <c r="AO628" s="87" t="s">
        <v>272</v>
      </c>
      <c r="AP628" s="87" t="s">
        <v>334</v>
      </c>
      <c r="AQ628" s="87"/>
      <c r="AR628" s="87"/>
    </row>
    <row r="629">
      <c r="A629" s="89">
        <v>34.0</v>
      </c>
      <c r="B629" s="87" t="s">
        <v>4420</v>
      </c>
      <c r="C629" s="88" t="s">
        <v>4421</v>
      </c>
      <c r="D629" s="161"/>
      <c r="E629" s="161"/>
      <c r="F629" s="161"/>
      <c r="G629" s="161"/>
      <c r="H629" s="161"/>
      <c r="I629" s="162"/>
      <c r="J629" s="161"/>
      <c r="K629" s="161"/>
      <c r="L629" s="162"/>
      <c r="M629" s="161"/>
      <c r="N629" s="161"/>
      <c r="O629" s="87" t="s">
        <v>142</v>
      </c>
      <c r="P629" s="161"/>
      <c r="Q629" s="87" t="s">
        <v>4208</v>
      </c>
      <c r="R629" s="161"/>
      <c r="S629" s="173"/>
      <c r="T629" s="161"/>
      <c r="U629" s="173"/>
      <c r="V629" s="87" t="s">
        <v>89</v>
      </c>
      <c r="W629" s="87" t="s">
        <v>1214</v>
      </c>
      <c r="X629" s="87" t="s">
        <v>260</v>
      </c>
      <c r="Y629" s="94">
        <v>37032.0</v>
      </c>
      <c r="Z629" s="162"/>
      <c r="AA629" s="162"/>
      <c r="AB629" s="173"/>
      <c r="AC629" s="81">
        <v>627.0</v>
      </c>
      <c r="AD629" s="173"/>
      <c r="AE629" s="87" t="s">
        <v>67</v>
      </c>
      <c r="AF629" s="173"/>
      <c r="AG629" s="87" t="s">
        <v>130</v>
      </c>
      <c r="AH629" s="173"/>
      <c r="AI629" s="87">
        <v>8.11619111E9</v>
      </c>
      <c r="AJ629" s="87" t="s">
        <v>4422</v>
      </c>
      <c r="AK629" s="97" t="s">
        <v>4423</v>
      </c>
      <c r="AL629" s="87" t="s">
        <v>4424</v>
      </c>
      <c r="AM629" s="87" t="s">
        <v>73</v>
      </c>
      <c r="AN629" s="87" t="s">
        <v>775</v>
      </c>
      <c r="AO629" s="87" t="s">
        <v>4425</v>
      </c>
      <c r="AP629" s="87" t="s">
        <v>4426</v>
      </c>
      <c r="AQ629" s="87">
        <v>0.0</v>
      </c>
      <c r="AR629" s="87">
        <v>0.0</v>
      </c>
    </row>
    <row r="630">
      <c r="A630" s="89">
        <v>35.0</v>
      </c>
      <c r="B630" s="87" t="s">
        <v>4427</v>
      </c>
      <c r="C630" s="88" t="s">
        <v>4428</v>
      </c>
      <c r="D630" s="161"/>
      <c r="E630" s="161"/>
      <c r="F630" s="161"/>
      <c r="G630" s="161"/>
      <c r="H630" s="161"/>
      <c r="I630" s="162"/>
      <c r="J630" s="161"/>
      <c r="K630" s="161"/>
      <c r="L630" s="162"/>
      <c r="M630" s="161"/>
      <c r="N630" s="161"/>
      <c r="O630" s="87" t="s">
        <v>142</v>
      </c>
      <c r="P630" s="161"/>
      <c r="Q630" s="87" t="s">
        <v>4208</v>
      </c>
      <c r="R630" s="161"/>
      <c r="S630" s="173"/>
      <c r="T630" s="161"/>
      <c r="U630" s="173"/>
      <c r="V630" s="87"/>
      <c r="W630" s="87"/>
      <c r="X630" s="87"/>
      <c r="Y630" s="100"/>
      <c r="Z630" s="162"/>
      <c r="AA630" s="162"/>
      <c r="AB630" s="173"/>
      <c r="AC630" s="81">
        <v>628.0</v>
      </c>
      <c r="AD630" s="173"/>
      <c r="AE630" s="87" t="s">
        <v>67</v>
      </c>
      <c r="AF630" s="173"/>
      <c r="AG630" s="87" t="s">
        <v>130</v>
      </c>
      <c r="AH630" s="173"/>
      <c r="AI630" s="87">
        <v>8.5277704244E10</v>
      </c>
      <c r="AJ630" s="87" t="s">
        <v>4429</v>
      </c>
      <c r="AK630" s="97" t="s">
        <v>4430</v>
      </c>
      <c r="AL630" s="87" t="s">
        <v>4431</v>
      </c>
      <c r="AM630" s="87" t="s">
        <v>73</v>
      </c>
      <c r="AN630" s="87" t="s">
        <v>74</v>
      </c>
      <c r="AO630" s="87" t="s">
        <v>454</v>
      </c>
      <c r="AP630" s="87" t="s">
        <v>4432</v>
      </c>
      <c r="AQ630" s="87"/>
      <c r="AR630" s="87"/>
    </row>
    <row r="631">
      <c r="A631" s="89">
        <v>36.0</v>
      </c>
      <c r="B631" s="87" t="s">
        <v>4433</v>
      </c>
      <c r="C631" s="88" t="s">
        <v>4434</v>
      </c>
      <c r="D631" s="161"/>
      <c r="E631" s="161"/>
      <c r="F631" s="161"/>
      <c r="G631" s="161"/>
      <c r="H631" s="161"/>
      <c r="I631" s="162"/>
      <c r="J631" s="161"/>
      <c r="K631" s="161"/>
      <c r="L631" s="162"/>
      <c r="M631" s="161"/>
      <c r="N631" s="161"/>
      <c r="O631" s="87" t="s">
        <v>142</v>
      </c>
      <c r="P631" s="161"/>
      <c r="Q631" s="87" t="s">
        <v>4208</v>
      </c>
      <c r="R631" s="161"/>
      <c r="S631" s="173"/>
      <c r="T631" s="161"/>
      <c r="U631" s="173"/>
      <c r="V631" s="87" t="s">
        <v>89</v>
      </c>
      <c r="W631" s="87" t="s">
        <v>230</v>
      </c>
      <c r="X631" s="87" t="s">
        <v>4435</v>
      </c>
      <c r="Y631" s="99">
        <v>39483.0</v>
      </c>
      <c r="Z631" s="162"/>
      <c r="AA631" s="162"/>
      <c r="AB631" s="173"/>
      <c r="AC631" s="81">
        <v>629.0</v>
      </c>
      <c r="AD631" s="173"/>
      <c r="AE631" s="87" t="s">
        <v>67</v>
      </c>
      <c r="AF631" s="173"/>
      <c r="AG631" s="87" t="s">
        <v>130</v>
      </c>
      <c r="AH631" s="173"/>
      <c r="AI631" s="87">
        <v>8.985576802E9</v>
      </c>
      <c r="AJ631" s="87" t="s">
        <v>4436</v>
      </c>
      <c r="AK631" s="97" t="s">
        <v>4437</v>
      </c>
      <c r="AL631" s="87" t="s">
        <v>4438</v>
      </c>
      <c r="AM631" s="87" t="s">
        <v>96</v>
      </c>
      <c r="AN631" s="87" t="s">
        <v>97</v>
      </c>
      <c r="AO631" s="87" t="s">
        <v>499</v>
      </c>
      <c r="AP631" s="87" t="s">
        <v>1479</v>
      </c>
      <c r="AQ631" s="87">
        <v>0.0</v>
      </c>
      <c r="AR631" s="87">
        <v>0.0</v>
      </c>
    </row>
    <row r="632">
      <c r="A632" s="89">
        <v>37.0</v>
      </c>
      <c r="B632" s="87" t="s">
        <v>4439</v>
      </c>
      <c r="C632" s="88" t="s">
        <v>4440</v>
      </c>
      <c r="D632" s="161"/>
      <c r="E632" s="161"/>
      <c r="F632" s="161"/>
      <c r="G632" s="161"/>
      <c r="H632" s="161"/>
      <c r="I632" s="162"/>
      <c r="J632" s="161"/>
      <c r="K632" s="161"/>
      <c r="L632" s="162"/>
      <c r="M632" s="161"/>
      <c r="N632" s="161"/>
      <c r="O632" s="87" t="s">
        <v>142</v>
      </c>
      <c r="P632" s="161"/>
      <c r="Q632" s="87" t="s">
        <v>4208</v>
      </c>
      <c r="R632" s="161"/>
      <c r="S632" s="173"/>
      <c r="T632" s="161"/>
      <c r="U632" s="173"/>
      <c r="V632" s="87" t="s">
        <v>89</v>
      </c>
      <c r="W632" s="87" t="s">
        <v>418</v>
      </c>
      <c r="X632" s="87" t="s">
        <v>3245</v>
      </c>
      <c r="Y632" s="99">
        <v>42315.0</v>
      </c>
      <c r="Z632" s="162"/>
      <c r="AA632" s="162"/>
      <c r="AB632" s="173"/>
      <c r="AC632" s="81">
        <v>630.0</v>
      </c>
      <c r="AD632" s="173"/>
      <c r="AE632" s="87" t="s">
        <v>67</v>
      </c>
      <c r="AF632" s="173"/>
      <c r="AG632" s="87" t="s">
        <v>68</v>
      </c>
      <c r="AH632" s="173"/>
      <c r="AI632" s="87">
        <v>8.116191105E9</v>
      </c>
      <c r="AJ632" s="87" t="s">
        <v>4441</v>
      </c>
      <c r="AK632" s="97" t="s">
        <v>4442</v>
      </c>
      <c r="AL632" s="87" t="s">
        <v>4443</v>
      </c>
      <c r="AM632" s="87" t="s">
        <v>96</v>
      </c>
      <c r="AN632" s="87" t="s">
        <v>135</v>
      </c>
      <c r="AO632" s="87" t="s">
        <v>425</v>
      </c>
      <c r="AP632" s="87" t="s">
        <v>1533</v>
      </c>
      <c r="AQ632" s="87" t="s">
        <v>77</v>
      </c>
      <c r="AR632" s="87" t="s">
        <v>77</v>
      </c>
    </row>
    <row r="633">
      <c r="A633" s="89">
        <v>38.0</v>
      </c>
      <c r="B633" s="87" t="s">
        <v>4444</v>
      </c>
      <c r="C633" s="88" t="s">
        <v>4445</v>
      </c>
      <c r="D633" s="161"/>
      <c r="E633" s="161"/>
      <c r="F633" s="161"/>
      <c r="G633" s="161"/>
      <c r="H633" s="161"/>
      <c r="I633" s="162"/>
      <c r="J633" s="161"/>
      <c r="K633" s="161"/>
      <c r="L633" s="162"/>
      <c r="M633" s="161"/>
      <c r="N633" s="161"/>
      <c r="O633" s="87" t="s">
        <v>142</v>
      </c>
      <c r="P633" s="161"/>
      <c r="Q633" s="87" t="s">
        <v>4208</v>
      </c>
      <c r="R633" s="161"/>
      <c r="S633" s="173"/>
      <c r="T633" s="161"/>
      <c r="U633" s="173"/>
      <c r="V633" s="87" t="s">
        <v>89</v>
      </c>
      <c r="W633" s="87" t="s">
        <v>4446</v>
      </c>
      <c r="X633" s="87" t="s">
        <v>4447</v>
      </c>
      <c r="Y633" s="99">
        <v>41246.0</v>
      </c>
      <c r="Z633" s="162"/>
      <c r="AA633" s="162"/>
      <c r="AB633" s="173"/>
      <c r="AC633" s="81">
        <v>631.0</v>
      </c>
      <c r="AD633" s="173"/>
      <c r="AE633" s="87" t="s">
        <v>67</v>
      </c>
      <c r="AF633" s="173"/>
      <c r="AG633" s="87" t="s">
        <v>68</v>
      </c>
      <c r="AH633" s="173"/>
      <c r="AI633" s="87">
        <v>8.22740038005E11</v>
      </c>
      <c r="AJ633" s="87" t="s">
        <v>4448</v>
      </c>
      <c r="AK633" s="97" t="s">
        <v>4449</v>
      </c>
      <c r="AL633" s="87" t="s">
        <v>4450</v>
      </c>
      <c r="AM633" s="87" t="s">
        <v>2265</v>
      </c>
      <c r="AN633" s="87" t="s">
        <v>514</v>
      </c>
      <c r="AO633" s="87" t="s">
        <v>4105</v>
      </c>
      <c r="AP633" s="87" t="s">
        <v>4451</v>
      </c>
      <c r="AQ633" s="87">
        <v>0.0</v>
      </c>
      <c r="AR633" s="87">
        <v>0.0</v>
      </c>
    </row>
    <row r="634">
      <c r="A634" s="89">
        <v>39.0</v>
      </c>
      <c r="B634" s="87" t="s">
        <v>4452</v>
      </c>
      <c r="C634" s="88" t="s">
        <v>4453</v>
      </c>
      <c r="D634" s="161"/>
      <c r="E634" s="161"/>
      <c r="F634" s="161"/>
      <c r="G634" s="161"/>
      <c r="H634" s="161"/>
      <c r="I634" s="162"/>
      <c r="J634" s="161"/>
      <c r="K634" s="161"/>
      <c r="L634" s="162"/>
      <c r="M634" s="161"/>
      <c r="N634" s="161"/>
      <c r="O634" s="87" t="s">
        <v>142</v>
      </c>
      <c r="P634" s="161"/>
      <c r="Q634" s="87" t="s">
        <v>4208</v>
      </c>
      <c r="R634" s="161"/>
      <c r="S634" s="173"/>
      <c r="T634" s="161"/>
      <c r="U634" s="173"/>
      <c r="V634" s="87" t="s">
        <v>89</v>
      </c>
      <c r="W634" s="87" t="s">
        <v>90</v>
      </c>
      <c r="X634" s="87" t="s">
        <v>4454</v>
      </c>
      <c r="Y634" s="94">
        <v>36830.0</v>
      </c>
      <c r="Z634" s="162"/>
      <c r="AA634" s="162"/>
      <c r="AB634" s="173"/>
      <c r="AC634" s="81">
        <v>632.0</v>
      </c>
      <c r="AD634" s="173"/>
      <c r="AE634" s="87" t="s">
        <v>67</v>
      </c>
      <c r="AF634" s="173"/>
      <c r="AG634" s="87" t="s">
        <v>130</v>
      </c>
      <c r="AH634" s="173"/>
      <c r="AI634" s="87">
        <v>8.1361995E10</v>
      </c>
      <c r="AJ634" s="87" t="s">
        <v>4455</v>
      </c>
      <c r="AK634" s="97" t="s">
        <v>4456</v>
      </c>
      <c r="AL634" s="87" t="s">
        <v>4457</v>
      </c>
      <c r="AM634" s="87" t="s">
        <v>4458</v>
      </c>
      <c r="AN634" s="87" t="s">
        <v>4459</v>
      </c>
      <c r="AO634" s="87" t="s">
        <v>4460</v>
      </c>
      <c r="AP634" s="87" t="s">
        <v>4461</v>
      </c>
      <c r="AQ634" s="87">
        <v>0.0</v>
      </c>
      <c r="AR634" s="87">
        <v>0.0</v>
      </c>
    </row>
    <row r="635">
      <c r="A635" s="89">
        <v>40.0</v>
      </c>
      <c r="B635" s="87" t="s">
        <v>4462</v>
      </c>
      <c r="C635" s="88" t="s">
        <v>4463</v>
      </c>
      <c r="D635" s="161"/>
      <c r="E635" s="161"/>
      <c r="F635" s="161"/>
      <c r="G635" s="161"/>
      <c r="H635" s="161"/>
      <c r="I635" s="162"/>
      <c r="J635" s="161"/>
      <c r="K635" s="161"/>
      <c r="L635" s="162"/>
      <c r="M635" s="161"/>
      <c r="N635" s="161"/>
      <c r="O635" s="87" t="s">
        <v>142</v>
      </c>
      <c r="P635" s="161"/>
      <c r="Q635" s="87" t="s">
        <v>4208</v>
      </c>
      <c r="R635" s="161"/>
      <c r="S635" s="173"/>
      <c r="T635" s="161"/>
      <c r="U635" s="173"/>
      <c r="V635" s="87" t="s">
        <v>89</v>
      </c>
      <c r="W635" s="87" t="s">
        <v>90</v>
      </c>
      <c r="X635" s="87" t="s">
        <v>1215</v>
      </c>
      <c r="Y635" s="99">
        <v>42068.0</v>
      </c>
      <c r="Z635" s="162"/>
      <c r="AA635" s="162"/>
      <c r="AB635" s="173"/>
      <c r="AC635" s="81">
        <v>633.0</v>
      </c>
      <c r="AD635" s="173"/>
      <c r="AE635" s="87" t="s">
        <v>67</v>
      </c>
      <c r="AF635" s="173"/>
      <c r="AG635" s="87" t="s">
        <v>130</v>
      </c>
      <c r="AH635" s="173"/>
      <c r="AI635" s="87">
        <v>8.116181989E9</v>
      </c>
      <c r="AJ635" s="87" t="s">
        <v>4464</v>
      </c>
      <c r="AK635" s="97" t="s">
        <v>4465</v>
      </c>
      <c r="AL635" s="87" t="s">
        <v>1264</v>
      </c>
      <c r="AM635" s="87" t="s">
        <v>73</v>
      </c>
      <c r="AN635" s="87" t="s">
        <v>166</v>
      </c>
      <c r="AO635" s="87" t="s">
        <v>167</v>
      </c>
      <c r="AP635" s="87" t="s">
        <v>1265</v>
      </c>
      <c r="AQ635" s="87">
        <v>0.0</v>
      </c>
      <c r="AR635" s="87">
        <v>0.0</v>
      </c>
    </row>
    <row r="636">
      <c r="A636" s="89">
        <v>41.0</v>
      </c>
      <c r="B636" s="87" t="s">
        <v>4466</v>
      </c>
      <c r="C636" s="88" t="s">
        <v>4467</v>
      </c>
      <c r="D636" s="161"/>
      <c r="E636" s="161"/>
      <c r="F636" s="161"/>
      <c r="G636" s="161"/>
      <c r="H636" s="161"/>
      <c r="I636" s="162"/>
      <c r="J636" s="161"/>
      <c r="K636" s="161"/>
      <c r="L636" s="162"/>
      <c r="M636" s="161"/>
      <c r="N636" s="161"/>
      <c r="O636" s="87" t="s">
        <v>532</v>
      </c>
      <c r="P636" s="161"/>
      <c r="Q636" s="87" t="s">
        <v>4208</v>
      </c>
      <c r="R636" s="161"/>
      <c r="S636" s="173"/>
      <c r="T636" s="161"/>
      <c r="U636" s="173"/>
      <c r="V636" s="87" t="s">
        <v>285</v>
      </c>
      <c r="W636" s="87" t="s">
        <v>4468</v>
      </c>
      <c r="X636" s="87" t="s">
        <v>4469</v>
      </c>
      <c r="Y636" s="99">
        <v>42857.0</v>
      </c>
      <c r="Z636" s="162"/>
      <c r="AA636" s="162"/>
      <c r="AB636" s="173"/>
      <c r="AC636" s="81">
        <v>634.0</v>
      </c>
      <c r="AD636" s="173"/>
      <c r="AE636" s="87" t="s">
        <v>67</v>
      </c>
      <c r="AF636" s="173"/>
      <c r="AG636" s="87" t="s">
        <v>68</v>
      </c>
      <c r="AH636" s="173"/>
      <c r="AI636" s="87" t="s">
        <v>4470</v>
      </c>
      <c r="AJ636" s="87" t="s">
        <v>4471</v>
      </c>
      <c r="AK636" s="97" t="s">
        <v>4472</v>
      </c>
      <c r="AL636" s="87" t="s">
        <v>4473</v>
      </c>
      <c r="AM636" s="87" t="s">
        <v>73</v>
      </c>
      <c r="AN636" s="87" t="s">
        <v>1698</v>
      </c>
      <c r="AO636" s="87" t="s">
        <v>1291</v>
      </c>
      <c r="AP636" s="87" t="s">
        <v>167</v>
      </c>
      <c r="AQ636" s="87"/>
      <c r="AR636" s="87"/>
    </row>
    <row r="637">
      <c r="A637" s="89">
        <v>42.0</v>
      </c>
      <c r="B637" s="87" t="s">
        <v>4474</v>
      </c>
      <c r="C637" s="88" t="s">
        <v>4475</v>
      </c>
      <c r="D637" s="161"/>
      <c r="E637" s="161"/>
      <c r="F637" s="161"/>
      <c r="G637" s="161"/>
      <c r="H637" s="161"/>
      <c r="I637" s="162"/>
      <c r="J637" s="161"/>
      <c r="K637" s="161"/>
      <c r="L637" s="162"/>
      <c r="M637" s="161"/>
      <c r="N637" s="161"/>
      <c r="O637" s="87" t="s">
        <v>142</v>
      </c>
      <c r="P637" s="161"/>
      <c r="Q637" s="87" t="s">
        <v>4208</v>
      </c>
      <c r="R637" s="161"/>
      <c r="S637" s="173"/>
      <c r="T637" s="161"/>
      <c r="U637" s="173"/>
      <c r="V637" s="87" t="s">
        <v>89</v>
      </c>
      <c r="W637" s="87" t="s">
        <v>1214</v>
      </c>
      <c r="X637" s="87" t="s">
        <v>2353</v>
      </c>
      <c r="Y637" s="94">
        <v>42112.0</v>
      </c>
      <c r="Z637" s="162"/>
      <c r="AA637" s="162"/>
      <c r="AB637" s="173"/>
      <c r="AC637" s="81">
        <v>635.0</v>
      </c>
      <c r="AD637" s="173"/>
      <c r="AE637" s="87" t="s">
        <v>220</v>
      </c>
      <c r="AF637" s="173"/>
      <c r="AG637" s="87" t="s">
        <v>68</v>
      </c>
      <c r="AH637" s="173"/>
      <c r="AI637" s="87">
        <v>8.1269952856E10</v>
      </c>
      <c r="AJ637" s="87" t="s">
        <v>4476</v>
      </c>
      <c r="AK637" s="97" t="s">
        <v>4477</v>
      </c>
      <c r="AL637" s="87" t="s">
        <v>4478</v>
      </c>
      <c r="AM637" s="87" t="s">
        <v>73</v>
      </c>
      <c r="AN637" s="87" t="s">
        <v>74</v>
      </c>
      <c r="AO637" s="87" t="s">
        <v>989</v>
      </c>
      <c r="AP637" s="87" t="s">
        <v>538</v>
      </c>
      <c r="AQ637" s="87"/>
      <c r="AR637" s="87"/>
    </row>
    <row r="638">
      <c r="A638" s="89">
        <v>43.0</v>
      </c>
      <c r="B638" s="87" t="s">
        <v>4479</v>
      </c>
      <c r="C638" s="88" t="s">
        <v>4480</v>
      </c>
      <c r="D638" s="161"/>
      <c r="E638" s="161"/>
      <c r="F638" s="161"/>
      <c r="G638" s="161"/>
      <c r="H638" s="161"/>
      <c r="I638" s="162"/>
      <c r="J638" s="161"/>
      <c r="K638" s="161"/>
      <c r="L638" s="162"/>
      <c r="M638" s="161"/>
      <c r="N638" s="161"/>
      <c r="O638" s="87" t="s">
        <v>532</v>
      </c>
      <c r="P638" s="161"/>
      <c r="Q638" s="87" t="s">
        <v>4208</v>
      </c>
      <c r="R638" s="161"/>
      <c r="S638" s="173"/>
      <c r="T638" s="161"/>
      <c r="U638" s="173"/>
      <c r="V638" s="87" t="s">
        <v>285</v>
      </c>
      <c r="W638" s="87" t="s">
        <v>374</v>
      </c>
      <c r="X638" s="87" t="s">
        <v>4481</v>
      </c>
      <c r="Y638" s="94">
        <v>39613.0</v>
      </c>
      <c r="Z638" s="162"/>
      <c r="AA638" s="162"/>
      <c r="AB638" s="173"/>
      <c r="AC638" s="81">
        <v>636.0</v>
      </c>
      <c r="AD638" s="173"/>
      <c r="AE638" s="87" t="s">
        <v>67</v>
      </c>
      <c r="AF638" s="173"/>
      <c r="AG638" s="87" t="s">
        <v>130</v>
      </c>
      <c r="AH638" s="173"/>
      <c r="AI638" s="87">
        <v>8.2380494766E10</v>
      </c>
      <c r="AJ638" s="87" t="s">
        <v>4482</v>
      </c>
      <c r="AK638" s="97" t="s">
        <v>4483</v>
      </c>
      <c r="AL638" s="87" t="s">
        <v>4484</v>
      </c>
      <c r="AM638" s="87" t="s">
        <v>96</v>
      </c>
      <c r="AN638" s="87" t="s">
        <v>74</v>
      </c>
      <c r="AO638" s="87" t="s">
        <v>425</v>
      </c>
      <c r="AP638" s="87" t="s">
        <v>1533</v>
      </c>
      <c r="AQ638" s="87">
        <v>0.0</v>
      </c>
      <c r="AR638" s="87">
        <v>0.0</v>
      </c>
    </row>
    <row r="639">
      <c r="A639" s="89">
        <v>44.0</v>
      </c>
      <c r="B639" s="87" t="s">
        <v>4485</v>
      </c>
      <c r="C639" s="88" t="s">
        <v>4486</v>
      </c>
      <c r="D639" s="161"/>
      <c r="E639" s="161"/>
      <c r="F639" s="161"/>
      <c r="G639" s="161"/>
      <c r="H639" s="161"/>
      <c r="I639" s="162"/>
      <c r="J639" s="161"/>
      <c r="K639" s="161"/>
      <c r="L639" s="162"/>
      <c r="M639" s="161"/>
      <c r="N639" s="161"/>
      <c r="O639" s="87" t="s">
        <v>142</v>
      </c>
      <c r="P639" s="161"/>
      <c r="Q639" s="87" t="s">
        <v>4208</v>
      </c>
      <c r="R639" s="161"/>
      <c r="S639" s="173"/>
      <c r="T639" s="161"/>
      <c r="U639" s="173"/>
      <c r="V639" s="87" t="s">
        <v>89</v>
      </c>
      <c r="W639" s="87" t="s">
        <v>4487</v>
      </c>
      <c r="X639" s="87" t="s">
        <v>4488</v>
      </c>
      <c r="Y639" s="94">
        <v>40861.0</v>
      </c>
      <c r="Z639" s="162"/>
      <c r="AA639" s="162"/>
      <c r="AB639" s="173"/>
      <c r="AC639" s="81">
        <v>637.0</v>
      </c>
      <c r="AD639" s="173"/>
      <c r="AE639" s="87" t="s">
        <v>67</v>
      </c>
      <c r="AF639" s="173"/>
      <c r="AG639" s="87" t="s">
        <v>130</v>
      </c>
      <c r="AH639" s="173"/>
      <c r="AI639" s="87">
        <v>8.3125294924E10</v>
      </c>
      <c r="AJ639" s="87" t="s">
        <v>4489</v>
      </c>
      <c r="AK639" s="97" t="s">
        <v>2934</v>
      </c>
      <c r="AL639" s="87" t="s">
        <v>4490</v>
      </c>
      <c r="AM639" s="87" t="s">
        <v>73</v>
      </c>
      <c r="AN639" s="87" t="s">
        <v>74</v>
      </c>
      <c r="AO639" s="87" t="s">
        <v>1446</v>
      </c>
      <c r="AP639" s="87" t="s">
        <v>4491</v>
      </c>
      <c r="AQ639" s="87"/>
      <c r="AR639" s="87"/>
    </row>
    <row r="640">
      <c r="A640" s="89">
        <v>45.0</v>
      </c>
      <c r="B640" s="87" t="s">
        <v>4492</v>
      </c>
      <c r="C640" s="88" t="s">
        <v>4493</v>
      </c>
      <c r="D640" s="161"/>
      <c r="E640" s="161"/>
      <c r="F640" s="161"/>
      <c r="G640" s="161"/>
      <c r="H640" s="161"/>
      <c r="I640" s="162"/>
      <c r="J640" s="161"/>
      <c r="K640" s="161"/>
      <c r="L640" s="162"/>
      <c r="M640" s="161"/>
      <c r="N640" s="161"/>
      <c r="O640" s="87" t="s">
        <v>142</v>
      </c>
      <c r="P640" s="161"/>
      <c r="Q640" s="87" t="s">
        <v>4208</v>
      </c>
      <c r="R640" s="161"/>
      <c r="S640" s="173"/>
      <c r="T640" s="161"/>
      <c r="U640" s="173"/>
      <c r="V640" s="87" t="s">
        <v>89</v>
      </c>
      <c r="W640" s="87" t="s">
        <v>90</v>
      </c>
      <c r="X640" s="87" t="s">
        <v>1215</v>
      </c>
      <c r="Y640" s="94">
        <v>37557.0</v>
      </c>
      <c r="Z640" s="162"/>
      <c r="AA640" s="162"/>
      <c r="AB640" s="173"/>
      <c r="AC640" s="81">
        <v>638.0</v>
      </c>
      <c r="AD640" s="173"/>
      <c r="AE640" s="87" t="s">
        <v>67</v>
      </c>
      <c r="AF640" s="173"/>
      <c r="AG640" s="87" t="s">
        <v>130</v>
      </c>
      <c r="AH640" s="173"/>
      <c r="AI640" s="87">
        <v>8.2274230499E10</v>
      </c>
      <c r="AJ640" s="87" t="s">
        <v>4494</v>
      </c>
      <c r="AK640" s="97" t="s">
        <v>4495</v>
      </c>
      <c r="AL640" s="87" t="s">
        <v>4496</v>
      </c>
      <c r="AM640" s="87" t="s">
        <v>96</v>
      </c>
      <c r="AN640" s="87" t="s">
        <v>97</v>
      </c>
      <c r="AO640" s="87" t="s">
        <v>499</v>
      </c>
      <c r="AP640" s="87" t="s">
        <v>657</v>
      </c>
      <c r="AQ640" s="87">
        <v>0.0</v>
      </c>
      <c r="AR640" s="87">
        <v>0.0</v>
      </c>
    </row>
    <row r="641">
      <c r="A641" s="89">
        <v>46.0</v>
      </c>
      <c r="B641" s="87" t="s">
        <v>4497</v>
      </c>
      <c r="C641" s="88" t="s">
        <v>4498</v>
      </c>
      <c r="D641" s="161"/>
      <c r="E641" s="161"/>
      <c r="F641" s="161"/>
      <c r="G641" s="161"/>
      <c r="H641" s="161"/>
      <c r="I641" s="162"/>
      <c r="J641" s="161"/>
      <c r="K641" s="161"/>
      <c r="L641" s="162"/>
      <c r="M641" s="161"/>
      <c r="N641" s="161"/>
      <c r="O641" s="87" t="s">
        <v>142</v>
      </c>
      <c r="P641" s="161"/>
      <c r="Q641" s="87" t="s">
        <v>4208</v>
      </c>
      <c r="R641" s="161"/>
      <c r="S641" s="173"/>
      <c r="T641" s="161"/>
      <c r="U641" s="173"/>
      <c r="V641" s="87" t="s">
        <v>89</v>
      </c>
      <c r="W641" s="87" t="s">
        <v>3312</v>
      </c>
      <c r="X641" s="87" t="s">
        <v>1215</v>
      </c>
      <c r="Y641" s="94">
        <v>42426.0</v>
      </c>
      <c r="Z641" s="162"/>
      <c r="AA641" s="162"/>
      <c r="AB641" s="173"/>
      <c r="AC641" s="81">
        <v>639.0</v>
      </c>
      <c r="AD641" s="173"/>
      <c r="AE641" s="87" t="s">
        <v>67</v>
      </c>
      <c r="AF641" s="173"/>
      <c r="AG641" s="87" t="s">
        <v>130</v>
      </c>
      <c r="AH641" s="173"/>
      <c r="AI641" s="87">
        <v>8.2363013488E10</v>
      </c>
      <c r="AJ641" s="87" t="s">
        <v>4499</v>
      </c>
      <c r="AK641" s="97" t="s">
        <v>4500</v>
      </c>
      <c r="AL641" s="87" t="s">
        <v>4501</v>
      </c>
      <c r="AM641" s="87" t="s">
        <v>73</v>
      </c>
      <c r="AN641" s="87" t="s">
        <v>166</v>
      </c>
      <c r="AO641" s="87" t="s">
        <v>167</v>
      </c>
      <c r="AP641" s="87" t="s">
        <v>455</v>
      </c>
      <c r="AQ641" s="87" t="s">
        <v>77</v>
      </c>
      <c r="AR641" s="87" t="s">
        <v>77</v>
      </c>
    </row>
    <row r="642">
      <c r="A642" s="89">
        <v>47.0</v>
      </c>
      <c r="B642" s="87" t="s">
        <v>4502</v>
      </c>
      <c r="C642" s="88" t="s">
        <v>4503</v>
      </c>
      <c r="D642" s="161"/>
      <c r="E642" s="161"/>
      <c r="F642" s="161"/>
      <c r="G642" s="161"/>
      <c r="H642" s="161"/>
      <c r="I642" s="162"/>
      <c r="J642" s="161"/>
      <c r="K642" s="161"/>
      <c r="L642" s="162"/>
      <c r="M642" s="161"/>
      <c r="N642" s="161"/>
      <c r="O642" s="87" t="s">
        <v>142</v>
      </c>
      <c r="P642" s="161"/>
      <c r="Q642" s="87" t="s">
        <v>4208</v>
      </c>
      <c r="R642" s="161"/>
      <c r="S642" s="173"/>
      <c r="T642" s="161"/>
      <c r="U642" s="173"/>
      <c r="V642" s="87" t="s">
        <v>89</v>
      </c>
      <c r="W642" s="87" t="s">
        <v>2318</v>
      </c>
      <c r="X642" s="87" t="s">
        <v>1231</v>
      </c>
      <c r="Y642" s="94">
        <v>41197.0</v>
      </c>
      <c r="Z642" s="162"/>
      <c r="AA642" s="162"/>
      <c r="AB642" s="173"/>
      <c r="AC642" s="81">
        <v>640.0</v>
      </c>
      <c r="AD642" s="173"/>
      <c r="AE642" s="87" t="s">
        <v>67</v>
      </c>
      <c r="AF642" s="173"/>
      <c r="AG642" s="87" t="s">
        <v>68</v>
      </c>
      <c r="AH642" s="173"/>
      <c r="AI642" s="87">
        <v>8.5373338249E10</v>
      </c>
      <c r="AJ642" s="87" t="s">
        <v>4504</v>
      </c>
      <c r="AK642" s="97" t="s">
        <v>4505</v>
      </c>
      <c r="AL642" s="87" t="s">
        <v>2337</v>
      </c>
      <c r="AM642" s="87" t="s">
        <v>73</v>
      </c>
      <c r="AN642" s="87" t="s">
        <v>2338</v>
      </c>
      <c r="AO642" s="87" t="s">
        <v>2339</v>
      </c>
      <c r="AP642" s="87" t="s">
        <v>2340</v>
      </c>
      <c r="AQ642" s="87">
        <v>0.0</v>
      </c>
      <c r="AR642" s="87">
        <v>0.0</v>
      </c>
    </row>
    <row r="643">
      <c r="A643" s="89">
        <v>48.0</v>
      </c>
      <c r="B643" s="87" t="s">
        <v>4506</v>
      </c>
      <c r="C643" s="88" t="s">
        <v>4507</v>
      </c>
      <c r="D643" s="161"/>
      <c r="E643" s="161"/>
      <c r="F643" s="161"/>
      <c r="G643" s="161"/>
      <c r="H643" s="161"/>
      <c r="I643" s="162"/>
      <c r="J643" s="161"/>
      <c r="K643" s="161"/>
      <c r="L643" s="162"/>
      <c r="M643" s="161"/>
      <c r="N643" s="161"/>
      <c r="O643" s="87" t="s">
        <v>142</v>
      </c>
      <c r="P643" s="161"/>
      <c r="Q643" s="87" t="s">
        <v>4208</v>
      </c>
      <c r="R643" s="161"/>
      <c r="S643" s="173"/>
      <c r="T643" s="161"/>
      <c r="U643" s="173"/>
      <c r="V643" s="87" t="s">
        <v>89</v>
      </c>
      <c r="W643" s="87"/>
      <c r="X643" s="87" t="s">
        <v>4508</v>
      </c>
      <c r="Y643" s="94">
        <v>40015.0</v>
      </c>
      <c r="Z643" s="162"/>
      <c r="AA643" s="162"/>
      <c r="AB643" s="173"/>
      <c r="AC643" s="81">
        <v>641.0</v>
      </c>
      <c r="AD643" s="173"/>
      <c r="AE643" s="87" t="s">
        <v>67</v>
      </c>
      <c r="AF643" s="173"/>
      <c r="AG643" s="87" t="s">
        <v>68</v>
      </c>
      <c r="AH643" s="173"/>
      <c r="AI643" s="87">
        <v>8.126464554E9</v>
      </c>
      <c r="AJ643" s="87" t="s">
        <v>4509</v>
      </c>
      <c r="AK643" s="97" t="s">
        <v>4510</v>
      </c>
      <c r="AL643" s="87" t="s">
        <v>4511</v>
      </c>
      <c r="AM643" s="87" t="s">
        <v>96</v>
      </c>
      <c r="AN643" s="87" t="s">
        <v>135</v>
      </c>
      <c r="AO643" s="87" t="s">
        <v>272</v>
      </c>
      <c r="AP643" s="87" t="s">
        <v>4512</v>
      </c>
      <c r="AQ643" s="87"/>
      <c r="AR643" s="87"/>
    </row>
    <row r="644">
      <c r="A644" s="89">
        <v>49.0</v>
      </c>
      <c r="B644" s="87" t="s">
        <v>4513</v>
      </c>
      <c r="C644" s="88" t="s">
        <v>4514</v>
      </c>
      <c r="D644" s="161"/>
      <c r="E644" s="161"/>
      <c r="F644" s="161"/>
      <c r="G644" s="161"/>
      <c r="H644" s="161"/>
      <c r="I644" s="162"/>
      <c r="J644" s="161"/>
      <c r="K644" s="161"/>
      <c r="L644" s="162"/>
      <c r="M644" s="161"/>
      <c r="N644" s="161"/>
      <c r="O644" s="87" t="s">
        <v>142</v>
      </c>
      <c r="P644" s="161"/>
      <c r="Q644" s="87" t="s">
        <v>4208</v>
      </c>
      <c r="R644" s="161"/>
      <c r="S644" s="173"/>
      <c r="T644" s="161"/>
      <c r="U644" s="173"/>
      <c r="V644" s="87" t="s">
        <v>89</v>
      </c>
      <c r="W644" s="87" t="s">
        <v>374</v>
      </c>
      <c r="X644" s="87" t="s">
        <v>4515</v>
      </c>
      <c r="Y644" s="94">
        <v>38138.0</v>
      </c>
      <c r="Z644" s="162"/>
      <c r="AA644" s="162"/>
      <c r="AB644" s="173"/>
      <c r="AC644" s="81">
        <v>642.0</v>
      </c>
      <c r="AD644" s="173"/>
      <c r="AE644" s="87" t="s">
        <v>67</v>
      </c>
      <c r="AF644" s="173"/>
      <c r="AG644" s="87" t="s">
        <v>130</v>
      </c>
      <c r="AH644" s="173"/>
      <c r="AI644" s="87">
        <v>8.2164819095E10</v>
      </c>
      <c r="AJ644" s="87" t="s">
        <v>4516</v>
      </c>
      <c r="AK644" s="97" t="s">
        <v>4517</v>
      </c>
      <c r="AL644" s="87" t="s">
        <v>4518</v>
      </c>
      <c r="AM644" s="87" t="s">
        <v>73</v>
      </c>
      <c r="AN644" s="87" t="s">
        <v>74</v>
      </c>
      <c r="AO644" s="87" t="s">
        <v>932</v>
      </c>
      <c r="AP644" s="87" t="s">
        <v>933</v>
      </c>
      <c r="AQ644" s="87">
        <v>0.0</v>
      </c>
      <c r="AR644" s="87">
        <v>0.0</v>
      </c>
    </row>
    <row r="645">
      <c r="A645" s="89">
        <v>50.0</v>
      </c>
      <c r="B645" s="87" t="s">
        <v>4519</v>
      </c>
      <c r="C645" s="88" t="s">
        <v>4520</v>
      </c>
      <c r="D645" s="161"/>
      <c r="E645" s="161"/>
      <c r="F645" s="161"/>
      <c r="G645" s="161"/>
      <c r="H645" s="161"/>
      <c r="I645" s="162"/>
      <c r="J645" s="161"/>
      <c r="K645" s="161"/>
      <c r="L645" s="162"/>
      <c r="M645" s="161"/>
      <c r="N645" s="161"/>
      <c r="O645" s="87" t="s">
        <v>142</v>
      </c>
      <c r="P645" s="161"/>
      <c r="Q645" s="87" t="s">
        <v>4208</v>
      </c>
      <c r="R645" s="161"/>
      <c r="S645" s="173"/>
      <c r="T645" s="161"/>
      <c r="U645" s="173"/>
      <c r="V645" s="87" t="s">
        <v>89</v>
      </c>
      <c r="W645" s="87" t="s">
        <v>4521</v>
      </c>
      <c r="X645" s="87" t="s">
        <v>3449</v>
      </c>
      <c r="Y645" s="94">
        <v>39184.0</v>
      </c>
      <c r="Z645" s="162"/>
      <c r="AA645" s="162"/>
      <c r="AB645" s="173"/>
      <c r="AC645" s="81">
        <v>643.0</v>
      </c>
      <c r="AD645" s="173"/>
      <c r="AE645" s="87" t="s">
        <v>220</v>
      </c>
      <c r="AF645" s="173"/>
      <c r="AG645" s="87" t="s">
        <v>130</v>
      </c>
      <c r="AH645" s="173"/>
      <c r="AI645" s="87">
        <v>8.139664063E10</v>
      </c>
      <c r="AJ645" s="87" t="s">
        <v>4522</v>
      </c>
      <c r="AK645" s="97" t="s">
        <v>4523</v>
      </c>
      <c r="AL645" s="87" t="s">
        <v>4524</v>
      </c>
      <c r="AM645" s="87" t="s">
        <v>96</v>
      </c>
      <c r="AN645" s="87" t="s">
        <v>135</v>
      </c>
      <c r="AO645" s="87" t="s">
        <v>1511</v>
      </c>
      <c r="AP645" s="87" t="s">
        <v>4525</v>
      </c>
      <c r="AQ645" s="87" t="s">
        <v>77</v>
      </c>
      <c r="AR645" s="87" t="s">
        <v>77</v>
      </c>
    </row>
    <row r="646">
      <c r="A646" s="89">
        <v>51.0</v>
      </c>
      <c r="B646" s="87" t="s">
        <v>4526</v>
      </c>
      <c r="C646" s="88" t="s">
        <v>4527</v>
      </c>
      <c r="D646" s="161"/>
      <c r="E646" s="161"/>
      <c r="F646" s="161"/>
      <c r="G646" s="161"/>
      <c r="H646" s="161"/>
      <c r="I646" s="162"/>
      <c r="J646" s="161"/>
      <c r="K646" s="161"/>
      <c r="L646" s="162"/>
      <c r="M646" s="161"/>
      <c r="N646" s="161"/>
      <c r="O646" s="87" t="s">
        <v>142</v>
      </c>
      <c r="P646" s="161"/>
      <c r="Q646" s="87" t="s">
        <v>4208</v>
      </c>
      <c r="R646" s="161"/>
      <c r="S646" s="173"/>
      <c r="T646" s="161"/>
      <c r="U646" s="173"/>
      <c r="V646" s="87" t="s">
        <v>89</v>
      </c>
      <c r="W646" s="87" t="s">
        <v>4528</v>
      </c>
      <c r="X646" s="87" t="s">
        <v>3034</v>
      </c>
      <c r="Y646" s="94">
        <v>38488.0</v>
      </c>
      <c r="Z646" s="162"/>
      <c r="AA646" s="162"/>
      <c r="AB646" s="173"/>
      <c r="AC646" s="81">
        <v>644.0</v>
      </c>
      <c r="AD646" s="173"/>
      <c r="AE646" s="87" t="s">
        <v>67</v>
      </c>
      <c r="AF646" s="173"/>
      <c r="AG646" s="87" t="s">
        <v>68</v>
      </c>
      <c r="AH646" s="173"/>
      <c r="AI646" s="87">
        <v>8.1263631032E10</v>
      </c>
      <c r="AJ646" s="87" t="s">
        <v>4529</v>
      </c>
      <c r="AK646" s="97" t="s">
        <v>4530</v>
      </c>
      <c r="AL646" s="87" t="s">
        <v>4531</v>
      </c>
      <c r="AM646" s="87" t="s">
        <v>73</v>
      </c>
      <c r="AN646" s="87" t="s">
        <v>74</v>
      </c>
      <c r="AO646" s="87" t="s">
        <v>454</v>
      </c>
      <c r="AP646" s="87" t="s">
        <v>1753</v>
      </c>
      <c r="AQ646" s="87">
        <v>0.0</v>
      </c>
      <c r="AR646" s="87">
        <v>0.0</v>
      </c>
    </row>
    <row r="647">
      <c r="A647" s="124"/>
      <c r="B647" s="135"/>
      <c r="C647" s="136"/>
      <c r="D647" s="124"/>
      <c r="E647" s="124"/>
      <c r="F647" s="124"/>
      <c r="G647" s="124"/>
      <c r="H647" s="137"/>
      <c r="I647" s="135"/>
      <c r="J647" s="138"/>
      <c r="K647" s="138"/>
      <c r="L647" s="139"/>
      <c r="M647" s="140"/>
      <c r="N647" s="124"/>
      <c r="O647" s="139"/>
      <c r="P647" s="124"/>
      <c r="Q647" s="139"/>
      <c r="R647" s="137"/>
      <c r="S647" s="141"/>
      <c r="T647" s="142"/>
      <c r="U647" s="141"/>
      <c r="V647" s="139"/>
      <c r="W647" s="139"/>
      <c r="X647" s="139"/>
      <c r="Y647" s="143"/>
      <c r="Z647" s="141"/>
      <c r="AA647" s="144"/>
      <c r="AB647" s="144"/>
      <c r="AC647" s="81">
        <v>645.0</v>
      </c>
      <c r="AD647" s="139"/>
      <c r="AE647" s="139"/>
      <c r="AF647" s="139"/>
      <c r="AG647" s="139"/>
      <c r="AH647" s="139"/>
      <c r="AI647" s="139"/>
      <c r="AJ647" s="139"/>
      <c r="AK647" s="145"/>
      <c r="AL647" s="139"/>
      <c r="AM647" s="139"/>
      <c r="AN647" s="139"/>
      <c r="AO647" s="139"/>
      <c r="AP647" s="139"/>
      <c r="AQ647" s="139"/>
      <c r="AR647" s="139"/>
    </row>
    <row r="648">
      <c r="A648" s="12" t="s">
        <v>4532</v>
      </c>
      <c r="B648" s="116"/>
      <c r="C648" s="117"/>
      <c r="D648" s="118"/>
      <c r="E648" s="118"/>
      <c r="F648" s="118"/>
      <c r="G648" s="118"/>
      <c r="H648" s="118"/>
      <c r="I648" s="116"/>
      <c r="J648" s="118"/>
      <c r="K648" s="118"/>
      <c r="L648" s="116"/>
      <c r="M648" s="118"/>
      <c r="N648" s="118"/>
      <c r="O648" s="116"/>
      <c r="P648" s="118"/>
      <c r="Q648" s="116"/>
      <c r="R648" s="118"/>
      <c r="S648" s="116"/>
      <c r="T648" s="118"/>
      <c r="U648" s="116"/>
      <c r="V648" s="116"/>
      <c r="W648" s="116"/>
      <c r="X648" s="116"/>
      <c r="Y648" s="116"/>
      <c r="Z648" s="116"/>
      <c r="AA648" s="116"/>
      <c r="AB648" s="116"/>
      <c r="AC648" s="81">
        <v>646.0</v>
      </c>
      <c r="AD648" s="119"/>
      <c r="AE648" s="119"/>
      <c r="AF648" s="119"/>
      <c r="AG648" s="119"/>
      <c r="AH648" s="119"/>
      <c r="AI648" s="119"/>
      <c r="AJ648" s="119"/>
      <c r="AK648" s="29"/>
      <c r="AL648" s="119"/>
      <c r="AM648" s="119"/>
      <c r="AN648" s="119"/>
      <c r="AO648" s="119"/>
      <c r="AP648" s="119"/>
      <c r="AQ648" s="119"/>
      <c r="AR648" s="119"/>
    </row>
    <row r="649">
      <c r="A649" s="21">
        <f>SUM(A647+1)</f>
        <v>1</v>
      </c>
      <c r="B649" s="21" t="s">
        <v>4533</v>
      </c>
      <c r="C649" s="31" t="s">
        <v>4534</v>
      </c>
      <c r="D649" s="23">
        <v>7.0</v>
      </c>
      <c r="E649" s="23">
        <v>9.0</v>
      </c>
      <c r="F649" s="23" t="s">
        <v>80</v>
      </c>
      <c r="G649" s="23" t="s">
        <v>81</v>
      </c>
      <c r="H649" s="32">
        <v>42552.0</v>
      </c>
      <c r="I649" s="21" t="s">
        <v>102</v>
      </c>
      <c r="J649" s="21" t="s">
        <v>103</v>
      </c>
      <c r="K649" s="21" t="s">
        <v>104</v>
      </c>
      <c r="L649" s="21" t="s">
        <v>105</v>
      </c>
      <c r="M649" s="33">
        <v>45017.0</v>
      </c>
      <c r="N649" s="23" t="s">
        <v>56</v>
      </c>
      <c r="O649" s="21" t="s">
        <v>4535</v>
      </c>
      <c r="P649" s="23" t="s">
        <v>107</v>
      </c>
      <c r="Q649" s="21" t="s">
        <v>4536</v>
      </c>
      <c r="R649" s="32">
        <v>46076.0</v>
      </c>
      <c r="S649" s="23" t="s">
        <v>87</v>
      </c>
      <c r="T649" s="35"/>
      <c r="U649" s="23" t="s">
        <v>88</v>
      </c>
      <c r="V649" s="21" t="s">
        <v>110</v>
      </c>
      <c r="W649" s="21" t="s">
        <v>1305</v>
      </c>
      <c r="X649" s="21" t="s">
        <v>4537</v>
      </c>
      <c r="Y649" s="21" t="s">
        <v>1306</v>
      </c>
      <c r="Z649" s="21" t="s">
        <v>65</v>
      </c>
      <c r="AA649" s="32">
        <v>54798.0</v>
      </c>
      <c r="AB649" s="35"/>
      <c r="AC649" s="23">
        <v>235.0</v>
      </c>
      <c r="AD649" s="21" t="s">
        <v>66</v>
      </c>
      <c r="AE649" s="21" t="s">
        <v>67</v>
      </c>
      <c r="AF649" s="21" t="s">
        <v>129</v>
      </c>
      <c r="AG649" s="21" t="s">
        <v>68</v>
      </c>
      <c r="AH649" s="21" t="s">
        <v>69</v>
      </c>
      <c r="AI649" s="21">
        <v>8.2273047757E10</v>
      </c>
      <c r="AJ649" s="21" t="s">
        <v>4538</v>
      </c>
      <c r="AK649" s="21" t="s">
        <v>4539</v>
      </c>
      <c r="AL649" s="21" t="s">
        <v>4540</v>
      </c>
      <c r="AM649" s="21" t="s">
        <v>96</v>
      </c>
      <c r="AN649" s="187"/>
      <c r="AO649" s="21" t="s">
        <v>4541</v>
      </c>
      <c r="AP649" s="21" t="s">
        <v>4542</v>
      </c>
      <c r="AQ649" s="37"/>
      <c r="AR649" s="37"/>
    </row>
    <row r="650">
      <c r="A650" s="21">
        <f t="shared" ref="A650:A655" si="10">SUM(A649+1)</f>
        <v>2</v>
      </c>
      <c r="B650" s="21" t="s">
        <v>4543</v>
      </c>
      <c r="C650" s="31" t="s">
        <v>4544</v>
      </c>
      <c r="D650" s="23">
        <v>12.0</v>
      </c>
      <c r="E650" s="23">
        <v>0.0</v>
      </c>
      <c r="F650" s="23" t="s">
        <v>50</v>
      </c>
      <c r="G650" s="23" t="s">
        <v>51</v>
      </c>
      <c r="H650" s="32">
        <v>41061.0</v>
      </c>
      <c r="I650" s="21" t="s">
        <v>82</v>
      </c>
      <c r="J650" s="21" t="s">
        <v>83</v>
      </c>
      <c r="K650" s="21" t="s">
        <v>383</v>
      </c>
      <c r="L650" s="21" t="s">
        <v>105</v>
      </c>
      <c r="M650" s="33">
        <v>45931.0</v>
      </c>
      <c r="N650" s="23" t="s">
        <v>56</v>
      </c>
      <c r="O650" s="21" t="s">
        <v>4545</v>
      </c>
      <c r="P650" s="23" t="s">
        <v>3549</v>
      </c>
      <c r="Q650" s="21" t="s">
        <v>4546</v>
      </c>
      <c r="R650" s="32">
        <v>45443.0</v>
      </c>
      <c r="S650" s="23" t="s">
        <v>4547</v>
      </c>
      <c r="T650" s="35"/>
      <c r="U650" s="23" t="s">
        <v>105</v>
      </c>
      <c r="V650" s="21" t="s">
        <v>159</v>
      </c>
      <c r="W650" s="21" t="s">
        <v>2096</v>
      </c>
      <c r="X650" s="21" t="s">
        <v>244</v>
      </c>
      <c r="Y650" s="21" t="s">
        <v>4548</v>
      </c>
      <c r="Z650" s="23" t="s">
        <v>65</v>
      </c>
      <c r="AA650" s="32">
        <v>53697.0</v>
      </c>
      <c r="AB650" s="35"/>
      <c r="AC650" s="23">
        <v>236.0</v>
      </c>
      <c r="AD650" s="21" t="s">
        <v>66</v>
      </c>
      <c r="AE650" s="21" t="s">
        <v>67</v>
      </c>
      <c r="AF650" s="187"/>
      <c r="AG650" s="21" t="s">
        <v>130</v>
      </c>
      <c r="AH650" s="21" t="s">
        <v>131</v>
      </c>
      <c r="AI650" s="21">
        <v>8.1376407805E10</v>
      </c>
      <c r="AJ650" s="21" t="s">
        <v>4549</v>
      </c>
      <c r="AK650" s="21" t="s">
        <v>4550</v>
      </c>
      <c r="AL650" s="21" t="s">
        <v>4551</v>
      </c>
      <c r="AM650" s="21" t="s">
        <v>96</v>
      </c>
      <c r="AN650" s="21" t="s">
        <v>135</v>
      </c>
      <c r="AO650" s="21" t="s">
        <v>213</v>
      </c>
      <c r="AP650" s="21" t="s">
        <v>214</v>
      </c>
      <c r="AQ650" s="37"/>
      <c r="AR650" s="37"/>
    </row>
    <row r="651">
      <c r="A651" s="21">
        <f t="shared" si="10"/>
        <v>3</v>
      </c>
      <c r="B651" s="39" t="s">
        <v>4552</v>
      </c>
      <c r="C651" s="62" t="s">
        <v>4553</v>
      </c>
      <c r="D651" s="39">
        <v>13.0</v>
      </c>
      <c r="E651" s="39">
        <v>1.0</v>
      </c>
      <c r="F651" s="39" t="s">
        <v>80</v>
      </c>
      <c r="G651" s="39" t="s">
        <v>81</v>
      </c>
      <c r="H651" s="63">
        <v>36586.0</v>
      </c>
      <c r="I651" s="39" t="s">
        <v>82</v>
      </c>
      <c r="J651" s="39" t="s">
        <v>83</v>
      </c>
      <c r="K651" s="39" t="s">
        <v>4554</v>
      </c>
      <c r="L651" s="39" t="s">
        <v>4555</v>
      </c>
      <c r="M651" s="63">
        <v>41365.0</v>
      </c>
      <c r="N651" s="39" t="s">
        <v>141</v>
      </c>
      <c r="O651" s="39" t="s">
        <v>196</v>
      </c>
      <c r="P651" s="64"/>
      <c r="Q651" s="39" t="s">
        <v>59</v>
      </c>
      <c r="R651" s="63">
        <v>45292.0</v>
      </c>
      <c r="S651" s="39" t="s">
        <v>143</v>
      </c>
      <c r="T651" s="64"/>
      <c r="U651" s="39" t="s">
        <v>144</v>
      </c>
      <c r="V651" s="39" t="s">
        <v>89</v>
      </c>
      <c r="W651" s="39" t="s">
        <v>4556</v>
      </c>
      <c r="X651" s="39" t="s">
        <v>231</v>
      </c>
      <c r="Y651" s="132">
        <v>35889.0</v>
      </c>
      <c r="Z651" s="39" t="s">
        <v>65</v>
      </c>
      <c r="AA651" s="63">
        <v>47484.0</v>
      </c>
      <c r="AB651" s="64"/>
      <c r="AC651" s="23">
        <v>237.0</v>
      </c>
      <c r="AD651" s="39" t="s">
        <v>66</v>
      </c>
      <c r="AE651" s="39" t="s">
        <v>220</v>
      </c>
      <c r="AF651" s="39" t="s">
        <v>92</v>
      </c>
      <c r="AG651" s="39" t="s">
        <v>68</v>
      </c>
      <c r="AH651" s="39" t="s">
        <v>69</v>
      </c>
      <c r="AI651" s="39">
        <v>8.2360920866E10</v>
      </c>
      <c r="AJ651" s="39" t="s">
        <v>4557</v>
      </c>
      <c r="AK651" s="39" t="s">
        <v>4558</v>
      </c>
      <c r="AL651" s="39" t="s">
        <v>4559</v>
      </c>
      <c r="AM651" s="39" t="s">
        <v>96</v>
      </c>
      <c r="AN651" s="39" t="s">
        <v>4459</v>
      </c>
      <c r="AO651" s="39" t="s">
        <v>2243</v>
      </c>
      <c r="AP651" s="39" t="s">
        <v>4560</v>
      </c>
      <c r="AQ651" s="64"/>
      <c r="AR651" s="64"/>
    </row>
    <row r="652">
      <c r="A652" s="21">
        <f t="shared" si="10"/>
        <v>4</v>
      </c>
      <c r="B652" s="39" t="s">
        <v>4561</v>
      </c>
      <c r="C652" s="62" t="s">
        <v>4562</v>
      </c>
      <c r="D652" s="39">
        <v>16.0</v>
      </c>
      <c r="E652" s="39">
        <v>5.0</v>
      </c>
      <c r="F652" s="39" t="s">
        <v>182</v>
      </c>
      <c r="G652" s="39" t="s">
        <v>183</v>
      </c>
      <c r="H652" s="63">
        <v>41365.0</v>
      </c>
      <c r="I652" s="39" t="s">
        <v>82</v>
      </c>
      <c r="J652" s="39" t="s">
        <v>83</v>
      </c>
      <c r="K652" s="39" t="s">
        <v>408</v>
      </c>
      <c r="L652" s="39" t="s">
        <v>156</v>
      </c>
      <c r="M652" s="63">
        <v>44287.0</v>
      </c>
      <c r="N652" s="39" t="s">
        <v>141</v>
      </c>
      <c r="O652" s="39" t="s">
        <v>229</v>
      </c>
      <c r="P652" s="64"/>
      <c r="Q652" s="39" t="s">
        <v>59</v>
      </c>
      <c r="R652" s="63">
        <v>45292.0</v>
      </c>
      <c r="S652" s="39" t="s">
        <v>143</v>
      </c>
      <c r="T652" s="64"/>
      <c r="U652" s="39" t="s">
        <v>144</v>
      </c>
      <c r="V652" s="39" t="s">
        <v>89</v>
      </c>
      <c r="W652" s="39" t="s">
        <v>4563</v>
      </c>
      <c r="X652" s="39" t="s">
        <v>509</v>
      </c>
      <c r="Y652" s="39" t="s">
        <v>4564</v>
      </c>
      <c r="Z652" s="65"/>
      <c r="AA652" s="63">
        <v>48590.0</v>
      </c>
      <c r="AB652" s="64"/>
      <c r="AC652" s="23">
        <v>238.0</v>
      </c>
      <c r="AD652" s="39" t="s">
        <v>66</v>
      </c>
      <c r="AE652" s="39" t="s">
        <v>67</v>
      </c>
      <c r="AF652" s="39" t="s">
        <v>129</v>
      </c>
      <c r="AG652" s="39" t="s">
        <v>130</v>
      </c>
      <c r="AH652" s="39" t="s">
        <v>131</v>
      </c>
      <c r="AI652" s="39">
        <v>8.1362587113E10</v>
      </c>
      <c r="AJ652" s="39" t="s">
        <v>4565</v>
      </c>
      <c r="AK652" s="39" t="s">
        <v>4566</v>
      </c>
      <c r="AL652" s="39" t="s">
        <v>4567</v>
      </c>
      <c r="AM652" s="39" t="s">
        <v>96</v>
      </c>
      <c r="AN652" s="39" t="s">
        <v>135</v>
      </c>
      <c r="AO652" s="39" t="s">
        <v>236</v>
      </c>
      <c r="AP652" s="39" t="s">
        <v>566</v>
      </c>
      <c r="AQ652" s="64"/>
      <c r="AR652" s="64"/>
    </row>
    <row r="653">
      <c r="A653" s="21">
        <f t="shared" si="10"/>
        <v>5</v>
      </c>
      <c r="B653" s="39" t="s">
        <v>4568</v>
      </c>
      <c r="C653" s="62" t="s">
        <v>4569</v>
      </c>
      <c r="D653" s="39">
        <v>16.0</v>
      </c>
      <c r="E653" s="39">
        <v>3.0</v>
      </c>
      <c r="F653" s="39" t="s">
        <v>182</v>
      </c>
      <c r="G653" s="39" t="s">
        <v>183</v>
      </c>
      <c r="H653" s="63">
        <v>39873.0</v>
      </c>
      <c r="I653" s="39" t="s">
        <v>82</v>
      </c>
      <c r="J653" s="39" t="s">
        <v>83</v>
      </c>
      <c r="K653" s="39" t="s">
        <v>408</v>
      </c>
      <c r="L653" s="39" t="s">
        <v>88</v>
      </c>
      <c r="M653" s="63">
        <v>44287.0</v>
      </c>
      <c r="N653" s="39" t="s">
        <v>141</v>
      </c>
      <c r="O653" s="39" t="s">
        <v>229</v>
      </c>
      <c r="P653" s="64"/>
      <c r="Q653" s="39" t="s">
        <v>59</v>
      </c>
      <c r="R653" s="63">
        <v>45292.0</v>
      </c>
      <c r="S653" s="39" t="s">
        <v>143</v>
      </c>
      <c r="T653" s="64"/>
      <c r="U653" s="39" t="s">
        <v>144</v>
      </c>
      <c r="V653" s="39" t="s">
        <v>89</v>
      </c>
      <c r="W653" s="39" t="s">
        <v>337</v>
      </c>
      <c r="X653" s="39" t="s">
        <v>648</v>
      </c>
      <c r="Y653" s="200">
        <v>35311.0</v>
      </c>
      <c r="Z653" s="65"/>
      <c r="AA653" s="63">
        <v>46391.0</v>
      </c>
      <c r="AB653" s="64"/>
      <c r="AC653" s="23">
        <v>239.0</v>
      </c>
      <c r="AD653" s="39" t="s">
        <v>66</v>
      </c>
      <c r="AE653" s="39" t="s">
        <v>67</v>
      </c>
      <c r="AF653" s="39" t="s">
        <v>92</v>
      </c>
      <c r="AG653" s="39" t="s">
        <v>68</v>
      </c>
      <c r="AH653" s="39" t="s">
        <v>69</v>
      </c>
      <c r="AI653" s="39">
        <v>8.1370771894E10</v>
      </c>
      <c r="AJ653" s="39" t="s">
        <v>4570</v>
      </c>
      <c r="AK653" s="39" t="s">
        <v>4571</v>
      </c>
      <c r="AL653" s="39" t="s">
        <v>4572</v>
      </c>
      <c r="AM653" s="39" t="s">
        <v>96</v>
      </c>
      <c r="AN653" s="39" t="s">
        <v>74</v>
      </c>
      <c r="AO653" s="39" t="s">
        <v>1047</v>
      </c>
      <c r="AP653" s="39" t="s">
        <v>4573</v>
      </c>
      <c r="AQ653" s="64"/>
      <c r="AR653" s="64"/>
    </row>
    <row r="654">
      <c r="A654" s="21">
        <f t="shared" si="10"/>
        <v>6</v>
      </c>
      <c r="B654" s="39" t="s">
        <v>4574</v>
      </c>
      <c r="C654" s="62" t="s">
        <v>4575</v>
      </c>
      <c r="D654" s="39">
        <v>16.0</v>
      </c>
      <c r="E654" s="39">
        <v>3.0</v>
      </c>
      <c r="F654" s="39" t="s">
        <v>80</v>
      </c>
      <c r="G654" s="39" t="s">
        <v>81</v>
      </c>
      <c r="H654" s="63">
        <v>39873.0</v>
      </c>
      <c r="I654" s="39" t="s">
        <v>82</v>
      </c>
      <c r="J654" s="39" t="s">
        <v>83</v>
      </c>
      <c r="K654" s="39" t="s">
        <v>408</v>
      </c>
      <c r="L654" s="39" t="s">
        <v>88</v>
      </c>
      <c r="M654" s="63">
        <v>44287.0</v>
      </c>
      <c r="N654" s="39" t="s">
        <v>141</v>
      </c>
      <c r="O654" s="39" t="s">
        <v>229</v>
      </c>
      <c r="P654" s="64"/>
      <c r="Q654" s="39" t="s">
        <v>59</v>
      </c>
      <c r="R654" s="63">
        <v>45292.0</v>
      </c>
      <c r="S654" s="39" t="s">
        <v>143</v>
      </c>
      <c r="T654" s="64"/>
      <c r="U654" s="39" t="s">
        <v>144</v>
      </c>
      <c r="V654" s="39" t="s">
        <v>89</v>
      </c>
      <c r="W654" s="39" t="s">
        <v>795</v>
      </c>
      <c r="X654" s="39" t="s">
        <v>198</v>
      </c>
      <c r="Y654" s="132">
        <v>35902.0</v>
      </c>
      <c r="Z654" s="39" t="s">
        <v>114</v>
      </c>
      <c r="AA654" s="63">
        <v>47852.0</v>
      </c>
      <c r="AB654" s="64"/>
      <c r="AC654" s="23">
        <v>240.0</v>
      </c>
      <c r="AD654" s="39" t="s">
        <v>66</v>
      </c>
      <c r="AE654" s="39" t="s">
        <v>67</v>
      </c>
      <c r="AF654" s="39" t="s">
        <v>92</v>
      </c>
      <c r="AG654" s="39" t="s">
        <v>68</v>
      </c>
      <c r="AH654" s="39" t="s">
        <v>131</v>
      </c>
      <c r="AI654" s="39">
        <v>8.5311084818E10</v>
      </c>
      <c r="AJ654" s="39" t="s">
        <v>4576</v>
      </c>
      <c r="AK654" s="39" t="s">
        <v>4577</v>
      </c>
      <c r="AL654" s="39" t="s">
        <v>4578</v>
      </c>
      <c r="AM654" s="39" t="s">
        <v>96</v>
      </c>
      <c r="AN654" s="39" t="s">
        <v>135</v>
      </c>
      <c r="AO654" s="39" t="s">
        <v>98</v>
      </c>
      <c r="AP654" s="39" t="s">
        <v>2220</v>
      </c>
      <c r="AQ654" s="65"/>
      <c r="AR654" s="65"/>
    </row>
    <row r="655">
      <c r="A655" s="21">
        <f t="shared" si="10"/>
        <v>7</v>
      </c>
      <c r="B655" s="39" t="s">
        <v>4579</v>
      </c>
      <c r="C655" s="62" t="s">
        <v>4580</v>
      </c>
      <c r="D655" s="39">
        <v>22.0</v>
      </c>
      <c r="E655" s="39">
        <v>8.0</v>
      </c>
      <c r="F655" s="39" t="s">
        <v>50</v>
      </c>
      <c r="G655" s="39" t="s">
        <v>51</v>
      </c>
      <c r="H655" s="63">
        <v>39845.0</v>
      </c>
      <c r="I655" s="39" t="s">
        <v>82</v>
      </c>
      <c r="J655" s="39" t="s">
        <v>83</v>
      </c>
      <c r="K655" s="39" t="s">
        <v>417</v>
      </c>
      <c r="L655" s="39" t="s">
        <v>105</v>
      </c>
      <c r="M655" s="63">
        <v>45566.0</v>
      </c>
      <c r="N655" s="39" t="s">
        <v>141</v>
      </c>
      <c r="O655" s="39" t="s">
        <v>173</v>
      </c>
      <c r="P655" s="64"/>
      <c r="Q655" s="39" t="s">
        <v>59</v>
      </c>
      <c r="R655" s="63">
        <v>45627.0</v>
      </c>
      <c r="S655" s="39" t="s">
        <v>2829</v>
      </c>
      <c r="T655" s="64"/>
      <c r="U655" s="39" t="s">
        <v>144</v>
      </c>
      <c r="V655" s="39" t="s">
        <v>159</v>
      </c>
      <c r="W655" s="39" t="s">
        <v>259</v>
      </c>
      <c r="X655" s="39" t="s">
        <v>745</v>
      </c>
      <c r="Y655" s="39" t="s">
        <v>4581</v>
      </c>
      <c r="Z655" s="39" t="s">
        <v>114</v>
      </c>
      <c r="AA655" s="63">
        <v>47853.0</v>
      </c>
      <c r="AB655" s="64"/>
      <c r="AC655" s="23">
        <v>241.0</v>
      </c>
      <c r="AD655" s="39" t="s">
        <v>66</v>
      </c>
      <c r="AE655" s="39" t="s">
        <v>67</v>
      </c>
      <c r="AF655" s="39" t="s">
        <v>92</v>
      </c>
      <c r="AG655" s="39" t="s">
        <v>68</v>
      </c>
      <c r="AH655" s="39" t="s">
        <v>69</v>
      </c>
      <c r="AI655" s="39">
        <v>8.126471888E9</v>
      </c>
      <c r="AJ655" s="39" t="s">
        <v>4582</v>
      </c>
      <c r="AK655" s="39" t="s">
        <v>4583</v>
      </c>
      <c r="AL655" s="39" t="s">
        <v>4584</v>
      </c>
      <c r="AM655" s="39" t="s">
        <v>73</v>
      </c>
      <c r="AN655" s="39" t="s">
        <v>74</v>
      </c>
      <c r="AO655" s="39" t="s">
        <v>454</v>
      </c>
      <c r="AP655" s="39" t="s">
        <v>1567</v>
      </c>
      <c r="AQ655" s="64"/>
      <c r="AR655" s="64"/>
    </row>
    <row r="656">
      <c r="A656" s="201">
        <v>8.0</v>
      </c>
      <c r="B656" s="72" t="s">
        <v>4585</v>
      </c>
      <c r="C656" s="73" t="s">
        <v>4586</v>
      </c>
      <c r="D656" s="74"/>
      <c r="E656" s="74"/>
      <c r="F656" s="74"/>
      <c r="G656" s="75" t="s">
        <v>550</v>
      </c>
      <c r="H656" s="74"/>
      <c r="I656" s="77"/>
      <c r="J656" s="74"/>
      <c r="K656" s="74"/>
      <c r="L656" s="77"/>
      <c r="M656" s="74"/>
      <c r="N656" s="74"/>
      <c r="O656" s="183" t="s">
        <v>519</v>
      </c>
      <c r="P656" s="74"/>
      <c r="Q656" s="183" t="s">
        <v>4536</v>
      </c>
      <c r="R656" s="74"/>
      <c r="S656" s="77"/>
      <c r="T656" s="74"/>
      <c r="U656" s="77"/>
      <c r="V656" s="183" t="s">
        <v>267</v>
      </c>
      <c r="W656" s="183" t="s">
        <v>591</v>
      </c>
      <c r="X656" s="183" t="s">
        <v>268</v>
      </c>
      <c r="Y656" s="202">
        <v>44104.0</v>
      </c>
      <c r="Z656" s="77"/>
      <c r="AA656" s="77"/>
      <c r="AB656" s="77"/>
      <c r="AC656" s="81">
        <v>654.0</v>
      </c>
      <c r="AD656" s="72" t="s">
        <v>522</v>
      </c>
      <c r="AE656" s="183" t="s">
        <v>67</v>
      </c>
      <c r="AF656" s="183" t="s">
        <v>92</v>
      </c>
      <c r="AG656" s="183" t="s">
        <v>130</v>
      </c>
      <c r="AH656" s="183" t="s">
        <v>131</v>
      </c>
      <c r="AI656" s="186">
        <v>8.1368515165E10</v>
      </c>
      <c r="AJ656" s="183" t="s">
        <v>4587</v>
      </c>
      <c r="AK656" s="85" t="s">
        <v>4588</v>
      </c>
      <c r="AL656" s="183" t="s">
        <v>4589</v>
      </c>
      <c r="AM656" s="183" t="s">
        <v>96</v>
      </c>
      <c r="AN656" s="183" t="s">
        <v>97</v>
      </c>
      <c r="AO656" s="183" t="s">
        <v>98</v>
      </c>
      <c r="AP656" s="183" t="s">
        <v>1376</v>
      </c>
      <c r="AQ656" s="77"/>
      <c r="AR656" s="77"/>
    </row>
    <row r="657">
      <c r="A657" s="201">
        <v>9.0</v>
      </c>
      <c r="B657" s="72" t="s">
        <v>4590</v>
      </c>
      <c r="C657" s="73" t="s">
        <v>4591</v>
      </c>
      <c r="D657" s="74"/>
      <c r="E657" s="74"/>
      <c r="F657" s="74"/>
      <c r="G657" s="75" t="s">
        <v>531</v>
      </c>
      <c r="H657" s="76">
        <v>45901.0</v>
      </c>
      <c r="I657" s="77"/>
      <c r="J657" s="74"/>
      <c r="K657" s="75" t="s">
        <v>518</v>
      </c>
      <c r="L657" s="72" t="s">
        <v>105</v>
      </c>
      <c r="M657" s="74"/>
      <c r="N657" s="74"/>
      <c r="O657" s="72" t="s">
        <v>532</v>
      </c>
      <c r="P657" s="74"/>
      <c r="Q657" s="72" t="s">
        <v>4536</v>
      </c>
      <c r="R657" s="76">
        <v>45901.0</v>
      </c>
      <c r="S657" s="72" t="s">
        <v>518</v>
      </c>
      <c r="T657" s="78">
        <v>45826.0</v>
      </c>
      <c r="U657" s="72" t="s">
        <v>144</v>
      </c>
      <c r="V657" s="72" t="s">
        <v>285</v>
      </c>
      <c r="W657" s="72" t="s">
        <v>541</v>
      </c>
      <c r="X657" s="72" t="s">
        <v>4592</v>
      </c>
      <c r="Y657" s="84">
        <v>39613.0</v>
      </c>
      <c r="Z657" s="77"/>
      <c r="AA657" s="77"/>
      <c r="AB657" s="77"/>
      <c r="AC657" s="81">
        <v>655.0</v>
      </c>
      <c r="AD657" s="72" t="s">
        <v>522</v>
      </c>
      <c r="AE657" s="72" t="s">
        <v>67</v>
      </c>
      <c r="AF657" s="72" t="s">
        <v>92</v>
      </c>
      <c r="AG657" s="72" t="s">
        <v>130</v>
      </c>
      <c r="AH657" s="77"/>
      <c r="AI657" s="72">
        <v>8.11950385E8</v>
      </c>
      <c r="AJ657" s="82" t="s">
        <v>4593</v>
      </c>
      <c r="AK657" s="85" t="s">
        <v>4594</v>
      </c>
      <c r="AL657" s="72" t="s">
        <v>4301</v>
      </c>
      <c r="AM657" s="82" t="s">
        <v>96</v>
      </c>
      <c r="AN657" s="82" t="s">
        <v>97</v>
      </c>
      <c r="AO657" s="82" t="s">
        <v>236</v>
      </c>
      <c r="AP657" s="82" t="s">
        <v>1898</v>
      </c>
      <c r="AQ657" s="77"/>
      <c r="AR657" s="77"/>
    </row>
    <row r="658" ht="15.75" customHeight="1">
      <c r="A658" s="203">
        <v>10.0</v>
      </c>
      <c r="B658" s="204" t="s">
        <v>4595</v>
      </c>
      <c r="C658" s="205" t="s">
        <v>4596</v>
      </c>
      <c r="D658" s="206"/>
      <c r="E658" s="206"/>
      <c r="F658" s="206"/>
      <c r="G658" s="206"/>
      <c r="H658" s="206"/>
      <c r="I658" s="206"/>
      <c r="J658" s="206"/>
      <c r="K658" s="206"/>
      <c r="L658" s="206"/>
      <c r="M658" s="206"/>
      <c r="N658" s="206"/>
      <c r="O658" s="207" t="s">
        <v>142</v>
      </c>
      <c r="P658" s="206"/>
      <c r="Q658" s="207" t="s">
        <v>4536</v>
      </c>
      <c r="R658" s="206"/>
      <c r="S658" s="206"/>
      <c r="T658" s="206"/>
      <c r="U658" s="206"/>
      <c r="V658" s="204" t="s">
        <v>89</v>
      </c>
      <c r="W658" s="207"/>
      <c r="X658" s="207"/>
      <c r="Y658" s="208"/>
      <c r="Z658" s="206"/>
      <c r="AA658" s="206"/>
      <c r="AB658" s="206"/>
      <c r="AC658" s="81">
        <v>656.0</v>
      </c>
      <c r="AD658" s="209"/>
      <c r="AE658" s="207" t="s">
        <v>67</v>
      </c>
      <c r="AF658" s="209"/>
      <c r="AG658" s="207" t="s">
        <v>68</v>
      </c>
      <c r="AH658" s="207"/>
      <c r="AI658" s="204">
        <v>8.2160706588E10</v>
      </c>
      <c r="AJ658" s="204" t="s">
        <v>4597</v>
      </c>
      <c r="AK658" s="207"/>
      <c r="AL658" s="207"/>
      <c r="AM658" s="207"/>
      <c r="AN658" s="207"/>
      <c r="AO658" s="207"/>
      <c r="AP658" s="207"/>
      <c r="AQ658" s="207"/>
      <c r="AR658" s="207"/>
    </row>
    <row r="659">
      <c r="A659" s="203">
        <v>11.0</v>
      </c>
      <c r="B659" s="87" t="s">
        <v>4598</v>
      </c>
      <c r="C659" s="88" t="s">
        <v>4599</v>
      </c>
      <c r="D659" s="161"/>
      <c r="E659" s="161"/>
      <c r="F659" s="161"/>
      <c r="G659" s="161"/>
      <c r="H659" s="161"/>
      <c r="I659" s="162"/>
      <c r="J659" s="161"/>
      <c r="K659" s="161"/>
      <c r="L659" s="162"/>
      <c r="M659" s="161"/>
      <c r="N659" s="161"/>
      <c r="O659" s="87" t="s">
        <v>142</v>
      </c>
      <c r="P659" s="161"/>
      <c r="Q659" s="87" t="s">
        <v>4536</v>
      </c>
      <c r="R659" s="161"/>
      <c r="S659" s="162"/>
      <c r="T659" s="161"/>
      <c r="U659" s="162"/>
      <c r="V659" s="87" t="s">
        <v>110</v>
      </c>
      <c r="W659" s="87" t="s">
        <v>1193</v>
      </c>
      <c r="X659" s="87" t="s">
        <v>4600</v>
      </c>
      <c r="Y659" s="99">
        <v>44138.0</v>
      </c>
      <c r="Z659" s="162"/>
      <c r="AA659" s="162"/>
      <c r="AB659" s="162"/>
      <c r="AC659" s="81">
        <v>657.0</v>
      </c>
      <c r="AD659" s="163"/>
      <c r="AE659" s="87" t="s">
        <v>67</v>
      </c>
      <c r="AF659" s="163"/>
      <c r="AG659" s="87" t="s">
        <v>68</v>
      </c>
      <c r="AH659" s="87"/>
      <c r="AI659" s="87">
        <v>8.5269239792E10</v>
      </c>
      <c r="AJ659" s="87" t="s">
        <v>4601</v>
      </c>
      <c r="AK659" s="97" t="s">
        <v>4602</v>
      </c>
      <c r="AL659" s="87" t="s">
        <v>4603</v>
      </c>
      <c r="AM659" s="87" t="s">
        <v>73</v>
      </c>
      <c r="AN659" s="87" t="s">
        <v>74</v>
      </c>
      <c r="AO659" s="87" t="s">
        <v>925</v>
      </c>
      <c r="AP659" s="87" t="s">
        <v>4604</v>
      </c>
      <c r="AQ659" s="87" t="s">
        <v>77</v>
      </c>
      <c r="AR659" s="87" t="s">
        <v>77</v>
      </c>
    </row>
    <row r="660">
      <c r="A660" s="203">
        <v>12.0</v>
      </c>
      <c r="B660" s="87" t="s">
        <v>4605</v>
      </c>
      <c r="C660" s="88" t="s">
        <v>4606</v>
      </c>
      <c r="D660" s="161"/>
      <c r="E660" s="161"/>
      <c r="F660" s="161"/>
      <c r="G660" s="161"/>
      <c r="H660" s="161"/>
      <c r="I660" s="162"/>
      <c r="J660" s="161"/>
      <c r="K660" s="89"/>
      <c r="L660" s="90"/>
      <c r="M660" s="161"/>
      <c r="N660" s="161"/>
      <c r="O660" s="87" t="s">
        <v>142</v>
      </c>
      <c r="P660" s="161"/>
      <c r="Q660" s="87" t="s">
        <v>4536</v>
      </c>
      <c r="R660" s="91"/>
      <c r="S660" s="90"/>
      <c r="T660" s="93"/>
      <c r="U660" s="90"/>
      <c r="V660" s="87" t="s">
        <v>89</v>
      </c>
      <c r="W660" s="87" t="s">
        <v>218</v>
      </c>
      <c r="X660" s="87" t="s">
        <v>641</v>
      </c>
      <c r="Y660" s="99">
        <v>44169.0</v>
      </c>
      <c r="Z660" s="162"/>
      <c r="AA660" s="162"/>
      <c r="AB660" s="162"/>
      <c r="AC660" s="81">
        <v>658.0</v>
      </c>
      <c r="AD660" s="90"/>
      <c r="AE660" s="87" t="s">
        <v>67</v>
      </c>
      <c r="AF660" s="90"/>
      <c r="AG660" s="87" t="s">
        <v>68</v>
      </c>
      <c r="AH660" s="87"/>
      <c r="AI660" s="87">
        <v>8.2267327242E10</v>
      </c>
      <c r="AJ660" s="87" t="s">
        <v>4607</v>
      </c>
      <c r="AK660" s="97" t="s">
        <v>4608</v>
      </c>
      <c r="AL660" s="87" t="s">
        <v>4609</v>
      </c>
      <c r="AM660" s="87" t="s">
        <v>96</v>
      </c>
      <c r="AN660" s="87" t="s">
        <v>97</v>
      </c>
      <c r="AO660" s="87" t="s">
        <v>98</v>
      </c>
      <c r="AP660" s="87" t="s">
        <v>4371</v>
      </c>
      <c r="AQ660" s="87">
        <v>7.0</v>
      </c>
      <c r="AR660" s="87">
        <v>7.0</v>
      </c>
    </row>
    <row r="661">
      <c r="A661" s="203">
        <v>13.0</v>
      </c>
      <c r="B661" s="87" t="s">
        <v>4610</v>
      </c>
      <c r="C661" s="88" t="s">
        <v>4611</v>
      </c>
      <c r="D661" s="161"/>
      <c r="E661" s="161"/>
      <c r="F661" s="161"/>
      <c r="G661" s="161"/>
      <c r="H661" s="161"/>
      <c r="I661" s="162"/>
      <c r="J661" s="161"/>
      <c r="K661" s="89"/>
      <c r="L661" s="90"/>
      <c r="M661" s="91"/>
      <c r="N661" s="161"/>
      <c r="O661" s="87" t="s">
        <v>142</v>
      </c>
      <c r="P661" s="161"/>
      <c r="Q661" s="87" t="s">
        <v>4536</v>
      </c>
      <c r="R661" s="91"/>
      <c r="S661" s="90"/>
      <c r="T661" s="93"/>
      <c r="U661" s="90"/>
      <c r="V661" s="87" t="s">
        <v>89</v>
      </c>
      <c r="W661" s="87" t="s">
        <v>374</v>
      </c>
      <c r="X661" s="87" t="s">
        <v>1231</v>
      </c>
      <c r="Y661" s="94">
        <v>37307.0</v>
      </c>
      <c r="Z661" s="162"/>
      <c r="AA661" s="163"/>
      <c r="AB661" s="163"/>
      <c r="AC661" s="81">
        <v>659.0</v>
      </c>
      <c r="AD661" s="90"/>
      <c r="AE661" s="87" t="s">
        <v>67</v>
      </c>
      <c r="AF661" s="90"/>
      <c r="AG661" s="87" t="s">
        <v>68</v>
      </c>
      <c r="AH661" s="87"/>
      <c r="AI661" s="87">
        <v>8.1397808458E10</v>
      </c>
      <c r="AJ661" s="87" t="s">
        <v>4612</v>
      </c>
      <c r="AK661" s="97" t="s">
        <v>4613</v>
      </c>
      <c r="AL661" s="87" t="s">
        <v>4614</v>
      </c>
      <c r="AM661" s="87" t="s">
        <v>73</v>
      </c>
      <c r="AN661" s="87" t="s">
        <v>481</v>
      </c>
      <c r="AO661" s="87" t="s">
        <v>860</v>
      </c>
      <c r="AP661" s="87" t="s">
        <v>4615</v>
      </c>
      <c r="AQ661" s="87" t="s">
        <v>77</v>
      </c>
      <c r="AR661" s="87" t="s">
        <v>77</v>
      </c>
    </row>
    <row r="662">
      <c r="A662" s="203">
        <v>14.0</v>
      </c>
      <c r="B662" s="87" t="s">
        <v>4616</v>
      </c>
      <c r="C662" s="88" t="s">
        <v>4617</v>
      </c>
      <c r="D662" s="161"/>
      <c r="E662" s="161"/>
      <c r="F662" s="161"/>
      <c r="G662" s="161"/>
      <c r="H662" s="161"/>
      <c r="I662" s="162"/>
      <c r="J662" s="161"/>
      <c r="K662" s="161"/>
      <c r="L662" s="162"/>
      <c r="M662" s="161"/>
      <c r="N662" s="161"/>
      <c r="O662" s="87" t="s">
        <v>142</v>
      </c>
      <c r="P662" s="161"/>
      <c r="Q662" s="87" t="s">
        <v>4536</v>
      </c>
      <c r="R662" s="161"/>
      <c r="S662" s="173"/>
      <c r="T662" s="161"/>
      <c r="U662" s="173"/>
      <c r="V662" s="87" t="s">
        <v>89</v>
      </c>
      <c r="W662" s="87" t="s">
        <v>90</v>
      </c>
      <c r="X662" s="87" t="s">
        <v>2024</v>
      </c>
      <c r="Y662" s="94">
        <v>39072.0</v>
      </c>
      <c r="Z662" s="162"/>
      <c r="AA662" s="162"/>
      <c r="AB662" s="173"/>
      <c r="AC662" s="81">
        <v>660.0</v>
      </c>
      <c r="AD662" s="173"/>
      <c r="AE662" s="87" t="s">
        <v>67</v>
      </c>
      <c r="AF662" s="173"/>
      <c r="AG662" s="87" t="s">
        <v>130</v>
      </c>
      <c r="AH662" s="87"/>
      <c r="AI662" s="87">
        <v>8.2289302922E10</v>
      </c>
      <c r="AJ662" s="87" t="s">
        <v>4618</v>
      </c>
      <c r="AK662" s="97" t="s">
        <v>4619</v>
      </c>
      <c r="AL662" s="87" t="s">
        <v>4620</v>
      </c>
      <c r="AM662" s="87" t="s">
        <v>732</v>
      </c>
      <c r="AN662" s="87" t="s">
        <v>97</v>
      </c>
      <c r="AO662" s="87" t="s">
        <v>425</v>
      </c>
      <c r="AP662" s="87" t="s">
        <v>4621</v>
      </c>
      <c r="AQ662" s="87">
        <v>0.0</v>
      </c>
      <c r="AR662" s="87">
        <v>0.0</v>
      </c>
    </row>
    <row r="663">
      <c r="A663" s="203">
        <v>15.0</v>
      </c>
      <c r="B663" s="87" t="s">
        <v>4622</v>
      </c>
      <c r="C663" s="88" t="s">
        <v>4623</v>
      </c>
      <c r="D663" s="161"/>
      <c r="E663" s="161"/>
      <c r="F663" s="161"/>
      <c r="G663" s="161"/>
      <c r="H663" s="161"/>
      <c r="I663" s="162"/>
      <c r="J663" s="161"/>
      <c r="K663" s="161"/>
      <c r="L663" s="162"/>
      <c r="M663" s="161"/>
      <c r="N663" s="161"/>
      <c r="O663" s="87" t="s">
        <v>142</v>
      </c>
      <c r="P663" s="161"/>
      <c r="Q663" s="87" t="s">
        <v>4536</v>
      </c>
      <c r="R663" s="161"/>
      <c r="S663" s="173"/>
      <c r="T663" s="161"/>
      <c r="U663" s="173"/>
      <c r="V663" s="87" t="s">
        <v>89</v>
      </c>
      <c r="W663" s="87" t="s">
        <v>4624</v>
      </c>
      <c r="X663" s="87" t="s">
        <v>4625</v>
      </c>
      <c r="Y663" s="99">
        <v>40126.0</v>
      </c>
      <c r="Z663" s="162"/>
      <c r="AA663" s="162"/>
      <c r="AB663" s="173"/>
      <c r="AC663" s="81">
        <v>661.0</v>
      </c>
      <c r="AD663" s="173"/>
      <c r="AE663" s="87" t="s">
        <v>67</v>
      </c>
      <c r="AF663" s="173"/>
      <c r="AG663" s="87" t="s">
        <v>68</v>
      </c>
      <c r="AH663" s="87"/>
      <c r="AI663" s="87">
        <v>8.1224951106E10</v>
      </c>
      <c r="AJ663" s="87" t="s">
        <v>4626</v>
      </c>
      <c r="AK663" s="97" t="s">
        <v>4627</v>
      </c>
      <c r="AL663" s="87" t="s">
        <v>4628</v>
      </c>
      <c r="AM663" s="87" t="s">
        <v>96</v>
      </c>
      <c r="AN663" s="87" t="s">
        <v>135</v>
      </c>
      <c r="AO663" s="87" t="s">
        <v>292</v>
      </c>
      <c r="AP663" s="87" t="s">
        <v>683</v>
      </c>
      <c r="AQ663" s="87">
        <v>0.0</v>
      </c>
      <c r="AR663" s="87">
        <v>0.0</v>
      </c>
    </row>
    <row r="664">
      <c r="A664" s="203">
        <v>16.0</v>
      </c>
      <c r="B664" s="87" t="s">
        <v>4629</v>
      </c>
      <c r="C664" s="88" t="s">
        <v>4630</v>
      </c>
      <c r="D664" s="161"/>
      <c r="E664" s="161"/>
      <c r="F664" s="161"/>
      <c r="G664" s="161"/>
      <c r="H664" s="161"/>
      <c r="I664" s="162"/>
      <c r="J664" s="161"/>
      <c r="K664" s="161"/>
      <c r="L664" s="162"/>
      <c r="M664" s="161"/>
      <c r="N664" s="161"/>
      <c r="O664" s="87" t="s">
        <v>142</v>
      </c>
      <c r="P664" s="161"/>
      <c r="Q664" s="87" t="s">
        <v>4536</v>
      </c>
      <c r="R664" s="161"/>
      <c r="S664" s="173"/>
      <c r="T664" s="161"/>
      <c r="U664" s="173"/>
      <c r="V664" s="87" t="s">
        <v>89</v>
      </c>
      <c r="W664" s="87" t="s">
        <v>90</v>
      </c>
      <c r="X664" s="87" t="s">
        <v>2482</v>
      </c>
      <c r="Y664" s="94">
        <v>41807.0</v>
      </c>
      <c r="Z664" s="162"/>
      <c r="AA664" s="162"/>
      <c r="AB664" s="173"/>
      <c r="AC664" s="81">
        <v>662.0</v>
      </c>
      <c r="AD664" s="173"/>
      <c r="AE664" s="87" t="s">
        <v>220</v>
      </c>
      <c r="AF664" s="173"/>
      <c r="AG664" s="87" t="s">
        <v>130</v>
      </c>
      <c r="AH664" s="87"/>
      <c r="AI664" s="87">
        <v>8.2168095115E10</v>
      </c>
      <c r="AJ664" s="87" t="s">
        <v>4631</v>
      </c>
      <c r="AK664" s="97" t="s">
        <v>4632</v>
      </c>
      <c r="AL664" s="87" t="s">
        <v>4633</v>
      </c>
      <c r="AM664" s="87" t="s">
        <v>73</v>
      </c>
      <c r="AN664" s="87" t="s">
        <v>74</v>
      </c>
      <c r="AO664" s="87" t="s">
        <v>932</v>
      </c>
      <c r="AP664" s="87" t="s">
        <v>4634</v>
      </c>
      <c r="AQ664" s="87">
        <v>0.0</v>
      </c>
      <c r="AR664" s="87">
        <v>0.0</v>
      </c>
    </row>
    <row r="665">
      <c r="A665" s="203">
        <v>17.0</v>
      </c>
      <c r="B665" s="87" t="s">
        <v>4635</v>
      </c>
      <c r="C665" s="88" t="s">
        <v>4636</v>
      </c>
      <c r="D665" s="161"/>
      <c r="E665" s="161"/>
      <c r="F665" s="161"/>
      <c r="G665" s="161"/>
      <c r="H665" s="161"/>
      <c r="I665" s="162"/>
      <c r="J665" s="161"/>
      <c r="K665" s="161"/>
      <c r="L665" s="162"/>
      <c r="M665" s="161"/>
      <c r="N665" s="161"/>
      <c r="O665" s="87" t="s">
        <v>532</v>
      </c>
      <c r="P665" s="161"/>
      <c r="Q665" s="87" t="s">
        <v>4536</v>
      </c>
      <c r="R665" s="161"/>
      <c r="S665" s="173"/>
      <c r="T665" s="161"/>
      <c r="U665" s="173"/>
      <c r="V665" s="87" t="s">
        <v>285</v>
      </c>
      <c r="W665" s="87" t="s">
        <v>1035</v>
      </c>
      <c r="X665" s="87" t="s">
        <v>4637</v>
      </c>
      <c r="Y665" s="94">
        <v>39249.0</v>
      </c>
      <c r="Z665" s="162"/>
      <c r="AA665" s="162"/>
      <c r="AB665" s="173"/>
      <c r="AC665" s="81">
        <v>663.0</v>
      </c>
      <c r="AD665" s="173"/>
      <c r="AE665" s="87" t="s">
        <v>67</v>
      </c>
      <c r="AF665" s="173"/>
      <c r="AG665" s="87" t="s">
        <v>130</v>
      </c>
      <c r="AH665" s="87"/>
      <c r="AI665" s="87">
        <v>8.5361112232E10</v>
      </c>
      <c r="AJ665" s="87" t="s">
        <v>4638</v>
      </c>
      <c r="AK665" s="97" t="s">
        <v>4639</v>
      </c>
      <c r="AL665" s="87" t="s">
        <v>4640</v>
      </c>
      <c r="AM665" s="87" t="s">
        <v>73</v>
      </c>
      <c r="AN665" s="87" t="s">
        <v>74</v>
      </c>
      <c r="AO665" s="87" t="s">
        <v>932</v>
      </c>
      <c r="AP665" s="87" t="s">
        <v>4634</v>
      </c>
      <c r="AQ665" s="87">
        <v>0.0</v>
      </c>
      <c r="AR665" s="87">
        <v>0.0</v>
      </c>
    </row>
    <row r="666">
      <c r="A666" s="203">
        <v>18.0</v>
      </c>
      <c r="B666" s="87" t="s">
        <v>4641</v>
      </c>
      <c r="C666" s="88" t="s">
        <v>4642</v>
      </c>
      <c r="D666" s="161"/>
      <c r="E666" s="161"/>
      <c r="F666" s="161"/>
      <c r="G666" s="161"/>
      <c r="H666" s="161"/>
      <c r="I666" s="162"/>
      <c r="J666" s="161"/>
      <c r="K666" s="161"/>
      <c r="L666" s="162"/>
      <c r="M666" s="161"/>
      <c r="N666" s="161"/>
      <c r="O666" s="87" t="s">
        <v>142</v>
      </c>
      <c r="P666" s="161"/>
      <c r="Q666" s="87" t="s">
        <v>4536</v>
      </c>
      <c r="R666" s="161"/>
      <c r="S666" s="173"/>
      <c r="T666" s="161"/>
      <c r="U666" s="173"/>
      <c r="V666" s="87" t="s">
        <v>89</v>
      </c>
      <c r="W666" s="87" t="s">
        <v>90</v>
      </c>
      <c r="X666" s="87" t="s">
        <v>1819</v>
      </c>
      <c r="Y666" s="99">
        <v>41617.0</v>
      </c>
      <c r="Z666" s="162"/>
      <c r="AA666" s="162"/>
      <c r="AB666" s="173"/>
      <c r="AC666" s="81">
        <v>664.0</v>
      </c>
      <c r="AD666" s="173"/>
      <c r="AE666" s="87" t="s">
        <v>67</v>
      </c>
      <c r="AF666" s="173"/>
      <c r="AG666" s="87" t="s">
        <v>130</v>
      </c>
      <c r="AH666" s="87"/>
      <c r="AI666" s="87">
        <v>8.1269138567E10</v>
      </c>
      <c r="AJ666" s="87" t="s">
        <v>4643</v>
      </c>
      <c r="AK666" s="97" t="s">
        <v>4644</v>
      </c>
      <c r="AL666" s="87" t="s">
        <v>4645</v>
      </c>
      <c r="AM666" s="87" t="s">
        <v>73</v>
      </c>
      <c r="AN666" s="87" t="s">
        <v>74</v>
      </c>
      <c r="AO666" s="87" t="s">
        <v>989</v>
      </c>
      <c r="AP666" s="87" t="s">
        <v>1585</v>
      </c>
      <c r="AQ666" s="87"/>
      <c r="AR666" s="87"/>
    </row>
    <row r="667">
      <c r="A667" s="203">
        <v>19.0</v>
      </c>
      <c r="B667" s="87" t="s">
        <v>4646</v>
      </c>
      <c r="C667" s="88" t="s">
        <v>4647</v>
      </c>
      <c r="D667" s="161"/>
      <c r="E667" s="161"/>
      <c r="F667" s="161"/>
      <c r="G667" s="161"/>
      <c r="H667" s="161"/>
      <c r="I667" s="162"/>
      <c r="J667" s="161"/>
      <c r="K667" s="161"/>
      <c r="L667" s="162"/>
      <c r="M667" s="161"/>
      <c r="N667" s="161"/>
      <c r="O667" s="87" t="s">
        <v>142</v>
      </c>
      <c r="P667" s="161"/>
      <c r="Q667" s="87" t="s">
        <v>4536</v>
      </c>
      <c r="R667" s="161"/>
      <c r="S667" s="173"/>
      <c r="T667" s="161"/>
      <c r="U667" s="173"/>
      <c r="V667" s="87" t="s">
        <v>89</v>
      </c>
      <c r="W667" s="87" t="s">
        <v>207</v>
      </c>
      <c r="X667" s="87" t="s">
        <v>509</v>
      </c>
      <c r="Y667" s="99">
        <v>41548.0</v>
      </c>
      <c r="Z667" s="162"/>
      <c r="AA667" s="162"/>
      <c r="AB667" s="173"/>
      <c r="AC667" s="81">
        <v>665.0</v>
      </c>
      <c r="AD667" s="173"/>
      <c r="AE667" s="87" t="s">
        <v>67</v>
      </c>
      <c r="AF667" s="173"/>
      <c r="AG667" s="87" t="s">
        <v>130</v>
      </c>
      <c r="AH667" s="87"/>
      <c r="AI667" s="87">
        <v>8.116151611E9</v>
      </c>
      <c r="AJ667" s="87" t="s">
        <v>4648</v>
      </c>
      <c r="AK667" s="97" t="s">
        <v>4649</v>
      </c>
      <c r="AL667" s="87" t="s">
        <v>4650</v>
      </c>
      <c r="AM667" s="87" t="s">
        <v>96</v>
      </c>
      <c r="AN667" s="87" t="s">
        <v>97</v>
      </c>
      <c r="AO667" s="87" t="s">
        <v>98</v>
      </c>
      <c r="AP667" s="87" t="s">
        <v>4651</v>
      </c>
      <c r="AQ667" s="87"/>
      <c r="AR667" s="87"/>
    </row>
    <row r="668">
      <c r="A668" s="203">
        <v>20.0</v>
      </c>
      <c r="B668" s="87" t="s">
        <v>4652</v>
      </c>
      <c r="C668" s="88" t="s">
        <v>4653</v>
      </c>
      <c r="D668" s="161"/>
      <c r="E668" s="161"/>
      <c r="F668" s="161"/>
      <c r="G668" s="161"/>
      <c r="H668" s="161"/>
      <c r="I668" s="162"/>
      <c r="J668" s="161"/>
      <c r="K668" s="161"/>
      <c r="L668" s="162"/>
      <c r="M668" s="161"/>
      <c r="N668" s="161"/>
      <c r="O668" s="87" t="s">
        <v>142</v>
      </c>
      <c r="P668" s="161"/>
      <c r="Q668" s="87" t="s">
        <v>4536</v>
      </c>
      <c r="R668" s="161"/>
      <c r="S668" s="173"/>
      <c r="T668" s="161"/>
      <c r="U668" s="173"/>
      <c r="V668" s="87" t="s">
        <v>89</v>
      </c>
      <c r="W668" s="87" t="s">
        <v>2132</v>
      </c>
      <c r="X668" s="87" t="s">
        <v>244</v>
      </c>
      <c r="Y668" s="94">
        <v>42580.0</v>
      </c>
      <c r="Z668" s="162"/>
      <c r="AA668" s="162"/>
      <c r="AB668" s="173"/>
      <c r="AC668" s="81">
        <v>666.0</v>
      </c>
      <c r="AD668" s="173"/>
      <c r="AE668" s="87" t="s">
        <v>67</v>
      </c>
      <c r="AF668" s="173"/>
      <c r="AG668" s="87" t="s">
        <v>68</v>
      </c>
      <c r="AH668" s="87"/>
      <c r="AI668" s="87" t="s">
        <v>4654</v>
      </c>
      <c r="AJ668" s="87" t="s">
        <v>4655</v>
      </c>
      <c r="AK668" s="97" t="s">
        <v>4656</v>
      </c>
      <c r="AL668" s="87" t="s">
        <v>4657</v>
      </c>
      <c r="AM668" s="87" t="s">
        <v>73</v>
      </c>
      <c r="AN668" s="87" t="s">
        <v>481</v>
      </c>
      <c r="AO668" s="87" t="s">
        <v>178</v>
      </c>
      <c r="AP668" s="87" t="s">
        <v>179</v>
      </c>
      <c r="AQ668" s="87"/>
      <c r="AR668" s="87"/>
    </row>
    <row r="669">
      <c r="A669" s="203">
        <v>21.0</v>
      </c>
      <c r="B669" s="87" t="s">
        <v>4658</v>
      </c>
      <c r="C669" s="88" t="s">
        <v>4659</v>
      </c>
      <c r="D669" s="161"/>
      <c r="E669" s="161"/>
      <c r="F669" s="161"/>
      <c r="G669" s="161"/>
      <c r="H669" s="161"/>
      <c r="I669" s="162"/>
      <c r="J669" s="161"/>
      <c r="K669" s="161"/>
      <c r="L669" s="162"/>
      <c r="M669" s="161"/>
      <c r="N669" s="161"/>
      <c r="O669" s="87" t="s">
        <v>142</v>
      </c>
      <c r="P669" s="161"/>
      <c r="Q669" s="87" t="s">
        <v>4536</v>
      </c>
      <c r="R669" s="161"/>
      <c r="S669" s="173"/>
      <c r="T669" s="161"/>
      <c r="U669" s="173"/>
      <c r="V669" s="87" t="s">
        <v>89</v>
      </c>
      <c r="W669" s="87" t="s">
        <v>1193</v>
      </c>
      <c r="X669" s="87" t="s">
        <v>3642</v>
      </c>
      <c r="Y669" s="99">
        <v>41428.0</v>
      </c>
      <c r="Z669" s="162"/>
      <c r="AA669" s="162"/>
      <c r="AB669" s="173"/>
      <c r="AC669" s="81">
        <v>667.0</v>
      </c>
      <c r="AD669" s="173"/>
      <c r="AE669" s="87" t="s">
        <v>67</v>
      </c>
      <c r="AF669" s="173"/>
      <c r="AG669" s="87" t="s">
        <v>130</v>
      </c>
      <c r="AH669" s="87"/>
      <c r="AI669" s="87">
        <v>8.1264414245E10</v>
      </c>
      <c r="AJ669" s="87" t="s">
        <v>4660</v>
      </c>
      <c r="AK669" s="97" t="s">
        <v>4661</v>
      </c>
      <c r="AL669" s="87" t="s">
        <v>4662</v>
      </c>
      <c r="AM669" s="87" t="s">
        <v>73</v>
      </c>
      <c r="AN669" s="87" t="s">
        <v>74</v>
      </c>
      <c r="AO669" s="87" t="s">
        <v>860</v>
      </c>
      <c r="AP669" s="87" t="s">
        <v>4663</v>
      </c>
      <c r="AQ669" s="87"/>
      <c r="AR669" s="87"/>
    </row>
    <row r="670">
      <c r="A670" s="203">
        <v>22.0</v>
      </c>
      <c r="B670" s="87" t="s">
        <v>4664</v>
      </c>
      <c r="C670" s="88" t="s">
        <v>4665</v>
      </c>
      <c r="D670" s="161"/>
      <c r="E670" s="161"/>
      <c r="F670" s="161"/>
      <c r="G670" s="161"/>
      <c r="H670" s="161"/>
      <c r="I670" s="162"/>
      <c r="J670" s="161"/>
      <c r="K670" s="161"/>
      <c r="L670" s="162"/>
      <c r="M670" s="161"/>
      <c r="N670" s="161"/>
      <c r="O670" s="87" t="s">
        <v>142</v>
      </c>
      <c r="P670" s="161"/>
      <c r="Q670" s="87" t="s">
        <v>4536</v>
      </c>
      <c r="R670" s="161"/>
      <c r="S670" s="173"/>
      <c r="T670" s="161"/>
      <c r="U670" s="173"/>
      <c r="V670" s="87" t="s">
        <v>89</v>
      </c>
      <c r="W670" s="87" t="s">
        <v>90</v>
      </c>
      <c r="X670" s="87" t="s">
        <v>1231</v>
      </c>
      <c r="Y670" s="94">
        <v>37307.0</v>
      </c>
      <c r="Z670" s="162"/>
      <c r="AA670" s="162"/>
      <c r="AB670" s="173"/>
      <c r="AC670" s="81">
        <v>668.0</v>
      </c>
      <c r="AD670" s="173"/>
      <c r="AE670" s="87" t="s">
        <v>67</v>
      </c>
      <c r="AF670" s="173"/>
      <c r="AG670" s="87" t="s">
        <v>130</v>
      </c>
      <c r="AH670" s="87"/>
      <c r="AI670" s="87">
        <v>8.5261153496E10</v>
      </c>
      <c r="AJ670" s="87" t="s">
        <v>4666</v>
      </c>
      <c r="AK670" s="97" t="s">
        <v>4667</v>
      </c>
      <c r="AL670" s="87" t="s">
        <v>4668</v>
      </c>
      <c r="AM670" s="87" t="s">
        <v>73</v>
      </c>
      <c r="AN670" s="87" t="s">
        <v>835</v>
      </c>
      <c r="AO670" s="87" t="s">
        <v>925</v>
      </c>
      <c r="AP670" s="87" t="s">
        <v>4669</v>
      </c>
      <c r="AQ670" s="87"/>
      <c r="AR670" s="87"/>
    </row>
    <row r="671">
      <c r="A671" s="203">
        <v>23.0</v>
      </c>
      <c r="B671" s="87" t="s">
        <v>4670</v>
      </c>
      <c r="C671" s="88" t="s">
        <v>4671</v>
      </c>
      <c r="D671" s="161"/>
      <c r="E671" s="161"/>
      <c r="F671" s="161"/>
      <c r="G671" s="161"/>
      <c r="H671" s="161"/>
      <c r="I671" s="162"/>
      <c r="J671" s="161"/>
      <c r="K671" s="161"/>
      <c r="L671" s="162"/>
      <c r="M671" s="161"/>
      <c r="N671" s="161"/>
      <c r="O671" s="87" t="s">
        <v>142</v>
      </c>
      <c r="P671" s="161"/>
      <c r="Q671" s="87" t="s">
        <v>4536</v>
      </c>
      <c r="R671" s="161"/>
      <c r="S671" s="173"/>
      <c r="T671" s="161"/>
      <c r="U671" s="173"/>
      <c r="V671" s="87" t="s">
        <v>89</v>
      </c>
      <c r="W671" s="87" t="s">
        <v>207</v>
      </c>
      <c r="X671" s="87" t="s">
        <v>4672</v>
      </c>
      <c r="Y671" s="94">
        <v>41200.0</v>
      </c>
      <c r="Z671" s="162"/>
      <c r="AA671" s="162"/>
      <c r="AB671" s="173"/>
      <c r="AC671" s="81">
        <v>669.0</v>
      </c>
      <c r="AD671" s="173"/>
      <c r="AE671" s="87" t="s">
        <v>220</v>
      </c>
      <c r="AF671" s="173"/>
      <c r="AG671" s="87" t="s">
        <v>68</v>
      </c>
      <c r="AH671" s="87"/>
      <c r="AI671" s="87">
        <v>8.5762122765E10</v>
      </c>
      <c r="AJ671" s="87" t="s">
        <v>4673</v>
      </c>
      <c r="AK671" s="97" t="s">
        <v>4674</v>
      </c>
      <c r="AL671" s="87" t="s">
        <v>4675</v>
      </c>
      <c r="AM671" s="87" t="s">
        <v>96</v>
      </c>
      <c r="AN671" s="87" t="s">
        <v>97</v>
      </c>
      <c r="AO671" s="87" t="s">
        <v>213</v>
      </c>
      <c r="AP671" s="87" t="s">
        <v>556</v>
      </c>
      <c r="AQ671" s="87">
        <v>0.0</v>
      </c>
      <c r="AR671" s="87">
        <v>0.0</v>
      </c>
    </row>
    <row r="672">
      <c r="A672" s="203">
        <v>24.0</v>
      </c>
      <c r="B672" s="87" t="s">
        <v>4676</v>
      </c>
      <c r="C672" s="88" t="s">
        <v>4677</v>
      </c>
      <c r="D672" s="161"/>
      <c r="E672" s="161"/>
      <c r="F672" s="161"/>
      <c r="G672" s="161"/>
      <c r="H672" s="161"/>
      <c r="I672" s="162"/>
      <c r="J672" s="161"/>
      <c r="K672" s="161"/>
      <c r="L672" s="162"/>
      <c r="M672" s="161"/>
      <c r="N672" s="161"/>
      <c r="O672" s="87" t="s">
        <v>532</v>
      </c>
      <c r="P672" s="161"/>
      <c r="Q672" s="87" t="s">
        <v>4536</v>
      </c>
      <c r="R672" s="161"/>
      <c r="S672" s="173"/>
      <c r="T672" s="161"/>
      <c r="U672" s="173"/>
      <c r="V672" s="87" t="s">
        <v>285</v>
      </c>
      <c r="W672" s="87" t="s">
        <v>399</v>
      </c>
      <c r="X672" s="87" t="s">
        <v>4678</v>
      </c>
      <c r="Y672" s="94">
        <v>40679.0</v>
      </c>
      <c r="Z672" s="162"/>
      <c r="AA672" s="162"/>
      <c r="AB672" s="173"/>
      <c r="AC672" s="81">
        <v>670.0</v>
      </c>
      <c r="AD672" s="173"/>
      <c r="AE672" s="87" t="s">
        <v>67</v>
      </c>
      <c r="AF672" s="173"/>
      <c r="AG672" s="87" t="s">
        <v>130</v>
      </c>
      <c r="AH672" s="87"/>
      <c r="AI672" s="87">
        <v>8.1269423103E10</v>
      </c>
      <c r="AJ672" s="87" t="s">
        <v>4679</v>
      </c>
      <c r="AK672" s="97" t="s">
        <v>4680</v>
      </c>
      <c r="AL672" s="87" t="s">
        <v>4681</v>
      </c>
      <c r="AM672" s="87" t="s">
        <v>73</v>
      </c>
      <c r="AN672" s="87" t="s">
        <v>835</v>
      </c>
      <c r="AO672" s="87" t="s">
        <v>1422</v>
      </c>
      <c r="AP672" s="87" t="s">
        <v>3256</v>
      </c>
      <c r="AQ672" s="87"/>
      <c r="AR672" s="87"/>
    </row>
    <row r="673">
      <c r="A673" s="203">
        <v>25.0</v>
      </c>
      <c r="B673" s="87" t="s">
        <v>4682</v>
      </c>
      <c r="C673" s="88" t="s">
        <v>4683</v>
      </c>
      <c r="D673" s="161"/>
      <c r="E673" s="161"/>
      <c r="F673" s="161"/>
      <c r="G673" s="161"/>
      <c r="H673" s="161"/>
      <c r="I673" s="162"/>
      <c r="J673" s="161"/>
      <c r="K673" s="161"/>
      <c r="L673" s="162"/>
      <c r="M673" s="161"/>
      <c r="N673" s="161"/>
      <c r="O673" s="87" t="s">
        <v>142</v>
      </c>
      <c r="P673" s="161"/>
      <c r="Q673" s="87" t="s">
        <v>4536</v>
      </c>
      <c r="R673" s="161"/>
      <c r="S673" s="173"/>
      <c r="T673" s="161"/>
      <c r="U673" s="173"/>
      <c r="V673" s="87" t="s">
        <v>89</v>
      </c>
      <c r="W673" s="87" t="s">
        <v>2304</v>
      </c>
      <c r="X673" s="87" t="s">
        <v>2145</v>
      </c>
      <c r="Y673" s="94">
        <v>41991.0</v>
      </c>
      <c r="Z673" s="162"/>
      <c r="AA673" s="162"/>
      <c r="AB673" s="173"/>
      <c r="AC673" s="81">
        <v>671.0</v>
      </c>
      <c r="AD673" s="173"/>
      <c r="AE673" s="87" t="s">
        <v>67</v>
      </c>
      <c r="AF673" s="173"/>
      <c r="AG673" s="87" t="s">
        <v>68</v>
      </c>
      <c r="AH673" s="87"/>
      <c r="AI673" s="87">
        <v>8.1999694662E10</v>
      </c>
      <c r="AJ673" s="87" t="s">
        <v>4684</v>
      </c>
      <c r="AK673" s="97" t="s">
        <v>4685</v>
      </c>
      <c r="AL673" s="87" t="s">
        <v>4686</v>
      </c>
      <c r="AM673" s="87" t="s">
        <v>73</v>
      </c>
      <c r="AN673" s="87" t="s">
        <v>835</v>
      </c>
      <c r="AO673" s="87" t="s">
        <v>546</v>
      </c>
      <c r="AP673" s="87" t="s">
        <v>4687</v>
      </c>
      <c r="AQ673" s="87"/>
      <c r="AR673" s="87"/>
    </row>
    <row r="674">
      <c r="A674" s="203">
        <v>26.0</v>
      </c>
      <c r="B674" s="87" t="s">
        <v>4688</v>
      </c>
      <c r="C674" s="88" t="s">
        <v>4689</v>
      </c>
      <c r="D674" s="161"/>
      <c r="E674" s="161"/>
      <c r="F674" s="161"/>
      <c r="G674" s="161"/>
      <c r="H674" s="161"/>
      <c r="I674" s="162"/>
      <c r="J674" s="161"/>
      <c r="K674" s="161"/>
      <c r="L674" s="162"/>
      <c r="M674" s="161"/>
      <c r="N674" s="161"/>
      <c r="O674" s="87" t="s">
        <v>142</v>
      </c>
      <c r="P674" s="161"/>
      <c r="Q674" s="87" t="s">
        <v>4536</v>
      </c>
      <c r="R674" s="161"/>
      <c r="S674" s="173"/>
      <c r="T674" s="161"/>
      <c r="U674" s="173"/>
      <c r="V674" s="87" t="s">
        <v>89</v>
      </c>
      <c r="W674" s="87" t="s">
        <v>63</v>
      </c>
      <c r="X674" s="87" t="s">
        <v>4690</v>
      </c>
      <c r="Y674" s="99">
        <v>37995.0</v>
      </c>
      <c r="Z674" s="162"/>
      <c r="AA674" s="162"/>
      <c r="AB674" s="173"/>
      <c r="AC674" s="81">
        <v>672.0</v>
      </c>
      <c r="AD674" s="173"/>
      <c r="AE674" s="87" t="s">
        <v>220</v>
      </c>
      <c r="AF674" s="173"/>
      <c r="AG674" s="87" t="s">
        <v>130</v>
      </c>
      <c r="AH674" s="87"/>
      <c r="AI674" s="87">
        <v>8.1264558129E10</v>
      </c>
      <c r="AJ674" s="87" t="s">
        <v>4691</v>
      </c>
      <c r="AK674" s="97" t="s">
        <v>4692</v>
      </c>
      <c r="AL674" s="87" t="s">
        <v>4693</v>
      </c>
      <c r="AM674" s="87" t="s">
        <v>96</v>
      </c>
      <c r="AN674" s="87" t="s">
        <v>97</v>
      </c>
      <c r="AO674" s="87" t="s">
        <v>236</v>
      </c>
      <c r="AP674" s="87" t="s">
        <v>527</v>
      </c>
      <c r="AQ674" s="87">
        <v>0.0</v>
      </c>
      <c r="AR674" s="87">
        <v>0.0</v>
      </c>
    </row>
    <row r="675">
      <c r="A675" s="203">
        <v>27.0</v>
      </c>
      <c r="B675" s="87" t="s">
        <v>4694</v>
      </c>
      <c r="C675" s="88" t="s">
        <v>4695</v>
      </c>
      <c r="D675" s="161"/>
      <c r="E675" s="161"/>
      <c r="F675" s="161"/>
      <c r="G675" s="161"/>
      <c r="H675" s="161"/>
      <c r="I675" s="162"/>
      <c r="J675" s="161"/>
      <c r="K675" s="161"/>
      <c r="L675" s="162"/>
      <c r="M675" s="161"/>
      <c r="N675" s="161"/>
      <c r="O675" s="87" t="s">
        <v>142</v>
      </c>
      <c r="P675" s="161"/>
      <c r="Q675" s="87" t="s">
        <v>4536</v>
      </c>
      <c r="R675" s="161"/>
      <c r="S675" s="173"/>
      <c r="T675" s="161"/>
      <c r="U675" s="173"/>
      <c r="V675" s="87" t="s">
        <v>89</v>
      </c>
      <c r="W675" s="87" t="s">
        <v>2493</v>
      </c>
      <c r="X675" s="87" t="s">
        <v>1521</v>
      </c>
      <c r="Y675" s="99">
        <v>41611.0</v>
      </c>
      <c r="Z675" s="162"/>
      <c r="AA675" s="162"/>
      <c r="AB675" s="173"/>
      <c r="AC675" s="81">
        <v>673.0</v>
      </c>
      <c r="AD675" s="173"/>
      <c r="AE675" s="87" t="s">
        <v>67</v>
      </c>
      <c r="AF675" s="173"/>
      <c r="AG675" s="87" t="s">
        <v>68</v>
      </c>
      <c r="AH675" s="87"/>
      <c r="AI675" s="87">
        <v>8.1263836606E10</v>
      </c>
      <c r="AJ675" s="87" t="s">
        <v>4696</v>
      </c>
      <c r="AK675" s="97" t="s">
        <v>4697</v>
      </c>
      <c r="AL675" s="87" t="s">
        <v>4698</v>
      </c>
      <c r="AM675" s="87" t="s">
        <v>73</v>
      </c>
      <c r="AN675" s="87" t="s">
        <v>74</v>
      </c>
      <c r="AO675" s="87" t="s">
        <v>925</v>
      </c>
      <c r="AP675" s="87" t="s">
        <v>4699</v>
      </c>
      <c r="AQ675" s="87"/>
      <c r="AR675" s="87"/>
    </row>
    <row r="676">
      <c r="A676" s="203">
        <v>28.0</v>
      </c>
      <c r="B676" s="87" t="s">
        <v>4700</v>
      </c>
      <c r="C676" s="88" t="s">
        <v>4701</v>
      </c>
      <c r="D676" s="161"/>
      <c r="E676" s="161"/>
      <c r="F676" s="161"/>
      <c r="G676" s="161"/>
      <c r="H676" s="161"/>
      <c r="I676" s="162"/>
      <c r="J676" s="161"/>
      <c r="K676" s="161"/>
      <c r="L676" s="162"/>
      <c r="M676" s="161"/>
      <c r="N676" s="161"/>
      <c r="O676" s="87" t="s">
        <v>142</v>
      </c>
      <c r="P676" s="161"/>
      <c r="Q676" s="87" t="s">
        <v>4536</v>
      </c>
      <c r="R676" s="161"/>
      <c r="S676" s="173"/>
      <c r="T676" s="161"/>
      <c r="U676" s="173"/>
      <c r="V676" s="87" t="s">
        <v>89</v>
      </c>
      <c r="W676" s="87" t="s">
        <v>1214</v>
      </c>
      <c r="X676" s="87" t="s">
        <v>1929</v>
      </c>
      <c r="Y676" s="94">
        <v>38709.0</v>
      </c>
      <c r="Z676" s="162"/>
      <c r="AA676" s="162"/>
      <c r="AB676" s="173"/>
      <c r="AC676" s="81">
        <v>674.0</v>
      </c>
      <c r="AD676" s="173"/>
      <c r="AE676" s="87" t="s">
        <v>67</v>
      </c>
      <c r="AF676" s="173"/>
      <c r="AG676" s="87" t="s">
        <v>68</v>
      </c>
      <c r="AH676" s="87"/>
      <c r="AI676" s="87">
        <v>8.2175665627E10</v>
      </c>
      <c r="AJ676" s="87" t="s">
        <v>4702</v>
      </c>
      <c r="AK676" s="97" t="s">
        <v>4703</v>
      </c>
      <c r="AL676" s="87" t="s">
        <v>4704</v>
      </c>
      <c r="AM676" s="87" t="s">
        <v>73</v>
      </c>
      <c r="AN676" s="87" t="s">
        <v>4705</v>
      </c>
      <c r="AO676" s="87" t="s">
        <v>167</v>
      </c>
      <c r="AP676" s="87" t="s">
        <v>4706</v>
      </c>
      <c r="AQ676" s="87"/>
      <c r="AR676" s="87"/>
    </row>
    <row r="677">
      <c r="A677" s="203">
        <v>29.0</v>
      </c>
      <c r="B677" s="87" t="s">
        <v>4707</v>
      </c>
      <c r="C677" s="88" t="s">
        <v>4708</v>
      </c>
      <c r="D677" s="161"/>
      <c r="E677" s="161"/>
      <c r="F677" s="161"/>
      <c r="G677" s="161"/>
      <c r="H677" s="161"/>
      <c r="I677" s="162"/>
      <c r="J677" s="161"/>
      <c r="K677" s="161"/>
      <c r="L677" s="162"/>
      <c r="M677" s="161"/>
      <c r="N677" s="161"/>
      <c r="O677" s="87" t="s">
        <v>142</v>
      </c>
      <c r="P677" s="161"/>
      <c r="Q677" s="87" t="s">
        <v>4536</v>
      </c>
      <c r="R677" s="161"/>
      <c r="S677" s="173"/>
      <c r="T677" s="161"/>
      <c r="U677" s="173"/>
      <c r="V677" s="87" t="s">
        <v>89</v>
      </c>
      <c r="W677" s="87" t="s">
        <v>2304</v>
      </c>
      <c r="X677" s="87" t="s">
        <v>4709</v>
      </c>
      <c r="Y677" s="99">
        <v>38869.0</v>
      </c>
      <c r="Z677" s="162"/>
      <c r="AA677" s="162"/>
      <c r="AB677" s="173"/>
      <c r="AC677" s="81">
        <v>675.0</v>
      </c>
      <c r="AD677" s="173"/>
      <c r="AE677" s="87" t="s">
        <v>67</v>
      </c>
      <c r="AF677" s="173"/>
      <c r="AG677" s="87" t="s">
        <v>130</v>
      </c>
      <c r="AH677" s="87"/>
      <c r="AI677" s="87">
        <v>8.1370833534E10</v>
      </c>
      <c r="AJ677" s="87" t="s">
        <v>4710</v>
      </c>
      <c r="AK677" s="97" t="s">
        <v>4711</v>
      </c>
      <c r="AL677" s="87" t="s">
        <v>4712</v>
      </c>
      <c r="AM677" s="87" t="s">
        <v>96</v>
      </c>
      <c r="AN677" s="87" t="s">
        <v>97</v>
      </c>
      <c r="AO677" s="87" t="s">
        <v>236</v>
      </c>
      <c r="AP677" s="87" t="s">
        <v>527</v>
      </c>
      <c r="AQ677" s="87">
        <v>0.0</v>
      </c>
      <c r="AR677" s="87">
        <v>0.0</v>
      </c>
    </row>
    <row r="678">
      <c r="A678" s="203">
        <v>30.0</v>
      </c>
      <c r="B678" s="87" t="s">
        <v>4713</v>
      </c>
      <c r="C678" s="88" t="s">
        <v>4714</v>
      </c>
      <c r="D678" s="161"/>
      <c r="E678" s="161"/>
      <c r="F678" s="161"/>
      <c r="G678" s="161"/>
      <c r="H678" s="161"/>
      <c r="I678" s="162"/>
      <c r="J678" s="161"/>
      <c r="K678" s="161"/>
      <c r="L678" s="162"/>
      <c r="M678" s="161"/>
      <c r="N678" s="161"/>
      <c r="O678" s="87" t="s">
        <v>142</v>
      </c>
      <c r="P678" s="161"/>
      <c r="Q678" s="87" t="s">
        <v>4536</v>
      </c>
      <c r="R678" s="161"/>
      <c r="S678" s="173"/>
      <c r="T678" s="161"/>
      <c r="U678" s="173"/>
      <c r="V678" s="87" t="s">
        <v>89</v>
      </c>
      <c r="W678" s="87" t="s">
        <v>647</v>
      </c>
      <c r="X678" s="87" t="s">
        <v>4715</v>
      </c>
      <c r="Y678" s="94">
        <v>40844.0</v>
      </c>
      <c r="Z678" s="162"/>
      <c r="AA678" s="162"/>
      <c r="AB678" s="173"/>
      <c r="AC678" s="81">
        <v>676.0</v>
      </c>
      <c r="AD678" s="173"/>
      <c r="AE678" s="87" t="s">
        <v>67</v>
      </c>
      <c r="AF678" s="173"/>
      <c r="AG678" s="87" t="s">
        <v>68</v>
      </c>
      <c r="AH678" s="87"/>
      <c r="AI678" s="87">
        <v>8.5158630054E10</v>
      </c>
      <c r="AJ678" s="87" t="s">
        <v>4716</v>
      </c>
      <c r="AK678" s="97" t="s">
        <v>4717</v>
      </c>
      <c r="AL678" s="87" t="s">
        <v>4718</v>
      </c>
      <c r="AM678" s="87" t="s">
        <v>96</v>
      </c>
      <c r="AN678" s="87" t="s">
        <v>97</v>
      </c>
      <c r="AO678" s="87" t="s">
        <v>1422</v>
      </c>
      <c r="AP678" s="87" t="s">
        <v>4719</v>
      </c>
      <c r="AQ678" s="87" t="s">
        <v>77</v>
      </c>
      <c r="AR678" s="87" t="s">
        <v>77</v>
      </c>
    </row>
    <row r="679">
      <c r="A679" s="203">
        <v>31.0</v>
      </c>
      <c r="B679" s="87" t="s">
        <v>4720</v>
      </c>
      <c r="C679" s="88" t="s">
        <v>4721</v>
      </c>
      <c r="D679" s="161"/>
      <c r="E679" s="161"/>
      <c r="F679" s="161"/>
      <c r="G679" s="161"/>
      <c r="H679" s="161"/>
      <c r="I679" s="162"/>
      <c r="J679" s="161"/>
      <c r="K679" s="161"/>
      <c r="L679" s="162"/>
      <c r="M679" s="161"/>
      <c r="N679" s="161"/>
      <c r="O679" s="87" t="s">
        <v>142</v>
      </c>
      <c r="P679" s="161"/>
      <c r="Q679" s="87" t="s">
        <v>4536</v>
      </c>
      <c r="R679" s="161"/>
      <c r="S679" s="173"/>
      <c r="T679" s="161"/>
      <c r="U679" s="173"/>
      <c r="V679" s="87" t="s">
        <v>89</v>
      </c>
      <c r="W679" s="87" t="s">
        <v>374</v>
      </c>
      <c r="X679" s="87" t="s">
        <v>938</v>
      </c>
      <c r="Y679" s="94">
        <v>43089.0</v>
      </c>
      <c r="Z679" s="162"/>
      <c r="AA679" s="162"/>
      <c r="AB679" s="173"/>
      <c r="AC679" s="81">
        <v>677.0</v>
      </c>
      <c r="AD679" s="173"/>
      <c r="AE679" s="87" t="s">
        <v>67</v>
      </c>
      <c r="AF679" s="173"/>
      <c r="AG679" s="87" t="s">
        <v>130</v>
      </c>
      <c r="AH679" s="173"/>
      <c r="AI679" s="87">
        <v>8.520650424E10</v>
      </c>
      <c r="AJ679" s="87" t="s">
        <v>4722</v>
      </c>
      <c r="AK679" s="97" t="s">
        <v>4723</v>
      </c>
      <c r="AL679" s="87" t="s">
        <v>4724</v>
      </c>
      <c r="AM679" s="87" t="s">
        <v>73</v>
      </c>
      <c r="AN679" s="87" t="s">
        <v>166</v>
      </c>
      <c r="AO679" s="87" t="s">
        <v>596</v>
      </c>
      <c r="AP679" s="87" t="s">
        <v>4725</v>
      </c>
      <c r="AQ679" s="87"/>
      <c r="AR679" s="87"/>
    </row>
    <row r="680">
      <c r="A680" s="203">
        <v>32.0</v>
      </c>
      <c r="B680" s="87" t="s">
        <v>4726</v>
      </c>
      <c r="C680" s="88" t="s">
        <v>4727</v>
      </c>
      <c r="D680" s="161"/>
      <c r="E680" s="161"/>
      <c r="F680" s="161"/>
      <c r="G680" s="161"/>
      <c r="H680" s="161"/>
      <c r="I680" s="162"/>
      <c r="J680" s="161"/>
      <c r="K680" s="161"/>
      <c r="L680" s="162"/>
      <c r="M680" s="161"/>
      <c r="N680" s="161"/>
      <c r="O680" s="87" t="s">
        <v>142</v>
      </c>
      <c r="P680" s="161"/>
      <c r="Q680" s="87" t="s">
        <v>4536</v>
      </c>
      <c r="R680" s="161"/>
      <c r="S680" s="173"/>
      <c r="T680" s="161"/>
      <c r="U680" s="173"/>
      <c r="V680" s="87" t="s">
        <v>89</v>
      </c>
      <c r="W680" s="87" t="s">
        <v>90</v>
      </c>
      <c r="X680" s="87" t="s">
        <v>1231</v>
      </c>
      <c r="Y680" s="94">
        <v>41384.0</v>
      </c>
      <c r="Z680" s="162"/>
      <c r="AA680" s="162"/>
      <c r="AB680" s="173"/>
      <c r="AC680" s="81">
        <v>678.0</v>
      </c>
      <c r="AD680" s="173"/>
      <c r="AE680" s="87" t="s">
        <v>67</v>
      </c>
      <c r="AF680" s="173"/>
      <c r="AG680" s="87" t="s">
        <v>130</v>
      </c>
      <c r="AH680" s="173"/>
      <c r="AI680" s="87">
        <v>8.5270282323E10</v>
      </c>
      <c r="AJ680" s="87" t="s">
        <v>4728</v>
      </c>
      <c r="AK680" s="97" t="s">
        <v>4729</v>
      </c>
      <c r="AL680" s="87" t="s">
        <v>4730</v>
      </c>
      <c r="AM680" s="87" t="s">
        <v>73</v>
      </c>
      <c r="AN680" s="87" t="s">
        <v>835</v>
      </c>
      <c r="AO680" s="87" t="s">
        <v>454</v>
      </c>
      <c r="AP680" s="87" t="s">
        <v>605</v>
      </c>
      <c r="AQ680" s="87"/>
      <c r="AR680" s="87"/>
    </row>
    <row r="681">
      <c r="A681" s="203">
        <v>33.0</v>
      </c>
      <c r="B681" s="87" t="s">
        <v>4731</v>
      </c>
      <c r="C681" s="88" t="s">
        <v>4732</v>
      </c>
      <c r="D681" s="161"/>
      <c r="E681" s="161"/>
      <c r="F681" s="161"/>
      <c r="G681" s="161"/>
      <c r="H681" s="161"/>
      <c r="I681" s="162"/>
      <c r="J681" s="161"/>
      <c r="K681" s="161"/>
      <c r="L681" s="162"/>
      <c r="M681" s="161"/>
      <c r="N681" s="161"/>
      <c r="O681" s="87" t="s">
        <v>142</v>
      </c>
      <c r="P681" s="161"/>
      <c r="Q681" s="87" t="s">
        <v>4536</v>
      </c>
      <c r="R681" s="161"/>
      <c r="S681" s="173"/>
      <c r="T681" s="161"/>
      <c r="U681" s="173"/>
      <c r="V681" s="87" t="s">
        <v>89</v>
      </c>
      <c r="W681" s="87" t="s">
        <v>1214</v>
      </c>
      <c r="X681" s="87" t="s">
        <v>244</v>
      </c>
      <c r="Y681" s="94">
        <v>44193.0</v>
      </c>
      <c r="Z681" s="162"/>
      <c r="AA681" s="162"/>
      <c r="AB681" s="173"/>
      <c r="AC681" s="81">
        <v>679.0</v>
      </c>
      <c r="AD681" s="173"/>
      <c r="AE681" s="87" t="s">
        <v>67</v>
      </c>
      <c r="AF681" s="173"/>
      <c r="AG681" s="87" t="s">
        <v>68</v>
      </c>
      <c r="AH681" s="173"/>
      <c r="AI681" s="87">
        <v>8.1232377761E10</v>
      </c>
      <c r="AJ681" s="87" t="s">
        <v>4733</v>
      </c>
      <c r="AK681" s="97" t="s">
        <v>4734</v>
      </c>
      <c r="AL681" s="87" t="s">
        <v>4735</v>
      </c>
      <c r="AM681" s="87" t="s">
        <v>73</v>
      </c>
      <c r="AN681" s="87" t="s">
        <v>835</v>
      </c>
      <c r="AO681" s="87" t="s">
        <v>191</v>
      </c>
      <c r="AP681" s="87" t="s">
        <v>836</v>
      </c>
      <c r="AQ681" s="87">
        <v>0.0</v>
      </c>
      <c r="AR681" s="87">
        <v>0.0</v>
      </c>
    </row>
    <row r="682">
      <c r="A682" s="203">
        <v>34.0</v>
      </c>
      <c r="B682" s="87" t="s">
        <v>4736</v>
      </c>
      <c r="C682" s="88" t="s">
        <v>4737</v>
      </c>
      <c r="D682" s="161"/>
      <c r="E682" s="161"/>
      <c r="F682" s="161"/>
      <c r="G682" s="161"/>
      <c r="H682" s="161"/>
      <c r="I682" s="162"/>
      <c r="J682" s="161"/>
      <c r="K682" s="161"/>
      <c r="L682" s="162"/>
      <c r="M682" s="161"/>
      <c r="N682" s="161"/>
      <c r="O682" s="87" t="s">
        <v>532</v>
      </c>
      <c r="P682" s="161"/>
      <c r="Q682" s="87" t="s">
        <v>4536</v>
      </c>
      <c r="R682" s="161"/>
      <c r="S682" s="173"/>
      <c r="T682" s="161"/>
      <c r="U682" s="173"/>
      <c r="V682" s="87" t="s">
        <v>285</v>
      </c>
      <c r="W682" s="87" t="s">
        <v>4738</v>
      </c>
      <c r="X682" s="87" t="s">
        <v>4739</v>
      </c>
      <c r="Y682" s="94">
        <v>43598.0</v>
      </c>
      <c r="Z682" s="162"/>
      <c r="AA682" s="162"/>
      <c r="AB682" s="173"/>
      <c r="AC682" s="81">
        <v>680.0</v>
      </c>
      <c r="AD682" s="173"/>
      <c r="AE682" s="87" t="s">
        <v>67</v>
      </c>
      <c r="AF682" s="173"/>
      <c r="AG682" s="87" t="s">
        <v>130</v>
      </c>
      <c r="AH682" s="173"/>
      <c r="AI682" s="87">
        <v>8.2294308808E10</v>
      </c>
      <c r="AJ682" s="87" t="s">
        <v>4740</v>
      </c>
      <c r="AK682" s="97" t="s">
        <v>4741</v>
      </c>
      <c r="AL682" s="87" t="s">
        <v>4742</v>
      </c>
      <c r="AM682" s="87" t="s">
        <v>96</v>
      </c>
      <c r="AN682" s="87" t="s">
        <v>135</v>
      </c>
      <c r="AO682" s="87" t="s">
        <v>98</v>
      </c>
      <c r="AP682" s="87" t="s">
        <v>4743</v>
      </c>
      <c r="AQ682" s="87"/>
      <c r="AR682" s="87"/>
    </row>
    <row r="683">
      <c r="A683" s="203">
        <v>35.0</v>
      </c>
      <c r="B683" s="87" t="s">
        <v>4744</v>
      </c>
      <c r="C683" s="88" t="s">
        <v>4745</v>
      </c>
      <c r="D683" s="161"/>
      <c r="E683" s="161"/>
      <c r="F683" s="161"/>
      <c r="G683" s="161"/>
      <c r="H683" s="161"/>
      <c r="I683" s="162"/>
      <c r="J683" s="161"/>
      <c r="K683" s="161"/>
      <c r="L683" s="162"/>
      <c r="M683" s="161"/>
      <c r="N683" s="161"/>
      <c r="O683" s="87" t="s">
        <v>532</v>
      </c>
      <c r="P683" s="161"/>
      <c r="Q683" s="87" t="s">
        <v>4536</v>
      </c>
      <c r="R683" s="161"/>
      <c r="S683" s="173"/>
      <c r="T683" s="161"/>
      <c r="U683" s="173"/>
      <c r="V683" s="87" t="s">
        <v>285</v>
      </c>
      <c r="W683" s="87"/>
      <c r="X683" s="87" t="s">
        <v>4746</v>
      </c>
      <c r="Y683" s="99">
        <v>37777.0</v>
      </c>
      <c r="Z683" s="162"/>
      <c r="AA683" s="162"/>
      <c r="AB683" s="173"/>
      <c r="AC683" s="81">
        <v>681.0</v>
      </c>
      <c r="AD683" s="173"/>
      <c r="AE683" s="87" t="s">
        <v>67</v>
      </c>
      <c r="AF683" s="173"/>
      <c r="AG683" s="87" t="s">
        <v>130</v>
      </c>
      <c r="AH683" s="173"/>
      <c r="AI683" s="87">
        <v>8.1377202189E10</v>
      </c>
      <c r="AJ683" s="87" t="s">
        <v>4747</v>
      </c>
      <c r="AK683" s="97" t="s">
        <v>4748</v>
      </c>
      <c r="AL683" s="87" t="s">
        <v>4749</v>
      </c>
      <c r="AM683" s="87" t="s">
        <v>73</v>
      </c>
      <c r="AN683" s="87" t="s">
        <v>74</v>
      </c>
      <c r="AO683" s="87" t="s">
        <v>454</v>
      </c>
      <c r="AP683" s="87" t="s">
        <v>491</v>
      </c>
      <c r="AQ683" s="87"/>
      <c r="AR683" s="87"/>
    </row>
    <row r="684">
      <c r="A684" s="203">
        <v>36.0</v>
      </c>
      <c r="B684" s="87" t="s">
        <v>4750</v>
      </c>
      <c r="C684" s="88" t="s">
        <v>4751</v>
      </c>
      <c r="D684" s="161"/>
      <c r="E684" s="161"/>
      <c r="F684" s="161"/>
      <c r="G684" s="161"/>
      <c r="H684" s="161"/>
      <c r="I684" s="162"/>
      <c r="J684" s="161"/>
      <c r="K684" s="161"/>
      <c r="L684" s="162"/>
      <c r="M684" s="161"/>
      <c r="N684" s="161"/>
      <c r="O684" s="87" t="s">
        <v>142</v>
      </c>
      <c r="P684" s="161"/>
      <c r="Q684" s="87" t="s">
        <v>4536</v>
      </c>
      <c r="R684" s="161"/>
      <c r="S684" s="173"/>
      <c r="T684" s="161"/>
      <c r="U684" s="173"/>
      <c r="V684" s="87" t="s">
        <v>89</v>
      </c>
      <c r="W684" s="87" t="s">
        <v>1214</v>
      </c>
      <c r="X684" s="87" t="s">
        <v>1231</v>
      </c>
      <c r="Y684" s="99">
        <v>37074.0</v>
      </c>
      <c r="Z684" s="162"/>
      <c r="AA684" s="162"/>
      <c r="AB684" s="173"/>
      <c r="AC684" s="81">
        <v>682.0</v>
      </c>
      <c r="AD684" s="173"/>
      <c r="AE684" s="87" t="s">
        <v>67</v>
      </c>
      <c r="AF684" s="173"/>
      <c r="AG684" s="87" t="s">
        <v>68</v>
      </c>
      <c r="AH684" s="173"/>
      <c r="AI684" s="87">
        <v>8.52760548E10</v>
      </c>
      <c r="AJ684" s="87" t="s">
        <v>4752</v>
      </c>
      <c r="AK684" s="97" t="s">
        <v>4753</v>
      </c>
      <c r="AL684" s="87" t="s">
        <v>4754</v>
      </c>
      <c r="AM684" s="87" t="s">
        <v>73</v>
      </c>
      <c r="AN684" s="87" t="s">
        <v>74</v>
      </c>
      <c r="AO684" s="87" t="s">
        <v>454</v>
      </c>
      <c r="AP684" s="87" t="s">
        <v>725</v>
      </c>
      <c r="AQ684" s="87"/>
      <c r="AR684" s="87"/>
    </row>
    <row r="685">
      <c r="A685" s="203">
        <v>37.0</v>
      </c>
      <c r="B685" s="87" t="s">
        <v>4755</v>
      </c>
      <c r="C685" s="88" t="s">
        <v>4756</v>
      </c>
      <c r="D685" s="161"/>
      <c r="E685" s="161"/>
      <c r="F685" s="161"/>
      <c r="G685" s="161"/>
      <c r="H685" s="161"/>
      <c r="I685" s="162"/>
      <c r="J685" s="161"/>
      <c r="K685" s="161"/>
      <c r="L685" s="162"/>
      <c r="M685" s="161"/>
      <c r="N685" s="161"/>
      <c r="O685" s="87" t="s">
        <v>142</v>
      </c>
      <c r="P685" s="161"/>
      <c r="Q685" s="87" t="s">
        <v>4536</v>
      </c>
      <c r="R685" s="161"/>
      <c r="S685" s="173"/>
      <c r="T685" s="161"/>
      <c r="U685" s="173"/>
      <c r="V685" s="87" t="s">
        <v>89</v>
      </c>
      <c r="W685" s="87" t="s">
        <v>218</v>
      </c>
      <c r="X685" s="87" t="s">
        <v>3305</v>
      </c>
      <c r="Y685" s="94">
        <v>43732.0</v>
      </c>
      <c r="Z685" s="162"/>
      <c r="AA685" s="162"/>
      <c r="AB685" s="173"/>
      <c r="AC685" s="81">
        <v>683.0</v>
      </c>
      <c r="AD685" s="173"/>
      <c r="AE685" s="87" t="s">
        <v>220</v>
      </c>
      <c r="AF685" s="173"/>
      <c r="AG685" s="87" t="s">
        <v>130</v>
      </c>
      <c r="AH685" s="173"/>
      <c r="AI685" s="87">
        <v>8.7855921814E10</v>
      </c>
      <c r="AJ685" s="87" t="s">
        <v>4757</v>
      </c>
      <c r="AK685" s="97" t="s">
        <v>4758</v>
      </c>
      <c r="AL685" s="87" t="s">
        <v>4759</v>
      </c>
      <c r="AM685" s="87" t="s">
        <v>96</v>
      </c>
      <c r="AN685" s="87" t="s">
        <v>97</v>
      </c>
      <c r="AO685" s="87" t="s">
        <v>98</v>
      </c>
      <c r="AP685" s="87" t="s">
        <v>1376</v>
      </c>
      <c r="AQ685" s="87"/>
      <c r="AR685" s="87"/>
    </row>
    <row r="686">
      <c r="A686" s="203">
        <v>38.0</v>
      </c>
      <c r="B686" s="87" t="s">
        <v>4760</v>
      </c>
      <c r="C686" s="88" t="s">
        <v>4761</v>
      </c>
      <c r="D686" s="161"/>
      <c r="E686" s="161"/>
      <c r="F686" s="161"/>
      <c r="G686" s="161"/>
      <c r="H686" s="161"/>
      <c r="I686" s="162"/>
      <c r="J686" s="161"/>
      <c r="K686" s="161"/>
      <c r="L686" s="162"/>
      <c r="M686" s="161"/>
      <c r="N686" s="161"/>
      <c r="O686" s="87" t="s">
        <v>142</v>
      </c>
      <c r="P686" s="161"/>
      <c r="Q686" s="87" t="s">
        <v>4536</v>
      </c>
      <c r="R686" s="161"/>
      <c r="S686" s="173"/>
      <c r="T686" s="161"/>
      <c r="U686" s="173"/>
      <c r="V686" s="87" t="s">
        <v>89</v>
      </c>
      <c r="W686" s="87" t="s">
        <v>90</v>
      </c>
      <c r="X686" s="87" t="s">
        <v>449</v>
      </c>
      <c r="Y686" s="94">
        <v>44132.0</v>
      </c>
      <c r="Z686" s="162"/>
      <c r="AA686" s="162"/>
      <c r="AB686" s="173"/>
      <c r="AC686" s="81">
        <v>684.0</v>
      </c>
      <c r="AD686" s="173"/>
      <c r="AE686" s="87" t="s">
        <v>67</v>
      </c>
      <c r="AF686" s="173"/>
      <c r="AG686" s="87" t="s">
        <v>68</v>
      </c>
      <c r="AH686" s="173"/>
      <c r="AI686" s="87">
        <v>8.2366590345E10</v>
      </c>
      <c r="AJ686" s="87" t="s">
        <v>4762</v>
      </c>
      <c r="AK686" s="97" t="s">
        <v>4763</v>
      </c>
      <c r="AL686" s="87" t="s">
        <v>2368</v>
      </c>
      <c r="AM686" s="87" t="s">
        <v>73</v>
      </c>
      <c r="AN686" s="87" t="s">
        <v>481</v>
      </c>
      <c r="AO686" s="87" t="s">
        <v>454</v>
      </c>
      <c r="AP686" s="87" t="s">
        <v>455</v>
      </c>
      <c r="AQ686" s="87">
        <v>0.0</v>
      </c>
      <c r="AR686" s="87">
        <v>0.0</v>
      </c>
    </row>
    <row r="687">
      <c r="A687" s="203">
        <v>39.0</v>
      </c>
      <c r="B687" s="87" t="s">
        <v>4764</v>
      </c>
      <c r="C687" s="88" t="s">
        <v>4765</v>
      </c>
      <c r="D687" s="161"/>
      <c r="E687" s="161"/>
      <c r="F687" s="161"/>
      <c r="G687" s="161"/>
      <c r="H687" s="161"/>
      <c r="I687" s="162"/>
      <c r="J687" s="161"/>
      <c r="K687" s="161"/>
      <c r="L687" s="162"/>
      <c r="M687" s="161"/>
      <c r="N687" s="161"/>
      <c r="O687" s="87" t="s">
        <v>142</v>
      </c>
      <c r="P687" s="161"/>
      <c r="Q687" s="87" t="s">
        <v>4536</v>
      </c>
      <c r="R687" s="161"/>
      <c r="S687" s="173"/>
      <c r="T687" s="161"/>
      <c r="U687" s="173"/>
      <c r="V687" s="87" t="s">
        <v>89</v>
      </c>
      <c r="W687" s="87" t="s">
        <v>90</v>
      </c>
      <c r="X687" s="87" t="s">
        <v>1819</v>
      </c>
      <c r="Y687" s="94">
        <v>42360.0</v>
      </c>
      <c r="Z687" s="162"/>
      <c r="AA687" s="162"/>
      <c r="AB687" s="173"/>
      <c r="AC687" s="81">
        <v>685.0</v>
      </c>
      <c r="AD687" s="173"/>
      <c r="AE687" s="87" t="s">
        <v>67</v>
      </c>
      <c r="AF687" s="173"/>
      <c r="AG687" s="87" t="s">
        <v>130</v>
      </c>
      <c r="AH687" s="173"/>
      <c r="AI687" s="87">
        <v>8.95095716E10</v>
      </c>
      <c r="AJ687" s="87" t="s">
        <v>4766</v>
      </c>
      <c r="AK687" s="97" t="s">
        <v>4767</v>
      </c>
      <c r="AL687" s="87" t="s">
        <v>4768</v>
      </c>
      <c r="AM687" s="87" t="s">
        <v>73</v>
      </c>
      <c r="AN687" s="87" t="s">
        <v>74</v>
      </c>
      <c r="AO687" s="87" t="s">
        <v>1047</v>
      </c>
      <c r="AP687" s="87" t="s">
        <v>2512</v>
      </c>
      <c r="AQ687" s="87"/>
      <c r="AR687" s="87"/>
    </row>
    <row r="688">
      <c r="A688" s="203">
        <v>40.0</v>
      </c>
      <c r="B688" s="87" t="s">
        <v>4769</v>
      </c>
      <c r="C688" s="88" t="s">
        <v>4770</v>
      </c>
      <c r="D688" s="161"/>
      <c r="E688" s="161"/>
      <c r="F688" s="161"/>
      <c r="G688" s="161"/>
      <c r="H688" s="161"/>
      <c r="I688" s="162"/>
      <c r="J688" s="161"/>
      <c r="K688" s="161"/>
      <c r="L688" s="162"/>
      <c r="M688" s="161"/>
      <c r="N688" s="161"/>
      <c r="O688" s="87" t="s">
        <v>142</v>
      </c>
      <c r="P688" s="161"/>
      <c r="Q688" s="87" t="s">
        <v>4536</v>
      </c>
      <c r="R688" s="161"/>
      <c r="S688" s="173"/>
      <c r="T688" s="161"/>
      <c r="U688" s="173"/>
      <c r="V688" s="87" t="s">
        <v>89</v>
      </c>
      <c r="W688" s="87" t="s">
        <v>90</v>
      </c>
      <c r="X688" s="87" t="s">
        <v>1819</v>
      </c>
      <c r="Y688" s="99">
        <v>41617.0</v>
      </c>
      <c r="Z688" s="162"/>
      <c r="AA688" s="162"/>
      <c r="AB688" s="173"/>
      <c r="AC688" s="81">
        <v>686.0</v>
      </c>
      <c r="AD688" s="173"/>
      <c r="AE688" s="87" t="s">
        <v>67</v>
      </c>
      <c r="AF688" s="173"/>
      <c r="AG688" s="87" t="s">
        <v>130</v>
      </c>
      <c r="AH688" s="173"/>
      <c r="AI688" s="87">
        <v>8.1260556599E10</v>
      </c>
      <c r="AJ688" s="87" t="s">
        <v>4771</v>
      </c>
      <c r="AK688" s="97" t="s">
        <v>4772</v>
      </c>
      <c r="AL688" s="87" t="s">
        <v>4773</v>
      </c>
      <c r="AM688" s="87" t="s">
        <v>96</v>
      </c>
      <c r="AN688" s="87" t="s">
        <v>135</v>
      </c>
      <c r="AO688" s="87" t="s">
        <v>292</v>
      </c>
      <c r="AP688" s="87" t="s">
        <v>1711</v>
      </c>
      <c r="AQ688" s="87"/>
      <c r="AR688" s="87"/>
    </row>
    <row r="689">
      <c r="A689" s="203">
        <v>41.0</v>
      </c>
      <c r="B689" s="87" t="s">
        <v>4774</v>
      </c>
      <c r="C689" s="88" t="s">
        <v>4775</v>
      </c>
      <c r="D689" s="161"/>
      <c r="E689" s="161"/>
      <c r="F689" s="161"/>
      <c r="G689" s="161"/>
      <c r="H689" s="161"/>
      <c r="I689" s="162"/>
      <c r="J689" s="161"/>
      <c r="K689" s="161"/>
      <c r="L689" s="162"/>
      <c r="M689" s="161"/>
      <c r="N689" s="161"/>
      <c r="O689" s="87" t="s">
        <v>142</v>
      </c>
      <c r="P689" s="161"/>
      <c r="Q689" s="87" t="s">
        <v>4536</v>
      </c>
      <c r="R689" s="161"/>
      <c r="S689" s="173"/>
      <c r="T689" s="161"/>
      <c r="U689" s="173"/>
      <c r="V689" s="87" t="s">
        <v>89</v>
      </c>
      <c r="W689" s="87" t="s">
        <v>4776</v>
      </c>
      <c r="X689" s="87" t="s">
        <v>509</v>
      </c>
      <c r="Y689" s="99">
        <v>38146.0</v>
      </c>
      <c r="Z689" s="162"/>
      <c r="AA689" s="162"/>
      <c r="AB689" s="173"/>
      <c r="AC689" s="81">
        <v>687.0</v>
      </c>
      <c r="AD689" s="173"/>
      <c r="AE689" s="87" t="s">
        <v>67</v>
      </c>
      <c r="AF689" s="173"/>
      <c r="AG689" s="87" t="s">
        <v>130</v>
      </c>
      <c r="AH689" s="173"/>
      <c r="AI689" s="87">
        <v>8.9679040308E10</v>
      </c>
      <c r="AJ689" s="87" t="s">
        <v>4777</v>
      </c>
      <c r="AK689" s="97" t="s">
        <v>4778</v>
      </c>
      <c r="AL689" s="87" t="s">
        <v>4779</v>
      </c>
      <c r="AM689" s="87" t="s">
        <v>96</v>
      </c>
      <c r="AN689" s="87" t="s">
        <v>97</v>
      </c>
      <c r="AO689" s="87" t="s">
        <v>546</v>
      </c>
      <c r="AP689" s="87" t="s">
        <v>2001</v>
      </c>
      <c r="AQ689" s="87"/>
      <c r="AR689" s="87"/>
    </row>
    <row r="690">
      <c r="A690" s="203">
        <v>42.0</v>
      </c>
      <c r="B690" s="87" t="s">
        <v>4780</v>
      </c>
      <c r="C690" s="88" t="s">
        <v>4781</v>
      </c>
      <c r="D690" s="161"/>
      <c r="E690" s="161"/>
      <c r="F690" s="161"/>
      <c r="G690" s="161"/>
      <c r="H690" s="161"/>
      <c r="I690" s="162"/>
      <c r="J690" s="161"/>
      <c r="K690" s="161"/>
      <c r="L690" s="162"/>
      <c r="M690" s="161"/>
      <c r="N690" s="161"/>
      <c r="O690" s="87" t="s">
        <v>142</v>
      </c>
      <c r="P690" s="161"/>
      <c r="Q690" s="87" t="s">
        <v>4536</v>
      </c>
      <c r="R690" s="161"/>
      <c r="S690" s="173"/>
      <c r="T690" s="161"/>
      <c r="U690" s="173"/>
      <c r="V690" s="87" t="s">
        <v>89</v>
      </c>
      <c r="W690" s="87" t="s">
        <v>1214</v>
      </c>
      <c r="X690" s="87" t="s">
        <v>1231</v>
      </c>
      <c r="Y690" s="94">
        <v>40099.0</v>
      </c>
      <c r="Z690" s="162"/>
      <c r="AA690" s="162"/>
      <c r="AB690" s="173"/>
      <c r="AC690" s="81">
        <v>688.0</v>
      </c>
      <c r="AD690" s="173"/>
      <c r="AE690" s="87" t="s">
        <v>67</v>
      </c>
      <c r="AF690" s="173"/>
      <c r="AG690" s="87" t="s">
        <v>130</v>
      </c>
      <c r="AH690" s="173"/>
      <c r="AI690" s="87">
        <v>8.1362593499E10</v>
      </c>
      <c r="AJ690" s="87" t="s">
        <v>4782</v>
      </c>
      <c r="AK690" s="97" t="s">
        <v>4783</v>
      </c>
      <c r="AL690" s="87" t="s">
        <v>4784</v>
      </c>
      <c r="AM690" s="87" t="s">
        <v>73</v>
      </c>
      <c r="AN690" s="87" t="s">
        <v>835</v>
      </c>
      <c r="AO690" s="87" t="s">
        <v>925</v>
      </c>
      <c r="AP690" s="87" t="s">
        <v>2751</v>
      </c>
      <c r="AQ690" s="87"/>
      <c r="AR690" s="87"/>
    </row>
    <row r="691">
      <c r="A691" s="203">
        <v>43.0</v>
      </c>
      <c r="B691" s="87" t="s">
        <v>4785</v>
      </c>
      <c r="C691" s="88" t="s">
        <v>4786</v>
      </c>
      <c r="D691" s="161"/>
      <c r="E691" s="161"/>
      <c r="F691" s="161"/>
      <c r="G691" s="161"/>
      <c r="H691" s="161"/>
      <c r="I691" s="162"/>
      <c r="J691" s="161"/>
      <c r="K691" s="161"/>
      <c r="L691" s="162"/>
      <c r="M691" s="161"/>
      <c r="N691" s="161"/>
      <c r="O691" s="87" t="s">
        <v>142</v>
      </c>
      <c r="P691" s="161"/>
      <c r="Q691" s="87" t="s">
        <v>4536</v>
      </c>
      <c r="R691" s="161"/>
      <c r="S691" s="173"/>
      <c r="T691" s="161"/>
      <c r="U691" s="173"/>
      <c r="V691" s="87" t="s">
        <v>89</v>
      </c>
      <c r="W691" s="87" t="s">
        <v>207</v>
      </c>
      <c r="X691" s="87" t="s">
        <v>509</v>
      </c>
      <c r="Y691" s="94">
        <v>40480.0</v>
      </c>
      <c r="Z691" s="162"/>
      <c r="AA691" s="162"/>
      <c r="AB691" s="173"/>
      <c r="AC691" s="81">
        <v>689.0</v>
      </c>
      <c r="AD691" s="173"/>
      <c r="AE691" s="87" t="s">
        <v>67</v>
      </c>
      <c r="AF691" s="173"/>
      <c r="AG691" s="87" t="s">
        <v>130</v>
      </c>
      <c r="AH691" s="173"/>
      <c r="AI691" s="87">
        <v>8.2161361931E10</v>
      </c>
      <c r="AJ691" s="87" t="s">
        <v>4787</v>
      </c>
      <c r="AK691" s="97" t="s">
        <v>4788</v>
      </c>
      <c r="AL691" s="87" t="s">
        <v>4789</v>
      </c>
      <c r="AM691" s="87" t="s">
        <v>96</v>
      </c>
      <c r="AN691" s="87" t="s">
        <v>97</v>
      </c>
      <c r="AO691" s="87" t="s">
        <v>292</v>
      </c>
      <c r="AP691" s="87" t="s">
        <v>683</v>
      </c>
      <c r="AQ691" s="87">
        <v>0.0</v>
      </c>
      <c r="AR691" s="87">
        <v>0.0</v>
      </c>
    </row>
    <row r="692">
      <c r="A692" s="203">
        <v>44.0</v>
      </c>
      <c r="B692" s="87" t="s">
        <v>4790</v>
      </c>
      <c r="C692" s="88" t="s">
        <v>4791</v>
      </c>
      <c r="D692" s="161"/>
      <c r="E692" s="161"/>
      <c r="F692" s="161"/>
      <c r="G692" s="161"/>
      <c r="H692" s="161"/>
      <c r="I692" s="162"/>
      <c r="J692" s="161"/>
      <c r="K692" s="161"/>
      <c r="L692" s="162"/>
      <c r="M692" s="161"/>
      <c r="N692" s="161"/>
      <c r="O692" s="87" t="s">
        <v>142</v>
      </c>
      <c r="P692" s="161"/>
      <c r="Q692" s="87" t="s">
        <v>4536</v>
      </c>
      <c r="R692" s="161"/>
      <c r="S692" s="173"/>
      <c r="T692" s="161"/>
      <c r="U692" s="173"/>
      <c r="V692" s="87" t="s">
        <v>89</v>
      </c>
      <c r="W692" s="87"/>
      <c r="X692" s="87" t="s">
        <v>4792</v>
      </c>
      <c r="Y692" s="99">
        <v>35317.0</v>
      </c>
      <c r="Z692" s="162"/>
      <c r="AA692" s="162"/>
      <c r="AB692" s="173"/>
      <c r="AC692" s="81">
        <v>690.0</v>
      </c>
      <c r="AD692" s="173"/>
      <c r="AE692" s="87" t="s">
        <v>220</v>
      </c>
      <c r="AF692" s="173"/>
      <c r="AG692" s="87" t="s">
        <v>68</v>
      </c>
      <c r="AH692" s="173"/>
      <c r="AI692" s="87">
        <v>8.1265429144E10</v>
      </c>
      <c r="AJ692" s="87" t="s">
        <v>4793</v>
      </c>
      <c r="AK692" s="97" t="s">
        <v>4794</v>
      </c>
      <c r="AL692" s="87" t="s">
        <v>4795</v>
      </c>
      <c r="AM692" s="87" t="s">
        <v>96</v>
      </c>
      <c r="AN692" s="87" t="s">
        <v>97</v>
      </c>
      <c r="AO692" s="87" t="s">
        <v>292</v>
      </c>
      <c r="AP692" s="87" t="s">
        <v>293</v>
      </c>
      <c r="AQ692" s="87"/>
      <c r="AR692" s="87"/>
    </row>
    <row r="693">
      <c r="A693" s="203">
        <v>45.0</v>
      </c>
      <c r="B693" s="87" t="s">
        <v>4796</v>
      </c>
      <c r="C693" s="88" t="s">
        <v>4797</v>
      </c>
      <c r="D693" s="161"/>
      <c r="E693" s="161"/>
      <c r="F693" s="161"/>
      <c r="G693" s="161"/>
      <c r="H693" s="161"/>
      <c r="I693" s="162"/>
      <c r="J693" s="161"/>
      <c r="K693" s="161"/>
      <c r="L693" s="162"/>
      <c r="M693" s="161"/>
      <c r="N693" s="161"/>
      <c r="O693" s="87" t="s">
        <v>519</v>
      </c>
      <c r="P693" s="161"/>
      <c r="Q693" s="87" t="s">
        <v>4536</v>
      </c>
      <c r="R693" s="161"/>
      <c r="S693" s="173"/>
      <c r="T693" s="161"/>
      <c r="U693" s="173"/>
      <c r="V693" s="87" t="s">
        <v>267</v>
      </c>
      <c r="W693" s="87" t="s">
        <v>4798</v>
      </c>
      <c r="X693" s="87" t="s">
        <v>2543</v>
      </c>
      <c r="Y693" s="94">
        <v>45442.0</v>
      </c>
      <c r="Z693" s="162"/>
      <c r="AA693" s="162"/>
      <c r="AB693" s="173"/>
      <c r="AC693" s="81">
        <v>691.0</v>
      </c>
      <c r="AD693" s="173"/>
      <c r="AE693" s="87" t="s">
        <v>67</v>
      </c>
      <c r="AF693" s="173"/>
      <c r="AG693" s="87" t="s">
        <v>130</v>
      </c>
      <c r="AH693" s="173"/>
      <c r="AI693" s="87">
        <v>8.8261185698E10</v>
      </c>
      <c r="AJ693" s="87" t="s">
        <v>4799</v>
      </c>
      <c r="AK693" s="97" t="s">
        <v>4800</v>
      </c>
      <c r="AL693" s="87" t="s">
        <v>4801</v>
      </c>
      <c r="AM693" s="87" t="s">
        <v>73</v>
      </c>
      <c r="AN693" s="87" t="s">
        <v>74</v>
      </c>
      <c r="AO693" s="87" t="s">
        <v>932</v>
      </c>
      <c r="AP693" s="87" t="s">
        <v>2250</v>
      </c>
      <c r="AQ693" s="87">
        <v>0.0</v>
      </c>
      <c r="AR693" s="87">
        <v>0.0</v>
      </c>
    </row>
    <row r="694">
      <c r="A694" s="203">
        <v>46.0</v>
      </c>
      <c r="B694" s="87" t="s">
        <v>4802</v>
      </c>
      <c r="C694" s="88" t="s">
        <v>4803</v>
      </c>
      <c r="D694" s="161"/>
      <c r="E694" s="161"/>
      <c r="F694" s="161"/>
      <c r="G694" s="161"/>
      <c r="H694" s="161"/>
      <c r="I694" s="162"/>
      <c r="J694" s="161"/>
      <c r="K694" s="161"/>
      <c r="L694" s="162"/>
      <c r="M694" s="161"/>
      <c r="N694" s="161"/>
      <c r="O694" s="87" t="s">
        <v>532</v>
      </c>
      <c r="P694" s="161"/>
      <c r="Q694" s="87" t="s">
        <v>4536</v>
      </c>
      <c r="R694" s="161"/>
      <c r="S694" s="173"/>
      <c r="T694" s="161"/>
      <c r="U694" s="173"/>
      <c r="V694" s="87" t="s">
        <v>285</v>
      </c>
      <c r="W694" s="87" t="s">
        <v>807</v>
      </c>
      <c r="X694" s="87" t="s">
        <v>4804</v>
      </c>
      <c r="Y694" s="99">
        <v>42857.0</v>
      </c>
      <c r="Z694" s="162"/>
      <c r="AA694" s="162"/>
      <c r="AB694" s="173"/>
      <c r="AC694" s="81">
        <v>692.0</v>
      </c>
      <c r="AD694" s="173"/>
      <c r="AE694" s="87" t="s">
        <v>67</v>
      </c>
      <c r="AF694" s="173"/>
      <c r="AG694" s="87" t="s">
        <v>68</v>
      </c>
      <c r="AH694" s="173"/>
      <c r="AI694" s="87">
        <v>8.1263825067E10</v>
      </c>
      <c r="AJ694" s="87" t="s">
        <v>4805</v>
      </c>
      <c r="AK694" s="97" t="s">
        <v>4806</v>
      </c>
      <c r="AL694" s="87" t="s">
        <v>4807</v>
      </c>
      <c r="AM694" s="87" t="s">
        <v>96</v>
      </c>
      <c r="AN694" s="87" t="s">
        <v>97</v>
      </c>
      <c r="AO694" s="87" t="s">
        <v>379</v>
      </c>
      <c r="AP694" s="87" t="s">
        <v>389</v>
      </c>
      <c r="AQ694" s="87">
        <v>0.0</v>
      </c>
      <c r="AR694" s="87">
        <v>0.0</v>
      </c>
    </row>
    <row r="695">
      <c r="A695" s="203">
        <v>47.0</v>
      </c>
      <c r="B695" s="87" t="s">
        <v>4808</v>
      </c>
      <c r="C695" s="88" t="s">
        <v>4809</v>
      </c>
      <c r="D695" s="161"/>
      <c r="E695" s="161"/>
      <c r="F695" s="161"/>
      <c r="G695" s="161"/>
      <c r="H695" s="161"/>
      <c r="I695" s="162"/>
      <c r="J695" s="161"/>
      <c r="K695" s="161"/>
      <c r="L695" s="162"/>
      <c r="M695" s="161"/>
      <c r="N695" s="161"/>
      <c r="O695" s="87" t="s">
        <v>142</v>
      </c>
      <c r="P695" s="161"/>
      <c r="Q695" s="87" t="s">
        <v>4536</v>
      </c>
      <c r="R695" s="161"/>
      <c r="S695" s="173"/>
      <c r="T695" s="161"/>
      <c r="U695" s="173"/>
      <c r="V695" s="87" t="s">
        <v>89</v>
      </c>
      <c r="W695" s="87" t="s">
        <v>1520</v>
      </c>
      <c r="X695" s="87" t="s">
        <v>4810</v>
      </c>
      <c r="Y695" s="94">
        <v>42758.0</v>
      </c>
      <c r="Z695" s="162"/>
      <c r="AA695" s="162"/>
      <c r="AB695" s="173"/>
      <c r="AC695" s="81">
        <v>693.0</v>
      </c>
      <c r="AD695" s="173"/>
      <c r="AE695" s="87" t="s">
        <v>67</v>
      </c>
      <c r="AF695" s="173"/>
      <c r="AG695" s="87" t="s">
        <v>68</v>
      </c>
      <c r="AH695" s="173"/>
      <c r="AI695" s="87">
        <v>8.1360162111E10</v>
      </c>
      <c r="AJ695" s="87" t="s">
        <v>4811</v>
      </c>
      <c r="AK695" s="97" t="s">
        <v>4812</v>
      </c>
      <c r="AL695" s="87" t="s">
        <v>4813</v>
      </c>
      <c r="AM695" s="87" t="s">
        <v>73</v>
      </c>
      <c r="AN695" s="87" t="s">
        <v>481</v>
      </c>
      <c r="AO695" s="87" t="s">
        <v>360</v>
      </c>
      <c r="AP695" s="87" t="s">
        <v>893</v>
      </c>
      <c r="AQ695" s="87">
        <v>0.0</v>
      </c>
      <c r="AR695" s="87">
        <v>0.0</v>
      </c>
    </row>
    <row r="696">
      <c r="A696" s="203">
        <v>48.0</v>
      </c>
      <c r="B696" s="87" t="s">
        <v>4814</v>
      </c>
      <c r="C696" s="88" t="s">
        <v>4815</v>
      </c>
      <c r="D696" s="161"/>
      <c r="E696" s="161"/>
      <c r="F696" s="161"/>
      <c r="G696" s="161"/>
      <c r="H696" s="161"/>
      <c r="I696" s="162"/>
      <c r="J696" s="161"/>
      <c r="K696" s="161"/>
      <c r="L696" s="162"/>
      <c r="M696" s="161"/>
      <c r="N696" s="161"/>
      <c r="O696" s="87" t="s">
        <v>142</v>
      </c>
      <c r="P696" s="161"/>
      <c r="Q696" s="87" t="s">
        <v>4536</v>
      </c>
      <c r="R696" s="161"/>
      <c r="S696" s="173"/>
      <c r="T696" s="161"/>
      <c r="U696" s="173"/>
      <c r="V696" s="87" t="s">
        <v>89</v>
      </c>
      <c r="W696" s="87" t="s">
        <v>4816</v>
      </c>
      <c r="X696" s="87" t="s">
        <v>260</v>
      </c>
      <c r="Y696" s="94">
        <v>38860.0</v>
      </c>
      <c r="Z696" s="162"/>
      <c r="AA696" s="162"/>
      <c r="AB696" s="173"/>
      <c r="AC696" s="81">
        <v>694.0</v>
      </c>
      <c r="AD696" s="173"/>
      <c r="AE696" s="87" t="s">
        <v>67</v>
      </c>
      <c r="AF696" s="173"/>
      <c r="AG696" s="87" t="s">
        <v>130</v>
      </c>
      <c r="AH696" s="173"/>
      <c r="AI696" s="87">
        <v>8.2164877971E10</v>
      </c>
      <c r="AJ696" s="87" t="s">
        <v>4817</v>
      </c>
      <c r="AK696" s="97" t="s">
        <v>4818</v>
      </c>
      <c r="AL696" s="87" t="s">
        <v>4819</v>
      </c>
      <c r="AM696" s="87" t="s">
        <v>96</v>
      </c>
      <c r="AN696" s="87" t="s">
        <v>135</v>
      </c>
      <c r="AO696" s="87" t="s">
        <v>136</v>
      </c>
      <c r="AP696" s="87" t="s">
        <v>1404</v>
      </c>
      <c r="AQ696" s="87">
        <v>0.0</v>
      </c>
      <c r="AR696" s="87">
        <v>0.0</v>
      </c>
    </row>
    <row r="697">
      <c r="A697" s="203">
        <v>49.0</v>
      </c>
      <c r="B697" s="87" t="s">
        <v>4820</v>
      </c>
      <c r="C697" s="88" t="s">
        <v>4821</v>
      </c>
      <c r="D697" s="161"/>
      <c r="E697" s="161"/>
      <c r="F697" s="161"/>
      <c r="G697" s="161"/>
      <c r="H697" s="161"/>
      <c r="I697" s="162"/>
      <c r="J697" s="161"/>
      <c r="K697" s="161"/>
      <c r="L697" s="162"/>
      <c r="M697" s="161"/>
      <c r="N697" s="161"/>
      <c r="O697" s="87" t="s">
        <v>532</v>
      </c>
      <c r="P697" s="161"/>
      <c r="Q697" s="87" t="s">
        <v>4536</v>
      </c>
      <c r="R697" s="161"/>
      <c r="S697" s="173"/>
      <c r="T697" s="161"/>
      <c r="U697" s="173"/>
      <c r="V697" s="87" t="s">
        <v>285</v>
      </c>
      <c r="W697" s="87"/>
      <c r="X697" s="87" t="s">
        <v>4822</v>
      </c>
      <c r="Y697" s="94">
        <v>40294.0</v>
      </c>
      <c r="Z697" s="162"/>
      <c r="AA697" s="162"/>
      <c r="AB697" s="173"/>
      <c r="AC697" s="81">
        <v>695.0</v>
      </c>
      <c r="AD697" s="173"/>
      <c r="AE697" s="87" t="s">
        <v>67</v>
      </c>
      <c r="AF697" s="173"/>
      <c r="AG697" s="87" t="s">
        <v>68</v>
      </c>
      <c r="AH697" s="173"/>
      <c r="AI697" s="87">
        <v>8.2167775055E10</v>
      </c>
      <c r="AJ697" s="87" t="s">
        <v>4823</v>
      </c>
      <c r="AK697" s="97" t="s">
        <v>4824</v>
      </c>
      <c r="AL697" s="87" t="s">
        <v>4825</v>
      </c>
      <c r="AM697" s="87" t="s">
        <v>73</v>
      </c>
      <c r="AN697" s="87" t="s">
        <v>4826</v>
      </c>
      <c r="AO697" s="87" t="s">
        <v>4827</v>
      </c>
      <c r="AP697" s="87" t="s">
        <v>4828</v>
      </c>
      <c r="AQ697" s="87">
        <v>0.0</v>
      </c>
      <c r="AR697" s="87">
        <v>0.0</v>
      </c>
    </row>
    <row r="698">
      <c r="A698" s="203">
        <v>50.0</v>
      </c>
      <c r="B698" s="87" t="s">
        <v>4829</v>
      </c>
      <c r="C698" s="88" t="s">
        <v>4830</v>
      </c>
      <c r="D698" s="161"/>
      <c r="E698" s="161"/>
      <c r="F698" s="161"/>
      <c r="G698" s="161"/>
      <c r="H698" s="161"/>
      <c r="I698" s="162"/>
      <c r="J698" s="161"/>
      <c r="K698" s="161"/>
      <c r="L698" s="162"/>
      <c r="M698" s="161"/>
      <c r="N698" s="161"/>
      <c r="O698" s="87" t="s">
        <v>142</v>
      </c>
      <c r="P698" s="161"/>
      <c r="Q698" s="87" t="s">
        <v>4536</v>
      </c>
      <c r="R698" s="161"/>
      <c r="S698" s="173"/>
      <c r="T698" s="161"/>
      <c r="U698" s="173"/>
      <c r="V698" s="87" t="s">
        <v>89</v>
      </c>
      <c r="W698" s="87" t="s">
        <v>1214</v>
      </c>
      <c r="X698" s="87" t="s">
        <v>4831</v>
      </c>
      <c r="Y698" s="94">
        <v>43661.0</v>
      </c>
      <c r="Z698" s="162"/>
      <c r="AA698" s="162"/>
      <c r="AB698" s="173"/>
      <c r="AC698" s="81">
        <v>696.0</v>
      </c>
      <c r="AD698" s="173"/>
      <c r="AE698" s="87" t="s">
        <v>67</v>
      </c>
      <c r="AF698" s="173"/>
      <c r="AG698" s="87" t="s">
        <v>68</v>
      </c>
      <c r="AH698" s="173"/>
      <c r="AI698" s="87">
        <v>8.1375848013E10</v>
      </c>
      <c r="AJ698" s="87" t="s">
        <v>4832</v>
      </c>
      <c r="AK698" s="97" t="s">
        <v>4833</v>
      </c>
      <c r="AL698" s="87" t="s">
        <v>4834</v>
      </c>
      <c r="AM698" s="87" t="s">
        <v>73</v>
      </c>
      <c r="AN698" s="87" t="s">
        <v>74</v>
      </c>
      <c r="AO698" s="87" t="s">
        <v>178</v>
      </c>
      <c r="AP698" s="87" t="s">
        <v>179</v>
      </c>
      <c r="AQ698" s="87"/>
      <c r="AR698" s="87"/>
    </row>
    <row r="699">
      <c r="A699" s="203">
        <v>51.0</v>
      </c>
      <c r="B699" s="87" t="s">
        <v>4835</v>
      </c>
      <c r="C699" s="88" t="s">
        <v>4836</v>
      </c>
      <c r="D699" s="161"/>
      <c r="E699" s="161"/>
      <c r="F699" s="161"/>
      <c r="G699" s="161"/>
      <c r="H699" s="161"/>
      <c r="I699" s="162"/>
      <c r="J699" s="161"/>
      <c r="K699" s="161"/>
      <c r="L699" s="162"/>
      <c r="M699" s="161"/>
      <c r="N699" s="161"/>
      <c r="O699" s="87" t="s">
        <v>142</v>
      </c>
      <c r="P699" s="161"/>
      <c r="Q699" s="87" t="s">
        <v>4536</v>
      </c>
      <c r="R699" s="161"/>
      <c r="S699" s="173"/>
      <c r="T699" s="161"/>
      <c r="U699" s="173"/>
      <c r="V699" s="87" t="s">
        <v>89</v>
      </c>
      <c r="W699" s="87" t="s">
        <v>218</v>
      </c>
      <c r="X699" s="87" t="s">
        <v>1490</v>
      </c>
      <c r="Y699" s="94">
        <v>42695.0</v>
      </c>
      <c r="Z699" s="162"/>
      <c r="AA699" s="162"/>
      <c r="AB699" s="173"/>
      <c r="AC699" s="81">
        <v>697.0</v>
      </c>
      <c r="AD699" s="173"/>
      <c r="AE699" s="87" t="s">
        <v>67</v>
      </c>
      <c r="AF699" s="173"/>
      <c r="AG699" s="87" t="s">
        <v>68</v>
      </c>
      <c r="AH699" s="173"/>
      <c r="AI699" s="87">
        <v>8.1949260956E10</v>
      </c>
      <c r="AJ699" s="87" t="s">
        <v>4837</v>
      </c>
      <c r="AK699" s="97" t="s">
        <v>4838</v>
      </c>
      <c r="AL699" s="87" t="s">
        <v>4839</v>
      </c>
      <c r="AM699" s="87" t="s">
        <v>96</v>
      </c>
      <c r="AN699" s="87" t="s">
        <v>135</v>
      </c>
      <c r="AO699" s="87" t="s">
        <v>1422</v>
      </c>
      <c r="AP699" s="87" t="s">
        <v>4840</v>
      </c>
      <c r="AQ699" s="87">
        <v>0.0</v>
      </c>
      <c r="AR699" s="87">
        <v>0.0</v>
      </c>
    </row>
    <row r="700">
      <c r="A700" s="203">
        <v>52.0</v>
      </c>
      <c r="B700" s="87" t="s">
        <v>4841</v>
      </c>
      <c r="C700" s="88" t="s">
        <v>4842</v>
      </c>
      <c r="D700" s="161"/>
      <c r="E700" s="161"/>
      <c r="F700" s="161"/>
      <c r="G700" s="161"/>
      <c r="H700" s="161"/>
      <c r="I700" s="162"/>
      <c r="J700" s="161"/>
      <c r="K700" s="161"/>
      <c r="L700" s="162"/>
      <c r="M700" s="161"/>
      <c r="N700" s="161"/>
      <c r="O700" s="87" t="s">
        <v>142</v>
      </c>
      <c r="P700" s="161"/>
      <c r="Q700" s="87" t="s">
        <v>4536</v>
      </c>
      <c r="R700" s="161"/>
      <c r="S700" s="173"/>
      <c r="T700" s="161"/>
      <c r="U700" s="173"/>
      <c r="V700" s="87" t="s">
        <v>89</v>
      </c>
      <c r="W700" s="87" t="s">
        <v>4843</v>
      </c>
      <c r="X700" s="87" t="s">
        <v>4844</v>
      </c>
      <c r="Y700" s="94">
        <v>42721.0</v>
      </c>
      <c r="Z700" s="162"/>
      <c r="AA700" s="162"/>
      <c r="AB700" s="173"/>
      <c r="AC700" s="81">
        <v>698.0</v>
      </c>
      <c r="AD700" s="173"/>
      <c r="AE700" s="87" t="s">
        <v>67</v>
      </c>
      <c r="AF700" s="173"/>
      <c r="AG700" s="87" t="s">
        <v>130</v>
      </c>
      <c r="AH700" s="173"/>
      <c r="AI700" s="87">
        <v>8.9513615802E10</v>
      </c>
      <c r="AJ700" s="87" t="s">
        <v>4845</v>
      </c>
      <c r="AK700" s="97" t="s">
        <v>4846</v>
      </c>
      <c r="AL700" s="87" t="s">
        <v>4847</v>
      </c>
      <c r="AM700" s="87" t="s">
        <v>73</v>
      </c>
      <c r="AN700" s="87" t="s">
        <v>74</v>
      </c>
      <c r="AO700" s="87" t="s">
        <v>191</v>
      </c>
      <c r="AP700" s="87" t="s">
        <v>1558</v>
      </c>
      <c r="AQ700" s="87">
        <v>0.0</v>
      </c>
      <c r="AR700" s="87">
        <v>0.0</v>
      </c>
    </row>
    <row r="701">
      <c r="A701" s="203">
        <v>53.0</v>
      </c>
      <c r="B701" s="87" t="s">
        <v>4848</v>
      </c>
      <c r="C701" s="88" t="s">
        <v>4849</v>
      </c>
      <c r="D701" s="161"/>
      <c r="E701" s="161"/>
      <c r="F701" s="161"/>
      <c r="G701" s="161"/>
      <c r="H701" s="161"/>
      <c r="I701" s="162"/>
      <c r="J701" s="161"/>
      <c r="K701" s="161"/>
      <c r="L701" s="162"/>
      <c r="M701" s="161"/>
      <c r="N701" s="161"/>
      <c r="O701" s="87" t="s">
        <v>142</v>
      </c>
      <c r="P701" s="161"/>
      <c r="Q701" s="87" t="s">
        <v>4536</v>
      </c>
      <c r="R701" s="161"/>
      <c r="S701" s="173"/>
      <c r="T701" s="161"/>
      <c r="U701" s="173"/>
      <c r="V701" s="87" t="s">
        <v>89</v>
      </c>
      <c r="W701" s="87" t="s">
        <v>1214</v>
      </c>
      <c r="X701" s="87" t="s">
        <v>4850</v>
      </c>
      <c r="Y701" s="94">
        <v>42359.0</v>
      </c>
      <c r="Z701" s="162"/>
      <c r="AA701" s="162"/>
      <c r="AB701" s="173"/>
      <c r="AC701" s="81">
        <v>699.0</v>
      </c>
      <c r="AD701" s="173"/>
      <c r="AE701" s="87" t="s">
        <v>67</v>
      </c>
      <c r="AF701" s="173"/>
      <c r="AG701" s="87" t="s">
        <v>68</v>
      </c>
      <c r="AH701" s="173"/>
      <c r="AI701" s="87">
        <v>8.1994148824E10</v>
      </c>
      <c r="AJ701" s="87" t="s">
        <v>4851</v>
      </c>
      <c r="AK701" s="97" t="s">
        <v>4852</v>
      </c>
      <c r="AL701" s="87" t="s">
        <v>4853</v>
      </c>
      <c r="AM701" s="87" t="s">
        <v>73</v>
      </c>
      <c r="AN701" s="87" t="s">
        <v>835</v>
      </c>
      <c r="AO701" s="87" t="s">
        <v>932</v>
      </c>
      <c r="AP701" s="87" t="s">
        <v>1074</v>
      </c>
      <c r="AQ701" s="87">
        <v>0.0</v>
      </c>
      <c r="AR701" s="87">
        <v>0.0</v>
      </c>
    </row>
    <row r="702">
      <c r="A702" s="203">
        <v>54.0</v>
      </c>
      <c r="B702" s="87" t="s">
        <v>4854</v>
      </c>
      <c r="C702" s="88" t="s">
        <v>4855</v>
      </c>
      <c r="D702" s="161"/>
      <c r="E702" s="161"/>
      <c r="F702" s="161"/>
      <c r="G702" s="161"/>
      <c r="H702" s="161"/>
      <c r="I702" s="162"/>
      <c r="J702" s="161"/>
      <c r="K702" s="161"/>
      <c r="L702" s="162"/>
      <c r="M702" s="161"/>
      <c r="N702" s="161"/>
      <c r="O702" s="87" t="s">
        <v>142</v>
      </c>
      <c r="P702" s="161"/>
      <c r="Q702" s="87" t="s">
        <v>4536</v>
      </c>
      <c r="R702" s="161"/>
      <c r="S702" s="173"/>
      <c r="T702" s="161"/>
      <c r="U702" s="173"/>
      <c r="V702" s="87" t="s">
        <v>89</v>
      </c>
      <c r="W702" s="87" t="s">
        <v>90</v>
      </c>
      <c r="X702" s="87" t="s">
        <v>1819</v>
      </c>
      <c r="Y702" s="99">
        <v>42982.0</v>
      </c>
      <c r="Z702" s="162"/>
      <c r="AA702" s="162"/>
      <c r="AB702" s="173"/>
      <c r="AC702" s="81">
        <v>700.0</v>
      </c>
      <c r="AD702" s="173"/>
      <c r="AE702" s="87" t="s">
        <v>67</v>
      </c>
      <c r="AF702" s="173"/>
      <c r="AG702" s="87" t="s">
        <v>130</v>
      </c>
      <c r="AH702" s="173"/>
      <c r="AI702" s="87">
        <v>8.5351689788E10</v>
      </c>
      <c r="AJ702" s="87" t="s">
        <v>4856</v>
      </c>
      <c r="AK702" s="97" t="s">
        <v>4857</v>
      </c>
      <c r="AL702" s="87" t="s">
        <v>4858</v>
      </c>
      <c r="AM702" s="87" t="s">
        <v>73</v>
      </c>
      <c r="AN702" s="87" t="s">
        <v>166</v>
      </c>
      <c r="AO702" s="87" t="s">
        <v>596</v>
      </c>
      <c r="AP702" s="87" t="s">
        <v>4135</v>
      </c>
      <c r="AQ702" s="87">
        <v>0.0</v>
      </c>
      <c r="AR702" s="87">
        <v>0.0</v>
      </c>
    </row>
    <row r="703">
      <c r="A703" s="203">
        <v>55.0</v>
      </c>
      <c r="B703" s="87" t="s">
        <v>4859</v>
      </c>
      <c r="C703" s="88" t="s">
        <v>4860</v>
      </c>
      <c r="D703" s="161"/>
      <c r="E703" s="161"/>
      <c r="F703" s="161"/>
      <c r="G703" s="161"/>
      <c r="H703" s="161"/>
      <c r="I703" s="162"/>
      <c r="J703" s="161"/>
      <c r="K703" s="161"/>
      <c r="L703" s="162"/>
      <c r="M703" s="161"/>
      <c r="N703" s="161"/>
      <c r="O703" s="87" t="s">
        <v>142</v>
      </c>
      <c r="P703" s="161"/>
      <c r="Q703" s="87" t="s">
        <v>4536</v>
      </c>
      <c r="R703" s="161"/>
      <c r="S703" s="173"/>
      <c r="T703" s="161"/>
      <c r="U703" s="173"/>
      <c r="V703" s="87" t="s">
        <v>89</v>
      </c>
      <c r="W703" s="87"/>
      <c r="X703" s="87" t="s">
        <v>1119</v>
      </c>
      <c r="Y703" s="99">
        <v>44810.0</v>
      </c>
      <c r="Z703" s="162"/>
      <c r="AA703" s="162"/>
      <c r="AB703" s="173"/>
      <c r="AC703" s="81">
        <v>701.0</v>
      </c>
      <c r="AD703" s="173"/>
      <c r="AE703" s="87" t="s">
        <v>220</v>
      </c>
      <c r="AF703" s="173"/>
      <c r="AG703" s="87" t="s">
        <v>130</v>
      </c>
      <c r="AH703" s="173"/>
      <c r="AI703" s="87">
        <v>8.7769000873E10</v>
      </c>
      <c r="AJ703" s="87" t="s">
        <v>4861</v>
      </c>
      <c r="AK703" s="97" t="s">
        <v>4862</v>
      </c>
      <c r="AL703" s="87" t="s">
        <v>4863</v>
      </c>
      <c r="AM703" s="87" t="s">
        <v>73</v>
      </c>
      <c r="AN703" s="87" t="s">
        <v>74</v>
      </c>
      <c r="AO703" s="87" t="s">
        <v>203</v>
      </c>
      <c r="AP703" s="87" t="s">
        <v>575</v>
      </c>
      <c r="AQ703" s="87" t="s">
        <v>77</v>
      </c>
      <c r="AR703" s="87" t="s">
        <v>77</v>
      </c>
    </row>
    <row r="704">
      <c r="A704" s="203">
        <v>56.0</v>
      </c>
      <c r="B704" s="87" t="s">
        <v>4864</v>
      </c>
      <c r="C704" s="88" t="s">
        <v>4865</v>
      </c>
      <c r="D704" s="161"/>
      <c r="E704" s="161"/>
      <c r="F704" s="161"/>
      <c r="G704" s="161"/>
      <c r="H704" s="161"/>
      <c r="I704" s="162"/>
      <c r="J704" s="161"/>
      <c r="K704" s="161"/>
      <c r="L704" s="162"/>
      <c r="M704" s="161"/>
      <c r="N704" s="161"/>
      <c r="O704" s="87" t="s">
        <v>532</v>
      </c>
      <c r="P704" s="161"/>
      <c r="Q704" s="87" t="s">
        <v>4536</v>
      </c>
      <c r="R704" s="161"/>
      <c r="S704" s="173"/>
      <c r="T704" s="161"/>
      <c r="U704" s="173"/>
      <c r="V704" s="87" t="s">
        <v>285</v>
      </c>
      <c r="W704" s="87"/>
      <c r="X704" s="87" t="s">
        <v>4866</v>
      </c>
      <c r="Y704" s="94">
        <v>39613.0</v>
      </c>
      <c r="Z704" s="162"/>
      <c r="AA704" s="162"/>
      <c r="AB704" s="173"/>
      <c r="AC704" s="81">
        <v>702.0</v>
      </c>
      <c r="AD704" s="173"/>
      <c r="AE704" s="87" t="s">
        <v>67</v>
      </c>
      <c r="AF704" s="173"/>
      <c r="AG704" s="87" t="s">
        <v>130</v>
      </c>
      <c r="AH704" s="173"/>
      <c r="AI704" s="87">
        <v>8.216124184E10</v>
      </c>
      <c r="AJ704" s="87" t="s">
        <v>4867</v>
      </c>
      <c r="AK704" s="97" t="s">
        <v>4868</v>
      </c>
      <c r="AL704" s="87" t="s">
        <v>4869</v>
      </c>
      <c r="AM704" s="87" t="s">
        <v>73</v>
      </c>
      <c r="AN704" s="87" t="s">
        <v>74</v>
      </c>
      <c r="AO704" s="87" t="s">
        <v>932</v>
      </c>
      <c r="AP704" s="87" t="s">
        <v>933</v>
      </c>
      <c r="AQ704" s="87" t="s">
        <v>77</v>
      </c>
      <c r="AR704" s="87" t="s">
        <v>77</v>
      </c>
    </row>
    <row r="705">
      <c r="A705" s="203">
        <v>57.0</v>
      </c>
      <c r="B705" s="87" t="s">
        <v>4870</v>
      </c>
      <c r="C705" s="88" t="s">
        <v>4871</v>
      </c>
      <c r="D705" s="161"/>
      <c r="E705" s="161"/>
      <c r="F705" s="161"/>
      <c r="G705" s="161"/>
      <c r="H705" s="161"/>
      <c r="I705" s="162"/>
      <c r="J705" s="161"/>
      <c r="K705" s="161"/>
      <c r="L705" s="162"/>
      <c r="M705" s="161"/>
      <c r="N705" s="161"/>
      <c r="O705" s="87" t="s">
        <v>532</v>
      </c>
      <c r="P705" s="161"/>
      <c r="Q705" s="87" t="s">
        <v>4536</v>
      </c>
      <c r="R705" s="161"/>
      <c r="S705" s="173"/>
      <c r="T705" s="161"/>
      <c r="U705" s="173"/>
      <c r="V705" s="87" t="s">
        <v>285</v>
      </c>
      <c r="W705" s="87" t="s">
        <v>4872</v>
      </c>
      <c r="X705" s="87" t="s">
        <v>4873</v>
      </c>
      <c r="Y705" s="94">
        <v>32641.0</v>
      </c>
      <c r="Z705" s="162"/>
      <c r="AA705" s="162"/>
      <c r="AB705" s="173"/>
      <c r="AC705" s="81">
        <v>703.0</v>
      </c>
      <c r="AD705" s="173"/>
      <c r="AE705" s="87" t="s">
        <v>67</v>
      </c>
      <c r="AF705" s="173"/>
      <c r="AG705" s="87" t="s">
        <v>68</v>
      </c>
      <c r="AH705" s="173"/>
      <c r="AI705" s="87">
        <v>8.5362486303E10</v>
      </c>
      <c r="AJ705" s="87" t="s">
        <v>4874</v>
      </c>
      <c r="AK705" s="97" t="s">
        <v>4875</v>
      </c>
      <c r="AL705" s="87" t="s">
        <v>4876</v>
      </c>
      <c r="AM705" s="87" t="s">
        <v>96</v>
      </c>
      <c r="AN705" s="87" t="s">
        <v>135</v>
      </c>
      <c r="AO705" s="87" t="s">
        <v>292</v>
      </c>
      <c r="AP705" s="87" t="s">
        <v>4877</v>
      </c>
      <c r="AQ705" s="87"/>
      <c r="AR705" s="87"/>
    </row>
    <row r="706">
      <c r="A706" s="118"/>
      <c r="B706" s="125"/>
      <c r="C706" s="117"/>
      <c r="D706" s="118"/>
      <c r="E706" s="118"/>
      <c r="F706" s="118"/>
      <c r="G706" s="118"/>
      <c r="H706" s="126"/>
      <c r="I706" s="125"/>
      <c r="J706" s="110"/>
      <c r="K706" s="110"/>
      <c r="L706" s="127"/>
      <c r="M706" s="128"/>
      <c r="N706" s="118"/>
      <c r="O706" s="127"/>
      <c r="P706" s="118"/>
      <c r="Q706" s="127"/>
      <c r="R706" s="126"/>
      <c r="S706" s="116"/>
      <c r="T706" s="129"/>
      <c r="U706" s="116"/>
      <c r="V706" s="127"/>
      <c r="W706" s="127"/>
      <c r="X706" s="127"/>
      <c r="Y706" s="130"/>
      <c r="Z706" s="116"/>
      <c r="AA706" s="131"/>
      <c r="AB706" s="131"/>
      <c r="AC706" s="81">
        <v>704.0</v>
      </c>
      <c r="AD706" s="127"/>
      <c r="AE706" s="127"/>
      <c r="AF706" s="127"/>
      <c r="AG706" s="127"/>
      <c r="AH706" s="127"/>
      <c r="AI706" s="127"/>
      <c r="AJ706" s="127"/>
      <c r="AK706" s="43"/>
      <c r="AL706" s="127"/>
      <c r="AM706" s="127"/>
      <c r="AN706" s="127"/>
      <c r="AO706" s="127"/>
      <c r="AP706" s="127"/>
      <c r="AQ706" s="127"/>
      <c r="AR706" s="127"/>
    </row>
    <row r="707">
      <c r="A707" s="12" t="s">
        <v>4878</v>
      </c>
      <c r="B707" s="116"/>
      <c r="C707" s="117"/>
      <c r="D707" s="118"/>
      <c r="E707" s="118"/>
      <c r="F707" s="118"/>
      <c r="G707" s="118"/>
      <c r="H707" s="118"/>
      <c r="I707" s="116"/>
      <c r="J707" s="118"/>
      <c r="K707" s="118"/>
      <c r="L707" s="116"/>
      <c r="M707" s="118"/>
      <c r="N707" s="118"/>
      <c r="O707" s="116"/>
      <c r="P707" s="118"/>
      <c r="Q707" s="116"/>
      <c r="R707" s="118"/>
      <c r="S707" s="116"/>
      <c r="T707" s="118"/>
      <c r="U707" s="116"/>
      <c r="V707" s="116"/>
      <c r="W707" s="116"/>
      <c r="X707" s="116"/>
      <c r="Y707" s="116"/>
      <c r="Z707" s="116"/>
      <c r="AA707" s="116"/>
      <c r="AB707" s="116"/>
      <c r="AC707" s="81">
        <v>705.0</v>
      </c>
      <c r="AD707" s="119"/>
      <c r="AE707" s="119"/>
      <c r="AF707" s="119"/>
      <c r="AG707" s="119"/>
      <c r="AH707" s="119"/>
      <c r="AI707" s="119"/>
      <c r="AJ707" s="119"/>
      <c r="AK707" s="29"/>
      <c r="AL707" s="119"/>
      <c r="AM707" s="119"/>
      <c r="AN707" s="119"/>
      <c r="AO707" s="119"/>
      <c r="AP707" s="119"/>
      <c r="AQ707" s="119"/>
      <c r="AR707" s="119"/>
    </row>
    <row r="708">
      <c r="A708" s="21">
        <f>SUM(A706+1)</f>
        <v>1</v>
      </c>
      <c r="B708" s="21" t="s">
        <v>4879</v>
      </c>
      <c r="C708" s="31" t="s">
        <v>4880</v>
      </c>
      <c r="D708" s="23">
        <v>12.0</v>
      </c>
      <c r="E708" s="23">
        <v>5.0</v>
      </c>
      <c r="F708" s="23" t="s">
        <v>50</v>
      </c>
      <c r="G708" s="23" t="s">
        <v>51</v>
      </c>
      <c r="H708" s="32">
        <v>40179.0</v>
      </c>
      <c r="I708" s="21" t="s">
        <v>82</v>
      </c>
      <c r="J708" s="21" t="s">
        <v>83</v>
      </c>
      <c r="K708" s="21" t="s">
        <v>228</v>
      </c>
      <c r="L708" s="21" t="s">
        <v>105</v>
      </c>
      <c r="M708" s="33">
        <v>44652.0</v>
      </c>
      <c r="N708" s="23" t="s">
        <v>56</v>
      </c>
      <c r="O708" s="21" t="s">
        <v>4881</v>
      </c>
      <c r="P708" s="23" t="s">
        <v>107</v>
      </c>
      <c r="Q708" s="21" t="s">
        <v>4882</v>
      </c>
      <c r="R708" s="32">
        <v>45628.0</v>
      </c>
      <c r="S708" s="23" t="s">
        <v>2571</v>
      </c>
      <c r="T708" s="35"/>
      <c r="U708" s="23" t="s">
        <v>88</v>
      </c>
      <c r="V708" s="21" t="s">
        <v>159</v>
      </c>
      <c r="W708" s="21" t="s">
        <v>4883</v>
      </c>
      <c r="X708" s="21" t="s">
        <v>4884</v>
      </c>
      <c r="Y708" s="21" t="s">
        <v>4885</v>
      </c>
      <c r="Z708" s="187"/>
      <c r="AA708" s="32">
        <v>51877.0</v>
      </c>
      <c r="AB708" s="35"/>
      <c r="AC708" s="23">
        <v>243.0</v>
      </c>
      <c r="AD708" s="21" t="s">
        <v>66</v>
      </c>
      <c r="AE708" s="21" t="s">
        <v>67</v>
      </c>
      <c r="AF708" s="187"/>
      <c r="AG708" s="21" t="s">
        <v>68</v>
      </c>
      <c r="AH708" s="21" t="s">
        <v>246</v>
      </c>
      <c r="AI708" s="21">
        <v>8.1360503224E10</v>
      </c>
      <c r="AJ708" s="21" t="s">
        <v>4886</v>
      </c>
      <c r="AK708" s="21" t="s">
        <v>4887</v>
      </c>
      <c r="AL708" s="21" t="s">
        <v>4888</v>
      </c>
      <c r="AM708" s="21" t="s">
        <v>96</v>
      </c>
      <c r="AN708" s="21" t="s">
        <v>135</v>
      </c>
      <c r="AO708" s="21" t="s">
        <v>1576</v>
      </c>
      <c r="AP708" s="21" t="s">
        <v>4889</v>
      </c>
      <c r="AQ708" s="37"/>
      <c r="AR708" s="37"/>
    </row>
    <row r="709">
      <c r="A709" s="21">
        <f t="shared" ref="A709:A712" si="11">SUM(A708+1)</f>
        <v>2</v>
      </c>
      <c r="B709" s="21" t="s">
        <v>4890</v>
      </c>
      <c r="C709" s="31" t="s">
        <v>4891</v>
      </c>
      <c r="D709" s="23">
        <v>26.0</v>
      </c>
      <c r="E709" s="23">
        <v>1.0</v>
      </c>
      <c r="F709" s="23" t="s">
        <v>171</v>
      </c>
      <c r="G709" s="23" t="s">
        <v>172</v>
      </c>
      <c r="H709" s="32">
        <v>37165.0</v>
      </c>
      <c r="I709" s="21" t="s">
        <v>82</v>
      </c>
      <c r="J709" s="21" t="s">
        <v>83</v>
      </c>
      <c r="K709" s="21" t="s">
        <v>228</v>
      </c>
      <c r="L709" s="21" t="s">
        <v>105</v>
      </c>
      <c r="M709" s="33">
        <v>44652.0</v>
      </c>
      <c r="N709" s="23" t="s">
        <v>56</v>
      </c>
      <c r="O709" s="21" t="s">
        <v>4892</v>
      </c>
      <c r="P709" s="23" t="s">
        <v>3549</v>
      </c>
      <c r="Q709" s="21" t="s">
        <v>4893</v>
      </c>
      <c r="R709" s="32">
        <v>46076.0</v>
      </c>
      <c r="S709" s="23" t="s">
        <v>87</v>
      </c>
      <c r="T709" s="35"/>
      <c r="U709" s="23" t="s">
        <v>88</v>
      </c>
      <c r="V709" s="21" t="s">
        <v>89</v>
      </c>
      <c r="W709" s="187"/>
      <c r="X709" s="21" t="s">
        <v>4894</v>
      </c>
      <c r="Y709" s="21" t="s">
        <v>2787</v>
      </c>
      <c r="Z709" s="210"/>
      <c r="AA709" s="32">
        <v>46757.0</v>
      </c>
      <c r="AB709" s="35"/>
      <c r="AC709" s="23">
        <v>244.0</v>
      </c>
      <c r="AD709" s="21" t="s">
        <v>66</v>
      </c>
      <c r="AE709" s="21" t="s">
        <v>67</v>
      </c>
      <c r="AF709" s="21" t="s">
        <v>92</v>
      </c>
      <c r="AG709" s="21" t="s">
        <v>68</v>
      </c>
      <c r="AH709" s="21" t="s">
        <v>131</v>
      </c>
      <c r="AI709" s="21">
        <v>8.13770577E10</v>
      </c>
      <c r="AJ709" s="21" t="s">
        <v>4895</v>
      </c>
      <c r="AK709" s="21" t="s">
        <v>4896</v>
      </c>
      <c r="AL709" s="21" t="s">
        <v>4897</v>
      </c>
      <c r="AM709" s="21" t="s">
        <v>96</v>
      </c>
      <c r="AN709" s="21" t="s">
        <v>135</v>
      </c>
      <c r="AO709" s="21" t="s">
        <v>4898</v>
      </c>
      <c r="AP709" s="21" t="s">
        <v>2380</v>
      </c>
      <c r="AQ709" s="37"/>
      <c r="AR709" s="37"/>
    </row>
    <row r="710">
      <c r="A710" s="21">
        <f t="shared" si="11"/>
        <v>3</v>
      </c>
      <c r="B710" s="39" t="s">
        <v>4899</v>
      </c>
      <c r="C710" s="62" t="s">
        <v>4900</v>
      </c>
      <c r="D710" s="39">
        <v>16.0</v>
      </c>
      <c r="E710" s="39">
        <v>3.0</v>
      </c>
      <c r="F710" s="39" t="s">
        <v>80</v>
      </c>
      <c r="G710" s="39" t="s">
        <v>81</v>
      </c>
      <c r="H710" s="63">
        <v>39873.0</v>
      </c>
      <c r="I710" s="39" t="s">
        <v>82</v>
      </c>
      <c r="J710" s="39" t="s">
        <v>83</v>
      </c>
      <c r="K710" s="39" t="s">
        <v>408</v>
      </c>
      <c r="L710" s="39" t="s">
        <v>88</v>
      </c>
      <c r="M710" s="63">
        <v>44287.0</v>
      </c>
      <c r="N710" s="39" t="s">
        <v>141</v>
      </c>
      <c r="O710" s="39" t="s">
        <v>229</v>
      </c>
      <c r="P710" s="64"/>
      <c r="Q710" s="39" t="s">
        <v>59</v>
      </c>
      <c r="R710" s="63">
        <v>45292.0</v>
      </c>
      <c r="S710" s="39" t="s">
        <v>143</v>
      </c>
      <c r="T710" s="64"/>
      <c r="U710" s="39" t="s">
        <v>144</v>
      </c>
      <c r="V710" s="39" t="s">
        <v>89</v>
      </c>
      <c r="W710" s="39" t="s">
        <v>2710</v>
      </c>
      <c r="X710" s="39" t="s">
        <v>4901</v>
      </c>
      <c r="Y710" s="39" t="s">
        <v>4902</v>
      </c>
      <c r="Z710" s="65"/>
      <c r="AA710" s="63">
        <v>49677.0</v>
      </c>
      <c r="AB710" s="64"/>
      <c r="AC710" s="23">
        <v>245.0</v>
      </c>
      <c r="AD710" s="39" t="s">
        <v>66</v>
      </c>
      <c r="AE710" s="39" t="s">
        <v>67</v>
      </c>
      <c r="AF710" s="39" t="s">
        <v>129</v>
      </c>
      <c r="AG710" s="39" t="s">
        <v>68</v>
      </c>
      <c r="AH710" s="39" t="s">
        <v>69</v>
      </c>
      <c r="AI710" s="39">
        <v>8.13657074E10</v>
      </c>
      <c r="AJ710" s="39" t="s">
        <v>4903</v>
      </c>
      <c r="AK710" s="39" t="s">
        <v>4904</v>
      </c>
      <c r="AL710" s="39" t="s">
        <v>4905</v>
      </c>
      <c r="AM710" s="39" t="s">
        <v>96</v>
      </c>
      <c r="AN710" s="65"/>
      <c r="AO710" s="39" t="s">
        <v>360</v>
      </c>
      <c r="AP710" s="39" t="s">
        <v>666</v>
      </c>
      <c r="AQ710" s="64"/>
      <c r="AR710" s="64"/>
    </row>
    <row r="711">
      <c r="A711" s="21">
        <f t="shared" si="11"/>
        <v>4</v>
      </c>
      <c r="B711" s="39" t="s">
        <v>4906</v>
      </c>
      <c r="C711" s="62" t="s">
        <v>4907</v>
      </c>
      <c r="D711" s="39">
        <v>17.0</v>
      </c>
      <c r="E711" s="39">
        <v>6.0</v>
      </c>
      <c r="F711" s="39" t="s">
        <v>4908</v>
      </c>
      <c r="G711" s="39" t="s">
        <v>4909</v>
      </c>
      <c r="H711" s="63">
        <v>39448.0</v>
      </c>
      <c r="I711" s="39" t="s">
        <v>80</v>
      </c>
      <c r="J711" s="39" t="s">
        <v>81</v>
      </c>
      <c r="K711" s="39" t="s">
        <v>1399</v>
      </c>
      <c r="L711" s="39" t="s">
        <v>105</v>
      </c>
      <c r="M711" s="63">
        <v>44835.0</v>
      </c>
      <c r="N711" s="39" t="s">
        <v>141</v>
      </c>
      <c r="O711" s="39" t="s">
        <v>173</v>
      </c>
      <c r="P711" s="64"/>
      <c r="Q711" s="39" t="s">
        <v>59</v>
      </c>
      <c r="R711" s="63">
        <v>45292.0</v>
      </c>
      <c r="S711" s="39" t="s">
        <v>143</v>
      </c>
      <c r="T711" s="64"/>
      <c r="U711" s="39" t="s">
        <v>144</v>
      </c>
      <c r="V711" s="39" t="s">
        <v>89</v>
      </c>
      <c r="W711" s="39" t="s">
        <v>218</v>
      </c>
      <c r="X711" s="39" t="s">
        <v>4161</v>
      </c>
      <c r="Y711" s="39" t="s">
        <v>4910</v>
      </c>
      <c r="Z711" s="39" t="s">
        <v>114</v>
      </c>
      <c r="AA711" s="63">
        <v>50408.0</v>
      </c>
      <c r="AB711" s="64"/>
      <c r="AC711" s="23">
        <v>246.0</v>
      </c>
      <c r="AD711" s="39" t="s">
        <v>66</v>
      </c>
      <c r="AE711" s="39" t="s">
        <v>67</v>
      </c>
      <c r="AF711" s="39" t="s">
        <v>92</v>
      </c>
      <c r="AG711" s="39" t="s">
        <v>68</v>
      </c>
      <c r="AH711" s="39" t="s">
        <v>69</v>
      </c>
      <c r="AI711" s="39">
        <v>8.1260655177E10</v>
      </c>
      <c r="AJ711" s="39" t="s">
        <v>4911</v>
      </c>
      <c r="AK711" s="39" t="s">
        <v>4912</v>
      </c>
      <c r="AL711" s="39" t="s">
        <v>4913</v>
      </c>
      <c r="AM711" s="39" t="s">
        <v>96</v>
      </c>
      <c r="AN711" s="39" t="s">
        <v>97</v>
      </c>
      <c r="AO711" s="39" t="s">
        <v>1030</v>
      </c>
      <c r="AP711" s="39" t="s">
        <v>4914</v>
      </c>
      <c r="AQ711" s="39">
        <v>1.0</v>
      </c>
      <c r="AR711" s="39">
        <v>1.0</v>
      </c>
    </row>
    <row r="712">
      <c r="A712" s="21">
        <f t="shared" si="11"/>
        <v>5</v>
      </c>
      <c r="B712" s="49" t="s">
        <v>4915</v>
      </c>
      <c r="C712" s="211" t="s">
        <v>4916</v>
      </c>
      <c r="D712" s="49">
        <v>0.0</v>
      </c>
      <c r="E712" s="49">
        <v>0.0</v>
      </c>
      <c r="F712" s="49" t="s">
        <v>80</v>
      </c>
      <c r="G712" s="49" t="s">
        <v>81</v>
      </c>
      <c r="H712" s="146">
        <v>45778.0</v>
      </c>
      <c r="I712" s="49" t="s">
        <v>80</v>
      </c>
      <c r="J712" s="49" t="s">
        <v>81</v>
      </c>
      <c r="K712" s="49" t="s">
        <v>240</v>
      </c>
      <c r="L712" s="49" t="s">
        <v>105</v>
      </c>
      <c r="M712" s="146">
        <v>45778.0</v>
      </c>
      <c r="N712" s="49" t="s">
        <v>141</v>
      </c>
      <c r="O712" s="49" t="s">
        <v>1670</v>
      </c>
      <c r="P712" s="212"/>
      <c r="Q712" s="49" t="s">
        <v>4882</v>
      </c>
      <c r="R712" s="146">
        <v>45778.0</v>
      </c>
      <c r="S712" s="49" t="s">
        <v>242</v>
      </c>
      <c r="T712" s="212"/>
      <c r="U712" s="49" t="s">
        <v>105</v>
      </c>
      <c r="V712" s="49" t="s">
        <v>89</v>
      </c>
      <c r="W712" s="49" t="s">
        <v>230</v>
      </c>
      <c r="X712" s="49" t="s">
        <v>2064</v>
      </c>
      <c r="Y712" s="49" t="s">
        <v>4917</v>
      </c>
      <c r="Z712" s="212"/>
      <c r="AA712" s="146">
        <v>55522.0</v>
      </c>
      <c r="AB712" s="212"/>
      <c r="AC712" s="23">
        <v>247.0</v>
      </c>
      <c r="AD712" s="49" t="s">
        <v>5</v>
      </c>
      <c r="AE712" s="49" t="s">
        <v>220</v>
      </c>
      <c r="AF712" s="49" t="s">
        <v>92</v>
      </c>
      <c r="AG712" s="49" t="s">
        <v>130</v>
      </c>
      <c r="AH712" s="49" t="s">
        <v>69</v>
      </c>
      <c r="AI712" s="49">
        <v>8.2226769757E10</v>
      </c>
      <c r="AJ712" s="49" t="s">
        <v>4918</v>
      </c>
      <c r="AK712" s="49" t="s">
        <v>4919</v>
      </c>
      <c r="AL712" s="49" t="s">
        <v>4920</v>
      </c>
      <c r="AM712" s="49" t="s">
        <v>73</v>
      </c>
      <c r="AN712" s="49" t="s">
        <v>74</v>
      </c>
      <c r="AO712" s="49" t="s">
        <v>1291</v>
      </c>
      <c r="AP712" s="49" t="s">
        <v>4921</v>
      </c>
      <c r="AQ712" s="212"/>
      <c r="AR712" s="212"/>
    </row>
    <row r="713">
      <c r="A713" s="75">
        <v>7.0</v>
      </c>
      <c r="B713" s="72" t="s">
        <v>4922</v>
      </c>
      <c r="C713" s="73" t="s">
        <v>4923</v>
      </c>
      <c r="D713" s="74"/>
      <c r="E713" s="74"/>
      <c r="F713" s="74"/>
      <c r="G713" s="75" t="s">
        <v>531</v>
      </c>
      <c r="H713" s="76">
        <v>45901.0</v>
      </c>
      <c r="I713" s="77"/>
      <c r="J713" s="74"/>
      <c r="K713" s="75" t="s">
        <v>518</v>
      </c>
      <c r="L713" s="72" t="s">
        <v>105</v>
      </c>
      <c r="M713" s="76">
        <v>45901.0</v>
      </c>
      <c r="N713" s="74"/>
      <c r="O713" s="72" t="s">
        <v>532</v>
      </c>
      <c r="P713" s="74"/>
      <c r="Q713" s="72" t="s">
        <v>4882</v>
      </c>
      <c r="R713" s="76">
        <v>45901.0</v>
      </c>
      <c r="S713" s="72" t="s">
        <v>518</v>
      </c>
      <c r="T713" s="78">
        <v>45826.0</v>
      </c>
      <c r="U713" s="72" t="s">
        <v>144</v>
      </c>
      <c r="V713" s="72" t="s">
        <v>285</v>
      </c>
      <c r="W713" s="72" t="s">
        <v>541</v>
      </c>
      <c r="X713" s="72" t="s">
        <v>4924</v>
      </c>
      <c r="Y713" s="84">
        <v>41418.0</v>
      </c>
      <c r="Z713" s="77"/>
      <c r="AA713" s="77"/>
      <c r="AB713" s="77"/>
      <c r="AC713" s="81">
        <v>712.0</v>
      </c>
      <c r="AD713" s="72" t="s">
        <v>522</v>
      </c>
      <c r="AE713" s="72" t="s">
        <v>67</v>
      </c>
      <c r="AF713" s="72" t="s">
        <v>92</v>
      </c>
      <c r="AG713" s="72" t="s">
        <v>68</v>
      </c>
      <c r="AH713" s="77"/>
      <c r="AI713" s="72">
        <v>8.1350406066E10</v>
      </c>
      <c r="AJ713" s="82" t="s">
        <v>4925</v>
      </c>
      <c r="AK713" s="85" t="s">
        <v>4926</v>
      </c>
      <c r="AL713" s="72" t="s">
        <v>4927</v>
      </c>
      <c r="AM713" s="82" t="s">
        <v>2265</v>
      </c>
      <c r="AN713" s="82" t="s">
        <v>97</v>
      </c>
      <c r="AO713" s="82" t="s">
        <v>4928</v>
      </c>
      <c r="AP713" s="82" t="s">
        <v>4929</v>
      </c>
      <c r="AQ713" s="77"/>
      <c r="AR713" s="77"/>
    </row>
    <row r="714">
      <c r="A714" s="75">
        <v>8.0</v>
      </c>
      <c r="B714" s="72" t="s">
        <v>4930</v>
      </c>
      <c r="C714" s="73" t="s">
        <v>4931</v>
      </c>
      <c r="D714" s="74"/>
      <c r="E714" s="74"/>
      <c r="F714" s="74"/>
      <c r="G714" s="75" t="s">
        <v>517</v>
      </c>
      <c r="H714" s="76">
        <v>45901.0</v>
      </c>
      <c r="I714" s="77"/>
      <c r="J714" s="74"/>
      <c r="K714" s="75" t="s">
        <v>518</v>
      </c>
      <c r="L714" s="72" t="s">
        <v>105</v>
      </c>
      <c r="M714" s="76">
        <v>45901.0</v>
      </c>
      <c r="N714" s="74"/>
      <c r="O714" s="72" t="s">
        <v>519</v>
      </c>
      <c r="P714" s="74"/>
      <c r="Q714" s="72" t="s">
        <v>4882</v>
      </c>
      <c r="R714" s="76">
        <v>45901.0</v>
      </c>
      <c r="S714" s="72" t="s">
        <v>518</v>
      </c>
      <c r="T714" s="78">
        <v>45826.0</v>
      </c>
      <c r="U714" s="72" t="s">
        <v>144</v>
      </c>
      <c r="V714" s="72" t="s">
        <v>267</v>
      </c>
      <c r="W714" s="72" t="s">
        <v>4932</v>
      </c>
      <c r="X714" s="72" t="s">
        <v>244</v>
      </c>
      <c r="Y714" s="79">
        <v>35646.0</v>
      </c>
      <c r="Z714" s="77"/>
      <c r="AA714" s="77"/>
      <c r="AB714" s="77"/>
      <c r="AC714" s="81">
        <v>713.0</v>
      </c>
      <c r="AD714" s="72" t="s">
        <v>522</v>
      </c>
      <c r="AE714" s="72" t="s">
        <v>67</v>
      </c>
      <c r="AF714" s="72" t="s">
        <v>92</v>
      </c>
      <c r="AG714" s="72" t="s">
        <v>130</v>
      </c>
      <c r="AH714" s="77"/>
      <c r="AI714" s="72">
        <v>8.5767801942E10</v>
      </c>
      <c r="AJ714" s="82" t="s">
        <v>4933</v>
      </c>
      <c r="AK714" s="85" t="s">
        <v>4934</v>
      </c>
      <c r="AL714" s="72" t="s">
        <v>4935</v>
      </c>
      <c r="AM714" s="82" t="s">
        <v>2265</v>
      </c>
      <c r="AN714" s="82" t="s">
        <v>97</v>
      </c>
      <c r="AO714" s="82" t="s">
        <v>1576</v>
      </c>
      <c r="AP714" s="82" t="s">
        <v>4936</v>
      </c>
      <c r="AQ714" s="77"/>
      <c r="AR714" s="77"/>
    </row>
    <row r="715">
      <c r="A715" s="89">
        <v>9.0</v>
      </c>
      <c r="B715" s="87" t="s">
        <v>4937</v>
      </c>
      <c r="C715" s="88" t="s">
        <v>4938</v>
      </c>
      <c r="D715" s="161"/>
      <c r="E715" s="161"/>
      <c r="F715" s="161"/>
      <c r="G715" s="161"/>
      <c r="H715" s="161"/>
      <c r="I715" s="162"/>
      <c r="J715" s="89"/>
      <c r="K715" s="89"/>
      <c r="L715" s="90"/>
      <c r="M715" s="91"/>
      <c r="N715" s="161"/>
      <c r="O715" s="87" t="s">
        <v>142</v>
      </c>
      <c r="P715" s="161"/>
      <c r="Q715" s="87" t="s">
        <v>4882</v>
      </c>
      <c r="R715" s="91"/>
      <c r="S715" s="90"/>
      <c r="T715" s="93"/>
      <c r="U715" s="90"/>
      <c r="V715" s="87" t="s">
        <v>89</v>
      </c>
      <c r="W715" s="87" t="s">
        <v>218</v>
      </c>
      <c r="X715" s="87" t="s">
        <v>4939</v>
      </c>
      <c r="Y715" s="99">
        <v>40856.0</v>
      </c>
      <c r="Z715" s="163"/>
      <c r="AA715" s="163"/>
      <c r="AB715" s="163"/>
      <c r="AC715" s="81">
        <v>714.0</v>
      </c>
      <c r="AD715" s="90"/>
      <c r="AE715" s="87" t="s">
        <v>220</v>
      </c>
      <c r="AF715" s="162"/>
      <c r="AG715" s="87" t="s">
        <v>130</v>
      </c>
      <c r="AH715" s="87"/>
      <c r="AI715" s="87">
        <v>8.1231111524E10</v>
      </c>
      <c r="AJ715" s="87" t="s">
        <v>4940</v>
      </c>
      <c r="AK715" s="97" t="s">
        <v>4941</v>
      </c>
      <c r="AL715" s="87" t="s">
        <v>4942</v>
      </c>
      <c r="AM715" s="87" t="s">
        <v>96</v>
      </c>
      <c r="AN715" s="87" t="s">
        <v>135</v>
      </c>
      <c r="AO715" s="87" t="s">
        <v>213</v>
      </c>
      <c r="AP715" s="87" t="s">
        <v>4943</v>
      </c>
      <c r="AQ715" s="87"/>
      <c r="AR715" s="87"/>
    </row>
    <row r="716">
      <c r="A716" s="89">
        <v>10.0</v>
      </c>
      <c r="B716" s="87" t="s">
        <v>4944</v>
      </c>
      <c r="C716" s="88" t="s">
        <v>4945</v>
      </c>
      <c r="D716" s="161"/>
      <c r="E716" s="161"/>
      <c r="F716" s="161"/>
      <c r="G716" s="161"/>
      <c r="H716" s="161"/>
      <c r="I716" s="162"/>
      <c r="J716" s="161"/>
      <c r="K716" s="161"/>
      <c r="L716" s="162"/>
      <c r="M716" s="213"/>
      <c r="N716" s="161"/>
      <c r="O716" s="87" t="s">
        <v>532</v>
      </c>
      <c r="P716" s="161"/>
      <c r="Q716" s="87" t="s">
        <v>4882</v>
      </c>
      <c r="R716" s="213"/>
      <c r="S716" s="162"/>
      <c r="T716" s="213"/>
      <c r="U716" s="162"/>
      <c r="V716" s="87" t="s">
        <v>285</v>
      </c>
      <c r="W716" s="87" t="s">
        <v>1035</v>
      </c>
      <c r="X716" s="87" t="s">
        <v>4946</v>
      </c>
      <c r="Y716" s="94">
        <v>40294.0</v>
      </c>
      <c r="Z716" s="162"/>
      <c r="AA716" s="163"/>
      <c r="AB716" s="163"/>
      <c r="AC716" s="81">
        <v>715.0</v>
      </c>
      <c r="AD716" s="163"/>
      <c r="AE716" s="87" t="s">
        <v>67</v>
      </c>
      <c r="AF716" s="163"/>
      <c r="AG716" s="87" t="s">
        <v>68</v>
      </c>
      <c r="AH716" s="87"/>
      <c r="AI716" s="87">
        <v>8.5372991926E10</v>
      </c>
      <c r="AJ716" s="87" t="s">
        <v>4947</v>
      </c>
      <c r="AK716" s="97" t="s">
        <v>4948</v>
      </c>
      <c r="AL716" s="87" t="s">
        <v>4949</v>
      </c>
      <c r="AM716" s="87" t="s">
        <v>73</v>
      </c>
      <c r="AN716" s="87" t="s">
        <v>166</v>
      </c>
      <c r="AO716" s="87" t="s">
        <v>167</v>
      </c>
      <c r="AP716" s="87" t="s">
        <v>1265</v>
      </c>
      <c r="AQ716" s="87" t="s">
        <v>77</v>
      </c>
      <c r="AR716" s="87" t="s">
        <v>77</v>
      </c>
    </row>
    <row r="717">
      <c r="A717" s="89">
        <v>11.0</v>
      </c>
      <c r="B717" s="87" t="s">
        <v>4950</v>
      </c>
      <c r="C717" s="88" t="s">
        <v>4951</v>
      </c>
      <c r="D717" s="161"/>
      <c r="E717" s="161"/>
      <c r="F717" s="161"/>
      <c r="G717" s="161"/>
      <c r="H717" s="161"/>
      <c r="I717" s="162"/>
      <c r="J717" s="89"/>
      <c r="K717" s="89"/>
      <c r="L717" s="90"/>
      <c r="M717" s="91"/>
      <c r="N717" s="161"/>
      <c r="O717" s="87" t="s">
        <v>532</v>
      </c>
      <c r="P717" s="161"/>
      <c r="Q717" s="87" t="s">
        <v>4882</v>
      </c>
      <c r="R717" s="91"/>
      <c r="S717" s="90"/>
      <c r="T717" s="93"/>
      <c r="U717" s="90"/>
      <c r="V717" s="87" t="s">
        <v>285</v>
      </c>
      <c r="W717" s="87" t="s">
        <v>1017</v>
      </c>
      <c r="X717" s="87" t="s">
        <v>4952</v>
      </c>
      <c r="Y717" s="94">
        <v>39249.0</v>
      </c>
      <c r="Z717" s="162"/>
      <c r="AA717" s="163"/>
      <c r="AB717" s="163"/>
      <c r="AC717" s="81">
        <v>716.0</v>
      </c>
      <c r="AD717" s="90"/>
      <c r="AE717" s="87" t="s">
        <v>67</v>
      </c>
      <c r="AF717" s="90"/>
      <c r="AG717" s="87" t="s">
        <v>68</v>
      </c>
      <c r="AH717" s="87"/>
      <c r="AI717" s="87">
        <v>8.1269214838E10</v>
      </c>
      <c r="AJ717" s="87" t="s">
        <v>4953</v>
      </c>
      <c r="AK717" s="97" t="s">
        <v>4954</v>
      </c>
      <c r="AL717" s="87" t="s">
        <v>4955</v>
      </c>
      <c r="AM717" s="87" t="s">
        <v>96</v>
      </c>
      <c r="AN717" s="87" t="s">
        <v>97</v>
      </c>
      <c r="AO717" s="87" t="s">
        <v>499</v>
      </c>
      <c r="AP717" s="87" t="s">
        <v>657</v>
      </c>
      <c r="AQ717" s="87">
        <v>0.0</v>
      </c>
      <c r="AR717" s="87">
        <v>0.0</v>
      </c>
    </row>
    <row r="718">
      <c r="A718" s="89">
        <v>12.0</v>
      </c>
      <c r="B718" s="87" t="s">
        <v>4956</v>
      </c>
      <c r="C718" s="88" t="s">
        <v>4957</v>
      </c>
      <c r="D718" s="161"/>
      <c r="E718" s="161"/>
      <c r="F718" s="161"/>
      <c r="G718" s="161"/>
      <c r="H718" s="161"/>
      <c r="I718" s="162"/>
      <c r="J718" s="161"/>
      <c r="K718" s="161"/>
      <c r="L718" s="162"/>
      <c r="M718" s="161"/>
      <c r="N718" s="161"/>
      <c r="O718" s="87" t="s">
        <v>142</v>
      </c>
      <c r="P718" s="161"/>
      <c r="Q718" s="87" t="s">
        <v>4882</v>
      </c>
      <c r="R718" s="161"/>
      <c r="S718" s="162"/>
      <c r="T718" s="161"/>
      <c r="U718" s="162"/>
      <c r="V718" s="87" t="s">
        <v>89</v>
      </c>
      <c r="W718" s="87" t="s">
        <v>4958</v>
      </c>
      <c r="X718" s="87" t="s">
        <v>4959</v>
      </c>
      <c r="Y718" s="94">
        <v>44211.0</v>
      </c>
      <c r="Z718" s="162"/>
      <c r="AA718" s="162"/>
      <c r="AB718" s="162"/>
      <c r="AC718" s="81">
        <v>717.0</v>
      </c>
      <c r="AD718" s="163"/>
      <c r="AE718" s="87" t="s">
        <v>67</v>
      </c>
      <c r="AF718" s="163"/>
      <c r="AG718" s="87" t="s">
        <v>130</v>
      </c>
      <c r="AH718" s="87"/>
      <c r="AI718" s="87">
        <v>8.1262159839E10</v>
      </c>
      <c r="AJ718" s="87" t="s">
        <v>4960</v>
      </c>
      <c r="AK718" s="97" t="s">
        <v>4961</v>
      </c>
      <c r="AL718" s="87" t="s">
        <v>4962</v>
      </c>
      <c r="AM718" s="87" t="s">
        <v>96</v>
      </c>
      <c r="AN718" s="87" t="s">
        <v>135</v>
      </c>
      <c r="AO718" s="87" t="s">
        <v>1511</v>
      </c>
      <c r="AP718" s="87" t="s">
        <v>4963</v>
      </c>
      <c r="AQ718" s="87">
        <v>0.0</v>
      </c>
      <c r="AR718" s="87">
        <v>0.0</v>
      </c>
    </row>
    <row r="719">
      <c r="A719" s="89">
        <v>13.0</v>
      </c>
      <c r="B719" s="87" t="s">
        <v>4964</v>
      </c>
      <c r="C719" s="88" t="s">
        <v>4965</v>
      </c>
      <c r="D719" s="161"/>
      <c r="E719" s="161"/>
      <c r="F719" s="161"/>
      <c r="G719" s="161"/>
      <c r="H719" s="161"/>
      <c r="I719" s="162"/>
      <c r="J719" s="161"/>
      <c r="K719" s="161"/>
      <c r="L719" s="162"/>
      <c r="M719" s="161"/>
      <c r="N719" s="161"/>
      <c r="O719" s="87" t="s">
        <v>142</v>
      </c>
      <c r="P719" s="161"/>
      <c r="Q719" s="87" t="s">
        <v>4882</v>
      </c>
      <c r="R719" s="161"/>
      <c r="S719" s="173"/>
      <c r="T719" s="161"/>
      <c r="U719" s="173"/>
      <c r="V719" s="87" t="s">
        <v>89</v>
      </c>
      <c r="W719" s="87" t="s">
        <v>374</v>
      </c>
      <c r="X719" s="87" t="s">
        <v>244</v>
      </c>
      <c r="Y719" s="94">
        <v>41319.0</v>
      </c>
      <c r="Z719" s="162"/>
      <c r="AA719" s="162"/>
      <c r="AB719" s="173"/>
      <c r="AC719" s="81">
        <v>718.0</v>
      </c>
      <c r="AD719" s="173"/>
      <c r="AE719" s="87" t="s">
        <v>67</v>
      </c>
      <c r="AF719" s="173"/>
      <c r="AG719" s="87" t="s">
        <v>130</v>
      </c>
      <c r="AH719" s="87"/>
      <c r="AI719" s="87">
        <v>8.1361032425E10</v>
      </c>
      <c r="AJ719" s="87" t="s">
        <v>4966</v>
      </c>
      <c r="AK719" s="97" t="s">
        <v>4967</v>
      </c>
      <c r="AL719" s="87" t="s">
        <v>4968</v>
      </c>
      <c r="AM719" s="87" t="s">
        <v>73</v>
      </c>
      <c r="AN719" s="87" t="s">
        <v>74</v>
      </c>
      <c r="AO719" s="87" t="s">
        <v>360</v>
      </c>
      <c r="AP719" s="87" t="s">
        <v>566</v>
      </c>
      <c r="AQ719" s="87">
        <v>0.0</v>
      </c>
      <c r="AR719" s="87">
        <v>0.0</v>
      </c>
    </row>
    <row r="720">
      <c r="A720" s="89">
        <v>14.0</v>
      </c>
      <c r="B720" s="87" t="s">
        <v>4969</v>
      </c>
      <c r="C720" s="88" t="s">
        <v>4970</v>
      </c>
      <c r="D720" s="161"/>
      <c r="E720" s="161"/>
      <c r="F720" s="161"/>
      <c r="G720" s="161"/>
      <c r="H720" s="161"/>
      <c r="I720" s="162"/>
      <c r="J720" s="161"/>
      <c r="K720" s="161"/>
      <c r="L720" s="162"/>
      <c r="M720" s="161"/>
      <c r="N720" s="161"/>
      <c r="O720" s="87" t="s">
        <v>142</v>
      </c>
      <c r="P720" s="161"/>
      <c r="Q720" s="87" t="s">
        <v>4882</v>
      </c>
      <c r="R720" s="161"/>
      <c r="S720" s="173"/>
      <c r="T720" s="161"/>
      <c r="U720" s="173"/>
      <c r="V720" s="87" t="s">
        <v>89</v>
      </c>
      <c r="W720" s="87" t="s">
        <v>1520</v>
      </c>
      <c r="X720" s="87" t="s">
        <v>244</v>
      </c>
      <c r="Y720" s="94">
        <v>40997.0</v>
      </c>
      <c r="Z720" s="162"/>
      <c r="AA720" s="162"/>
      <c r="AB720" s="173"/>
      <c r="AC720" s="81">
        <v>719.0</v>
      </c>
      <c r="AD720" s="173"/>
      <c r="AE720" s="87" t="s">
        <v>67</v>
      </c>
      <c r="AF720" s="173"/>
      <c r="AG720" s="87" t="s">
        <v>130</v>
      </c>
      <c r="AH720" s="87"/>
      <c r="AI720" s="87">
        <v>8.7744758468E10</v>
      </c>
      <c r="AJ720" s="87" t="s">
        <v>4971</v>
      </c>
      <c r="AK720" s="97" t="s">
        <v>4972</v>
      </c>
      <c r="AL720" s="87" t="s">
        <v>4973</v>
      </c>
      <c r="AM720" s="87" t="s">
        <v>73</v>
      </c>
      <c r="AN720" s="87" t="s">
        <v>74</v>
      </c>
      <c r="AO720" s="87" t="s">
        <v>360</v>
      </c>
      <c r="AP720" s="87" t="s">
        <v>4974</v>
      </c>
      <c r="AQ720" s="87"/>
      <c r="AR720" s="87"/>
    </row>
    <row r="721">
      <c r="A721" s="89">
        <v>15.0</v>
      </c>
      <c r="B721" s="87" t="s">
        <v>4975</v>
      </c>
      <c r="C721" s="88" t="s">
        <v>4976</v>
      </c>
      <c r="D721" s="161"/>
      <c r="E721" s="161"/>
      <c r="F721" s="161"/>
      <c r="G721" s="161"/>
      <c r="H721" s="161"/>
      <c r="I721" s="162"/>
      <c r="J721" s="161"/>
      <c r="K721" s="161"/>
      <c r="L721" s="162"/>
      <c r="M721" s="161"/>
      <c r="N721" s="161"/>
      <c r="O721" s="87" t="s">
        <v>142</v>
      </c>
      <c r="P721" s="161"/>
      <c r="Q721" s="87" t="s">
        <v>4882</v>
      </c>
      <c r="R721" s="161"/>
      <c r="S721" s="173"/>
      <c r="T721" s="161"/>
      <c r="U721" s="173"/>
      <c r="V721" s="87" t="s">
        <v>89</v>
      </c>
      <c r="W721" s="87" t="s">
        <v>4977</v>
      </c>
      <c r="X721" s="87" t="s">
        <v>244</v>
      </c>
      <c r="Y721" s="94">
        <v>41233.0</v>
      </c>
      <c r="Z721" s="162"/>
      <c r="AA721" s="162"/>
      <c r="AB721" s="173"/>
      <c r="AC721" s="81">
        <v>720.0</v>
      </c>
      <c r="AD721" s="173"/>
      <c r="AE721" s="87" t="s">
        <v>220</v>
      </c>
      <c r="AF721" s="173"/>
      <c r="AG721" s="87" t="s">
        <v>68</v>
      </c>
      <c r="AH721" s="87"/>
      <c r="AI721" s="87">
        <v>8.116581212E9</v>
      </c>
      <c r="AJ721" s="87" t="s">
        <v>4978</v>
      </c>
      <c r="AK721" s="97" t="s">
        <v>4979</v>
      </c>
      <c r="AL721" s="87" t="s">
        <v>4980</v>
      </c>
      <c r="AM721" s="87" t="s">
        <v>73</v>
      </c>
      <c r="AN721" s="87" t="s">
        <v>74</v>
      </c>
      <c r="AO721" s="87" t="s">
        <v>989</v>
      </c>
      <c r="AP721" s="87" t="s">
        <v>4981</v>
      </c>
      <c r="AQ721" s="87">
        <v>0.0</v>
      </c>
      <c r="AR721" s="87">
        <v>0.0</v>
      </c>
    </row>
    <row r="722">
      <c r="A722" s="89">
        <v>16.0</v>
      </c>
      <c r="B722" s="87" t="s">
        <v>4982</v>
      </c>
      <c r="C722" s="88" t="s">
        <v>4983</v>
      </c>
      <c r="D722" s="161"/>
      <c r="E722" s="161"/>
      <c r="F722" s="161"/>
      <c r="G722" s="161"/>
      <c r="H722" s="161"/>
      <c r="I722" s="162"/>
      <c r="J722" s="161"/>
      <c r="K722" s="161"/>
      <c r="L722" s="162"/>
      <c r="M722" s="161"/>
      <c r="N722" s="161"/>
      <c r="O722" s="87" t="s">
        <v>532</v>
      </c>
      <c r="P722" s="161"/>
      <c r="Q722" s="87" t="s">
        <v>4882</v>
      </c>
      <c r="R722" s="161"/>
      <c r="S722" s="173"/>
      <c r="T722" s="161"/>
      <c r="U722" s="173"/>
      <c r="V722" s="87" t="s">
        <v>285</v>
      </c>
      <c r="W722" s="87"/>
      <c r="X722" s="87" t="s">
        <v>4984</v>
      </c>
      <c r="Y722" s="94">
        <v>39613.0</v>
      </c>
      <c r="Z722" s="162"/>
      <c r="AA722" s="162"/>
      <c r="AB722" s="173"/>
      <c r="AC722" s="81">
        <v>721.0</v>
      </c>
      <c r="AD722" s="173"/>
      <c r="AE722" s="87" t="s">
        <v>311</v>
      </c>
      <c r="AF722" s="173"/>
      <c r="AG722" s="87" t="s">
        <v>68</v>
      </c>
      <c r="AH722" s="87"/>
      <c r="AI722" s="87">
        <v>8.1366963793E10</v>
      </c>
      <c r="AJ722" s="87" t="s">
        <v>4985</v>
      </c>
      <c r="AK722" s="97" t="s">
        <v>4986</v>
      </c>
      <c r="AL722" s="87" t="s">
        <v>4987</v>
      </c>
      <c r="AM722" s="87" t="s">
        <v>73</v>
      </c>
      <c r="AN722" s="87" t="s">
        <v>481</v>
      </c>
      <c r="AO722" s="87" t="s">
        <v>360</v>
      </c>
      <c r="AP722" s="87" t="s">
        <v>2897</v>
      </c>
      <c r="AQ722" s="87">
        <v>0.0</v>
      </c>
      <c r="AR722" s="87">
        <v>0.0</v>
      </c>
    </row>
    <row r="723">
      <c r="A723" s="89">
        <v>17.0</v>
      </c>
      <c r="B723" s="87" t="s">
        <v>4988</v>
      </c>
      <c r="C723" s="88" t="s">
        <v>4989</v>
      </c>
      <c r="D723" s="161"/>
      <c r="E723" s="161"/>
      <c r="F723" s="161"/>
      <c r="G723" s="161"/>
      <c r="H723" s="161"/>
      <c r="I723" s="162"/>
      <c r="J723" s="161"/>
      <c r="K723" s="161"/>
      <c r="L723" s="162"/>
      <c r="M723" s="161"/>
      <c r="N723" s="161"/>
      <c r="O723" s="87" t="s">
        <v>142</v>
      </c>
      <c r="P723" s="161"/>
      <c r="Q723" s="87" t="s">
        <v>4882</v>
      </c>
      <c r="R723" s="161"/>
      <c r="S723" s="173"/>
      <c r="T723" s="161"/>
      <c r="U723" s="173"/>
      <c r="V723" s="87" t="s">
        <v>89</v>
      </c>
      <c r="W723" s="87" t="s">
        <v>4990</v>
      </c>
      <c r="X723" s="87" t="s">
        <v>745</v>
      </c>
      <c r="Y723" s="94">
        <v>39244.0</v>
      </c>
      <c r="Z723" s="162"/>
      <c r="AA723" s="162"/>
      <c r="AB723" s="173"/>
      <c r="AC723" s="81">
        <v>722.0</v>
      </c>
      <c r="AD723" s="173"/>
      <c r="AE723" s="87" t="s">
        <v>67</v>
      </c>
      <c r="AF723" s="173"/>
      <c r="AG723" s="87" t="s">
        <v>130</v>
      </c>
      <c r="AH723" s="87"/>
      <c r="AI723" s="87">
        <v>8.1397558552E10</v>
      </c>
      <c r="AJ723" s="87" t="s">
        <v>4991</v>
      </c>
      <c r="AK723" s="97" t="s">
        <v>4992</v>
      </c>
      <c r="AL723" s="87" t="s">
        <v>4993</v>
      </c>
      <c r="AM723" s="87" t="s">
        <v>73</v>
      </c>
      <c r="AN723" s="87" t="s">
        <v>481</v>
      </c>
      <c r="AO723" s="87" t="s">
        <v>989</v>
      </c>
      <c r="AP723" s="87" t="s">
        <v>1585</v>
      </c>
      <c r="AQ723" s="87">
        <v>0.0</v>
      </c>
      <c r="AR723" s="87">
        <v>0.0</v>
      </c>
    </row>
    <row r="724">
      <c r="A724" s="89">
        <v>18.0</v>
      </c>
      <c r="B724" s="87" t="s">
        <v>4994</v>
      </c>
      <c r="C724" s="88" t="s">
        <v>4995</v>
      </c>
      <c r="D724" s="161"/>
      <c r="E724" s="161"/>
      <c r="F724" s="161"/>
      <c r="G724" s="161"/>
      <c r="H724" s="161"/>
      <c r="I724" s="162"/>
      <c r="J724" s="161"/>
      <c r="K724" s="161"/>
      <c r="L724" s="162"/>
      <c r="M724" s="161"/>
      <c r="N724" s="161"/>
      <c r="O724" s="87" t="s">
        <v>142</v>
      </c>
      <c r="P724" s="161"/>
      <c r="Q724" s="87" t="s">
        <v>4882</v>
      </c>
      <c r="R724" s="161"/>
      <c r="S724" s="173"/>
      <c r="T724" s="161"/>
      <c r="U724" s="173"/>
      <c r="V724" s="87" t="s">
        <v>89</v>
      </c>
      <c r="W724" s="87" t="s">
        <v>4996</v>
      </c>
      <c r="X724" s="87" t="s">
        <v>3022</v>
      </c>
      <c r="Y724" s="99">
        <v>42340.0</v>
      </c>
      <c r="Z724" s="162"/>
      <c r="AA724" s="162"/>
      <c r="AB724" s="173"/>
      <c r="AC724" s="81">
        <v>723.0</v>
      </c>
      <c r="AD724" s="173"/>
      <c r="AE724" s="87" t="s">
        <v>67</v>
      </c>
      <c r="AF724" s="173"/>
      <c r="AG724" s="87" t="s">
        <v>130</v>
      </c>
      <c r="AH724" s="87"/>
      <c r="AI724" s="87">
        <v>8.2369287494E10</v>
      </c>
      <c r="AJ724" s="87" t="s">
        <v>4997</v>
      </c>
      <c r="AK724" s="97" t="s">
        <v>4998</v>
      </c>
      <c r="AL724" s="87" t="s">
        <v>4999</v>
      </c>
      <c r="AM724" s="87" t="s">
        <v>96</v>
      </c>
      <c r="AN724" s="87" t="s">
        <v>97</v>
      </c>
      <c r="AO724" s="87" t="s">
        <v>236</v>
      </c>
      <c r="AP724" s="87" t="s">
        <v>852</v>
      </c>
      <c r="AQ724" s="87">
        <v>0.0</v>
      </c>
      <c r="AR724" s="87">
        <v>0.0</v>
      </c>
    </row>
    <row r="725">
      <c r="A725" s="89">
        <v>19.0</v>
      </c>
      <c r="B725" s="87" t="s">
        <v>5000</v>
      </c>
      <c r="C725" s="88" t="s">
        <v>5001</v>
      </c>
      <c r="D725" s="161"/>
      <c r="E725" s="161"/>
      <c r="F725" s="161"/>
      <c r="G725" s="161"/>
      <c r="H725" s="161"/>
      <c r="I725" s="162"/>
      <c r="J725" s="161"/>
      <c r="K725" s="161"/>
      <c r="L725" s="162"/>
      <c r="M725" s="161"/>
      <c r="N725" s="161"/>
      <c r="O725" s="87" t="s">
        <v>142</v>
      </c>
      <c r="P725" s="161"/>
      <c r="Q725" s="87" t="s">
        <v>4882</v>
      </c>
      <c r="R725" s="161"/>
      <c r="S725" s="173"/>
      <c r="T725" s="161"/>
      <c r="U725" s="173"/>
      <c r="V725" s="87" t="s">
        <v>89</v>
      </c>
      <c r="W725" s="87" t="s">
        <v>218</v>
      </c>
      <c r="X725" s="87" t="s">
        <v>1496</v>
      </c>
      <c r="Y725" s="99">
        <v>41519.0</v>
      </c>
      <c r="Z725" s="162"/>
      <c r="AA725" s="162"/>
      <c r="AB725" s="173"/>
      <c r="AC725" s="81">
        <v>724.0</v>
      </c>
      <c r="AD725" s="173"/>
      <c r="AE725" s="87" t="s">
        <v>67</v>
      </c>
      <c r="AF725" s="173"/>
      <c r="AG725" s="87" t="s">
        <v>68</v>
      </c>
      <c r="AH725" s="87"/>
      <c r="AI725" s="87">
        <v>8.217458821E10</v>
      </c>
      <c r="AJ725" s="87" t="s">
        <v>5002</v>
      </c>
      <c r="AK725" s="97" t="s">
        <v>5003</v>
      </c>
      <c r="AL725" s="87" t="s">
        <v>5004</v>
      </c>
      <c r="AM725" s="87" t="s">
        <v>96</v>
      </c>
      <c r="AN725" s="87" t="s">
        <v>97</v>
      </c>
      <c r="AO725" s="87" t="s">
        <v>136</v>
      </c>
      <c r="AP725" s="87" t="s">
        <v>1404</v>
      </c>
      <c r="AQ725" s="87"/>
      <c r="AR725" s="87"/>
    </row>
    <row r="726">
      <c r="A726" s="89">
        <v>20.0</v>
      </c>
      <c r="B726" s="87" t="s">
        <v>5005</v>
      </c>
      <c r="C726" s="88" t="s">
        <v>5006</v>
      </c>
      <c r="D726" s="161"/>
      <c r="E726" s="161"/>
      <c r="F726" s="161"/>
      <c r="G726" s="161"/>
      <c r="H726" s="161"/>
      <c r="I726" s="162"/>
      <c r="J726" s="161"/>
      <c r="K726" s="161"/>
      <c r="L726" s="162"/>
      <c r="M726" s="161"/>
      <c r="N726" s="161"/>
      <c r="O726" s="87" t="s">
        <v>142</v>
      </c>
      <c r="P726" s="161"/>
      <c r="Q726" s="87" t="s">
        <v>4882</v>
      </c>
      <c r="R726" s="161"/>
      <c r="S726" s="173"/>
      <c r="T726" s="161"/>
      <c r="U726" s="173"/>
      <c r="V726" s="87" t="s">
        <v>89</v>
      </c>
      <c r="W726" s="87" t="s">
        <v>5007</v>
      </c>
      <c r="X726" s="87" t="s">
        <v>161</v>
      </c>
      <c r="Y726" s="94">
        <v>40719.0</v>
      </c>
      <c r="Z726" s="162"/>
      <c r="AA726" s="162"/>
      <c r="AB726" s="173"/>
      <c r="AC726" s="81">
        <v>725.0</v>
      </c>
      <c r="AD726" s="173"/>
      <c r="AE726" s="87" t="s">
        <v>220</v>
      </c>
      <c r="AF726" s="173"/>
      <c r="AG726" s="87" t="s">
        <v>130</v>
      </c>
      <c r="AH726" s="87"/>
      <c r="AI726" s="87">
        <v>8.2365607877E10</v>
      </c>
      <c r="AJ726" s="87" t="s">
        <v>5008</v>
      </c>
      <c r="AK726" s="97" t="s">
        <v>5009</v>
      </c>
      <c r="AL726" s="87" t="s">
        <v>5010</v>
      </c>
      <c r="AM726" s="87" t="s">
        <v>1029</v>
      </c>
      <c r="AN726" s="87" t="s">
        <v>97</v>
      </c>
      <c r="AO726" s="87" t="s">
        <v>272</v>
      </c>
      <c r="AP726" s="87" t="s">
        <v>5011</v>
      </c>
      <c r="AQ726" s="87"/>
      <c r="AR726" s="87"/>
    </row>
    <row r="727">
      <c r="A727" s="89">
        <v>21.0</v>
      </c>
      <c r="B727" s="87" t="s">
        <v>5012</v>
      </c>
      <c r="C727" s="88" t="s">
        <v>5013</v>
      </c>
      <c r="D727" s="161"/>
      <c r="E727" s="161"/>
      <c r="F727" s="161"/>
      <c r="G727" s="161"/>
      <c r="H727" s="161"/>
      <c r="I727" s="162"/>
      <c r="J727" s="161"/>
      <c r="K727" s="161"/>
      <c r="L727" s="162"/>
      <c r="M727" s="161"/>
      <c r="N727" s="161"/>
      <c r="O727" s="87" t="s">
        <v>519</v>
      </c>
      <c r="P727" s="161"/>
      <c r="Q727" s="87" t="s">
        <v>4882</v>
      </c>
      <c r="R727" s="161"/>
      <c r="S727" s="173"/>
      <c r="T727" s="161"/>
      <c r="U727" s="173"/>
      <c r="V727" s="87" t="s">
        <v>267</v>
      </c>
      <c r="W727" s="87" t="s">
        <v>374</v>
      </c>
      <c r="X727" s="87" t="s">
        <v>5014</v>
      </c>
      <c r="Y727" s="94">
        <v>39644.0</v>
      </c>
      <c r="Z727" s="162"/>
      <c r="AA727" s="162"/>
      <c r="AB727" s="173"/>
      <c r="AC727" s="81">
        <v>726.0</v>
      </c>
      <c r="AD727" s="173"/>
      <c r="AE727" s="87" t="s">
        <v>220</v>
      </c>
      <c r="AF727" s="173"/>
      <c r="AG727" s="87" t="s">
        <v>130</v>
      </c>
      <c r="AH727" s="87"/>
      <c r="AI727" s="87">
        <v>8.8201668209E11</v>
      </c>
      <c r="AJ727" s="87" t="s">
        <v>5015</v>
      </c>
      <c r="AK727" s="97" t="s">
        <v>5016</v>
      </c>
      <c r="AL727" s="87" t="s">
        <v>5017</v>
      </c>
      <c r="AM727" s="87" t="s">
        <v>73</v>
      </c>
      <c r="AN727" s="87" t="s">
        <v>74</v>
      </c>
      <c r="AO727" s="87" t="s">
        <v>360</v>
      </c>
      <c r="AP727" s="87" t="s">
        <v>2897</v>
      </c>
      <c r="AQ727" s="87">
        <v>0.0</v>
      </c>
      <c r="AR727" s="87">
        <v>0.0</v>
      </c>
    </row>
    <row r="728">
      <c r="A728" s="89">
        <v>22.0</v>
      </c>
      <c r="B728" s="87" t="s">
        <v>5018</v>
      </c>
      <c r="C728" s="88" t="s">
        <v>5019</v>
      </c>
      <c r="D728" s="161"/>
      <c r="E728" s="161"/>
      <c r="F728" s="161"/>
      <c r="G728" s="161"/>
      <c r="H728" s="161"/>
      <c r="I728" s="162"/>
      <c r="J728" s="161"/>
      <c r="K728" s="161"/>
      <c r="L728" s="162"/>
      <c r="M728" s="161"/>
      <c r="N728" s="161"/>
      <c r="O728" s="87" t="s">
        <v>532</v>
      </c>
      <c r="P728" s="161"/>
      <c r="Q728" s="87" t="s">
        <v>4882</v>
      </c>
      <c r="R728" s="161"/>
      <c r="S728" s="173"/>
      <c r="T728" s="161"/>
      <c r="U728" s="173"/>
      <c r="V728" s="87" t="s">
        <v>285</v>
      </c>
      <c r="W728" s="87" t="s">
        <v>77</v>
      </c>
      <c r="X728" s="87" t="s">
        <v>5020</v>
      </c>
      <c r="Y728" s="94">
        <v>38887.0</v>
      </c>
      <c r="Z728" s="162"/>
      <c r="AA728" s="162"/>
      <c r="AB728" s="173"/>
      <c r="AC728" s="81">
        <v>727.0</v>
      </c>
      <c r="AD728" s="173"/>
      <c r="AE728" s="87" t="s">
        <v>67</v>
      </c>
      <c r="AF728" s="173"/>
      <c r="AG728" s="87" t="s">
        <v>68</v>
      </c>
      <c r="AH728" s="87"/>
      <c r="AI728" s="87">
        <v>8.1280029588E10</v>
      </c>
      <c r="AJ728" s="87" t="s">
        <v>5021</v>
      </c>
      <c r="AK728" s="97" t="s">
        <v>5022</v>
      </c>
      <c r="AL728" s="87" t="s">
        <v>5023</v>
      </c>
      <c r="AM728" s="87" t="s">
        <v>96</v>
      </c>
      <c r="AN728" s="87" t="s">
        <v>135</v>
      </c>
      <c r="AO728" s="87" t="s">
        <v>379</v>
      </c>
      <c r="AP728" s="87" t="s">
        <v>389</v>
      </c>
      <c r="AQ728" s="87">
        <v>0.0</v>
      </c>
      <c r="AR728" s="87">
        <v>0.0</v>
      </c>
    </row>
    <row r="729">
      <c r="A729" s="89">
        <v>23.0</v>
      </c>
      <c r="B729" s="87" t="s">
        <v>5024</v>
      </c>
      <c r="C729" s="88" t="s">
        <v>5025</v>
      </c>
      <c r="D729" s="161"/>
      <c r="E729" s="161"/>
      <c r="F729" s="161"/>
      <c r="G729" s="161"/>
      <c r="H729" s="161"/>
      <c r="I729" s="162"/>
      <c r="J729" s="161"/>
      <c r="K729" s="161"/>
      <c r="L729" s="162"/>
      <c r="M729" s="161"/>
      <c r="N729" s="161"/>
      <c r="O729" s="87" t="s">
        <v>142</v>
      </c>
      <c r="P729" s="161"/>
      <c r="Q729" s="87" t="s">
        <v>4882</v>
      </c>
      <c r="R729" s="161"/>
      <c r="S729" s="173"/>
      <c r="T729" s="161"/>
      <c r="U729" s="173"/>
      <c r="V729" s="87" t="s">
        <v>89</v>
      </c>
      <c r="W729" s="87" t="s">
        <v>337</v>
      </c>
      <c r="X729" s="87" t="s">
        <v>5026</v>
      </c>
      <c r="Y729" s="94">
        <v>43080.0</v>
      </c>
      <c r="Z729" s="162"/>
      <c r="AA729" s="162"/>
      <c r="AB729" s="173"/>
      <c r="AC729" s="81">
        <v>728.0</v>
      </c>
      <c r="AD729" s="173"/>
      <c r="AE729" s="87" t="s">
        <v>67</v>
      </c>
      <c r="AF729" s="173"/>
      <c r="AG729" s="87" t="s">
        <v>68</v>
      </c>
      <c r="AH729" s="87"/>
      <c r="AI729" s="87">
        <v>8.2272807777E10</v>
      </c>
      <c r="AJ729" s="87" t="s">
        <v>5027</v>
      </c>
      <c r="AK729" s="97" t="s">
        <v>4783</v>
      </c>
      <c r="AL729" s="87" t="s">
        <v>5028</v>
      </c>
      <c r="AM729" s="87" t="s">
        <v>732</v>
      </c>
      <c r="AN729" s="87" t="s">
        <v>556</v>
      </c>
      <c r="AO729" s="87" t="s">
        <v>5029</v>
      </c>
      <c r="AP729" s="87" t="s">
        <v>5030</v>
      </c>
      <c r="AQ729" s="87"/>
      <c r="AR729" s="87"/>
    </row>
    <row r="730">
      <c r="A730" s="89">
        <v>24.0</v>
      </c>
      <c r="B730" s="87" t="s">
        <v>5031</v>
      </c>
      <c r="C730" s="88" t="s">
        <v>5032</v>
      </c>
      <c r="D730" s="161"/>
      <c r="E730" s="161"/>
      <c r="F730" s="161"/>
      <c r="G730" s="161"/>
      <c r="H730" s="161"/>
      <c r="I730" s="162"/>
      <c r="J730" s="161"/>
      <c r="K730" s="161"/>
      <c r="L730" s="162"/>
      <c r="M730" s="161"/>
      <c r="N730" s="161"/>
      <c r="O730" s="87" t="s">
        <v>142</v>
      </c>
      <c r="P730" s="161"/>
      <c r="Q730" s="87" t="s">
        <v>4882</v>
      </c>
      <c r="R730" s="161"/>
      <c r="S730" s="173"/>
      <c r="T730" s="161"/>
      <c r="U730" s="173"/>
      <c r="V730" s="87" t="s">
        <v>89</v>
      </c>
      <c r="W730" s="87" t="s">
        <v>1520</v>
      </c>
      <c r="X730" s="87" t="s">
        <v>145</v>
      </c>
      <c r="Y730" s="100" t="s">
        <v>1104</v>
      </c>
      <c r="Z730" s="162"/>
      <c r="AA730" s="162"/>
      <c r="AB730" s="173"/>
      <c r="AC730" s="81">
        <v>729.0</v>
      </c>
      <c r="AD730" s="173"/>
      <c r="AE730" s="87" t="s">
        <v>67</v>
      </c>
      <c r="AF730" s="173"/>
      <c r="AG730" s="87" t="s">
        <v>68</v>
      </c>
      <c r="AH730" s="87"/>
      <c r="AI730" s="87">
        <v>8.537265687E10</v>
      </c>
      <c r="AJ730" s="87" t="s">
        <v>5033</v>
      </c>
      <c r="AK730" s="97" t="s">
        <v>5034</v>
      </c>
      <c r="AL730" s="87" t="s">
        <v>5035</v>
      </c>
      <c r="AM730" s="87" t="s">
        <v>73</v>
      </c>
      <c r="AN730" s="87" t="s">
        <v>74</v>
      </c>
      <c r="AO730" s="87" t="s">
        <v>989</v>
      </c>
      <c r="AP730" s="87" t="s">
        <v>1585</v>
      </c>
      <c r="AQ730" s="87">
        <v>24.0</v>
      </c>
      <c r="AR730" s="87">
        <v>7.0</v>
      </c>
    </row>
    <row r="731">
      <c r="A731" s="89">
        <v>25.0</v>
      </c>
      <c r="B731" s="87" t="s">
        <v>5036</v>
      </c>
      <c r="C731" s="88" t="s">
        <v>5037</v>
      </c>
      <c r="D731" s="161"/>
      <c r="E731" s="161"/>
      <c r="F731" s="161"/>
      <c r="G731" s="161"/>
      <c r="H731" s="161"/>
      <c r="I731" s="162"/>
      <c r="J731" s="161"/>
      <c r="K731" s="161"/>
      <c r="L731" s="162"/>
      <c r="M731" s="161"/>
      <c r="N731" s="161"/>
      <c r="O731" s="87" t="s">
        <v>142</v>
      </c>
      <c r="P731" s="161"/>
      <c r="Q731" s="87" t="s">
        <v>4882</v>
      </c>
      <c r="R731" s="161"/>
      <c r="S731" s="173"/>
      <c r="T731" s="161"/>
      <c r="U731" s="173"/>
      <c r="V731" s="87" t="s">
        <v>89</v>
      </c>
      <c r="W731" s="87" t="s">
        <v>1214</v>
      </c>
      <c r="X731" s="87" t="s">
        <v>244</v>
      </c>
      <c r="Y731" s="94">
        <v>39813.0</v>
      </c>
      <c r="Z731" s="162"/>
      <c r="AA731" s="162"/>
      <c r="AB731" s="173"/>
      <c r="AC731" s="81">
        <v>730.0</v>
      </c>
      <c r="AD731" s="173"/>
      <c r="AE731" s="87" t="s">
        <v>67</v>
      </c>
      <c r="AF731" s="173"/>
      <c r="AG731" s="87" t="s">
        <v>68</v>
      </c>
      <c r="AH731" s="87"/>
      <c r="AI731" s="87">
        <v>8.1375619607E10</v>
      </c>
      <c r="AJ731" s="87" t="s">
        <v>5038</v>
      </c>
      <c r="AK731" s="97" t="s">
        <v>5039</v>
      </c>
      <c r="AL731" s="87" t="s">
        <v>5040</v>
      </c>
      <c r="AM731" s="87" t="s">
        <v>73</v>
      </c>
      <c r="AN731" s="87" t="s">
        <v>481</v>
      </c>
      <c r="AO731" s="87" t="s">
        <v>1698</v>
      </c>
      <c r="AP731" s="87" t="s">
        <v>5041</v>
      </c>
      <c r="AQ731" s="87">
        <v>21.0</v>
      </c>
      <c r="AR731" s="87">
        <v>11.0</v>
      </c>
    </row>
    <row r="732">
      <c r="A732" s="89">
        <v>26.0</v>
      </c>
      <c r="B732" s="87" t="s">
        <v>5042</v>
      </c>
      <c r="C732" s="88" t="s">
        <v>5043</v>
      </c>
      <c r="D732" s="161"/>
      <c r="E732" s="161"/>
      <c r="F732" s="161"/>
      <c r="G732" s="161"/>
      <c r="H732" s="161"/>
      <c r="I732" s="162"/>
      <c r="J732" s="161"/>
      <c r="K732" s="161"/>
      <c r="L732" s="162"/>
      <c r="M732" s="161"/>
      <c r="N732" s="161"/>
      <c r="O732" s="87" t="s">
        <v>142</v>
      </c>
      <c r="P732" s="161"/>
      <c r="Q732" s="87" t="s">
        <v>4882</v>
      </c>
      <c r="R732" s="161"/>
      <c r="S732" s="173"/>
      <c r="T732" s="161"/>
      <c r="U732" s="173"/>
      <c r="V732" s="87" t="s">
        <v>89</v>
      </c>
      <c r="W732" s="87" t="s">
        <v>90</v>
      </c>
      <c r="X732" s="87" t="s">
        <v>5014</v>
      </c>
      <c r="Y732" s="94">
        <v>38457.0</v>
      </c>
      <c r="Z732" s="162"/>
      <c r="AA732" s="162"/>
      <c r="AB732" s="173"/>
      <c r="AC732" s="81">
        <v>731.0</v>
      </c>
      <c r="AD732" s="173"/>
      <c r="AE732" s="87" t="s">
        <v>220</v>
      </c>
      <c r="AF732" s="173"/>
      <c r="AG732" s="87" t="s">
        <v>130</v>
      </c>
      <c r="AH732" s="87"/>
      <c r="AI732" s="87">
        <v>8.5296382231E10</v>
      </c>
      <c r="AJ732" s="87" t="s">
        <v>5044</v>
      </c>
      <c r="AK732" s="97" t="s">
        <v>5045</v>
      </c>
      <c r="AL732" s="87" t="s">
        <v>5046</v>
      </c>
      <c r="AM732" s="87" t="s">
        <v>73</v>
      </c>
      <c r="AN732" s="87" t="s">
        <v>74</v>
      </c>
      <c r="AO732" s="87" t="s">
        <v>360</v>
      </c>
      <c r="AP732" s="87" t="s">
        <v>2897</v>
      </c>
      <c r="AQ732" s="87" t="s">
        <v>77</v>
      </c>
      <c r="AR732" s="87" t="s">
        <v>77</v>
      </c>
    </row>
    <row r="733">
      <c r="A733" s="89">
        <v>27.0</v>
      </c>
      <c r="B733" s="87" t="s">
        <v>5047</v>
      </c>
      <c r="C733" s="88" t="s">
        <v>5048</v>
      </c>
      <c r="D733" s="161"/>
      <c r="E733" s="161"/>
      <c r="F733" s="161"/>
      <c r="G733" s="161"/>
      <c r="H733" s="161"/>
      <c r="I733" s="162"/>
      <c r="J733" s="161"/>
      <c r="K733" s="161"/>
      <c r="L733" s="162"/>
      <c r="M733" s="161"/>
      <c r="N733" s="161"/>
      <c r="O733" s="87" t="s">
        <v>532</v>
      </c>
      <c r="P733" s="161"/>
      <c r="Q733" s="87" t="s">
        <v>4882</v>
      </c>
      <c r="R733" s="161"/>
      <c r="S733" s="173"/>
      <c r="T733" s="161"/>
      <c r="U733" s="173"/>
      <c r="V733" s="87" t="s">
        <v>285</v>
      </c>
      <c r="W733" s="87"/>
      <c r="X733" s="87" t="s">
        <v>5049</v>
      </c>
      <c r="Y733" s="94">
        <v>41055.0</v>
      </c>
      <c r="Z733" s="162"/>
      <c r="AA733" s="162"/>
      <c r="AB733" s="173"/>
      <c r="AC733" s="81">
        <v>732.0</v>
      </c>
      <c r="AD733" s="173"/>
      <c r="AE733" s="87" t="s">
        <v>220</v>
      </c>
      <c r="AF733" s="173"/>
      <c r="AG733" s="87" t="s">
        <v>68</v>
      </c>
      <c r="AH733" s="87"/>
      <c r="AI733" s="87">
        <v>8.218571482E10</v>
      </c>
      <c r="AJ733" s="87" t="s">
        <v>5050</v>
      </c>
      <c r="AK733" s="97" t="s">
        <v>5051</v>
      </c>
      <c r="AL733" s="87" t="s">
        <v>5052</v>
      </c>
      <c r="AM733" s="87" t="s">
        <v>73</v>
      </c>
      <c r="AN733" s="87" t="s">
        <v>2985</v>
      </c>
      <c r="AO733" s="87" t="s">
        <v>5053</v>
      </c>
      <c r="AP733" s="87" t="s">
        <v>5054</v>
      </c>
      <c r="AQ733" s="87">
        <v>0.0</v>
      </c>
      <c r="AR733" s="87">
        <v>0.0</v>
      </c>
    </row>
    <row r="734">
      <c r="A734" s="89">
        <v>28.0</v>
      </c>
      <c r="B734" s="87" t="s">
        <v>5055</v>
      </c>
      <c r="C734" s="88" t="s">
        <v>5056</v>
      </c>
      <c r="D734" s="161"/>
      <c r="E734" s="161"/>
      <c r="F734" s="161"/>
      <c r="G734" s="161"/>
      <c r="H734" s="161"/>
      <c r="I734" s="162"/>
      <c r="J734" s="161"/>
      <c r="K734" s="161"/>
      <c r="L734" s="162"/>
      <c r="M734" s="161"/>
      <c r="N734" s="161"/>
      <c r="O734" s="87" t="s">
        <v>519</v>
      </c>
      <c r="P734" s="161"/>
      <c r="Q734" s="87" t="s">
        <v>4882</v>
      </c>
      <c r="R734" s="161"/>
      <c r="S734" s="173"/>
      <c r="T734" s="161"/>
      <c r="U734" s="173"/>
      <c r="V734" s="87" t="s">
        <v>267</v>
      </c>
      <c r="W734" s="87" t="s">
        <v>5057</v>
      </c>
      <c r="X734" s="87" t="s">
        <v>5058</v>
      </c>
      <c r="Y734" s="99">
        <v>40455.0</v>
      </c>
      <c r="Z734" s="162"/>
      <c r="AA734" s="162"/>
      <c r="AB734" s="173"/>
      <c r="AC734" s="81">
        <v>733.0</v>
      </c>
      <c r="AD734" s="173"/>
      <c r="AE734" s="87" t="s">
        <v>67</v>
      </c>
      <c r="AF734" s="173"/>
      <c r="AG734" s="87" t="s">
        <v>68</v>
      </c>
      <c r="AH734" s="87" t="s">
        <v>69</v>
      </c>
      <c r="AI734" s="87">
        <v>8.116075472E9</v>
      </c>
      <c r="AJ734" s="87" t="s">
        <v>5059</v>
      </c>
      <c r="AK734" s="97" t="s">
        <v>5060</v>
      </c>
      <c r="AL734" s="87" t="s">
        <v>5061</v>
      </c>
      <c r="AM734" s="87" t="s">
        <v>96</v>
      </c>
      <c r="AN734" s="87" t="s">
        <v>97</v>
      </c>
      <c r="AO734" s="87" t="s">
        <v>98</v>
      </c>
      <c r="AP734" s="87" t="s">
        <v>2220</v>
      </c>
      <c r="AQ734" s="87" t="s">
        <v>77</v>
      </c>
      <c r="AR734" s="87" t="s">
        <v>77</v>
      </c>
    </row>
    <row r="735">
      <c r="A735" s="89">
        <v>29.0</v>
      </c>
      <c r="B735" s="87" t="s">
        <v>5062</v>
      </c>
      <c r="C735" s="88" t="s">
        <v>5063</v>
      </c>
      <c r="D735" s="161"/>
      <c r="E735" s="161"/>
      <c r="F735" s="161"/>
      <c r="G735" s="161"/>
      <c r="H735" s="161"/>
      <c r="I735" s="162"/>
      <c r="J735" s="161"/>
      <c r="K735" s="161"/>
      <c r="L735" s="162"/>
      <c r="M735" s="161"/>
      <c r="N735" s="161"/>
      <c r="O735" s="87" t="s">
        <v>142</v>
      </c>
      <c r="P735" s="161"/>
      <c r="Q735" s="87" t="s">
        <v>4882</v>
      </c>
      <c r="R735" s="161"/>
      <c r="S735" s="173"/>
      <c r="T735" s="161"/>
      <c r="U735" s="173"/>
      <c r="V735" s="87" t="s">
        <v>89</v>
      </c>
      <c r="W735" s="87" t="s">
        <v>374</v>
      </c>
      <c r="X735" s="87" t="s">
        <v>761</v>
      </c>
      <c r="Y735" s="94">
        <v>42721.0</v>
      </c>
      <c r="Z735" s="162"/>
      <c r="AA735" s="162"/>
      <c r="AB735" s="173"/>
      <c r="AC735" s="81">
        <v>734.0</v>
      </c>
      <c r="AD735" s="173"/>
      <c r="AE735" s="87" t="s">
        <v>67</v>
      </c>
      <c r="AF735" s="173"/>
      <c r="AG735" s="87" t="s">
        <v>130</v>
      </c>
      <c r="AH735" s="173"/>
      <c r="AI735" s="87">
        <v>8.116575656E9</v>
      </c>
      <c r="AJ735" s="87" t="s">
        <v>5064</v>
      </c>
      <c r="AK735" s="97" t="s">
        <v>5065</v>
      </c>
      <c r="AL735" s="87" t="s">
        <v>5066</v>
      </c>
      <c r="AM735" s="87" t="s">
        <v>73</v>
      </c>
      <c r="AN735" s="87" t="s">
        <v>74</v>
      </c>
      <c r="AO735" s="87" t="s">
        <v>191</v>
      </c>
      <c r="AP735" s="87" t="s">
        <v>1558</v>
      </c>
      <c r="AQ735" s="87"/>
      <c r="AR735" s="87"/>
    </row>
    <row r="736">
      <c r="A736" s="89">
        <v>30.0</v>
      </c>
      <c r="B736" s="87" t="s">
        <v>5067</v>
      </c>
      <c r="C736" s="88" t="s">
        <v>5068</v>
      </c>
      <c r="D736" s="161"/>
      <c r="E736" s="161"/>
      <c r="F736" s="161"/>
      <c r="G736" s="161"/>
      <c r="H736" s="161"/>
      <c r="I736" s="162"/>
      <c r="J736" s="161"/>
      <c r="K736" s="161"/>
      <c r="L736" s="162"/>
      <c r="M736" s="161"/>
      <c r="N736" s="161"/>
      <c r="O736" s="87" t="s">
        <v>532</v>
      </c>
      <c r="P736" s="161"/>
      <c r="Q736" s="87" t="s">
        <v>4882</v>
      </c>
      <c r="R736" s="161"/>
      <c r="S736" s="173"/>
      <c r="T736" s="161"/>
      <c r="U736" s="173"/>
      <c r="V736" s="87" t="s">
        <v>285</v>
      </c>
      <c r="W736" s="87"/>
      <c r="X736" s="87" t="s">
        <v>5069</v>
      </c>
      <c r="Y736" s="94">
        <v>39613.0</v>
      </c>
      <c r="Z736" s="162"/>
      <c r="AA736" s="162"/>
      <c r="AB736" s="173"/>
      <c r="AC736" s="81">
        <v>735.0</v>
      </c>
      <c r="AD736" s="173"/>
      <c r="AE736" s="87" t="s">
        <v>67</v>
      </c>
      <c r="AF736" s="173"/>
      <c r="AG736" s="87" t="s">
        <v>130</v>
      </c>
      <c r="AH736" s="173"/>
      <c r="AI736" s="87">
        <v>8.116091447E9</v>
      </c>
      <c r="AJ736" s="87" t="s">
        <v>5070</v>
      </c>
      <c r="AK736" s="97" t="s">
        <v>5071</v>
      </c>
      <c r="AL736" s="87" t="s">
        <v>5072</v>
      </c>
      <c r="AM736" s="87" t="s">
        <v>96</v>
      </c>
      <c r="AN736" s="87" t="s">
        <v>97</v>
      </c>
      <c r="AO736" s="87" t="s">
        <v>136</v>
      </c>
      <c r="AP736" s="87" t="s">
        <v>1404</v>
      </c>
      <c r="AQ736" s="87" t="s">
        <v>77</v>
      </c>
      <c r="AR736" s="87" t="s">
        <v>77</v>
      </c>
    </row>
    <row r="737">
      <c r="A737" s="89">
        <v>31.0</v>
      </c>
      <c r="B737" s="87" t="s">
        <v>5073</v>
      </c>
      <c r="C737" s="88" t="s">
        <v>5074</v>
      </c>
      <c r="D737" s="161"/>
      <c r="E737" s="161"/>
      <c r="F737" s="161"/>
      <c r="G737" s="161"/>
      <c r="H737" s="161"/>
      <c r="I737" s="162"/>
      <c r="J737" s="161"/>
      <c r="K737" s="161"/>
      <c r="L737" s="162"/>
      <c r="M737" s="161"/>
      <c r="N737" s="161"/>
      <c r="O737" s="87" t="s">
        <v>142</v>
      </c>
      <c r="P737" s="161"/>
      <c r="Q737" s="87" t="s">
        <v>4882</v>
      </c>
      <c r="R737" s="161"/>
      <c r="S737" s="173"/>
      <c r="T737" s="161"/>
      <c r="U737" s="173"/>
      <c r="V737" s="87" t="s">
        <v>89</v>
      </c>
      <c r="W737" s="87" t="s">
        <v>1520</v>
      </c>
      <c r="X737" s="87" t="s">
        <v>2082</v>
      </c>
      <c r="Y737" s="94">
        <v>40927.0</v>
      </c>
      <c r="Z737" s="162"/>
      <c r="AA737" s="162"/>
      <c r="AB737" s="173"/>
      <c r="AC737" s="81">
        <v>736.0</v>
      </c>
      <c r="AD737" s="173"/>
      <c r="AE737" s="87" t="s">
        <v>67</v>
      </c>
      <c r="AF737" s="173"/>
      <c r="AG737" s="87" t="s">
        <v>130</v>
      </c>
      <c r="AH737" s="173"/>
      <c r="AI737" s="87">
        <v>8.2184753373E10</v>
      </c>
      <c r="AJ737" s="87" t="s">
        <v>5075</v>
      </c>
      <c r="AK737" s="97" t="s">
        <v>5076</v>
      </c>
      <c r="AL737" s="87" t="s">
        <v>5077</v>
      </c>
      <c r="AM737" s="87" t="s">
        <v>96</v>
      </c>
      <c r="AN737" s="87" t="s">
        <v>97</v>
      </c>
      <c r="AO737" s="87" t="s">
        <v>236</v>
      </c>
      <c r="AP737" s="87" t="s">
        <v>237</v>
      </c>
      <c r="AQ737" s="87" t="s">
        <v>5078</v>
      </c>
      <c r="AR737" s="87" t="s">
        <v>5078</v>
      </c>
    </row>
    <row r="738">
      <c r="A738" s="89">
        <v>32.0</v>
      </c>
      <c r="B738" s="87" t="s">
        <v>5079</v>
      </c>
      <c r="C738" s="88" t="s">
        <v>5080</v>
      </c>
      <c r="D738" s="161"/>
      <c r="E738" s="161"/>
      <c r="F738" s="161"/>
      <c r="G738" s="161"/>
      <c r="H738" s="161"/>
      <c r="I738" s="162"/>
      <c r="J738" s="161"/>
      <c r="K738" s="161"/>
      <c r="L738" s="162"/>
      <c r="M738" s="161"/>
      <c r="N738" s="161"/>
      <c r="O738" s="87" t="s">
        <v>532</v>
      </c>
      <c r="P738" s="161"/>
      <c r="Q738" s="87" t="s">
        <v>4882</v>
      </c>
      <c r="R738" s="161"/>
      <c r="S738" s="173"/>
      <c r="T738" s="161"/>
      <c r="U738" s="173"/>
      <c r="V738" s="87" t="s">
        <v>285</v>
      </c>
      <c r="W738" s="87"/>
      <c r="X738" s="87" t="s">
        <v>5081</v>
      </c>
      <c r="Y738" s="100" t="s">
        <v>1104</v>
      </c>
      <c r="Z738" s="162"/>
      <c r="AA738" s="162"/>
      <c r="AB738" s="173"/>
      <c r="AC738" s="81">
        <v>737.0</v>
      </c>
      <c r="AD738" s="173"/>
      <c r="AE738" s="87" t="s">
        <v>67</v>
      </c>
      <c r="AF738" s="173"/>
      <c r="AG738" s="87" t="s">
        <v>68</v>
      </c>
      <c r="AH738" s="173"/>
      <c r="AI738" s="87">
        <v>8.1264887034E10</v>
      </c>
      <c r="AJ738" s="87" t="s">
        <v>5082</v>
      </c>
      <c r="AK738" s="97" t="s">
        <v>5083</v>
      </c>
      <c r="AL738" s="87" t="s">
        <v>5084</v>
      </c>
      <c r="AM738" s="87" t="s">
        <v>96</v>
      </c>
      <c r="AN738" s="87" t="s">
        <v>150</v>
      </c>
      <c r="AO738" s="87" t="s">
        <v>5085</v>
      </c>
      <c r="AP738" s="87" t="s">
        <v>5086</v>
      </c>
      <c r="AQ738" s="87">
        <v>0.0</v>
      </c>
      <c r="AR738" s="87">
        <v>0.0</v>
      </c>
    </row>
    <row r="739">
      <c r="A739" s="89">
        <v>33.0</v>
      </c>
      <c r="B739" s="87" t="s">
        <v>5087</v>
      </c>
      <c r="C739" s="88" t="s">
        <v>5088</v>
      </c>
      <c r="D739" s="161"/>
      <c r="E739" s="161"/>
      <c r="F739" s="161"/>
      <c r="G739" s="161"/>
      <c r="H739" s="161"/>
      <c r="I739" s="162"/>
      <c r="J739" s="161"/>
      <c r="K739" s="161"/>
      <c r="L739" s="162"/>
      <c r="M739" s="161"/>
      <c r="N739" s="161"/>
      <c r="O739" s="87" t="s">
        <v>142</v>
      </c>
      <c r="P739" s="161"/>
      <c r="Q739" s="87" t="s">
        <v>4882</v>
      </c>
      <c r="R739" s="161"/>
      <c r="S739" s="173"/>
      <c r="T739" s="161"/>
      <c r="U739" s="173"/>
      <c r="V739" s="87" t="s">
        <v>89</v>
      </c>
      <c r="W739" s="87" t="s">
        <v>5089</v>
      </c>
      <c r="X739" s="87" t="s">
        <v>260</v>
      </c>
      <c r="Y739" s="94">
        <v>41059.0</v>
      </c>
      <c r="Z739" s="162"/>
      <c r="AA739" s="162"/>
      <c r="AB739" s="173"/>
      <c r="AC739" s="81">
        <v>738.0</v>
      </c>
      <c r="AD739" s="173"/>
      <c r="AE739" s="87" t="s">
        <v>67</v>
      </c>
      <c r="AF739" s="173"/>
      <c r="AG739" s="87" t="s">
        <v>68</v>
      </c>
      <c r="AH739" s="173"/>
      <c r="AI739" s="87">
        <v>8.1260337771E10</v>
      </c>
      <c r="AJ739" s="87" t="s">
        <v>5090</v>
      </c>
      <c r="AK739" s="97" t="s">
        <v>5091</v>
      </c>
      <c r="AL739" s="87" t="s">
        <v>5092</v>
      </c>
      <c r="AM739" s="87" t="s">
        <v>73</v>
      </c>
      <c r="AN739" s="87" t="s">
        <v>74</v>
      </c>
      <c r="AO739" s="87" t="s">
        <v>454</v>
      </c>
      <c r="AP739" s="87" t="s">
        <v>455</v>
      </c>
      <c r="AQ739" s="87"/>
      <c r="AR739" s="87"/>
    </row>
    <row r="740">
      <c r="A740" s="89">
        <v>34.0</v>
      </c>
      <c r="B740" s="87" t="s">
        <v>5093</v>
      </c>
      <c r="C740" s="88" t="s">
        <v>5094</v>
      </c>
      <c r="D740" s="161"/>
      <c r="E740" s="161"/>
      <c r="F740" s="161"/>
      <c r="G740" s="161"/>
      <c r="H740" s="161"/>
      <c r="I740" s="162"/>
      <c r="J740" s="161"/>
      <c r="K740" s="161"/>
      <c r="L740" s="162"/>
      <c r="M740" s="161"/>
      <c r="N740" s="161"/>
      <c r="O740" s="87" t="s">
        <v>142</v>
      </c>
      <c r="P740" s="161"/>
      <c r="Q740" s="87" t="s">
        <v>4882</v>
      </c>
      <c r="R740" s="161"/>
      <c r="S740" s="173"/>
      <c r="T740" s="161"/>
      <c r="U740" s="173"/>
      <c r="V740" s="87" t="s">
        <v>89</v>
      </c>
      <c r="W740" s="87" t="s">
        <v>2016</v>
      </c>
      <c r="X740" s="87" t="s">
        <v>4600</v>
      </c>
      <c r="Y740" s="94">
        <v>42334.0</v>
      </c>
      <c r="Z740" s="162"/>
      <c r="AA740" s="162"/>
      <c r="AB740" s="173"/>
      <c r="AC740" s="81">
        <v>739.0</v>
      </c>
      <c r="AD740" s="173"/>
      <c r="AE740" s="87" t="s">
        <v>67</v>
      </c>
      <c r="AF740" s="173"/>
      <c r="AG740" s="87" t="s">
        <v>68</v>
      </c>
      <c r="AH740" s="173"/>
      <c r="AI740" s="87">
        <v>8.2165458145E10</v>
      </c>
      <c r="AJ740" s="87" t="s">
        <v>5095</v>
      </c>
      <c r="AK740" s="97" t="s">
        <v>5096</v>
      </c>
      <c r="AL740" s="87" t="s">
        <v>5097</v>
      </c>
      <c r="AM740" s="87" t="s">
        <v>73</v>
      </c>
      <c r="AN740" s="87" t="s">
        <v>74</v>
      </c>
      <c r="AO740" s="87" t="s">
        <v>774</v>
      </c>
      <c r="AP740" s="87" t="s">
        <v>4036</v>
      </c>
      <c r="AQ740" s="87" t="s">
        <v>77</v>
      </c>
      <c r="AR740" s="87" t="s">
        <v>77</v>
      </c>
    </row>
    <row r="741">
      <c r="A741" s="89">
        <v>35.0</v>
      </c>
      <c r="B741" s="87" t="s">
        <v>1040</v>
      </c>
      <c r="C741" s="88" t="s">
        <v>5098</v>
      </c>
      <c r="D741" s="161"/>
      <c r="E741" s="161"/>
      <c r="F741" s="161"/>
      <c r="G741" s="161"/>
      <c r="H741" s="161"/>
      <c r="I741" s="162"/>
      <c r="J741" s="161"/>
      <c r="K741" s="161"/>
      <c r="L741" s="162"/>
      <c r="M741" s="161"/>
      <c r="N741" s="161"/>
      <c r="O741" s="87" t="s">
        <v>142</v>
      </c>
      <c r="P741" s="161"/>
      <c r="Q741" s="87" t="s">
        <v>4882</v>
      </c>
      <c r="R741" s="161"/>
      <c r="S741" s="173"/>
      <c r="T741" s="161"/>
      <c r="U741" s="173"/>
      <c r="V741" s="87" t="s">
        <v>89</v>
      </c>
      <c r="W741" s="87" t="s">
        <v>5099</v>
      </c>
      <c r="X741" s="87" t="s">
        <v>865</v>
      </c>
      <c r="Y741" s="94">
        <v>43050.0</v>
      </c>
      <c r="Z741" s="162"/>
      <c r="AA741" s="162"/>
      <c r="AB741" s="173"/>
      <c r="AC741" s="81">
        <v>740.0</v>
      </c>
      <c r="AD741" s="173"/>
      <c r="AE741" s="87" t="s">
        <v>67</v>
      </c>
      <c r="AF741" s="173"/>
      <c r="AG741" s="87" t="s">
        <v>68</v>
      </c>
      <c r="AH741" s="173"/>
      <c r="AI741" s="87">
        <v>8.1260212596E10</v>
      </c>
      <c r="AJ741" s="87" t="s">
        <v>5100</v>
      </c>
      <c r="AK741" s="97" t="s">
        <v>5101</v>
      </c>
      <c r="AL741" s="87" t="s">
        <v>5102</v>
      </c>
      <c r="AM741" s="87" t="s">
        <v>73</v>
      </c>
      <c r="AN741" s="87" t="s">
        <v>166</v>
      </c>
      <c r="AO741" s="87" t="s">
        <v>596</v>
      </c>
      <c r="AP741" s="87" t="s">
        <v>2743</v>
      </c>
      <c r="AQ741" s="87">
        <v>2.0</v>
      </c>
      <c r="AR741" s="87">
        <v>2.0</v>
      </c>
    </row>
    <row r="742">
      <c r="A742" s="89">
        <v>36.0</v>
      </c>
      <c r="B742" s="87" t="s">
        <v>5103</v>
      </c>
      <c r="C742" s="88" t="s">
        <v>5104</v>
      </c>
      <c r="D742" s="161"/>
      <c r="E742" s="161"/>
      <c r="F742" s="161"/>
      <c r="G742" s="161"/>
      <c r="H742" s="161"/>
      <c r="I742" s="162"/>
      <c r="J742" s="161"/>
      <c r="K742" s="161"/>
      <c r="L742" s="162"/>
      <c r="M742" s="161"/>
      <c r="N742" s="161"/>
      <c r="O742" s="87" t="s">
        <v>532</v>
      </c>
      <c r="P742" s="161"/>
      <c r="Q742" s="87" t="s">
        <v>4882</v>
      </c>
      <c r="R742" s="161"/>
      <c r="S742" s="173"/>
      <c r="T742" s="161"/>
      <c r="U742" s="173"/>
      <c r="V742" s="87" t="s">
        <v>285</v>
      </c>
      <c r="W742" s="87" t="s">
        <v>5105</v>
      </c>
      <c r="X742" s="87" t="s">
        <v>5106</v>
      </c>
      <c r="Y742" s="94">
        <v>41779.0</v>
      </c>
      <c r="Z742" s="162"/>
      <c r="AA742" s="162"/>
      <c r="AB742" s="173"/>
      <c r="AC742" s="81">
        <v>741.0</v>
      </c>
      <c r="AD742" s="173"/>
      <c r="AE742" s="87" t="s">
        <v>67</v>
      </c>
      <c r="AF742" s="173"/>
      <c r="AG742" s="87" t="s">
        <v>68</v>
      </c>
      <c r="AH742" s="173"/>
      <c r="AI742" s="87">
        <v>8.7711779595E10</v>
      </c>
      <c r="AJ742" s="87" t="s">
        <v>5107</v>
      </c>
      <c r="AK742" s="97" t="s">
        <v>5108</v>
      </c>
      <c r="AL742" s="87" t="s">
        <v>167</v>
      </c>
      <c r="AM742" s="87" t="s">
        <v>73</v>
      </c>
      <c r="AN742" s="87" t="s">
        <v>74</v>
      </c>
      <c r="AO742" s="87" t="s">
        <v>167</v>
      </c>
      <c r="AP742" s="87" t="s">
        <v>167</v>
      </c>
      <c r="AQ742" s="87" t="s">
        <v>77</v>
      </c>
      <c r="AR742" s="87" t="s">
        <v>77</v>
      </c>
    </row>
    <row r="743">
      <c r="A743" s="89">
        <v>37.0</v>
      </c>
      <c r="B743" s="87" t="s">
        <v>5109</v>
      </c>
      <c r="C743" s="88" t="s">
        <v>5110</v>
      </c>
      <c r="D743" s="161"/>
      <c r="E743" s="161"/>
      <c r="F743" s="161"/>
      <c r="G743" s="161"/>
      <c r="H743" s="161"/>
      <c r="I743" s="162"/>
      <c r="J743" s="161"/>
      <c r="K743" s="161"/>
      <c r="L743" s="162"/>
      <c r="M743" s="161"/>
      <c r="N743" s="161"/>
      <c r="O743" s="87" t="s">
        <v>142</v>
      </c>
      <c r="P743" s="161"/>
      <c r="Q743" s="87" t="s">
        <v>4882</v>
      </c>
      <c r="R743" s="161"/>
      <c r="S743" s="173"/>
      <c r="T743" s="161"/>
      <c r="U743" s="173"/>
      <c r="V743" s="87" t="s">
        <v>89</v>
      </c>
      <c r="W743" s="87" t="s">
        <v>90</v>
      </c>
      <c r="X743" s="87" t="s">
        <v>1119</v>
      </c>
      <c r="Y743" s="94">
        <v>44089.0</v>
      </c>
      <c r="Z743" s="162"/>
      <c r="AA743" s="162"/>
      <c r="AB743" s="173"/>
      <c r="AC743" s="81">
        <v>742.0</v>
      </c>
      <c r="AD743" s="173"/>
      <c r="AE743" s="87" t="s">
        <v>67</v>
      </c>
      <c r="AF743" s="173"/>
      <c r="AG743" s="87" t="s">
        <v>68</v>
      </c>
      <c r="AH743" s="173"/>
      <c r="AI743" s="87">
        <v>8.7878495856E10</v>
      </c>
      <c r="AJ743" s="87" t="s">
        <v>5111</v>
      </c>
      <c r="AK743" s="97" t="s">
        <v>5112</v>
      </c>
      <c r="AL743" s="87" t="s">
        <v>5113</v>
      </c>
      <c r="AM743" s="87" t="s">
        <v>73</v>
      </c>
      <c r="AN743" s="87" t="s">
        <v>74</v>
      </c>
      <c r="AO743" s="87" t="s">
        <v>989</v>
      </c>
      <c r="AP743" s="87" t="s">
        <v>2411</v>
      </c>
      <c r="AQ743" s="87"/>
      <c r="AR743" s="87"/>
    </row>
    <row r="744">
      <c r="A744" s="89">
        <v>38.0</v>
      </c>
      <c r="B744" s="87" t="s">
        <v>5114</v>
      </c>
      <c r="C744" s="88" t="s">
        <v>5115</v>
      </c>
      <c r="D744" s="161"/>
      <c r="E744" s="161"/>
      <c r="F744" s="161"/>
      <c r="G744" s="161"/>
      <c r="H744" s="161"/>
      <c r="I744" s="162"/>
      <c r="J744" s="161"/>
      <c r="K744" s="161"/>
      <c r="L744" s="162"/>
      <c r="M744" s="161"/>
      <c r="N744" s="161"/>
      <c r="O744" s="87" t="s">
        <v>142</v>
      </c>
      <c r="P744" s="161"/>
      <c r="Q744" s="87" t="s">
        <v>4882</v>
      </c>
      <c r="R744" s="161"/>
      <c r="S744" s="173"/>
      <c r="T744" s="161"/>
      <c r="U744" s="173"/>
      <c r="V744" s="87" t="s">
        <v>89</v>
      </c>
      <c r="W744" s="87" t="s">
        <v>640</v>
      </c>
      <c r="X744" s="87" t="s">
        <v>2849</v>
      </c>
      <c r="Y744" s="94">
        <v>42355.0</v>
      </c>
      <c r="Z744" s="162"/>
      <c r="AA744" s="162"/>
      <c r="AB744" s="173"/>
      <c r="AC744" s="81">
        <v>743.0</v>
      </c>
      <c r="AD744" s="173"/>
      <c r="AE744" s="87" t="s">
        <v>220</v>
      </c>
      <c r="AF744" s="173"/>
      <c r="AG744" s="87" t="s">
        <v>130</v>
      </c>
      <c r="AH744" s="173"/>
      <c r="AI744" s="87">
        <v>8.5276712866E10</v>
      </c>
      <c r="AJ744" s="87" t="s">
        <v>5116</v>
      </c>
      <c r="AK744" s="97" t="s">
        <v>5117</v>
      </c>
      <c r="AL744" s="87" t="s">
        <v>5118</v>
      </c>
      <c r="AM744" s="87" t="s">
        <v>96</v>
      </c>
      <c r="AN744" s="87" t="s">
        <v>97</v>
      </c>
      <c r="AO744" s="87" t="s">
        <v>546</v>
      </c>
      <c r="AP744" s="87" t="s">
        <v>5119</v>
      </c>
      <c r="AQ744" s="87">
        <v>0.0</v>
      </c>
      <c r="AR744" s="87">
        <v>0.0</v>
      </c>
    </row>
    <row r="745">
      <c r="A745" s="89">
        <v>39.0</v>
      </c>
      <c r="B745" s="87" t="s">
        <v>5120</v>
      </c>
      <c r="C745" s="88" t="s">
        <v>5121</v>
      </c>
      <c r="D745" s="161"/>
      <c r="E745" s="161"/>
      <c r="F745" s="161"/>
      <c r="G745" s="161"/>
      <c r="H745" s="161"/>
      <c r="I745" s="162"/>
      <c r="J745" s="161"/>
      <c r="K745" s="161"/>
      <c r="L745" s="162"/>
      <c r="M745" s="161"/>
      <c r="N745" s="161"/>
      <c r="O745" s="87" t="s">
        <v>142</v>
      </c>
      <c r="P745" s="161"/>
      <c r="Q745" s="87" t="s">
        <v>4882</v>
      </c>
      <c r="R745" s="161"/>
      <c r="S745" s="173"/>
      <c r="T745" s="161"/>
      <c r="U745" s="173"/>
      <c r="V745" s="87" t="s">
        <v>89</v>
      </c>
      <c r="W745" s="87" t="s">
        <v>374</v>
      </c>
      <c r="X745" s="87" t="s">
        <v>761</v>
      </c>
      <c r="Y745" s="99">
        <v>40878.0</v>
      </c>
      <c r="Z745" s="162"/>
      <c r="AA745" s="162"/>
      <c r="AB745" s="173"/>
      <c r="AC745" s="81">
        <v>744.0</v>
      </c>
      <c r="AD745" s="173"/>
      <c r="AE745" s="87" t="s">
        <v>67</v>
      </c>
      <c r="AF745" s="173"/>
      <c r="AG745" s="87" t="s">
        <v>130</v>
      </c>
      <c r="AH745" s="173"/>
      <c r="AI745" s="87">
        <v>8.2274593001E10</v>
      </c>
      <c r="AJ745" s="87" t="s">
        <v>5122</v>
      </c>
      <c r="AK745" s="97" t="s">
        <v>5123</v>
      </c>
      <c r="AL745" s="87" t="s">
        <v>5124</v>
      </c>
      <c r="AM745" s="87" t="s">
        <v>73</v>
      </c>
      <c r="AN745" s="87" t="s">
        <v>74</v>
      </c>
      <c r="AO745" s="87" t="s">
        <v>118</v>
      </c>
      <c r="AP745" s="87" t="s">
        <v>1848</v>
      </c>
      <c r="AQ745" s="87"/>
      <c r="AR745" s="87"/>
    </row>
    <row r="746">
      <c r="A746" s="89">
        <v>40.0</v>
      </c>
      <c r="B746" s="87" t="s">
        <v>5125</v>
      </c>
      <c r="C746" s="88" t="s">
        <v>5126</v>
      </c>
      <c r="D746" s="161"/>
      <c r="E746" s="161"/>
      <c r="F746" s="161"/>
      <c r="G746" s="161"/>
      <c r="H746" s="161"/>
      <c r="I746" s="162"/>
      <c r="J746" s="161"/>
      <c r="K746" s="161"/>
      <c r="L746" s="162"/>
      <c r="M746" s="161"/>
      <c r="N746" s="161"/>
      <c r="O746" s="87" t="s">
        <v>142</v>
      </c>
      <c r="P746" s="161"/>
      <c r="Q746" s="87" t="s">
        <v>4882</v>
      </c>
      <c r="R746" s="161"/>
      <c r="S746" s="173"/>
      <c r="T746" s="161"/>
      <c r="U746" s="173"/>
      <c r="V746" s="87" t="s">
        <v>89</v>
      </c>
      <c r="W746" s="87" t="s">
        <v>218</v>
      </c>
      <c r="X746" s="87" t="s">
        <v>5127</v>
      </c>
      <c r="Y746" s="94">
        <v>43767.0</v>
      </c>
      <c r="Z746" s="162"/>
      <c r="AA746" s="162"/>
      <c r="AB746" s="173"/>
      <c r="AC746" s="81">
        <v>745.0</v>
      </c>
      <c r="AD746" s="173"/>
      <c r="AE746" s="87" t="s">
        <v>67</v>
      </c>
      <c r="AF746" s="173"/>
      <c r="AG746" s="87" t="s">
        <v>130</v>
      </c>
      <c r="AH746" s="173"/>
      <c r="AI746" s="87">
        <v>8.126090906E10</v>
      </c>
      <c r="AJ746" s="87" t="s">
        <v>5128</v>
      </c>
      <c r="AK746" s="97" t="s">
        <v>5129</v>
      </c>
      <c r="AL746" s="87" t="s">
        <v>5023</v>
      </c>
      <c r="AM746" s="87" t="s">
        <v>96</v>
      </c>
      <c r="AN746" s="87" t="s">
        <v>135</v>
      </c>
      <c r="AO746" s="87" t="s">
        <v>379</v>
      </c>
      <c r="AP746" s="87" t="s">
        <v>389</v>
      </c>
      <c r="AQ746" s="87">
        <v>0.0</v>
      </c>
      <c r="AR746" s="87">
        <v>0.0</v>
      </c>
    </row>
    <row r="747">
      <c r="A747" s="89">
        <v>41.0</v>
      </c>
      <c r="B747" s="87" t="s">
        <v>5130</v>
      </c>
      <c r="C747" s="88" t="s">
        <v>5131</v>
      </c>
      <c r="D747" s="161"/>
      <c r="E747" s="161"/>
      <c r="F747" s="161"/>
      <c r="G747" s="161"/>
      <c r="H747" s="161"/>
      <c r="I747" s="162"/>
      <c r="J747" s="161"/>
      <c r="K747" s="161"/>
      <c r="L747" s="162"/>
      <c r="M747" s="161"/>
      <c r="N747" s="161"/>
      <c r="O747" s="87" t="s">
        <v>142</v>
      </c>
      <c r="P747" s="161"/>
      <c r="Q747" s="87" t="s">
        <v>4882</v>
      </c>
      <c r="R747" s="161"/>
      <c r="S747" s="173"/>
      <c r="T747" s="161"/>
      <c r="U747" s="173"/>
      <c r="V747" s="87" t="s">
        <v>89</v>
      </c>
      <c r="W747" s="87" t="s">
        <v>374</v>
      </c>
      <c r="X747" s="87" t="s">
        <v>1231</v>
      </c>
      <c r="Y747" s="94">
        <v>42080.0</v>
      </c>
      <c r="Z747" s="162"/>
      <c r="AA747" s="162"/>
      <c r="AB747" s="173"/>
      <c r="AC747" s="81">
        <v>746.0</v>
      </c>
      <c r="AD747" s="173"/>
      <c r="AE747" s="87" t="s">
        <v>67</v>
      </c>
      <c r="AF747" s="173"/>
      <c r="AG747" s="87" t="s">
        <v>130</v>
      </c>
      <c r="AH747" s="173"/>
      <c r="AI747" s="87">
        <v>8.5207440468E10</v>
      </c>
      <c r="AJ747" s="87" t="s">
        <v>5132</v>
      </c>
      <c r="AK747" s="97" t="s">
        <v>5133</v>
      </c>
      <c r="AL747" s="87" t="s">
        <v>5134</v>
      </c>
      <c r="AM747" s="87" t="s">
        <v>73</v>
      </c>
      <c r="AN747" s="87" t="s">
        <v>74</v>
      </c>
      <c r="AO747" s="87" t="s">
        <v>203</v>
      </c>
      <c r="AP747" s="87" t="s">
        <v>2506</v>
      </c>
      <c r="AQ747" s="87"/>
      <c r="AR747" s="87"/>
    </row>
    <row r="748">
      <c r="A748" s="89">
        <v>42.0</v>
      </c>
      <c r="B748" s="87" t="s">
        <v>5135</v>
      </c>
      <c r="C748" s="88" t="s">
        <v>5136</v>
      </c>
      <c r="D748" s="161"/>
      <c r="E748" s="161"/>
      <c r="F748" s="161"/>
      <c r="G748" s="161"/>
      <c r="H748" s="161"/>
      <c r="I748" s="162"/>
      <c r="J748" s="161"/>
      <c r="K748" s="161"/>
      <c r="L748" s="162"/>
      <c r="M748" s="161"/>
      <c r="N748" s="161"/>
      <c r="O748" s="87" t="s">
        <v>532</v>
      </c>
      <c r="P748" s="161"/>
      <c r="Q748" s="87" t="s">
        <v>4882</v>
      </c>
      <c r="R748" s="161"/>
      <c r="S748" s="173"/>
      <c r="T748" s="161"/>
      <c r="U748" s="173"/>
      <c r="V748" s="87" t="s">
        <v>285</v>
      </c>
      <c r="W748" s="87" t="s">
        <v>1035</v>
      </c>
      <c r="X748" s="87" t="s">
        <v>5137</v>
      </c>
      <c r="Y748" s="94">
        <v>39613.0</v>
      </c>
      <c r="Z748" s="162"/>
      <c r="AA748" s="162"/>
      <c r="AB748" s="173"/>
      <c r="AC748" s="81">
        <v>747.0</v>
      </c>
      <c r="AD748" s="173"/>
      <c r="AE748" s="87" t="s">
        <v>67</v>
      </c>
      <c r="AF748" s="173"/>
      <c r="AG748" s="87" t="s">
        <v>68</v>
      </c>
      <c r="AH748" s="173"/>
      <c r="AI748" s="87">
        <v>8.1377331151E10</v>
      </c>
      <c r="AJ748" s="87" t="s">
        <v>5138</v>
      </c>
      <c r="AK748" s="97" t="s">
        <v>5139</v>
      </c>
      <c r="AL748" s="87" t="s">
        <v>5140</v>
      </c>
      <c r="AM748" s="87" t="s">
        <v>73</v>
      </c>
      <c r="AN748" s="87" t="s">
        <v>74</v>
      </c>
      <c r="AO748" s="87" t="s">
        <v>360</v>
      </c>
      <c r="AP748" s="87" t="s">
        <v>566</v>
      </c>
      <c r="AQ748" s="87"/>
      <c r="AR748" s="87"/>
    </row>
    <row r="749">
      <c r="A749" s="89">
        <v>43.0</v>
      </c>
      <c r="B749" s="87" t="s">
        <v>5141</v>
      </c>
      <c r="C749" s="88" t="s">
        <v>5142</v>
      </c>
      <c r="D749" s="161"/>
      <c r="E749" s="161"/>
      <c r="F749" s="161"/>
      <c r="G749" s="161"/>
      <c r="H749" s="161"/>
      <c r="I749" s="162"/>
      <c r="J749" s="161"/>
      <c r="K749" s="161"/>
      <c r="L749" s="162"/>
      <c r="M749" s="161"/>
      <c r="N749" s="161"/>
      <c r="O749" s="87" t="s">
        <v>142</v>
      </c>
      <c r="P749" s="161"/>
      <c r="Q749" s="87" t="s">
        <v>4882</v>
      </c>
      <c r="R749" s="161"/>
      <c r="S749" s="173"/>
      <c r="T749" s="161"/>
      <c r="U749" s="173"/>
      <c r="V749" s="87" t="s">
        <v>89</v>
      </c>
      <c r="W749" s="87" t="s">
        <v>374</v>
      </c>
      <c r="X749" s="87" t="s">
        <v>1231</v>
      </c>
      <c r="Y749" s="94">
        <v>40108.0</v>
      </c>
      <c r="Z749" s="162"/>
      <c r="AA749" s="162"/>
      <c r="AB749" s="173"/>
      <c r="AC749" s="81">
        <v>748.0</v>
      </c>
      <c r="AD749" s="173"/>
      <c r="AE749" s="87" t="s">
        <v>67</v>
      </c>
      <c r="AF749" s="173"/>
      <c r="AG749" s="87" t="s">
        <v>130</v>
      </c>
      <c r="AH749" s="173"/>
      <c r="AI749" s="87">
        <v>8.1376351667E10</v>
      </c>
      <c r="AJ749" s="87" t="s">
        <v>5143</v>
      </c>
      <c r="AK749" s="97" t="s">
        <v>5144</v>
      </c>
      <c r="AL749" s="87" t="s">
        <v>5145</v>
      </c>
      <c r="AM749" s="87" t="s">
        <v>73</v>
      </c>
      <c r="AN749" s="87" t="s">
        <v>166</v>
      </c>
      <c r="AO749" s="87" t="s">
        <v>167</v>
      </c>
      <c r="AP749" s="87" t="s">
        <v>204</v>
      </c>
      <c r="AQ749" s="87">
        <v>0.0</v>
      </c>
      <c r="AR749" s="87">
        <v>0.0</v>
      </c>
    </row>
    <row r="750">
      <c r="A750" s="89">
        <v>44.0</v>
      </c>
      <c r="B750" s="87" t="s">
        <v>5146</v>
      </c>
      <c r="C750" s="88" t="s">
        <v>5147</v>
      </c>
      <c r="D750" s="161"/>
      <c r="E750" s="161"/>
      <c r="F750" s="161"/>
      <c r="G750" s="161"/>
      <c r="H750" s="161"/>
      <c r="I750" s="162"/>
      <c r="J750" s="161"/>
      <c r="K750" s="161"/>
      <c r="L750" s="162"/>
      <c r="M750" s="161"/>
      <c r="N750" s="161"/>
      <c r="O750" s="87" t="s">
        <v>532</v>
      </c>
      <c r="P750" s="161"/>
      <c r="Q750" s="87" t="s">
        <v>4882</v>
      </c>
      <c r="R750" s="161"/>
      <c r="S750" s="173"/>
      <c r="T750" s="161"/>
      <c r="U750" s="173"/>
      <c r="V750" s="87" t="s">
        <v>285</v>
      </c>
      <c r="W750" s="87" t="s">
        <v>374</v>
      </c>
      <c r="X750" s="87" t="s">
        <v>5148</v>
      </c>
      <c r="Y750" s="94">
        <v>41779.0</v>
      </c>
      <c r="Z750" s="162"/>
      <c r="AA750" s="162"/>
      <c r="AB750" s="173"/>
      <c r="AC750" s="81">
        <v>749.0</v>
      </c>
      <c r="AD750" s="173"/>
      <c r="AE750" s="87" t="s">
        <v>67</v>
      </c>
      <c r="AF750" s="173"/>
      <c r="AG750" s="87" t="s">
        <v>130</v>
      </c>
      <c r="AH750" s="173"/>
      <c r="AI750" s="87">
        <v>8.2236794902E10</v>
      </c>
      <c r="AJ750" s="87" t="s">
        <v>5149</v>
      </c>
      <c r="AK750" s="97" t="s">
        <v>5150</v>
      </c>
      <c r="AL750" s="87" t="s">
        <v>5151</v>
      </c>
      <c r="AM750" s="87" t="s">
        <v>73</v>
      </c>
      <c r="AN750" s="87" t="s">
        <v>74</v>
      </c>
      <c r="AO750" s="87" t="s">
        <v>741</v>
      </c>
      <c r="AP750" s="87" t="s">
        <v>5152</v>
      </c>
      <c r="AQ750" s="87"/>
      <c r="AR750" s="87"/>
    </row>
    <row r="751">
      <c r="A751" s="89">
        <v>45.0</v>
      </c>
      <c r="B751" s="87" t="s">
        <v>5153</v>
      </c>
      <c r="C751" s="88" t="s">
        <v>5154</v>
      </c>
      <c r="D751" s="161"/>
      <c r="E751" s="161"/>
      <c r="F751" s="161"/>
      <c r="G751" s="161"/>
      <c r="H751" s="161"/>
      <c r="I751" s="162"/>
      <c r="J751" s="161"/>
      <c r="K751" s="161"/>
      <c r="L751" s="162"/>
      <c r="M751" s="161"/>
      <c r="N751" s="161"/>
      <c r="O751" s="87" t="s">
        <v>142</v>
      </c>
      <c r="P751" s="161"/>
      <c r="Q751" s="87" t="s">
        <v>4882</v>
      </c>
      <c r="R751" s="161"/>
      <c r="S751" s="173"/>
      <c r="T751" s="161"/>
      <c r="U751" s="173"/>
      <c r="V751" s="87" t="s">
        <v>89</v>
      </c>
      <c r="W751" s="87" t="s">
        <v>5155</v>
      </c>
      <c r="X751" s="87" t="s">
        <v>5156</v>
      </c>
      <c r="Y751" s="94">
        <v>41501.0</v>
      </c>
      <c r="Z751" s="162"/>
      <c r="AA751" s="162"/>
      <c r="AB751" s="173"/>
      <c r="AC751" s="81">
        <v>750.0</v>
      </c>
      <c r="AD751" s="173"/>
      <c r="AE751" s="87" t="s">
        <v>67</v>
      </c>
      <c r="AF751" s="173"/>
      <c r="AG751" s="87" t="s">
        <v>68</v>
      </c>
      <c r="AH751" s="173"/>
      <c r="AI751" s="87">
        <v>8.5360435822E10</v>
      </c>
      <c r="AJ751" s="87" t="s">
        <v>5157</v>
      </c>
      <c r="AK751" s="97" t="s">
        <v>5158</v>
      </c>
      <c r="AL751" s="87" t="s">
        <v>5159</v>
      </c>
      <c r="AM751" s="87" t="s">
        <v>96</v>
      </c>
      <c r="AN751" s="87" t="s">
        <v>97</v>
      </c>
      <c r="AO751" s="87" t="s">
        <v>2699</v>
      </c>
      <c r="AP751" s="87" t="s">
        <v>2826</v>
      </c>
      <c r="AQ751" s="87">
        <v>0.0</v>
      </c>
      <c r="AR751" s="87">
        <v>0.0</v>
      </c>
    </row>
    <row r="752">
      <c r="A752" s="89">
        <v>46.0</v>
      </c>
      <c r="B752" s="87" t="s">
        <v>5160</v>
      </c>
      <c r="C752" s="88" t="s">
        <v>5161</v>
      </c>
      <c r="D752" s="161"/>
      <c r="E752" s="161"/>
      <c r="F752" s="161"/>
      <c r="G752" s="161"/>
      <c r="H752" s="161"/>
      <c r="I752" s="162"/>
      <c r="J752" s="161"/>
      <c r="K752" s="161"/>
      <c r="L752" s="162"/>
      <c r="M752" s="161"/>
      <c r="N752" s="161"/>
      <c r="O752" s="87" t="s">
        <v>519</v>
      </c>
      <c r="P752" s="161"/>
      <c r="Q752" s="87" t="s">
        <v>4882</v>
      </c>
      <c r="R752" s="161"/>
      <c r="S752" s="173"/>
      <c r="T752" s="161"/>
      <c r="U752" s="173"/>
      <c r="V752" s="87" t="s">
        <v>267</v>
      </c>
      <c r="W752" s="87" t="s">
        <v>374</v>
      </c>
      <c r="X752" s="87" t="s">
        <v>5058</v>
      </c>
      <c r="Y752" s="94">
        <v>42548.0</v>
      </c>
      <c r="Z752" s="162"/>
      <c r="AA752" s="162"/>
      <c r="AB752" s="173"/>
      <c r="AC752" s="81">
        <v>751.0</v>
      </c>
      <c r="AD752" s="173"/>
      <c r="AE752" s="87" t="s">
        <v>67</v>
      </c>
      <c r="AF752" s="173"/>
      <c r="AG752" s="87" t="s">
        <v>130</v>
      </c>
      <c r="AH752" s="173"/>
      <c r="AI752" s="87">
        <v>8.2168111961E10</v>
      </c>
      <c r="AJ752" s="87" t="s">
        <v>5162</v>
      </c>
      <c r="AK752" s="97" t="s">
        <v>5163</v>
      </c>
      <c r="AL752" s="87" t="s">
        <v>5164</v>
      </c>
      <c r="AM752" s="87" t="s">
        <v>73</v>
      </c>
      <c r="AN752" s="87" t="s">
        <v>166</v>
      </c>
      <c r="AO752" s="87" t="s">
        <v>167</v>
      </c>
      <c r="AP752" s="87" t="s">
        <v>5165</v>
      </c>
      <c r="AQ752" s="87">
        <v>0.0</v>
      </c>
      <c r="AR752" s="87">
        <v>0.0</v>
      </c>
    </row>
    <row r="753">
      <c r="A753" s="89">
        <v>47.0</v>
      </c>
      <c r="B753" s="87" t="s">
        <v>5166</v>
      </c>
      <c r="C753" s="88" t="s">
        <v>5167</v>
      </c>
      <c r="D753" s="161"/>
      <c r="E753" s="161"/>
      <c r="F753" s="161"/>
      <c r="G753" s="161"/>
      <c r="H753" s="161"/>
      <c r="I753" s="162"/>
      <c r="J753" s="161"/>
      <c r="K753" s="161"/>
      <c r="L753" s="162"/>
      <c r="M753" s="161"/>
      <c r="N753" s="161"/>
      <c r="O753" s="87" t="s">
        <v>532</v>
      </c>
      <c r="P753" s="161"/>
      <c r="Q753" s="87" t="s">
        <v>4882</v>
      </c>
      <c r="R753" s="161"/>
      <c r="S753" s="173"/>
      <c r="T753" s="161"/>
      <c r="U753" s="173"/>
      <c r="V753" s="87" t="s">
        <v>285</v>
      </c>
      <c r="W753" s="87"/>
      <c r="X753" s="87" t="s">
        <v>5168</v>
      </c>
      <c r="Y753" s="99">
        <v>44319.0</v>
      </c>
      <c r="Z753" s="162"/>
      <c r="AA753" s="162"/>
      <c r="AB753" s="173"/>
      <c r="AC753" s="81">
        <v>752.0</v>
      </c>
      <c r="AD753" s="173"/>
      <c r="AE753" s="87" t="s">
        <v>67</v>
      </c>
      <c r="AF753" s="173"/>
      <c r="AG753" s="87" t="s">
        <v>130</v>
      </c>
      <c r="AH753" s="173"/>
      <c r="AI753" s="87">
        <v>8.1311544435E10</v>
      </c>
      <c r="AJ753" s="87" t="s">
        <v>5169</v>
      </c>
      <c r="AK753" s="97" t="s">
        <v>5170</v>
      </c>
      <c r="AL753" s="87" t="s">
        <v>5171</v>
      </c>
      <c r="AM753" s="87" t="s">
        <v>73</v>
      </c>
      <c r="AN753" s="87" t="s">
        <v>481</v>
      </c>
      <c r="AO753" s="87" t="s">
        <v>1047</v>
      </c>
      <c r="AP753" s="87" t="s">
        <v>2512</v>
      </c>
      <c r="AQ753" s="87"/>
      <c r="AR753" s="87"/>
    </row>
    <row r="754">
      <c r="A754" s="89">
        <v>48.0</v>
      </c>
      <c r="B754" s="87" t="s">
        <v>5172</v>
      </c>
      <c r="C754" s="88" t="s">
        <v>5173</v>
      </c>
      <c r="D754" s="161"/>
      <c r="E754" s="161"/>
      <c r="F754" s="161"/>
      <c r="G754" s="161"/>
      <c r="H754" s="161"/>
      <c r="I754" s="162"/>
      <c r="J754" s="161"/>
      <c r="K754" s="161"/>
      <c r="L754" s="162"/>
      <c r="M754" s="161"/>
      <c r="N754" s="161"/>
      <c r="O754" s="87" t="s">
        <v>142</v>
      </c>
      <c r="P754" s="161"/>
      <c r="Q754" s="87" t="s">
        <v>4882</v>
      </c>
      <c r="R754" s="161"/>
      <c r="S754" s="173"/>
      <c r="T754" s="161"/>
      <c r="U754" s="173"/>
      <c r="V754" s="87" t="s">
        <v>89</v>
      </c>
      <c r="W754" s="87" t="s">
        <v>5174</v>
      </c>
      <c r="X754" s="87" t="s">
        <v>5175</v>
      </c>
      <c r="Y754" s="94">
        <v>39223.0</v>
      </c>
      <c r="Z754" s="162"/>
      <c r="AA754" s="162"/>
      <c r="AB754" s="173"/>
      <c r="AC754" s="81">
        <v>753.0</v>
      </c>
      <c r="AD754" s="173"/>
      <c r="AE754" s="87" t="s">
        <v>220</v>
      </c>
      <c r="AF754" s="173"/>
      <c r="AG754" s="87" t="s">
        <v>130</v>
      </c>
      <c r="AH754" s="173"/>
      <c r="AI754" s="87">
        <v>8.1366339058E10</v>
      </c>
      <c r="AJ754" s="87" t="s">
        <v>5176</v>
      </c>
      <c r="AK754" s="97" t="s">
        <v>5177</v>
      </c>
      <c r="AL754" s="87" t="s">
        <v>5178</v>
      </c>
      <c r="AM754" s="87" t="s">
        <v>96</v>
      </c>
      <c r="AN754" s="87" t="s">
        <v>97</v>
      </c>
      <c r="AO754" s="87" t="s">
        <v>236</v>
      </c>
      <c r="AP754" s="87" t="s">
        <v>237</v>
      </c>
      <c r="AQ754" s="87" t="s">
        <v>77</v>
      </c>
      <c r="AR754" s="87" t="s">
        <v>77</v>
      </c>
    </row>
    <row r="755">
      <c r="A755" s="89">
        <v>49.0</v>
      </c>
      <c r="B755" s="87" t="s">
        <v>5179</v>
      </c>
      <c r="C755" s="88" t="s">
        <v>5180</v>
      </c>
      <c r="D755" s="161"/>
      <c r="E755" s="161"/>
      <c r="F755" s="161"/>
      <c r="G755" s="161"/>
      <c r="H755" s="161"/>
      <c r="I755" s="162"/>
      <c r="J755" s="161"/>
      <c r="K755" s="161"/>
      <c r="L755" s="162"/>
      <c r="M755" s="161"/>
      <c r="N755" s="161"/>
      <c r="O755" s="87" t="s">
        <v>142</v>
      </c>
      <c r="P755" s="161"/>
      <c r="Q755" s="87" t="s">
        <v>4882</v>
      </c>
      <c r="R755" s="161"/>
      <c r="S755" s="173"/>
      <c r="T755" s="161"/>
      <c r="U755" s="173"/>
      <c r="V755" s="87" t="s">
        <v>89</v>
      </c>
      <c r="W755" s="87" t="s">
        <v>218</v>
      </c>
      <c r="X755" s="87" t="s">
        <v>509</v>
      </c>
      <c r="Y755" s="94">
        <v>43388.0</v>
      </c>
      <c r="Z755" s="162"/>
      <c r="AA755" s="162"/>
      <c r="AB755" s="173"/>
      <c r="AC755" s="81">
        <v>754.0</v>
      </c>
      <c r="AD755" s="173"/>
      <c r="AE755" s="87" t="s">
        <v>67</v>
      </c>
      <c r="AF755" s="173"/>
      <c r="AG755" s="87" t="s">
        <v>68</v>
      </c>
      <c r="AH755" s="173"/>
      <c r="AI755" s="87">
        <v>8.2160051881E10</v>
      </c>
      <c r="AJ755" s="87"/>
      <c r="AK755" s="97" t="s">
        <v>5181</v>
      </c>
      <c r="AL755" s="87" t="s">
        <v>5182</v>
      </c>
      <c r="AM755" s="87" t="s">
        <v>96</v>
      </c>
      <c r="AN755" s="87" t="s">
        <v>97</v>
      </c>
      <c r="AO755" s="87" t="s">
        <v>445</v>
      </c>
      <c r="AP755" s="87" t="s">
        <v>657</v>
      </c>
      <c r="AQ755" s="87" t="s">
        <v>77</v>
      </c>
      <c r="AR755" s="87" t="s">
        <v>77</v>
      </c>
    </row>
    <row r="756">
      <c r="A756" s="89">
        <v>50.0</v>
      </c>
      <c r="B756" s="87" t="s">
        <v>5183</v>
      </c>
      <c r="C756" s="88" t="s">
        <v>5184</v>
      </c>
      <c r="D756" s="161"/>
      <c r="E756" s="161"/>
      <c r="F756" s="161"/>
      <c r="G756" s="161"/>
      <c r="H756" s="161"/>
      <c r="I756" s="162"/>
      <c r="J756" s="161"/>
      <c r="K756" s="161"/>
      <c r="L756" s="162"/>
      <c r="M756" s="161"/>
      <c r="N756" s="161"/>
      <c r="O756" s="87" t="s">
        <v>142</v>
      </c>
      <c r="P756" s="161"/>
      <c r="Q756" s="87" t="s">
        <v>4882</v>
      </c>
      <c r="R756" s="161"/>
      <c r="S756" s="173"/>
      <c r="T756" s="161"/>
      <c r="U756" s="173"/>
      <c r="V756" s="87"/>
      <c r="W756" s="87"/>
      <c r="X756" s="87"/>
      <c r="Y756" s="100"/>
      <c r="Z756" s="162"/>
      <c r="AA756" s="162"/>
      <c r="AB756" s="173"/>
      <c r="AC756" s="81">
        <v>755.0</v>
      </c>
      <c r="AD756" s="173"/>
      <c r="AE756" s="87" t="s">
        <v>67</v>
      </c>
      <c r="AF756" s="173"/>
      <c r="AG756" s="87" t="s">
        <v>130</v>
      </c>
      <c r="AH756" s="173"/>
      <c r="AI756" s="87">
        <v>8.2165512426E10</v>
      </c>
      <c r="AJ756" s="87"/>
      <c r="AK756" s="97" t="s">
        <v>5185</v>
      </c>
      <c r="AL756" s="87" t="s">
        <v>5186</v>
      </c>
      <c r="AM756" s="87" t="s">
        <v>96</v>
      </c>
      <c r="AN756" s="87" t="s">
        <v>135</v>
      </c>
      <c r="AO756" s="87" t="s">
        <v>272</v>
      </c>
      <c r="AP756" s="87" t="s">
        <v>334</v>
      </c>
      <c r="AQ756" s="87"/>
      <c r="AR756" s="87"/>
    </row>
    <row r="757">
      <c r="A757" s="89">
        <v>51.0</v>
      </c>
      <c r="B757" s="87" t="s">
        <v>5187</v>
      </c>
      <c r="C757" s="88" t="s">
        <v>5188</v>
      </c>
      <c r="D757" s="161"/>
      <c r="E757" s="161"/>
      <c r="F757" s="161"/>
      <c r="G757" s="161"/>
      <c r="H757" s="161"/>
      <c r="I757" s="162"/>
      <c r="J757" s="161"/>
      <c r="K757" s="161"/>
      <c r="L757" s="162"/>
      <c r="M757" s="161"/>
      <c r="N757" s="161"/>
      <c r="O757" s="87" t="s">
        <v>519</v>
      </c>
      <c r="P757" s="161"/>
      <c r="Q757" s="87" t="s">
        <v>4882</v>
      </c>
      <c r="R757" s="161"/>
      <c r="S757" s="173"/>
      <c r="T757" s="161"/>
      <c r="U757" s="173"/>
      <c r="V757" s="87" t="s">
        <v>267</v>
      </c>
      <c r="W757" s="87" t="s">
        <v>346</v>
      </c>
      <c r="X757" s="87" t="s">
        <v>5189</v>
      </c>
      <c r="Y757" s="94">
        <v>38255.0</v>
      </c>
      <c r="Z757" s="162"/>
      <c r="AA757" s="162"/>
      <c r="AB757" s="173"/>
      <c r="AC757" s="81">
        <v>756.0</v>
      </c>
      <c r="AD757" s="173"/>
      <c r="AE757" s="87" t="s">
        <v>67</v>
      </c>
      <c r="AF757" s="173"/>
      <c r="AG757" s="87" t="s">
        <v>130</v>
      </c>
      <c r="AH757" s="173"/>
      <c r="AI757" s="87">
        <v>8.1265025677E10</v>
      </c>
      <c r="AJ757" s="87" t="s">
        <v>5190</v>
      </c>
      <c r="AK757" s="97" t="s">
        <v>5191</v>
      </c>
      <c r="AL757" s="87" t="s">
        <v>5192</v>
      </c>
      <c r="AM757" s="87" t="s">
        <v>96</v>
      </c>
      <c r="AN757" s="87" t="s">
        <v>97</v>
      </c>
      <c r="AO757" s="87" t="s">
        <v>236</v>
      </c>
      <c r="AP757" s="87" t="s">
        <v>666</v>
      </c>
      <c r="AQ757" s="87">
        <v>0.0</v>
      </c>
      <c r="AR757" s="87">
        <v>0.0</v>
      </c>
    </row>
    <row r="758">
      <c r="A758" s="89">
        <v>52.0</v>
      </c>
      <c r="B758" s="87" t="s">
        <v>5193</v>
      </c>
      <c r="C758" s="88" t="s">
        <v>5194</v>
      </c>
      <c r="D758" s="161"/>
      <c r="E758" s="161"/>
      <c r="F758" s="161"/>
      <c r="G758" s="161"/>
      <c r="H758" s="161"/>
      <c r="I758" s="162"/>
      <c r="J758" s="161"/>
      <c r="K758" s="161"/>
      <c r="L758" s="162"/>
      <c r="M758" s="161"/>
      <c r="N758" s="161"/>
      <c r="O758" s="87" t="s">
        <v>142</v>
      </c>
      <c r="P758" s="161"/>
      <c r="Q758" s="87" t="s">
        <v>4882</v>
      </c>
      <c r="R758" s="161"/>
      <c r="S758" s="173"/>
      <c r="T758" s="161"/>
      <c r="U758" s="173"/>
      <c r="V758" s="87" t="s">
        <v>89</v>
      </c>
      <c r="W758" s="87" t="s">
        <v>2710</v>
      </c>
      <c r="X758" s="87" t="s">
        <v>244</v>
      </c>
      <c r="Y758" s="99">
        <v>42044.0</v>
      </c>
      <c r="Z758" s="162"/>
      <c r="AA758" s="162"/>
      <c r="AB758" s="173"/>
      <c r="AC758" s="81">
        <v>757.0</v>
      </c>
      <c r="AD758" s="173"/>
      <c r="AE758" s="87" t="s">
        <v>67</v>
      </c>
      <c r="AF758" s="173"/>
      <c r="AG758" s="87" t="s">
        <v>130</v>
      </c>
      <c r="AH758" s="173"/>
      <c r="AI758" s="87">
        <v>8.1397000093E10</v>
      </c>
      <c r="AJ758" s="87" t="s">
        <v>5195</v>
      </c>
      <c r="AK758" s="97" t="s">
        <v>5196</v>
      </c>
      <c r="AL758" s="87" t="s">
        <v>5197</v>
      </c>
      <c r="AM758" s="87" t="s">
        <v>96</v>
      </c>
      <c r="AN758" s="87" t="s">
        <v>97</v>
      </c>
      <c r="AO758" s="87" t="s">
        <v>272</v>
      </c>
      <c r="AP758" s="87" t="s">
        <v>273</v>
      </c>
      <c r="AQ758" s="87" t="s">
        <v>77</v>
      </c>
      <c r="AR758" s="87" t="s">
        <v>77</v>
      </c>
    </row>
    <row r="759">
      <c r="A759" s="89">
        <v>53.0</v>
      </c>
      <c r="B759" s="87" t="s">
        <v>5198</v>
      </c>
      <c r="C759" s="88" t="s">
        <v>5199</v>
      </c>
      <c r="D759" s="161"/>
      <c r="E759" s="161"/>
      <c r="F759" s="161"/>
      <c r="G759" s="161"/>
      <c r="H759" s="161"/>
      <c r="I759" s="162"/>
      <c r="J759" s="161"/>
      <c r="K759" s="161"/>
      <c r="L759" s="162"/>
      <c r="M759" s="161"/>
      <c r="N759" s="161"/>
      <c r="O759" s="87" t="s">
        <v>142</v>
      </c>
      <c r="P759" s="161"/>
      <c r="Q759" s="87" t="s">
        <v>4882</v>
      </c>
      <c r="R759" s="161"/>
      <c r="S759" s="173"/>
      <c r="T759" s="161"/>
      <c r="U759" s="173"/>
      <c r="V759" s="87" t="s">
        <v>89</v>
      </c>
      <c r="W759" s="87" t="s">
        <v>3908</v>
      </c>
      <c r="X759" s="87" t="s">
        <v>244</v>
      </c>
      <c r="Y759" s="94">
        <v>40543.0</v>
      </c>
      <c r="Z759" s="162"/>
      <c r="AA759" s="162"/>
      <c r="AB759" s="173"/>
      <c r="AC759" s="81">
        <v>758.0</v>
      </c>
      <c r="AD759" s="173"/>
      <c r="AE759" s="87" t="s">
        <v>67</v>
      </c>
      <c r="AF759" s="173"/>
      <c r="AG759" s="87" t="s">
        <v>130</v>
      </c>
      <c r="AH759" s="173"/>
      <c r="AI759" s="87">
        <v>8.1361471988E10</v>
      </c>
      <c r="AJ759" s="87" t="s">
        <v>5200</v>
      </c>
      <c r="AK759" s="97" t="s">
        <v>5201</v>
      </c>
      <c r="AL759" s="87" t="s">
        <v>5202</v>
      </c>
      <c r="AM759" s="87" t="s">
        <v>73</v>
      </c>
      <c r="AN759" s="87" t="s">
        <v>74</v>
      </c>
      <c r="AO759" s="87" t="s">
        <v>178</v>
      </c>
      <c r="AP759" s="87" t="s">
        <v>179</v>
      </c>
      <c r="AQ759" s="87"/>
      <c r="AR759" s="87"/>
    </row>
    <row r="760">
      <c r="A760" s="89">
        <v>54.0</v>
      </c>
      <c r="B760" s="87" t="s">
        <v>5203</v>
      </c>
      <c r="C760" s="88" t="s">
        <v>5204</v>
      </c>
      <c r="D760" s="161"/>
      <c r="E760" s="161"/>
      <c r="F760" s="161"/>
      <c r="G760" s="161"/>
      <c r="H760" s="161"/>
      <c r="I760" s="162"/>
      <c r="J760" s="161"/>
      <c r="K760" s="161"/>
      <c r="L760" s="162"/>
      <c r="M760" s="161"/>
      <c r="N760" s="161"/>
      <c r="O760" s="87" t="s">
        <v>532</v>
      </c>
      <c r="P760" s="161"/>
      <c r="Q760" s="87" t="s">
        <v>4882</v>
      </c>
      <c r="R760" s="161"/>
      <c r="S760" s="173"/>
      <c r="T760" s="161"/>
      <c r="U760" s="173"/>
      <c r="V760" s="87"/>
      <c r="W760" s="87"/>
      <c r="X760" s="87"/>
      <c r="Y760" s="100"/>
      <c r="Z760" s="162"/>
      <c r="AA760" s="162"/>
      <c r="AB760" s="173"/>
      <c r="AC760" s="81">
        <v>759.0</v>
      </c>
      <c r="AD760" s="173"/>
      <c r="AE760" s="87" t="s">
        <v>67</v>
      </c>
      <c r="AF760" s="173"/>
      <c r="AG760" s="87" t="s">
        <v>68</v>
      </c>
      <c r="AH760" s="173"/>
      <c r="AI760" s="87">
        <v>8.5831277204E10</v>
      </c>
      <c r="AJ760" s="87" t="s">
        <v>5205</v>
      </c>
      <c r="AK760" s="97" t="s">
        <v>5206</v>
      </c>
      <c r="AL760" s="87" t="s">
        <v>5207</v>
      </c>
      <c r="AM760" s="87" t="s">
        <v>96</v>
      </c>
      <c r="AN760" s="87" t="s">
        <v>150</v>
      </c>
      <c r="AO760" s="87" t="s">
        <v>5085</v>
      </c>
      <c r="AP760" s="87" t="s">
        <v>5208</v>
      </c>
      <c r="AQ760" s="87">
        <v>0.0</v>
      </c>
      <c r="AR760" s="87">
        <v>0.0</v>
      </c>
    </row>
    <row r="761">
      <c r="A761" s="89">
        <v>55.0</v>
      </c>
      <c r="B761" s="87" t="s">
        <v>5209</v>
      </c>
      <c r="C761" s="88" t="s">
        <v>5210</v>
      </c>
      <c r="D761" s="161"/>
      <c r="E761" s="161"/>
      <c r="F761" s="161"/>
      <c r="G761" s="161"/>
      <c r="H761" s="161"/>
      <c r="I761" s="162"/>
      <c r="J761" s="161"/>
      <c r="K761" s="161"/>
      <c r="L761" s="162"/>
      <c r="M761" s="161"/>
      <c r="N761" s="161"/>
      <c r="O761" s="87" t="s">
        <v>142</v>
      </c>
      <c r="P761" s="161"/>
      <c r="Q761" s="87" t="s">
        <v>4882</v>
      </c>
      <c r="R761" s="161"/>
      <c r="S761" s="173"/>
      <c r="T761" s="161"/>
      <c r="U761" s="173"/>
      <c r="V761" s="87" t="s">
        <v>89</v>
      </c>
      <c r="W761" s="87" t="s">
        <v>5211</v>
      </c>
      <c r="X761" s="87" t="s">
        <v>745</v>
      </c>
      <c r="Y761" s="94">
        <v>40022.0</v>
      </c>
      <c r="Z761" s="162"/>
      <c r="AA761" s="162"/>
      <c r="AB761" s="173"/>
      <c r="AC761" s="81">
        <v>760.0</v>
      </c>
      <c r="AD761" s="173"/>
      <c r="AE761" s="87" t="s">
        <v>67</v>
      </c>
      <c r="AF761" s="173"/>
      <c r="AG761" s="87" t="s">
        <v>68</v>
      </c>
      <c r="AH761" s="173"/>
      <c r="AI761" s="87">
        <v>8.1396313424E10</v>
      </c>
      <c r="AJ761" s="87" t="s">
        <v>5212</v>
      </c>
      <c r="AK761" s="97" t="s">
        <v>858</v>
      </c>
      <c r="AL761" s="87" t="s">
        <v>5213</v>
      </c>
      <c r="AM761" s="87" t="s">
        <v>96</v>
      </c>
      <c r="AN761" s="87" t="s">
        <v>97</v>
      </c>
      <c r="AO761" s="87" t="s">
        <v>236</v>
      </c>
      <c r="AP761" s="87" t="s">
        <v>5214</v>
      </c>
      <c r="AQ761" s="87"/>
      <c r="AR761" s="87"/>
    </row>
    <row r="762">
      <c r="A762" s="118"/>
      <c r="B762" s="214"/>
      <c r="C762" s="118"/>
      <c r="D762" s="118"/>
      <c r="E762" s="118"/>
      <c r="F762" s="118"/>
      <c r="G762" s="118"/>
      <c r="H762" s="118"/>
      <c r="I762" s="214"/>
      <c r="J762" s="118"/>
      <c r="K762" s="118"/>
      <c r="L762" s="214"/>
      <c r="M762" s="118"/>
      <c r="N762" s="118"/>
      <c r="O762" s="214"/>
      <c r="P762" s="118"/>
      <c r="Q762" s="214"/>
      <c r="R762" s="118"/>
      <c r="S762" s="214"/>
      <c r="T762" s="118"/>
      <c r="U762" s="214"/>
      <c r="V762" s="214"/>
      <c r="W762" s="214"/>
      <c r="X762" s="214"/>
      <c r="Y762" s="116"/>
      <c r="Z762" s="214"/>
      <c r="AA762" s="214"/>
      <c r="AB762" s="214"/>
      <c r="AC762" s="81">
        <v>761.0</v>
      </c>
      <c r="AD762" s="214"/>
      <c r="AE762" s="214"/>
      <c r="AF762" s="214"/>
      <c r="AG762" s="214"/>
      <c r="AH762" s="214"/>
      <c r="AI762" s="214"/>
      <c r="AJ762" s="214"/>
      <c r="AK762" s="215"/>
      <c r="AL762" s="214"/>
      <c r="AM762" s="214"/>
      <c r="AN762" s="214"/>
      <c r="AO762" s="214"/>
      <c r="AP762" s="214"/>
      <c r="AQ762" s="214"/>
      <c r="AR762" s="214"/>
    </row>
    <row r="763">
      <c r="A763" s="101" t="s">
        <v>5215</v>
      </c>
      <c r="B763" s="116"/>
      <c r="C763" s="117"/>
      <c r="D763" s="118"/>
      <c r="E763" s="118"/>
      <c r="F763" s="118"/>
      <c r="G763" s="118"/>
      <c r="H763" s="118"/>
      <c r="I763" s="116"/>
      <c r="J763" s="118"/>
      <c r="K763" s="118"/>
      <c r="L763" s="116"/>
      <c r="M763" s="118"/>
      <c r="N763" s="118"/>
      <c r="O763" s="116"/>
      <c r="P763" s="118"/>
      <c r="Q763" s="116"/>
      <c r="R763" s="118"/>
      <c r="S763" s="116"/>
      <c r="T763" s="118"/>
      <c r="U763" s="116"/>
      <c r="V763" s="116"/>
      <c r="W763" s="116"/>
      <c r="X763" s="116"/>
      <c r="Y763" s="116"/>
      <c r="Z763" s="116"/>
      <c r="AA763" s="116"/>
      <c r="AB763" s="116"/>
      <c r="AC763" s="81">
        <v>762.0</v>
      </c>
      <c r="AD763" s="119"/>
      <c r="AE763" s="119"/>
      <c r="AF763" s="119"/>
      <c r="AG763" s="119"/>
      <c r="AH763" s="119"/>
      <c r="AI763" s="119"/>
      <c r="AJ763" s="119"/>
      <c r="AK763" s="29"/>
      <c r="AL763" s="119"/>
      <c r="AM763" s="119"/>
      <c r="AN763" s="119"/>
      <c r="AO763" s="119"/>
      <c r="AP763" s="119"/>
      <c r="AQ763" s="119"/>
      <c r="AR763" s="119"/>
    </row>
    <row r="764">
      <c r="A764" s="21">
        <f>SUM(A762+1)</f>
        <v>1</v>
      </c>
      <c r="B764" s="21" t="s">
        <v>5216</v>
      </c>
      <c r="C764" s="31" t="s">
        <v>5217</v>
      </c>
      <c r="D764" s="23">
        <v>19.0</v>
      </c>
      <c r="E764" s="23">
        <v>1.0</v>
      </c>
      <c r="F764" s="23" t="s">
        <v>50</v>
      </c>
      <c r="G764" s="23" t="s">
        <v>51</v>
      </c>
      <c r="H764" s="32">
        <v>35855.0</v>
      </c>
      <c r="I764" s="21" t="s">
        <v>82</v>
      </c>
      <c r="J764" s="21" t="s">
        <v>83</v>
      </c>
      <c r="K764" s="21" t="s">
        <v>228</v>
      </c>
      <c r="L764" s="21" t="s">
        <v>105</v>
      </c>
      <c r="M764" s="33">
        <v>44652.0</v>
      </c>
      <c r="N764" s="23" t="s">
        <v>56</v>
      </c>
      <c r="O764" s="21" t="s">
        <v>5218</v>
      </c>
      <c r="P764" s="23" t="s">
        <v>107</v>
      </c>
      <c r="Q764" s="21" t="s">
        <v>5219</v>
      </c>
      <c r="R764" s="32">
        <v>45628.0</v>
      </c>
      <c r="S764" s="23" t="s">
        <v>2571</v>
      </c>
      <c r="T764" s="35"/>
      <c r="U764" s="23" t="s">
        <v>88</v>
      </c>
      <c r="V764" s="21" t="s">
        <v>159</v>
      </c>
      <c r="W764" s="21" t="s">
        <v>259</v>
      </c>
      <c r="X764" s="21" t="s">
        <v>260</v>
      </c>
      <c r="Y764" s="36">
        <v>43008.0</v>
      </c>
      <c r="Z764" s="23" t="s">
        <v>114</v>
      </c>
      <c r="AA764" s="32">
        <v>49313.0</v>
      </c>
      <c r="AB764" s="35"/>
      <c r="AC764" s="23">
        <v>249.0</v>
      </c>
      <c r="AD764" s="21" t="s">
        <v>66</v>
      </c>
      <c r="AE764" s="21" t="s">
        <v>67</v>
      </c>
      <c r="AF764" s="21" t="s">
        <v>92</v>
      </c>
      <c r="AG764" s="21" t="s">
        <v>68</v>
      </c>
      <c r="AH764" s="21" t="s">
        <v>69</v>
      </c>
      <c r="AI764" s="21">
        <v>8.1370082772E10</v>
      </c>
      <c r="AJ764" s="21" t="s">
        <v>5220</v>
      </c>
      <c r="AK764" s="21" t="s">
        <v>5221</v>
      </c>
      <c r="AL764" s="21" t="s">
        <v>5222</v>
      </c>
      <c r="AM764" s="21" t="s">
        <v>96</v>
      </c>
      <c r="AN764" s="21" t="s">
        <v>775</v>
      </c>
      <c r="AO764" s="21" t="s">
        <v>3489</v>
      </c>
      <c r="AP764" s="21" t="s">
        <v>3490</v>
      </c>
      <c r="AQ764" s="37"/>
      <c r="AR764" s="37"/>
    </row>
    <row r="765">
      <c r="A765" s="21">
        <f t="shared" ref="A765:A774" si="12">SUM(A764+1)</f>
        <v>2</v>
      </c>
      <c r="B765" s="21" t="s">
        <v>5223</v>
      </c>
      <c r="C765" s="31" t="s">
        <v>5224</v>
      </c>
      <c r="D765" s="23">
        <v>14.0</v>
      </c>
      <c r="E765" s="23">
        <v>11.0</v>
      </c>
      <c r="F765" s="23" t="s">
        <v>50</v>
      </c>
      <c r="G765" s="23" t="s">
        <v>51</v>
      </c>
      <c r="H765" s="32">
        <v>40179.0</v>
      </c>
      <c r="I765" s="21" t="s">
        <v>82</v>
      </c>
      <c r="J765" s="21" t="s">
        <v>83</v>
      </c>
      <c r="K765" s="21" t="s">
        <v>417</v>
      </c>
      <c r="L765" s="21" t="s">
        <v>105</v>
      </c>
      <c r="M765" s="33">
        <v>45566.0</v>
      </c>
      <c r="N765" s="23" t="s">
        <v>56</v>
      </c>
      <c r="O765" s="21" t="s">
        <v>5225</v>
      </c>
      <c r="P765" s="23" t="s">
        <v>3549</v>
      </c>
      <c r="Q765" s="21" t="s">
        <v>5226</v>
      </c>
      <c r="R765" s="32">
        <v>45000.0</v>
      </c>
      <c r="S765" s="23" t="s">
        <v>3863</v>
      </c>
      <c r="T765" s="35"/>
      <c r="U765" s="23" t="s">
        <v>88</v>
      </c>
      <c r="V765" s="21" t="s">
        <v>159</v>
      </c>
      <c r="W765" s="21" t="s">
        <v>218</v>
      </c>
      <c r="X765" s="21" t="s">
        <v>745</v>
      </c>
      <c r="Y765" s="21" t="s">
        <v>3394</v>
      </c>
      <c r="Z765" s="37"/>
      <c r="AA765" s="32">
        <v>50772.0</v>
      </c>
      <c r="AB765" s="35"/>
      <c r="AC765" s="23">
        <v>250.0</v>
      </c>
      <c r="AD765" s="21" t="s">
        <v>66</v>
      </c>
      <c r="AE765" s="21" t="s">
        <v>67</v>
      </c>
      <c r="AF765" s="187"/>
      <c r="AG765" s="21" t="s">
        <v>68</v>
      </c>
      <c r="AH765" s="21" t="s">
        <v>69</v>
      </c>
      <c r="AI765" s="21">
        <v>8.5262245678E10</v>
      </c>
      <c r="AJ765" s="21" t="s">
        <v>5227</v>
      </c>
      <c r="AK765" s="21" t="s">
        <v>5228</v>
      </c>
      <c r="AL765" s="21" t="s">
        <v>5229</v>
      </c>
      <c r="AM765" s="21" t="s">
        <v>96</v>
      </c>
      <c r="AN765" s="21" t="s">
        <v>2266</v>
      </c>
      <c r="AO765" s="21" t="s">
        <v>1941</v>
      </c>
      <c r="AP765" s="21" t="s">
        <v>282</v>
      </c>
      <c r="AQ765" s="187"/>
      <c r="AR765" s="187"/>
    </row>
    <row r="766">
      <c r="A766" s="21">
        <f t="shared" si="12"/>
        <v>3</v>
      </c>
      <c r="B766" s="39" t="s">
        <v>5230</v>
      </c>
      <c r="C766" s="62" t="s">
        <v>5231</v>
      </c>
      <c r="D766" s="39">
        <v>12.0</v>
      </c>
      <c r="E766" s="39">
        <v>1.0</v>
      </c>
      <c r="F766" s="39" t="s">
        <v>80</v>
      </c>
      <c r="G766" s="39" t="s">
        <v>81</v>
      </c>
      <c r="H766" s="66">
        <v>39873.0</v>
      </c>
      <c r="I766" s="39" t="s">
        <v>82</v>
      </c>
      <c r="J766" s="39" t="s">
        <v>83</v>
      </c>
      <c r="K766" s="39" t="s">
        <v>408</v>
      </c>
      <c r="L766" s="39" t="s">
        <v>88</v>
      </c>
      <c r="M766" s="66">
        <v>44287.0</v>
      </c>
      <c r="N766" s="39" t="s">
        <v>141</v>
      </c>
      <c r="O766" s="39" t="s">
        <v>229</v>
      </c>
      <c r="P766" s="64"/>
      <c r="Q766" s="39" t="s">
        <v>59</v>
      </c>
      <c r="R766" s="66">
        <v>45292.0</v>
      </c>
      <c r="S766" s="39" t="s">
        <v>143</v>
      </c>
      <c r="T766" s="64"/>
      <c r="U766" s="39" t="s">
        <v>144</v>
      </c>
      <c r="V766" s="39" t="s">
        <v>89</v>
      </c>
      <c r="W766" s="39" t="s">
        <v>218</v>
      </c>
      <c r="X766" s="39" t="s">
        <v>5232</v>
      </c>
      <c r="Y766" s="39" t="s">
        <v>5233</v>
      </c>
      <c r="Z766" s="39" t="s">
        <v>114</v>
      </c>
      <c r="AA766" s="63">
        <v>48953.0</v>
      </c>
      <c r="AB766" s="64"/>
      <c r="AC766" s="23">
        <v>251.0</v>
      </c>
      <c r="AD766" s="39" t="s">
        <v>66</v>
      </c>
      <c r="AE766" s="39" t="s">
        <v>220</v>
      </c>
      <c r="AF766" s="64"/>
      <c r="AG766" s="39" t="s">
        <v>68</v>
      </c>
      <c r="AH766" s="64"/>
      <c r="AI766" s="39">
        <v>8.2274828606E10</v>
      </c>
      <c r="AJ766" s="39" t="s">
        <v>5234</v>
      </c>
      <c r="AK766" s="39" t="s">
        <v>5235</v>
      </c>
      <c r="AL766" s="39" t="s">
        <v>5236</v>
      </c>
      <c r="AM766" s="39" t="s">
        <v>96</v>
      </c>
      <c r="AN766" s="64"/>
      <c r="AO766" s="39" t="s">
        <v>5237</v>
      </c>
      <c r="AP766" s="39" t="s">
        <v>5238</v>
      </c>
      <c r="AQ766" s="64"/>
      <c r="AR766" s="64"/>
    </row>
    <row r="767">
      <c r="A767" s="21">
        <f t="shared" si="12"/>
        <v>4</v>
      </c>
      <c r="B767" s="39" t="s">
        <v>5239</v>
      </c>
      <c r="C767" s="62" t="s">
        <v>5240</v>
      </c>
      <c r="D767" s="39">
        <v>12.0</v>
      </c>
      <c r="E767" s="39">
        <v>1.0</v>
      </c>
      <c r="F767" s="39" t="s">
        <v>80</v>
      </c>
      <c r="G767" s="39" t="s">
        <v>81</v>
      </c>
      <c r="H767" s="66">
        <v>39873.0</v>
      </c>
      <c r="I767" s="39" t="s">
        <v>82</v>
      </c>
      <c r="J767" s="39" t="s">
        <v>83</v>
      </c>
      <c r="K767" s="39" t="s">
        <v>5241</v>
      </c>
      <c r="L767" s="39" t="s">
        <v>156</v>
      </c>
      <c r="M767" s="66">
        <v>44287.0</v>
      </c>
      <c r="N767" s="39" t="s">
        <v>141</v>
      </c>
      <c r="O767" s="39" t="s">
        <v>229</v>
      </c>
      <c r="P767" s="64"/>
      <c r="Q767" s="39" t="s">
        <v>59</v>
      </c>
      <c r="R767" s="66">
        <v>45292.0</v>
      </c>
      <c r="S767" s="39" t="s">
        <v>143</v>
      </c>
      <c r="T767" s="64"/>
      <c r="U767" s="39" t="s">
        <v>144</v>
      </c>
      <c r="V767" s="39" t="s">
        <v>159</v>
      </c>
      <c r="W767" s="39" t="s">
        <v>218</v>
      </c>
      <c r="X767" s="39" t="s">
        <v>161</v>
      </c>
      <c r="Y767" s="132">
        <v>43428.0</v>
      </c>
      <c r="Z767" s="64"/>
      <c r="AA767" s="63">
        <v>49312.0</v>
      </c>
      <c r="AB767" s="64"/>
      <c r="AC767" s="23">
        <v>252.0</v>
      </c>
      <c r="AD767" s="39" t="s">
        <v>66</v>
      </c>
      <c r="AE767" s="39" t="s">
        <v>67</v>
      </c>
      <c r="AF767" s="39" t="s">
        <v>92</v>
      </c>
      <c r="AG767" s="39" t="s">
        <v>130</v>
      </c>
      <c r="AH767" s="39" t="s">
        <v>131</v>
      </c>
      <c r="AI767" s="39">
        <v>8.1373014554E10</v>
      </c>
      <c r="AJ767" s="39" t="s">
        <v>5242</v>
      </c>
      <c r="AK767" s="39" t="s">
        <v>5243</v>
      </c>
      <c r="AL767" s="39" t="s">
        <v>5244</v>
      </c>
      <c r="AM767" s="39" t="s">
        <v>96</v>
      </c>
      <c r="AN767" s="64"/>
      <c r="AO767" s="39" t="s">
        <v>272</v>
      </c>
      <c r="AP767" s="39" t="s">
        <v>5245</v>
      </c>
      <c r="AQ767" s="64"/>
      <c r="AR767" s="64"/>
    </row>
    <row r="768">
      <c r="A768" s="21">
        <f t="shared" si="12"/>
        <v>5</v>
      </c>
      <c r="B768" s="216" t="s">
        <v>5246</v>
      </c>
      <c r="C768" s="217" t="s">
        <v>5247</v>
      </c>
      <c r="D768" s="218">
        <v>8.0</v>
      </c>
      <c r="E768" s="218">
        <v>3.0</v>
      </c>
      <c r="F768" s="218" t="s">
        <v>80</v>
      </c>
      <c r="G768" s="218" t="s">
        <v>81</v>
      </c>
      <c r="H768" s="219">
        <v>40179.0</v>
      </c>
      <c r="I768" s="216" t="s">
        <v>102</v>
      </c>
      <c r="J768" s="216" t="s">
        <v>103</v>
      </c>
      <c r="K768" s="216" t="s">
        <v>5248</v>
      </c>
      <c r="L768" s="218" t="s">
        <v>61</v>
      </c>
      <c r="M768" s="220">
        <v>43191.0</v>
      </c>
      <c r="N768" s="218" t="s">
        <v>141</v>
      </c>
      <c r="O768" s="216" t="s">
        <v>5249</v>
      </c>
      <c r="P768" s="221"/>
      <c r="Q768" s="216" t="s">
        <v>59</v>
      </c>
      <c r="R768" s="219">
        <v>44936.0</v>
      </c>
      <c r="S768" s="218" t="s">
        <v>125</v>
      </c>
      <c r="T768" s="221"/>
      <c r="U768" s="218" t="s">
        <v>105</v>
      </c>
      <c r="V768" s="216" t="s">
        <v>89</v>
      </c>
      <c r="W768" s="216" t="s">
        <v>5250</v>
      </c>
      <c r="X768" s="216" t="s">
        <v>5251</v>
      </c>
      <c r="Y768" s="216" t="s">
        <v>5252</v>
      </c>
      <c r="Z768" s="221"/>
      <c r="AA768" s="222">
        <v>48952.0</v>
      </c>
      <c r="AB768" s="218" t="s">
        <v>5253</v>
      </c>
      <c r="AC768" s="23">
        <v>253.0</v>
      </c>
      <c r="AD768" s="218" t="s">
        <v>66</v>
      </c>
      <c r="AE768" s="216" t="s">
        <v>220</v>
      </c>
      <c r="AF768" s="223"/>
      <c r="AG768" s="216" t="s">
        <v>130</v>
      </c>
      <c r="AH768" s="218" t="s">
        <v>131</v>
      </c>
      <c r="AI768" s="216">
        <v>8.2161739269E10</v>
      </c>
      <c r="AJ768" s="221"/>
      <c r="AK768" s="218" t="s">
        <v>5254</v>
      </c>
      <c r="AL768" s="216" t="s">
        <v>5255</v>
      </c>
      <c r="AM768" s="218" t="s">
        <v>96</v>
      </c>
      <c r="AN768" s="218" t="s">
        <v>74</v>
      </c>
      <c r="AO768" s="218" t="s">
        <v>1243</v>
      </c>
      <c r="AP768" s="218" t="s">
        <v>5256</v>
      </c>
      <c r="AQ768" s="221"/>
      <c r="AR768" s="221"/>
    </row>
    <row r="769">
      <c r="A769" s="21">
        <f t="shared" si="12"/>
        <v>6</v>
      </c>
      <c r="B769" s="39" t="s">
        <v>5257</v>
      </c>
      <c r="C769" s="62" t="s">
        <v>5258</v>
      </c>
      <c r="D769" s="39">
        <v>18.0</v>
      </c>
      <c r="E769" s="39">
        <v>10.0</v>
      </c>
      <c r="F769" s="39" t="s">
        <v>171</v>
      </c>
      <c r="G769" s="39" t="s">
        <v>172</v>
      </c>
      <c r="H769" s="66">
        <v>37956.0</v>
      </c>
      <c r="I769" s="39" t="s">
        <v>82</v>
      </c>
      <c r="J769" s="39" t="s">
        <v>83</v>
      </c>
      <c r="K769" s="39" t="s">
        <v>417</v>
      </c>
      <c r="L769" s="39" t="s">
        <v>105</v>
      </c>
      <c r="M769" s="66">
        <v>45566.0</v>
      </c>
      <c r="N769" s="39" t="s">
        <v>141</v>
      </c>
      <c r="O769" s="39" t="s">
        <v>173</v>
      </c>
      <c r="P769" s="64"/>
      <c r="Q769" s="39" t="s">
        <v>59</v>
      </c>
      <c r="R769" s="66">
        <v>45292.0</v>
      </c>
      <c r="S769" s="39" t="s">
        <v>143</v>
      </c>
      <c r="T769" s="64"/>
      <c r="U769" s="39" t="s">
        <v>144</v>
      </c>
      <c r="V769" s="39" t="s">
        <v>159</v>
      </c>
      <c r="W769" s="39" t="s">
        <v>2572</v>
      </c>
      <c r="X769" s="39" t="s">
        <v>1010</v>
      </c>
      <c r="Y769" s="39" t="s">
        <v>5259</v>
      </c>
      <c r="Z769" s="64"/>
      <c r="AA769" s="63">
        <v>50414.0</v>
      </c>
      <c r="AB769" s="64"/>
      <c r="AC769" s="23">
        <v>254.0</v>
      </c>
      <c r="AD769" s="39" t="s">
        <v>66</v>
      </c>
      <c r="AE769" s="39" t="s">
        <v>67</v>
      </c>
      <c r="AF769" s="39" t="s">
        <v>92</v>
      </c>
      <c r="AG769" s="39" t="s">
        <v>130</v>
      </c>
      <c r="AH769" s="39" t="s">
        <v>69</v>
      </c>
      <c r="AI769" s="39">
        <v>8.1264461015E10</v>
      </c>
      <c r="AJ769" s="39" t="s">
        <v>5260</v>
      </c>
      <c r="AK769" s="39" t="s">
        <v>5261</v>
      </c>
      <c r="AL769" s="39" t="s">
        <v>5262</v>
      </c>
      <c r="AM769" s="39" t="s">
        <v>96</v>
      </c>
      <c r="AN769" s="39" t="s">
        <v>135</v>
      </c>
      <c r="AO769" s="39" t="s">
        <v>236</v>
      </c>
      <c r="AP769" s="39" t="s">
        <v>237</v>
      </c>
      <c r="AQ769" s="64"/>
      <c r="AR769" s="64"/>
    </row>
    <row r="770">
      <c r="A770" s="21">
        <f t="shared" si="12"/>
        <v>7</v>
      </c>
      <c r="B770" s="39" t="s">
        <v>5263</v>
      </c>
      <c r="C770" s="62" t="s">
        <v>5264</v>
      </c>
      <c r="D770" s="39">
        <v>12.0</v>
      </c>
      <c r="E770" s="39">
        <v>9.0</v>
      </c>
      <c r="F770" s="39" t="s">
        <v>80</v>
      </c>
      <c r="G770" s="39" t="s">
        <v>81</v>
      </c>
      <c r="H770" s="66">
        <v>40544.0</v>
      </c>
      <c r="I770" s="39" t="s">
        <v>82</v>
      </c>
      <c r="J770" s="39" t="s">
        <v>83</v>
      </c>
      <c r="K770" s="39" t="s">
        <v>1415</v>
      </c>
      <c r="L770" s="39" t="s">
        <v>105</v>
      </c>
      <c r="M770" s="66">
        <v>45200.0</v>
      </c>
      <c r="N770" s="39" t="s">
        <v>141</v>
      </c>
      <c r="O770" s="39" t="s">
        <v>229</v>
      </c>
      <c r="P770" s="64"/>
      <c r="Q770" s="39" t="s">
        <v>59</v>
      </c>
      <c r="R770" s="66">
        <v>45292.0</v>
      </c>
      <c r="S770" s="39" t="s">
        <v>143</v>
      </c>
      <c r="T770" s="64"/>
      <c r="U770" s="39" t="s">
        <v>144</v>
      </c>
      <c r="V770" s="39" t="s">
        <v>89</v>
      </c>
      <c r="W770" s="39" t="s">
        <v>647</v>
      </c>
      <c r="X770" s="39" t="s">
        <v>1329</v>
      </c>
      <c r="Y770" s="39" t="s">
        <v>5265</v>
      </c>
      <c r="Z770" s="39" t="s">
        <v>114</v>
      </c>
      <c r="AA770" s="63">
        <v>49311.0</v>
      </c>
      <c r="AB770" s="64"/>
      <c r="AC770" s="23">
        <v>255.0</v>
      </c>
      <c r="AD770" s="39" t="s">
        <v>66</v>
      </c>
      <c r="AE770" s="39" t="s">
        <v>67</v>
      </c>
      <c r="AF770" s="64"/>
      <c r="AG770" s="39" t="s">
        <v>68</v>
      </c>
      <c r="AH770" s="39" t="s">
        <v>69</v>
      </c>
      <c r="AI770" s="39">
        <v>8.11636801E8</v>
      </c>
      <c r="AJ770" s="39" t="s">
        <v>5266</v>
      </c>
      <c r="AK770" s="39" t="s">
        <v>5267</v>
      </c>
      <c r="AL770" s="39" t="s">
        <v>5268</v>
      </c>
      <c r="AM770" s="39" t="s">
        <v>96</v>
      </c>
      <c r="AN770" s="39" t="s">
        <v>135</v>
      </c>
      <c r="AO770" s="39" t="s">
        <v>272</v>
      </c>
      <c r="AP770" s="39" t="s">
        <v>5269</v>
      </c>
      <c r="AQ770" s="64"/>
      <c r="AR770" s="64"/>
    </row>
    <row r="771">
      <c r="A771" s="21">
        <f t="shared" si="12"/>
        <v>8</v>
      </c>
      <c r="B771" s="39" t="s">
        <v>5270</v>
      </c>
      <c r="C771" s="62" t="s">
        <v>5271</v>
      </c>
      <c r="D771" s="39">
        <v>17.0</v>
      </c>
      <c r="E771" s="39">
        <v>9.0</v>
      </c>
      <c r="F771" s="39" t="s">
        <v>50</v>
      </c>
      <c r="G771" s="39" t="s">
        <v>51</v>
      </c>
      <c r="H771" s="66">
        <v>40179.0</v>
      </c>
      <c r="I771" s="39" t="s">
        <v>82</v>
      </c>
      <c r="J771" s="39" t="s">
        <v>83</v>
      </c>
      <c r="K771" s="39" t="s">
        <v>140</v>
      </c>
      <c r="L771" s="39" t="s">
        <v>105</v>
      </c>
      <c r="M771" s="66">
        <v>45809.0</v>
      </c>
      <c r="N771" s="39" t="s">
        <v>141</v>
      </c>
      <c r="O771" s="39" t="s">
        <v>173</v>
      </c>
      <c r="P771" s="64"/>
      <c r="Q771" s="39" t="s">
        <v>59</v>
      </c>
      <c r="R771" s="66">
        <v>45292.0</v>
      </c>
      <c r="S771" s="39" t="s">
        <v>143</v>
      </c>
      <c r="T771" s="64"/>
      <c r="U771" s="39" t="s">
        <v>144</v>
      </c>
      <c r="V771" s="39" t="s">
        <v>89</v>
      </c>
      <c r="W771" s="39" t="s">
        <v>90</v>
      </c>
      <c r="X771" s="39" t="s">
        <v>2024</v>
      </c>
      <c r="Y771" s="39" t="s">
        <v>5272</v>
      </c>
      <c r="Z771" s="39" t="s">
        <v>114</v>
      </c>
      <c r="AA771" s="63">
        <v>51508.0</v>
      </c>
      <c r="AB771" s="64"/>
      <c r="AC771" s="23">
        <v>256.0</v>
      </c>
      <c r="AD771" s="39" t="s">
        <v>66</v>
      </c>
      <c r="AE771" s="39" t="s">
        <v>220</v>
      </c>
      <c r="AF771" s="39" t="s">
        <v>92</v>
      </c>
      <c r="AG771" s="39" t="s">
        <v>68</v>
      </c>
      <c r="AH771" s="39" t="s">
        <v>131</v>
      </c>
      <c r="AI771" s="39">
        <v>8.1361610002E10</v>
      </c>
      <c r="AJ771" s="39" t="s">
        <v>5273</v>
      </c>
      <c r="AK771" s="39" t="s">
        <v>5274</v>
      </c>
      <c r="AL771" s="39" t="s">
        <v>5275</v>
      </c>
      <c r="AM771" s="39" t="s">
        <v>96</v>
      </c>
      <c r="AN771" s="39" t="s">
        <v>74</v>
      </c>
      <c r="AO771" s="39" t="s">
        <v>203</v>
      </c>
      <c r="AP771" s="39" t="s">
        <v>204</v>
      </c>
      <c r="AQ771" s="64"/>
      <c r="AR771" s="64"/>
    </row>
    <row r="772">
      <c r="A772" s="21">
        <f t="shared" si="12"/>
        <v>9</v>
      </c>
      <c r="B772" s="39" t="s">
        <v>5276</v>
      </c>
      <c r="C772" s="62" t="s">
        <v>5277</v>
      </c>
      <c r="D772" s="39">
        <v>15.0</v>
      </c>
      <c r="E772" s="39">
        <v>5.0</v>
      </c>
      <c r="F772" s="39" t="s">
        <v>50</v>
      </c>
      <c r="G772" s="39" t="s">
        <v>51</v>
      </c>
      <c r="H772" s="66">
        <v>42217.0</v>
      </c>
      <c r="I772" s="39" t="s">
        <v>102</v>
      </c>
      <c r="J772" s="39" t="s">
        <v>103</v>
      </c>
      <c r="K772" s="39" t="s">
        <v>140</v>
      </c>
      <c r="L772" s="39" t="s">
        <v>105</v>
      </c>
      <c r="M772" s="66">
        <v>45809.0</v>
      </c>
      <c r="N772" s="39" t="s">
        <v>141</v>
      </c>
      <c r="O772" s="39" t="s">
        <v>229</v>
      </c>
      <c r="P772" s="64"/>
      <c r="Q772" s="39" t="s">
        <v>59</v>
      </c>
      <c r="R772" s="66">
        <v>45292.0</v>
      </c>
      <c r="S772" s="39" t="s">
        <v>143</v>
      </c>
      <c r="T772" s="64"/>
      <c r="U772" s="39" t="s">
        <v>144</v>
      </c>
      <c r="V772" s="39" t="s">
        <v>89</v>
      </c>
      <c r="W772" s="39" t="s">
        <v>1214</v>
      </c>
      <c r="X772" s="39" t="s">
        <v>5278</v>
      </c>
      <c r="Y772" s="39" t="s">
        <v>3543</v>
      </c>
      <c r="Z772" s="64"/>
      <c r="AA772" s="63">
        <v>51145.0</v>
      </c>
      <c r="AB772" s="64"/>
      <c r="AC772" s="23">
        <v>257.0</v>
      </c>
      <c r="AD772" s="39" t="s">
        <v>66</v>
      </c>
      <c r="AE772" s="39" t="s">
        <v>67</v>
      </c>
      <c r="AF772" s="39" t="s">
        <v>92</v>
      </c>
      <c r="AG772" s="39" t="s">
        <v>68</v>
      </c>
      <c r="AH772" s="39" t="s">
        <v>69</v>
      </c>
      <c r="AI772" s="39">
        <v>8.11602837E8</v>
      </c>
      <c r="AJ772" s="39" t="s">
        <v>5279</v>
      </c>
      <c r="AK772" s="39" t="s">
        <v>5280</v>
      </c>
      <c r="AL772" s="39" t="s">
        <v>5281</v>
      </c>
      <c r="AM772" s="39" t="s">
        <v>96</v>
      </c>
      <c r="AN772" s="39" t="s">
        <v>97</v>
      </c>
      <c r="AO772" s="39" t="s">
        <v>1501</v>
      </c>
      <c r="AP772" s="39" t="s">
        <v>5282</v>
      </c>
      <c r="AQ772" s="64"/>
      <c r="AR772" s="64"/>
    </row>
    <row r="773">
      <c r="A773" s="21">
        <f t="shared" si="12"/>
        <v>10</v>
      </c>
      <c r="B773" s="39" t="s">
        <v>5283</v>
      </c>
      <c r="C773" s="62" t="s">
        <v>5284</v>
      </c>
      <c r="D773" s="39">
        <v>15.0</v>
      </c>
      <c r="E773" s="39">
        <v>2.0</v>
      </c>
      <c r="F773" s="39" t="s">
        <v>50</v>
      </c>
      <c r="G773" s="39" t="s">
        <v>51</v>
      </c>
      <c r="H773" s="66">
        <v>38808.0</v>
      </c>
      <c r="I773" s="39" t="s">
        <v>182</v>
      </c>
      <c r="J773" s="39" t="s">
        <v>183</v>
      </c>
      <c r="K773" s="39" t="s">
        <v>217</v>
      </c>
      <c r="L773" s="39" t="s">
        <v>105</v>
      </c>
      <c r="M773" s="66">
        <v>45383.0</v>
      </c>
      <c r="N773" s="39" t="s">
        <v>141</v>
      </c>
      <c r="O773" s="39" t="s">
        <v>229</v>
      </c>
      <c r="P773" s="64"/>
      <c r="Q773" s="39" t="s">
        <v>59</v>
      </c>
      <c r="R773" s="66">
        <v>45292.0</v>
      </c>
      <c r="S773" s="39" t="s">
        <v>143</v>
      </c>
      <c r="T773" s="64"/>
      <c r="U773" s="39" t="s">
        <v>144</v>
      </c>
      <c r="V773" s="39" t="s">
        <v>89</v>
      </c>
      <c r="W773" s="39" t="s">
        <v>218</v>
      </c>
      <c r="X773" s="39" t="s">
        <v>5285</v>
      </c>
      <c r="Y773" s="200">
        <v>43041.0</v>
      </c>
      <c r="Z773" s="39" t="s">
        <v>114</v>
      </c>
      <c r="AA773" s="63">
        <v>50416.0</v>
      </c>
      <c r="AB773" s="64"/>
      <c r="AC773" s="23">
        <v>258.0</v>
      </c>
      <c r="AD773" s="39" t="s">
        <v>66</v>
      </c>
      <c r="AE773" s="39" t="s">
        <v>220</v>
      </c>
      <c r="AF773" s="64"/>
      <c r="AG773" s="39" t="s">
        <v>130</v>
      </c>
      <c r="AH773" s="64"/>
      <c r="AI773" s="39">
        <v>8.2276051135E10</v>
      </c>
      <c r="AJ773" s="39" t="s">
        <v>5286</v>
      </c>
      <c r="AK773" s="39" t="s">
        <v>5287</v>
      </c>
      <c r="AL773" s="39" t="s">
        <v>5288</v>
      </c>
      <c r="AM773" s="39" t="s">
        <v>96</v>
      </c>
      <c r="AN773" s="64"/>
      <c r="AO773" s="64"/>
      <c r="AP773" s="64"/>
      <c r="AQ773" s="64"/>
      <c r="AR773" s="64"/>
    </row>
    <row r="774">
      <c r="A774" s="21">
        <f t="shared" si="12"/>
        <v>11</v>
      </c>
      <c r="B774" s="49" t="s">
        <v>5289</v>
      </c>
      <c r="C774" s="211" t="s">
        <v>5290</v>
      </c>
      <c r="D774" s="49">
        <v>0.0</v>
      </c>
      <c r="E774" s="49">
        <v>0.0</v>
      </c>
      <c r="F774" s="49" t="s">
        <v>80</v>
      </c>
      <c r="G774" s="49" t="s">
        <v>81</v>
      </c>
      <c r="H774" s="224">
        <v>45778.0</v>
      </c>
      <c r="I774" s="49" t="s">
        <v>80</v>
      </c>
      <c r="J774" s="49" t="s">
        <v>81</v>
      </c>
      <c r="K774" s="49" t="s">
        <v>240</v>
      </c>
      <c r="L774" s="49" t="s">
        <v>105</v>
      </c>
      <c r="M774" s="224">
        <v>45778.0</v>
      </c>
      <c r="N774" s="49" t="s">
        <v>141</v>
      </c>
      <c r="O774" s="49" t="s">
        <v>1670</v>
      </c>
      <c r="P774" s="212"/>
      <c r="Q774" s="49" t="s">
        <v>5219</v>
      </c>
      <c r="R774" s="224">
        <v>45778.0</v>
      </c>
      <c r="S774" s="49" t="s">
        <v>242</v>
      </c>
      <c r="T774" s="212"/>
      <c r="U774" s="49" t="s">
        <v>105</v>
      </c>
      <c r="V774" s="49" t="s">
        <v>89</v>
      </c>
      <c r="W774" s="49" t="s">
        <v>230</v>
      </c>
      <c r="X774" s="49" t="s">
        <v>1231</v>
      </c>
      <c r="Y774" s="49" t="s">
        <v>5291</v>
      </c>
      <c r="Z774" s="212"/>
      <c r="AA774" s="146">
        <v>57722.0</v>
      </c>
      <c r="AB774" s="212"/>
      <c r="AC774" s="23">
        <v>259.0</v>
      </c>
      <c r="AD774" s="49" t="s">
        <v>5</v>
      </c>
      <c r="AE774" s="49" t="s">
        <v>67</v>
      </c>
      <c r="AF774" s="49" t="s">
        <v>129</v>
      </c>
      <c r="AG774" s="49" t="s">
        <v>130</v>
      </c>
      <c r="AH774" s="49" t="s">
        <v>131</v>
      </c>
      <c r="AI774" s="49">
        <v>8.19923821E10</v>
      </c>
      <c r="AJ774" s="49" t="s">
        <v>5292</v>
      </c>
      <c r="AK774" s="49" t="s">
        <v>5293</v>
      </c>
      <c r="AL774" s="49" t="s">
        <v>5294</v>
      </c>
      <c r="AM774" s="49" t="s">
        <v>73</v>
      </c>
      <c r="AN774" s="49" t="s">
        <v>5295</v>
      </c>
      <c r="AO774" s="49" t="s">
        <v>5296</v>
      </c>
      <c r="AP774" s="49" t="s">
        <v>5297</v>
      </c>
      <c r="AQ774" s="49">
        <v>0.0</v>
      </c>
      <c r="AR774" s="49">
        <v>0.0</v>
      </c>
    </row>
    <row r="775">
      <c r="A775" s="75">
        <v>12.0</v>
      </c>
      <c r="B775" s="72" t="s">
        <v>5298</v>
      </c>
      <c r="C775" s="73" t="s">
        <v>5299</v>
      </c>
      <c r="D775" s="74"/>
      <c r="E775" s="74"/>
      <c r="F775" s="74"/>
      <c r="G775" s="75" t="s">
        <v>517</v>
      </c>
      <c r="H775" s="76">
        <v>45901.0</v>
      </c>
      <c r="I775" s="77"/>
      <c r="J775" s="74"/>
      <c r="K775" s="75" t="s">
        <v>518</v>
      </c>
      <c r="L775" s="72" t="s">
        <v>105</v>
      </c>
      <c r="M775" s="76">
        <v>45901.0</v>
      </c>
      <c r="N775" s="74"/>
      <c r="O775" s="72" t="s">
        <v>519</v>
      </c>
      <c r="P775" s="74"/>
      <c r="Q775" s="72" t="s">
        <v>5219</v>
      </c>
      <c r="R775" s="76">
        <v>45901.0</v>
      </c>
      <c r="S775" s="72" t="s">
        <v>518</v>
      </c>
      <c r="T775" s="78">
        <v>45826.0</v>
      </c>
      <c r="U775" s="72" t="s">
        <v>144</v>
      </c>
      <c r="V775" s="72" t="s">
        <v>267</v>
      </c>
      <c r="W775" s="72" t="s">
        <v>569</v>
      </c>
      <c r="X775" s="72" t="s">
        <v>5300</v>
      </c>
      <c r="Y775" s="79">
        <v>37926.0</v>
      </c>
      <c r="Z775" s="77"/>
      <c r="AA775" s="77"/>
      <c r="AB775" s="77"/>
      <c r="AC775" s="81">
        <v>774.0</v>
      </c>
      <c r="AD775" s="72" t="s">
        <v>522</v>
      </c>
      <c r="AE775" s="72" t="s">
        <v>67</v>
      </c>
      <c r="AF775" s="72" t="s">
        <v>92</v>
      </c>
      <c r="AG775" s="72" t="s">
        <v>68</v>
      </c>
      <c r="AH775" s="77"/>
      <c r="AI775" s="72">
        <v>8.5360022614E10</v>
      </c>
      <c r="AJ775" s="82" t="s">
        <v>5301</v>
      </c>
      <c r="AK775" s="85" t="s">
        <v>5302</v>
      </c>
      <c r="AL775" s="72" t="s">
        <v>5303</v>
      </c>
      <c r="AM775" s="82" t="s">
        <v>96</v>
      </c>
      <c r="AN775" s="82" t="s">
        <v>97</v>
      </c>
      <c r="AO775" s="82" t="s">
        <v>1022</v>
      </c>
      <c r="AP775" s="82" t="s">
        <v>5304</v>
      </c>
      <c r="AQ775" s="80"/>
      <c r="AR775" s="80"/>
    </row>
    <row r="776">
      <c r="A776" s="75">
        <v>13.0</v>
      </c>
      <c r="B776" s="72" t="s">
        <v>5305</v>
      </c>
      <c r="C776" s="73" t="s">
        <v>5306</v>
      </c>
      <c r="D776" s="74"/>
      <c r="E776" s="74"/>
      <c r="F776" s="74"/>
      <c r="G776" s="75" t="s">
        <v>531</v>
      </c>
      <c r="H776" s="76">
        <v>45901.0</v>
      </c>
      <c r="I776" s="77"/>
      <c r="J776" s="74"/>
      <c r="K776" s="75" t="s">
        <v>518</v>
      </c>
      <c r="L776" s="72" t="s">
        <v>105</v>
      </c>
      <c r="M776" s="76">
        <v>45901.0</v>
      </c>
      <c r="N776" s="74"/>
      <c r="O776" s="72" t="s">
        <v>532</v>
      </c>
      <c r="P776" s="74"/>
      <c r="Q776" s="72" t="s">
        <v>5219</v>
      </c>
      <c r="R776" s="76">
        <v>45901.0</v>
      </c>
      <c r="S776" s="72" t="s">
        <v>518</v>
      </c>
      <c r="T776" s="78">
        <v>45826.0</v>
      </c>
      <c r="U776" s="72" t="s">
        <v>144</v>
      </c>
      <c r="V776" s="72" t="s">
        <v>285</v>
      </c>
      <c r="W776" s="72" t="s">
        <v>5307</v>
      </c>
      <c r="X776" s="72" t="s">
        <v>5308</v>
      </c>
      <c r="Y776" s="84">
        <v>39307.0</v>
      </c>
      <c r="Z776" s="77"/>
      <c r="AA776" s="77"/>
      <c r="AB776" s="77"/>
      <c r="AC776" s="81">
        <v>775.0</v>
      </c>
      <c r="AD776" s="72" t="s">
        <v>522</v>
      </c>
      <c r="AE776" s="72" t="s">
        <v>67</v>
      </c>
      <c r="AF776" s="72" t="s">
        <v>421</v>
      </c>
      <c r="AG776" s="72" t="s">
        <v>130</v>
      </c>
      <c r="AH776" s="77"/>
      <c r="AI776" s="72">
        <v>8.1375135503E10</v>
      </c>
      <c r="AJ776" s="82" t="s">
        <v>5309</v>
      </c>
      <c r="AK776" s="85" t="s">
        <v>5310</v>
      </c>
      <c r="AL776" s="72" t="s">
        <v>5311</v>
      </c>
      <c r="AM776" s="82" t="s">
        <v>73</v>
      </c>
      <c r="AN776" s="82" t="s">
        <v>166</v>
      </c>
      <c r="AO776" s="82" t="s">
        <v>167</v>
      </c>
      <c r="AP776" s="82" t="s">
        <v>204</v>
      </c>
      <c r="AQ776" s="80"/>
      <c r="AR776" s="80"/>
    </row>
    <row r="777">
      <c r="A777" s="89">
        <v>14.0</v>
      </c>
      <c r="B777" s="87" t="s">
        <v>5312</v>
      </c>
      <c r="C777" s="88" t="s">
        <v>5313</v>
      </c>
      <c r="D777" s="161"/>
      <c r="E777" s="161"/>
      <c r="F777" s="161"/>
      <c r="G777" s="161"/>
      <c r="H777" s="161"/>
      <c r="I777" s="162"/>
      <c r="J777" s="89"/>
      <c r="K777" s="89"/>
      <c r="L777" s="90"/>
      <c r="M777" s="91"/>
      <c r="N777" s="161"/>
      <c r="O777" s="87" t="s">
        <v>142</v>
      </c>
      <c r="P777" s="161"/>
      <c r="Q777" s="87" t="s">
        <v>5219</v>
      </c>
      <c r="R777" s="91"/>
      <c r="S777" s="90"/>
      <c r="T777" s="93"/>
      <c r="U777" s="90"/>
      <c r="V777" s="87" t="s">
        <v>89</v>
      </c>
      <c r="W777" s="87" t="s">
        <v>160</v>
      </c>
      <c r="X777" s="87" t="s">
        <v>745</v>
      </c>
      <c r="Y777" s="99">
        <v>40271.0</v>
      </c>
      <c r="Z777" s="163"/>
      <c r="AA777" s="163"/>
      <c r="AB777" s="163"/>
      <c r="AC777" s="81">
        <v>776.0</v>
      </c>
      <c r="AD777" s="90"/>
      <c r="AE777" s="87" t="s">
        <v>67</v>
      </c>
      <c r="AF777" s="90"/>
      <c r="AG777" s="87" t="s">
        <v>68</v>
      </c>
      <c r="AH777" s="87"/>
      <c r="AI777" s="87">
        <v>8.5207374242E10</v>
      </c>
      <c r="AJ777" s="87" t="s">
        <v>5314</v>
      </c>
      <c r="AK777" s="97" t="s">
        <v>5315</v>
      </c>
      <c r="AL777" s="87" t="s">
        <v>5316</v>
      </c>
      <c r="AM777" s="87" t="s">
        <v>96</v>
      </c>
      <c r="AN777" s="87" t="s">
        <v>135</v>
      </c>
      <c r="AO777" s="87" t="s">
        <v>272</v>
      </c>
      <c r="AP777" s="87" t="s">
        <v>5317</v>
      </c>
      <c r="AQ777" s="87">
        <v>0.0</v>
      </c>
      <c r="AR777" s="87">
        <v>0.0</v>
      </c>
    </row>
    <row r="778">
      <c r="A778" s="89">
        <v>15.0</v>
      </c>
      <c r="B778" s="87" t="s">
        <v>5318</v>
      </c>
      <c r="C778" s="88" t="s">
        <v>5319</v>
      </c>
      <c r="D778" s="161"/>
      <c r="E778" s="161"/>
      <c r="F778" s="161"/>
      <c r="G778" s="161"/>
      <c r="H778" s="161"/>
      <c r="I778" s="162"/>
      <c r="J778" s="89"/>
      <c r="K778" s="89"/>
      <c r="L778" s="90"/>
      <c r="M778" s="91"/>
      <c r="N778" s="161"/>
      <c r="O778" s="87" t="s">
        <v>142</v>
      </c>
      <c r="P778" s="161"/>
      <c r="Q778" s="87" t="s">
        <v>5219</v>
      </c>
      <c r="R778" s="91"/>
      <c r="S778" s="90"/>
      <c r="T778" s="93"/>
      <c r="U778" s="90"/>
      <c r="V778" s="87" t="s">
        <v>89</v>
      </c>
      <c r="W778" s="87" t="s">
        <v>90</v>
      </c>
      <c r="X778" s="87" t="s">
        <v>648</v>
      </c>
      <c r="Y778" s="94">
        <v>42427.0</v>
      </c>
      <c r="Z778" s="162"/>
      <c r="AA778" s="162"/>
      <c r="AB778" s="162"/>
      <c r="AC778" s="81">
        <v>777.0</v>
      </c>
      <c r="AD778" s="90"/>
      <c r="AE778" s="87" t="s">
        <v>67</v>
      </c>
      <c r="AF778" s="162"/>
      <c r="AG778" s="87" t="s">
        <v>130</v>
      </c>
      <c r="AH778" s="87"/>
      <c r="AI778" s="87">
        <v>8.5189443053E10</v>
      </c>
      <c r="AJ778" s="87" t="s">
        <v>5320</v>
      </c>
      <c r="AK778" s="97" t="s">
        <v>5321</v>
      </c>
      <c r="AL778" s="87" t="s">
        <v>5113</v>
      </c>
      <c r="AM778" s="87" t="s">
        <v>73</v>
      </c>
      <c r="AN778" s="87" t="s">
        <v>74</v>
      </c>
      <c r="AO778" s="87" t="s">
        <v>989</v>
      </c>
      <c r="AP778" s="87" t="s">
        <v>2411</v>
      </c>
      <c r="AQ778" s="87"/>
      <c r="AR778" s="87"/>
    </row>
    <row r="779">
      <c r="A779" s="89">
        <v>16.0</v>
      </c>
      <c r="B779" s="87" t="s">
        <v>5322</v>
      </c>
      <c r="C779" s="88" t="s">
        <v>5323</v>
      </c>
      <c r="D779" s="161"/>
      <c r="E779" s="161"/>
      <c r="F779" s="161"/>
      <c r="G779" s="161"/>
      <c r="H779" s="161"/>
      <c r="I779" s="162"/>
      <c r="J779" s="161"/>
      <c r="K779" s="161"/>
      <c r="L779" s="162"/>
      <c r="M779" s="213"/>
      <c r="N779" s="161"/>
      <c r="O779" s="87" t="s">
        <v>142</v>
      </c>
      <c r="P779" s="161"/>
      <c r="Q779" s="87" t="s">
        <v>5219</v>
      </c>
      <c r="R779" s="213"/>
      <c r="S779" s="162"/>
      <c r="T779" s="225"/>
      <c r="U779" s="162"/>
      <c r="V779" s="87" t="s">
        <v>159</v>
      </c>
      <c r="W779" s="87" t="s">
        <v>374</v>
      </c>
      <c r="X779" s="87" t="s">
        <v>244</v>
      </c>
      <c r="Y779" s="94">
        <v>42212.0</v>
      </c>
      <c r="Z779" s="162"/>
      <c r="AA779" s="163"/>
      <c r="AB779" s="163"/>
      <c r="AC779" s="81">
        <v>778.0</v>
      </c>
      <c r="AD779" s="163"/>
      <c r="AE779" s="87" t="s">
        <v>67</v>
      </c>
      <c r="AF779" s="163"/>
      <c r="AG779" s="87" t="s">
        <v>130</v>
      </c>
      <c r="AH779" s="87"/>
      <c r="AI779" s="87">
        <v>8.116199098E9</v>
      </c>
      <c r="AJ779" s="87" t="s">
        <v>5324</v>
      </c>
      <c r="AK779" s="97" t="s">
        <v>5325</v>
      </c>
      <c r="AL779" s="87" t="s">
        <v>5326</v>
      </c>
      <c r="AM779" s="87" t="s">
        <v>73</v>
      </c>
      <c r="AN779" s="87" t="s">
        <v>74</v>
      </c>
      <c r="AO779" s="87" t="s">
        <v>360</v>
      </c>
      <c r="AP779" s="87" t="s">
        <v>4974</v>
      </c>
      <c r="AQ779" s="87">
        <v>0.0</v>
      </c>
      <c r="AR779" s="87">
        <v>0.0</v>
      </c>
    </row>
    <row r="780">
      <c r="A780" s="89">
        <v>17.0</v>
      </c>
      <c r="B780" s="87" t="s">
        <v>5327</v>
      </c>
      <c r="C780" s="88" t="s">
        <v>5328</v>
      </c>
      <c r="D780" s="161"/>
      <c r="E780" s="161"/>
      <c r="F780" s="161"/>
      <c r="G780" s="161"/>
      <c r="H780" s="161"/>
      <c r="I780" s="162"/>
      <c r="J780" s="161"/>
      <c r="K780" s="89"/>
      <c r="L780" s="90"/>
      <c r="M780" s="91"/>
      <c r="N780" s="161"/>
      <c r="O780" s="87" t="s">
        <v>142</v>
      </c>
      <c r="P780" s="161"/>
      <c r="Q780" s="87" t="s">
        <v>5219</v>
      </c>
      <c r="R780" s="91"/>
      <c r="S780" s="90"/>
      <c r="T780" s="93"/>
      <c r="U780" s="90"/>
      <c r="V780" s="87"/>
      <c r="W780" s="87"/>
      <c r="X780" s="87"/>
      <c r="Y780" s="100"/>
      <c r="Z780" s="162"/>
      <c r="AA780" s="162"/>
      <c r="AB780" s="162"/>
      <c r="AC780" s="81">
        <v>779.0</v>
      </c>
      <c r="AD780" s="90"/>
      <c r="AE780" s="87"/>
      <c r="AF780" s="90"/>
      <c r="AG780" s="87" t="s">
        <v>68</v>
      </c>
      <c r="AH780" s="87"/>
      <c r="AI780" s="87"/>
      <c r="AJ780" s="87"/>
      <c r="AK780" s="97" t="s">
        <v>5329</v>
      </c>
      <c r="AL780" s="87"/>
      <c r="AM780" s="87"/>
      <c r="AN780" s="87"/>
      <c r="AO780" s="87"/>
      <c r="AP780" s="87"/>
      <c r="AQ780" s="87"/>
      <c r="AR780" s="87"/>
    </row>
    <row r="781">
      <c r="A781" s="89">
        <v>18.0</v>
      </c>
      <c r="B781" s="87" t="s">
        <v>5330</v>
      </c>
      <c r="C781" s="88" t="s">
        <v>5331</v>
      </c>
      <c r="D781" s="161"/>
      <c r="E781" s="161"/>
      <c r="F781" s="161"/>
      <c r="G781" s="161"/>
      <c r="H781" s="161"/>
      <c r="I781" s="162"/>
      <c r="J781" s="161"/>
      <c r="K781" s="89"/>
      <c r="L781" s="90"/>
      <c r="M781" s="91"/>
      <c r="N781" s="161"/>
      <c r="O781" s="87" t="s">
        <v>142</v>
      </c>
      <c r="P781" s="161"/>
      <c r="Q781" s="87" t="s">
        <v>5219</v>
      </c>
      <c r="R781" s="91"/>
      <c r="S781" s="90"/>
      <c r="T781" s="93"/>
      <c r="U781" s="90"/>
      <c r="V781" s="87" t="s">
        <v>89</v>
      </c>
      <c r="W781" s="87" t="s">
        <v>160</v>
      </c>
      <c r="X781" s="87" t="s">
        <v>1010</v>
      </c>
      <c r="Y781" s="94">
        <v>40898.0</v>
      </c>
      <c r="Z781" s="162"/>
      <c r="AA781" s="162"/>
      <c r="AB781" s="162"/>
      <c r="AC781" s="81">
        <v>780.0</v>
      </c>
      <c r="AD781" s="90"/>
      <c r="AE781" s="87" t="s">
        <v>67</v>
      </c>
      <c r="AF781" s="90"/>
      <c r="AG781" s="87" t="s">
        <v>68</v>
      </c>
      <c r="AH781" s="87"/>
      <c r="AI781" s="87">
        <v>8.216459202E10</v>
      </c>
      <c r="AJ781" s="87" t="s">
        <v>5332</v>
      </c>
      <c r="AK781" s="97" t="s">
        <v>5333</v>
      </c>
      <c r="AL781" s="87" t="s">
        <v>5334</v>
      </c>
      <c r="AM781" s="87" t="s">
        <v>96</v>
      </c>
      <c r="AN781" s="87" t="s">
        <v>150</v>
      </c>
      <c r="AO781" s="87" t="s">
        <v>281</v>
      </c>
      <c r="AP781" s="87" t="s">
        <v>657</v>
      </c>
      <c r="AQ781" s="87">
        <v>2.0</v>
      </c>
      <c r="AR781" s="87">
        <v>3.0</v>
      </c>
    </row>
    <row r="782">
      <c r="A782" s="89">
        <v>19.0</v>
      </c>
      <c r="B782" s="87" t="s">
        <v>5335</v>
      </c>
      <c r="C782" s="88" t="s">
        <v>5336</v>
      </c>
      <c r="D782" s="161"/>
      <c r="E782" s="161"/>
      <c r="F782" s="161"/>
      <c r="G782" s="161"/>
      <c r="H782" s="161"/>
      <c r="I782" s="162"/>
      <c r="J782" s="161"/>
      <c r="K782" s="161"/>
      <c r="L782" s="162"/>
      <c r="M782" s="161"/>
      <c r="N782" s="161"/>
      <c r="O782" s="87" t="s">
        <v>142</v>
      </c>
      <c r="P782" s="161"/>
      <c r="Q782" s="87" t="s">
        <v>5219</v>
      </c>
      <c r="R782" s="161"/>
      <c r="S782" s="173"/>
      <c r="T782" s="161"/>
      <c r="U782" s="173"/>
      <c r="V782" s="87"/>
      <c r="W782" s="87"/>
      <c r="X782" s="87"/>
      <c r="Y782" s="100"/>
      <c r="Z782" s="162"/>
      <c r="AA782" s="162"/>
      <c r="AB782" s="173"/>
      <c r="AC782" s="81">
        <v>781.0</v>
      </c>
      <c r="AD782" s="173"/>
      <c r="AE782" s="87" t="s">
        <v>67</v>
      </c>
      <c r="AF782" s="173"/>
      <c r="AG782" s="87" t="s">
        <v>130</v>
      </c>
      <c r="AH782" s="87"/>
      <c r="AI782" s="87">
        <v>8.2246394633E10</v>
      </c>
      <c r="AJ782" s="87" t="s">
        <v>5337</v>
      </c>
      <c r="AK782" s="97" t="s">
        <v>5338</v>
      </c>
      <c r="AL782" s="87" t="s">
        <v>5339</v>
      </c>
      <c r="AM782" s="87" t="s">
        <v>73</v>
      </c>
      <c r="AN782" s="87" t="s">
        <v>74</v>
      </c>
      <c r="AO782" s="87" t="s">
        <v>203</v>
      </c>
      <c r="AP782" s="87" t="s">
        <v>204</v>
      </c>
      <c r="AQ782" s="87"/>
      <c r="AR782" s="87"/>
    </row>
    <row r="783">
      <c r="A783" s="89">
        <v>20.0</v>
      </c>
      <c r="B783" s="87" t="s">
        <v>5340</v>
      </c>
      <c r="C783" s="88" t="s">
        <v>5341</v>
      </c>
      <c r="D783" s="161"/>
      <c r="E783" s="161"/>
      <c r="F783" s="161"/>
      <c r="G783" s="161"/>
      <c r="H783" s="161"/>
      <c r="I783" s="162"/>
      <c r="J783" s="161"/>
      <c r="K783" s="161"/>
      <c r="L783" s="162"/>
      <c r="M783" s="161"/>
      <c r="N783" s="161"/>
      <c r="O783" s="87" t="s">
        <v>142</v>
      </c>
      <c r="P783" s="161"/>
      <c r="Q783" s="87" t="s">
        <v>5219</v>
      </c>
      <c r="R783" s="161"/>
      <c r="S783" s="173"/>
      <c r="T783" s="161"/>
      <c r="U783" s="173"/>
      <c r="V783" s="87" t="s">
        <v>89</v>
      </c>
      <c r="W783" s="87" t="s">
        <v>1214</v>
      </c>
      <c r="X783" s="87" t="s">
        <v>260</v>
      </c>
      <c r="Y783" s="94">
        <v>40022.0</v>
      </c>
      <c r="Z783" s="162"/>
      <c r="AA783" s="162"/>
      <c r="AB783" s="173"/>
      <c r="AC783" s="81">
        <v>782.0</v>
      </c>
      <c r="AD783" s="173"/>
      <c r="AE783" s="87" t="s">
        <v>67</v>
      </c>
      <c r="AF783" s="173"/>
      <c r="AG783" s="87" t="s">
        <v>68</v>
      </c>
      <c r="AH783" s="87"/>
      <c r="AI783" s="87">
        <v>8.11627877E8</v>
      </c>
      <c r="AJ783" s="87" t="s">
        <v>5342</v>
      </c>
      <c r="AK783" s="97" t="s">
        <v>5343</v>
      </c>
      <c r="AL783" s="87" t="s">
        <v>5344</v>
      </c>
      <c r="AM783" s="87" t="s">
        <v>73</v>
      </c>
      <c r="AN783" s="87" t="s">
        <v>74</v>
      </c>
      <c r="AO783" s="87" t="s">
        <v>454</v>
      </c>
      <c r="AP783" s="87" t="s">
        <v>1753</v>
      </c>
      <c r="AQ783" s="87">
        <v>0.0</v>
      </c>
      <c r="AR783" s="87">
        <v>0.0</v>
      </c>
    </row>
    <row r="784">
      <c r="A784" s="89">
        <v>21.0</v>
      </c>
      <c r="B784" s="87" t="s">
        <v>5345</v>
      </c>
      <c r="C784" s="88" t="s">
        <v>5346</v>
      </c>
      <c r="D784" s="161"/>
      <c r="E784" s="161"/>
      <c r="F784" s="161"/>
      <c r="G784" s="161"/>
      <c r="H784" s="161"/>
      <c r="I784" s="162"/>
      <c r="J784" s="161"/>
      <c r="K784" s="161"/>
      <c r="L784" s="162"/>
      <c r="M784" s="161"/>
      <c r="N784" s="161"/>
      <c r="O784" s="87" t="s">
        <v>532</v>
      </c>
      <c r="P784" s="161"/>
      <c r="Q784" s="87" t="s">
        <v>5219</v>
      </c>
      <c r="R784" s="161"/>
      <c r="S784" s="173"/>
      <c r="T784" s="161"/>
      <c r="U784" s="173"/>
      <c r="V784" s="87" t="s">
        <v>285</v>
      </c>
      <c r="W784" s="87" t="s">
        <v>5347</v>
      </c>
      <c r="X784" s="87" t="s">
        <v>5348</v>
      </c>
      <c r="Y784" s="94">
        <v>35212.0</v>
      </c>
      <c r="Z784" s="162"/>
      <c r="AA784" s="162"/>
      <c r="AB784" s="173"/>
      <c r="AC784" s="81">
        <v>783.0</v>
      </c>
      <c r="AD784" s="173"/>
      <c r="AE784" s="87" t="s">
        <v>67</v>
      </c>
      <c r="AF784" s="173"/>
      <c r="AG784" s="87" t="s">
        <v>68</v>
      </c>
      <c r="AH784" s="87"/>
      <c r="AI784" s="87">
        <v>8.2381105856E10</v>
      </c>
      <c r="AJ784" s="87" t="s">
        <v>5349</v>
      </c>
      <c r="AK784" s="97" t="s">
        <v>5350</v>
      </c>
      <c r="AL784" s="87" t="s">
        <v>5351</v>
      </c>
      <c r="AM784" s="87" t="s">
        <v>96</v>
      </c>
      <c r="AN784" s="87" t="s">
        <v>150</v>
      </c>
      <c r="AO784" s="87" t="s">
        <v>693</v>
      </c>
      <c r="AP784" s="87" t="s">
        <v>1764</v>
      </c>
      <c r="AQ784" s="87" t="s">
        <v>77</v>
      </c>
      <c r="AR784" s="87" t="s">
        <v>77</v>
      </c>
    </row>
    <row r="785">
      <c r="A785" s="89">
        <v>22.0</v>
      </c>
      <c r="B785" s="87" t="s">
        <v>5352</v>
      </c>
      <c r="C785" s="88" t="s">
        <v>5353</v>
      </c>
      <c r="D785" s="161"/>
      <c r="E785" s="161"/>
      <c r="F785" s="161"/>
      <c r="G785" s="161"/>
      <c r="H785" s="161"/>
      <c r="I785" s="162"/>
      <c r="J785" s="161"/>
      <c r="K785" s="161"/>
      <c r="L785" s="162"/>
      <c r="M785" s="161"/>
      <c r="N785" s="161"/>
      <c r="O785" s="87" t="s">
        <v>142</v>
      </c>
      <c r="P785" s="161"/>
      <c r="Q785" s="87" t="s">
        <v>5219</v>
      </c>
      <c r="R785" s="161"/>
      <c r="S785" s="173"/>
      <c r="T785" s="161"/>
      <c r="U785" s="173"/>
      <c r="V785" s="87" t="s">
        <v>89</v>
      </c>
      <c r="W785" s="87" t="s">
        <v>230</v>
      </c>
      <c r="X785" s="87" t="s">
        <v>4792</v>
      </c>
      <c r="Y785" s="94">
        <v>38640.0</v>
      </c>
      <c r="Z785" s="162"/>
      <c r="AA785" s="162"/>
      <c r="AB785" s="173"/>
      <c r="AC785" s="81">
        <v>784.0</v>
      </c>
      <c r="AD785" s="173"/>
      <c r="AE785" s="87" t="s">
        <v>220</v>
      </c>
      <c r="AF785" s="173"/>
      <c r="AG785" s="87" t="s">
        <v>130</v>
      </c>
      <c r="AH785" s="87"/>
      <c r="AI785" s="87">
        <v>8.2165098448E10</v>
      </c>
      <c r="AJ785" s="87" t="s">
        <v>5354</v>
      </c>
      <c r="AK785" s="97" t="s">
        <v>5355</v>
      </c>
      <c r="AL785" s="87" t="s">
        <v>5356</v>
      </c>
      <c r="AM785" s="87" t="s">
        <v>96</v>
      </c>
      <c r="AN785" s="87" t="s">
        <v>97</v>
      </c>
      <c r="AO785" s="87" t="s">
        <v>546</v>
      </c>
      <c r="AP785" s="87" t="s">
        <v>5119</v>
      </c>
      <c r="AQ785" s="87"/>
      <c r="AR785" s="87"/>
    </row>
    <row r="786">
      <c r="A786" s="89">
        <v>23.0</v>
      </c>
      <c r="B786" s="87" t="s">
        <v>5357</v>
      </c>
      <c r="C786" s="88" t="s">
        <v>5358</v>
      </c>
      <c r="D786" s="161"/>
      <c r="E786" s="161"/>
      <c r="F786" s="161"/>
      <c r="G786" s="161"/>
      <c r="H786" s="161"/>
      <c r="I786" s="162"/>
      <c r="J786" s="161"/>
      <c r="K786" s="161"/>
      <c r="L786" s="162"/>
      <c r="M786" s="161"/>
      <c r="N786" s="161"/>
      <c r="O786" s="87" t="s">
        <v>142</v>
      </c>
      <c r="P786" s="161"/>
      <c r="Q786" s="87" t="s">
        <v>5219</v>
      </c>
      <c r="R786" s="161"/>
      <c r="S786" s="173"/>
      <c r="T786" s="161"/>
      <c r="U786" s="173"/>
      <c r="V786" s="87" t="s">
        <v>89</v>
      </c>
      <c r="W786" s="87" t="s">
        <v>230</v>
      </c>
      <c r="X786" s="87" t="s">
        <v>648</v>
      </c>
      <c r="Y786" s="94">
        <v>42245.0</v>
      </c>
      <c r="Z786" s="162"/>
      <c r="AA786" s="162"/>
      <c r="AB786" s="173"/>
      <c r="AC786" s="81">
        <v>785.0</v>
      </c>
      <c r="AD786" s="173"/>
      <c r="AE786" s="87" t="s">
        <v>220</v>
      </c>
      <c r="AF786" s="173"/>
      <c r="AG786" s="87" t="s">
        <v>130</v>
      </c>
      <c r="AH786" s="87"/>
      <c r="AI786" s="87">
        <v>8.5261545978E10</v>
      </c>
      <c r="AJ786" s="87" t="s">
        <v>5359</v>
      </c>
      <c r="AK786" s="97" t="s">
        <v>5360</v>
      </c>
      <c r="AL786" s="87" t="s">
        <v>5361</v>
      </c>
      <c r="AM786" s="87" t="s">
        <v>96</v>
      </c>
      <c r="AN786" s="87" t="s">
        <v>97</v>
      </c>
      <c r="AO786" s="87" t="s">
        <v>236</v>
      </c>
      <c r="AP786" s="87" t="s">
        <v>527</v>
      </c>
      <c r="AQ786" s="87"/>
      <c r="AR786" s="87"/>
    </row>
    <row r="787">
      <c r="A787" s="89">
        <v>24.0</v>
      </c>
      <c r="B787" s="87" t="s">
        <v>5362</v>
      </c>
      <c r="C787" s="88" t="s">
        <v>5363</v>
      </c>
      <c r="D787" s="161"/>
      <c r="E787" s="161"/>
      <c r="F787" s="161"/>
      <c r="G787" s="161"/>
      <c r="H787" s="161"/>
      <c r="I787" s="162"/>
      <c r="J787" s="161"/>
      <c r="K787" s="161"/>
      <c r="L787" s="162"/>
      <c r="M787" s="161"/>
      <c r="N787" s="161"/>
      <c r="O787" s="87" t="s">
        <v>532</v>
      </c>
      <c r="P787" s="161"/>
      <c r="Q787" s="87" t="s">
        <v>5219</v>
      </c>
      <c r="R787" s="161"/>
      <c r="S787" s="173"/>
      <c r="T787" s="161"/>
      <c r="U787" s="173"/>
      <c r="V787" s="87" t="s">
        <v>285</v>
      </c>
      <c r="W787" s="87" t="s">
        <v>1035</v>
      </c>
      <c r="X787" s="87" t="s">
        <v>5364</v>
      </c>
      <c r="Y787" s="94">
        <v>39613.0</v>
      </c>
      <c r="Z787" s="162"/>
      <c r="AA787" s="162"/>
      <c r="AB787" s="173"/>
      <c r="AC787" s="81">
        <v>786.0</v>
      </c>
      <c r="AD787" s="173"/>
      <c r="AE787" s="87" t="s">
        <v>220</v>
      </c>
      <c r="AF787" s="173"/>
      <c r="AG787" s="87" t="s">
        <v>68</v>
      </c>
      <c r="AH787" s="87"/>
      <c r="AI787" s="87">
        <v>8.1263125898E10</v>
      </c>
      <c r="AJ787" s="87" t="s">
        <v>5365</v>
      </c>
      <c r="AK787" s="97" t="s">
        <v>5366</v>
      </c>
      <c r="AL787" s="87" t="s">
        <v>5367</v>
      </c>
      <c r="AM787" s="87" t="s">
        <v>96</v>
      </c>
      <c r="AN787" s="87" t="s">
        <v>97</v>
      </c>
      <c r="AO787" s="87" t="s">
        <v>272</v>
      </c>
      <c r="AP787" s="87" t="s">
        <v>5011</v>
      </c>
      <c r="AQ787" s="87"/>
      <c r="AR787" s="87"/>
    </row>
    <row r="788">
      <c r="A788" s="89">
        <v>25.0</v>
      </c>
      <c r="B788" s="87" t="s">
        <v>5368</v>
      </c>
      <c r="C788" s="88" t="s">
        <v>5369</v>
      </c>
      <c r="D788" s="161"/>
      <c r="E788" s="161"/>
      <c r="F788" s="161"/>
      <c r="G788" s="161"/>
      <c r="H788" s="161"/>
      <c r="I788" s="162"/>
      <c r="J788" s="161"/>
      <c r="K788" s="161"/>
      <c r="L788" s="162"/>
      <c r="M788" s="161"/>
      <c r="N788" s="161"/>
      <c r="O788" s="87" t="s">
        <v>142</v>
      </c>
      <c r="P788" s="161"/>
      <c r="Q788" s="87" t="s">
        <v>5219</v>
      </c>
      <c r="R788" s="161"/>
      <c r="S788" s="173"/>
      <c r="T788" s="161"/>
      <c r="U788" s="173"/>
      <c r="V788" s="87" t="s">
        <v>89</v>
      </c>
      <c r="W788" s="87" t="s">
        <v>1562</v>
      </c>
      <c r="X788" s="87" t="s">
        <v>244</v>
      </c>
      <c r="Y788" s="94">
        <v>38042.0</v>
      </c>
      <c r="Z788" s="162"/>
      <c r="AA788" s="162"/>
      <c r="AB788" s="173"/>
      <c r="AC788" s="81">
        <v>787.0</v>
      </c>
      <c r="AD788" s="173"/>
      <c r="AE788" s="87" t="s">
        <v>220</v>
      </c>
      <c r="AF788" s="173"/>
      <c r="AG788" s="87" t="s">
        <v>130</v>
      </c>
      <c r="AH788" s="87"/>
      <c r="AI788" s="87">
        <v>8.1370813676E10</v>
      </c>
      <c r="AJ788" s="87" t="s">
        <v>5370</v>
      </c>
      <c r="AK788" s="97" t="s">
        <v>5371</v>
      </c>
      <c r="AL788" s="87" t="s">
        <v>5372</v>
      </c>
      <c r="AM788" s="87" t="s">
        <v>96</v>
      </c>
      <c r="AN788" s="87" t="s">
        <v>135</v>
      </c>
      <c r="AO788" s="87" t="s">
        <v>203</v>
      </c>
      <c r="AP788" s="87" t="s">
        <v>2128</v>
      </c>
      <c r="AQ788" s="87"/>
      <c r="AR788" s="87"/>
    </row>
    <row r="789">
      <c r="A789" s="89">
        <v>26.0</v>
      </c>
      <c r="B789" s="87" t="s">
        <v>5373</v>
      </c>
      <c r="C789" s="88" t="s">
        <v>5374</v>
      </c>
      <c r="D789" s="161"/>
      <c r="E789" s="161"/>
      <c r="F789" s="161"/>
      <c r="G789" s="161"/>
      <c r="H789" s="161"/>
      <c r="I789" s="162"/>
      <c r="J789" s="161"/>
      <c r="K789" s="161"/>
      <c r="L789" s="162"/>
      <c r="M789" s="161"/>
      <c r="N789" s="161"/>
      <c r="O789" s="87" t="s">
        <v>142</v>
      </c>
      <c r="P789" s="161"/>
      <c r="Q789" s="87" t="s">
        <v>5219</v>
      </c>
      <c r="R789" s="161"/>
      <c r="S789" s="173"/>
      <c r="T789" s="161"/>
      <c r="U789" s="173"/>
      <c r="V789" s="87" t="s">
        <v>89</v>
      </c>
      <c r="W789" s="87" t="s">
        <v>647</v>
      </c>
      <c r="X789" s="87" t="s">
        <v>745</v>
      </c>
      <c r="Y789" s="94">
        <v>40022.0</v>
      </c>
      <c r="Z789" s="162"/>
      <c r="AA789" s="162"/>
      <c r="AB789" s="173"/>
      <c r="AC789" s="81">
        <v>788.0</v>
      </c>
      <c r="AD789" s="173"/>
      <c r="AE789" s="87" t="s">
        <v>67</v>
      </c>
      <c r="AF789" s="173"/>
      <c r="AG789" s="87" t="s">
        <v>130</v>
      </c>
      <c r="AH789" s="87"/>
      <c r="AI789" s="87">
        <v>8.1396858575E10</v>
      </c>
      <c r="AJ789" s="87" t="s">
        <v>5375</v>
      </c>
      <c r="AK789" s="97" t="s">
        <v>5376</v>
      </c>
      <c r="AL789" s="87" t="s">
        <v>5377</v>
      </c>
      <c r="AM789" s="87" t="s">
        <v>96</v>
      </c>
      <c r="AN789" s="87" t="s">
        <v>97</v>
      </c>
      <c r="AO789" s="87" t="s">
        <v>272</v>
      </c>
      <c r="AP789" s="87" t="s">
        <v>5269</v>
      </c>
      <c r="AQ789" s="87">
        <v>1.0</v>
      </c>
      <c r="AR789" s="87">
        <v>1.0</v>
      </c>
    </row>
    <row r="790">
      <c r="A790" s="89">
        <v>27.0</v>
      </c>
      <c r="B790" s="87" t="s">
        <v>5378</v>
      </c>
      <c r="C790" s="88" t="s">
        <v>5379</v>
      </c>
      <c r="D790" s="161"/>
      <c r="E790" s="161"/>
      <c r="F790" s="161"/>
      <c r="G790" s="161"/>
      <c r="H790" s="161"/>
      <c r="I790" s="162"/>
      <c r="J790" s="161"/>
      <c r="K790" s="161"/>
      <c r="L790" s="162"/>
      <c r="M790" s="161"/>
      <c r="N790" s="161"/>
      <c r="O790" s="87" t="s">
        <v>142</v>
      </c>
      <c r="P790" s="161"/>
      <c r="Q790" s="87" t="s">
        <v>5219</v>
      </c>
      <c r="R790" s="161"/>
      <c r="S790" s="173"/>
      <c r="T790" s="161"/>
      <c r="U790" s="173"/>
      <c r="V790" s="87" t="s">
        <v>89</v>
      </c>
      <c r="W790" s="87" t="s">
        <v>5380</v>
      </c>
      <c r="X790" s="87" t="s">
        <v>5381</v>
      </c>
      <c r="Y790" s="94">
        <v>39184.0</v>
      </c>
      <c r="Z790" s="162"/>
      <c r="AA790" s="162"/>
      <c r="AB790" s="173"/>
      <c r="AC790" s="81">
        <v>789.0</v>
      </c>
      <c r="AD790" s="173"/>
      <c r="AE790" s="87" t="s">
        <v>67</v>
      </c>
      <c r="AF790" s="173"/>
      <c r="AG790" s="87" t="s">
        <v>68</v>
      </c>
      <c r="AH790" s="87"/>
      <c r="AI790" s="87">
        <v>8.1377052653E10</v>
      </c>
      <c r="AJ790" s="87" t="s">
        <v>5382</v>
      </c>
      <c r="AK790" s="97" t="s">
        <v>5383</v>
      </c>
      <c r="AL790" s="87" t="s">
        <v>5384</v>
      </c>
      <c r="AM790" s="87" t="s">
        <v>96</v>
      </c>
      <c r="AN790" s="87" t="s">
        <v>97</v>
      </c>
      <c r="AO790" s="87" t="s">
        <v>1784</v>
      </c>
      <c r="AP790" s="87" t="s">
        <v>1785</v>
      </c>
      <c r="AQ790" s="87">
        <v>0.0</v>
      </c>
      <c r="AR790" s="87">
        <v>0.0</v>
      </c>
    </row>
    <row r="791">
      <c r="A791" s="89">
        <v>28.0</v>
      </c>
      <c r="B791" s="87" t="s">
        <v>5385</v>
      </c>
      <c r="C791" s="88" t="s">
        <v>5386</v>
      </c>
      <c r="D791" s="161"/>
      <c r="E791" s="161"/>
      <c r="F791" s="161"/>
      <c r="G791" s="161"/>
      <c r="H791" s="161"/>
      <c r="I791" s="162"/>
      <c r="J791" s="161"/>
      <c r="K791" s="161"/>
      <c r="L791" s="162"/>
      <c r="M791" s="161"/>
      <c r="N791" s="161"/>
      <c r="O791" s="87" t="s">
        <v>142</v>
      </c>
      <c r="P791" s="161"/>
      <c r="Q791" s="87" t="s">
        <v>5219</v>
      </c>
      <c r="R791" s="161"/>
      <c r="S791" s="173"/>
      <c r="T791" s="161"/>
      <c r="U791" s="173"/>
      <c r="V791" s="87" t="s">
        <v>89</v>
      </c>
      <c r="W791" s="87" t="s">
        <v>1562</v>
      </c>
      <c r="X791" s="87" t="s">
        <v>244</v>
      </c>
      <c r="Y791" s="99">
        <v>43168.0</v>
      </c>
      <c r="Z791" s="162"/>
      <c r="AA791" s="162"/>
      <c r="AB791" s="173"/>
      <c r="AC791" s="81">
        <v>790.0</v>
      </c>
      <c r="AD791" s="173"/>
      <c r="AE791" s="87" t="s">
        <v>67</v>
      </c>
      <c r="AF791" s="173"/>
      <c r="AG791" s="87" t="s">
        <v>68</v>
      </c>
      <c r="AH791" s="87"/>
      <c r="AI791" s="87">
        <v>8.2386312862E10</v>
      </c>
      <c r="AJ791" s="87" t="s">
        <v>5387</v>
      </c>
      <c r="AK791" s="97" t="s">
        <v>5388</v>
      </c>
      <c r="AL791" s="87" t="s">
        <v>5389</v>
      </c>
      <c r="AM791" s="87" t="s">
        <v>73</v>
      </c>
      <c r="AN791" s="87" t="s">
        <v>74</v>
      </c>
      <c r="AO791" s="87" t="s">
        <v>360</v>
      </c>
      <c r="AP791" s="87" t="s">
        <v>827</v>
      </c>
      <c r="AQ791" s="87">
        <v>0.0</v>
      </c>
      <c r="AR791" s="87">
        <v>0.0</v>
      </c>
    </row>
    <row r="792">
      <c r="A792" s="89">
        <v>29.0</v>
      </c>
      <c r="B792" s="87" t="s">
        <v>5390</v>
      </c>
      <c r="C792" s="88" t="s">
        <v>5391</v>
      </c>
      <c r="D792" s="161"/>
      <c r="E792" s="161"/>
      <c r="F792" s="161"/>
      <c r="G792" s="161"/>
      <c r="H792" s="161"/>
      <c r="I792" s="162"/>
      <c r="J792" s="161"/>
      <c r="K792" s="161"/>
      <c r="L792" s="162"/>
      <c r="M792" s="161"/>
      <c r="N792" s="161"/>
      <c r="O792" s="87" t="s">
        <v>142</v>
      </c>
      <c r="P792" s="161"/>
      <c r="Q792" s="87" t="s">
        <v>5219</v>
      </c>
      <c r="R792" s="161"/>
      <c r="S792" s="173"/>
      <c r="T792" s="161"/>
      <c r="U792" s="173"/>
      <c r="V792" s="87" t="s">
        <v>89</v>
      </c>
      <c r="W792" s="87" t="s">
        <v>90</v>
      </c>
      <c r="X792" s="87" t="s">
        <v>260</v>
      </c>
      <c r="Y792" s="94">
        <v>39674.0</v>
      </c>
      <c r="Z792" s="162"/>
      <c r="AA792" s="162"/>
      <c r="AB792" s="173"/>
      <c r="AC792" s="81">
        <v>791.0</v>
      </c>
      <c r="AD792" s="173"/>
      <c r="AE792" s="87" t="s">
        <v>67</v>
      </c>
      <c r="AF792" s="173"/>
      <c r="AG792" s="87" t="s">
        <v>68</v>
      </c>
      <c r="AH792" s="87"/>
      <c r="AI792" s="87">
        <v>8.2360356725E10</v>
      </c>
      <c r="AJ792" s="87" t="s">
        <v>5392</v>
      </c>
      <c r="AK792" s="97" t="s">
        <v>5393</v>
      </c>
      <c r="AL792" s="87" t="s">
        <v>5394</v>
      </c>
      <c r="AM792" s="87" t="s">
        <v>73</v>
      </c>
      <c r="AN792" s="87" t="s">
        <v>74</v>
      </c>
      <c r="AO792" s="87" t="s">
        <v>191</v>
      </c>
      <c r="AP792" s="87" t="s">
        <v>2010</v>
      </c>
      <c r="AQ792" s="87">
        <v>0.0</v>
      </c>
      <c r="AR792" s="87">
        <v>0.0</v>
      </c>
    </row>
    <row r="793">
      <c r="A793" s="89">
        <v>30.0</v>
      </c>
      <c r="B793" s="87" t="s">
        <v>5395</v>
      </c>
      <c r="C793" s="88" t="s">
        <v>5396</v>
      </c>
      <c r="D793" s="161"/>
      <c r="E793" s="161"/>
      <c r="F793" s="161"/>
      <c r="G793" s="161"/>
      <c r="H793" s="161"/>
      <c r="I793" s="162"/>
      <c r="J793" s="161"/>
      <c r="K793" s="161"/>
      <c r="L793" s="162"/>
      <c r="M793" s="161"/>
      <c r="N793" s="161"/>
      <c r="O793" s="87" t="s">
        <v>142</v>
      </c>
      <c r="P793" s="161"/>
      <c r="Q793" s="87" t="s">
        <v>5219</v>
      </c>
      <c r="R793" s="161"/>
      <c r="S793" s="173"/>
      <c r="T793" s="161"/>
      <c r="U793" s="173"/>
      <c r="V793" s="87" t="s">
        <v>89</v>
      </c>
      <c r="W793" s="87" t="s">
        <v>218</v>
      </c>
      <c r="X793" s="87" t="s">
        <v>5397</v>
      </c>
      <c r="Y793" s="99">
        <v>44810.0</v>
      </c>
      <c r="Z793" s="162"/>
      <c r="AA793" s="162"/>
      <c r="AB793" s="173"/>
      <c r="AC793" s="81">
        <v>792.0</v>
      </c>
      <c r="AD793" s="173"/>
      <c r="AE793" s="87" t="s">
        <v>220</v>
      </c>
      <c r="AF793" s="173"/>
      <c r="AG793" s="87" t="s">
        <v>68</v>
      </c>
      <c r="AH793" s="87"/>
      <c r="AI793" s="87">
        <v>8.1362718862E10</v>
      </c>
      <c r="AJ793" s="87" t="s">
        <v>5398</v>
      </c>
      <c r="AK793" s="97" t="s">
        <v>5399</v>
      </c>
      <c r="AL793" s="87" t="s">
        <v>4080</v>
      </c>
      <c r="AM793" s="87" t="s">
        <v>73</v>
      </c>
      <c r="AN793" s="87" t="s">
        <v>74</v>
      </c>
      <c r="AO793" s="87" t="s">
        <v>925</v>
      </c>
      <c r="AP793" s="87" t="s">
        <v>4081</v>
      </c>
      <c r="AQ793" s="87">
        <v>0.0</v>
      </c>
      <c r="AR793" s="87">
        <v>0.0</v>
      </c>
    </row>
    <row r="794">
      <c r="A794" s="89">
        <v>31.0</v>
      </c>
      <c r="B794" s="87" t="s">
        <v>5400</v>
      </c>
      <c r="C794" s="88" t="s">
        <v>5401</v>
      </c>
      <c r="D794" s="161"/>
      <c r="E794" s="161"/>
      <c r="F794" s="161"/>
      <c r="G794" s="161"/>
      <c r="H794" s="161"/>
      <c r="I794" s="162"/>
      <c r="J794" s="161"/>
      <c r="K794" s="161"/>
      <c r="L794" s="162"/>
      <c r="M794" s="161"/>
      <c r="N794" s="161"/>
      <c r="O794" s="87" t="s">
        <v>519</v>
      </c>
      <c r="P794" s="161"/>
      <c r="Q794" s="87" t="s">
        <v>5219</v>
      </c>
      <c r="R794" s="161"/>
      <c r="S794" s="173"/>
      <c r="T794" s="161"/>
      <c r="U794" s="173"/>
      <c r="V794" s="87" t="s">
        <v>267</v>
      </c>
      <c r="W794" s="87" t="s">
        <v>1071</v>
      </c>
      <c r="X794" s="87" t="s">
        <v>231</v>
      </c>
      <c r="Y794" s="94">
        <v>39899.0</v>
      </c>
      <c r="Z794" s="162"/>
      <c r="AA794" s="162"/>
      <c r="AB794" s="173"/>
      <c r="AC794" s="81">
        <v>793.0</v>
      </c>
      <c r="AD794" s="173"/>
      <c r="AE794" s="87" t="s">
        <v>220</v>
      </c>
      <c r="AF794" s="173"/>
      <c r="AG794" s="87" t="s">
        <v>68</v>
      </c>
      <c r="AH794" s="87"/>
      <c r="AI794" s="87">
        <v>8.13753612E10</v>
      </c>
      <c r="AJ794" s="87" t="s">
        <v>5402</v>
      </c>
      <c r="AK794" s="97" t="s">
        <v>5403</v>
      </c>
      <c r="AL794" s="87" t="s">
        <v>5404</v>
      </c>
      <c r="AM794" s="87" t="s">
        <v>96</v>
      </c>
      <c r="AN794" s="87" t="s">
        <v>97</v>
      </c>
      <c r="AO794" s="87" t="s">
        <v>236</v>
      </c>
      <c r="AP794" s="87" t="s">
        <v>1898</v>
      </c>
      <c r="AQ794" s="87">
        <v>0.0</v>
      </c>
      <c r="AR794" s="87">
        <v>0.0</v>
      </c>
    </row>
    <row r="795">
      <c r="A795" s="89">
        <v>32.0</v>
      </c>
      <c r="B795" s="87" t="s">
        <v>5405</v>
      </c>
      <c r="C795" s="88" t="s">
        <v>5406</v>
      </c>
      <c r="D795" s="161"/>
      <c r="E795" s="161"/>
      <c r="F795" s="161"/>
      <c r="G795" s="161"/>
      <c r="H795" s="161"/>
      <c r="I795" s="162"/>
      <c r="J795" s="161"/>
      <c r="K795" s="161"/>
      <c r="L795" s="162"/>
      <c r="M795" s="161"/>
      <c r="N795" s="161"/>
      <c r="O795" s="87" t="s">
        <v>142</v>
      </c>
      <c r="P795" s="161"/>
      <c r="Q795" s="87" t="s">
        <v>5219</v>
      </c>
      <c r="R795" s="161"/>
      <c r="S795" s="173"/>
      <c r="T795" s="161"/>
      <c r="U795" s="173"/>
      <c r="V795" s="87" t="s">
        <v>285</v>
      </c>
      <c r="W795" s="87"/>
      <c r="X795" s="87" t="s">
        <v>5407</v>
      </c>
      <c r="Y795" s="94">
        <v>38152.0</v>
      </c>
      <c r="Z795" s="162"/>
      <c r="AA795" s="162"/>
      <c r="AB795" s="173"/>
      <c r="AC795" s="81">
        <v>794.0</v>
      </c>
      <c r="AD795" s="173"/>
      <c r="AE795" s="87" t="s">
        <v>67</v>
      </c>
      <c r="AF795" s="173"/>
      <c r="AG795" s="87" t="s">
        <v>130</v>
      </c>
      <c r="AH795" s="87"/>
      <c r="AI795" s="87">
        <v>8.1263346152E10</v>
      </c>
      <c r="AJ795" s="87" t="s">
        <v>5408</v>
      </c>
      <c r="AK795" s="97" t="s">
        <v>5409</v>
      </c>
      <c r="AL795" s="87" t="s">
        <v>5410</v>
      </c>
      <c r="AM795" s="87" t="s">
        <v>96</v>
      </c>
      <c r="AN795" s="87" t="s">
        <v>135</v>
      </c>
      <c r="AO795" s="87" t="s">
        <v>1802</v>
      </c>
      <c r="AP795" s="87" t="s">
        <v>1803</v>
      </c>
      <c r="AQ795" s="87"/>
      <c r="AR795" s="87"/>
    </row>
    <row r="796">
      <c r="A796" s="89">
        <v>33.0</v>
      </c>
      <c r="B796" s="87" t="s">
        <v>5411</v>
      </c>
      <c r="C796" s="88" t="s">
        <v>5412</v>
      </c>
      <c r="D796" s="161"/>
      <c r="E796" s="161"/>
      <c r="F796" s="161"/>
      <c r="G796" s="161"/>
      <c r="H796" s="161"/>
      <c r="I796" s="162"/>
      <c r="J796" s="161"/>
      <c r="K796" s="161"/>
      <c r="L796" s="162"/>
      <c r="M796" s="161"/>
      <c r="N796" s="161"/>
      <c r="O796" s="87" t="s">
        <v>519</v>
      </c>
      <c r="P796" s="161"/>
      <c r="Q796" s="87" t="s">
        <v>5219</v>
      </c>
      <c r="R796" s="161"/>
      <c r="S796" s="173"/>
      <c r="T796" s="161"/>
      <c r="U796" s="173"/>
      <c r="V796" s="87" t="s">
        <v>267</v>
      </c>
      <c r="W796" s="87" t="s">
        <v>5413</v>
      </c>
      <c r="X796" s="87" t="s">
        <v>231</v>
      </c>
      <c r="Y796" s="94">
        <v>42943.0</v>
      </c>
      <c r="Z796" s="162"/>
      <c r="AA796" s="162"/>
      <c r="AB796" s="173"/>
      <c r="AC796" s="81">
        <v>795.0</v>
      </c>
      <c r="AD796" s="173"/>
      <c r="AE796" s="87" t="s">
        <v>311</v>
      </c>
      <c r="AF796" s="173"/>
      <c r="AG796" s="87" t="s">
        <v>68</v>
      </c>
      <c r="AH796" s="87"/>
      <c r="AI796" s="87">
        <v>8.2167853194E10</v>
      </c>
      <c r="AJ796" s="87" t="s">
        <v>5414</v>
      </c>
      <c r="AK796" s="97" t="s">
        <v>5415</v>
      </c>
      <c r="AL796" s="87" t="s">
        <v>5416</v>
      </c>
      <c r="AM796" s="87" t="s">
        <v>96</v>
      </c>
      <c r="AN796" s="87" t="s">
        <v>97</v>
      </c>
      <c r="AO796" s="87" t="s">
        <v>272</v>
      </c>
      <c r="AP796" s="87" t="s">
        <v>5011</v>
      </c>
      <c r="AQ796" s="87"/>
      <c r="AR796" s="87"/>
    </row>
    <row r="797">
      <c r="A797" s="89">
        <v>34.0</v>
      </c>
      <c r="B797" s="87" t="s">
        <v>5417</v>
      </c>
      <c r="C797" s="88" t="s">
        <v>5418</v>
      </c>
      <c r="D797" s="161"/>
      <c r="E797" s="161"/>
      <c r="F797" s="161"/>
      <c r="G797" s="161"/>
      <c r="H797" s="161"/>
      <c r="I797" s="162"/>
      <c r="J797" s="161"/>
      <c r="K797" s="161"/>
      <c r="L797" s="162"/>
      <c r="M797" s="161"/>
      <c r="N797" s="161"/>
      <c r="O797" s="87" t="s">
        <v>142</v>
      </c>
      <c r="P797" s="161"/>
      <c r="Q797" s="87" t="s">
        <v>5219</v>
      </c>
      <c r="R797" s="161"/>
      <c r="S797" s="173"/>
      <c r="T797" s="161"/>
      <c r="U797" s="173"/>
      <c r="V797" s="87" t="s">
        <v>159</v>
      </c>
      <c r="W797" s="87" t="s">
        <v>4362</v>
      </c>
      <c r="X797" s="87" t="s">
        <v>648</v>
      </c>
      <c r="Y797" s="94">
        <v>41811.0</v>
      </c>
      <c r="Z797" s="162"/>
      <c r="AA797" s="162"/>
      <c r="AB797" s="173"/>
      <c r="AC797" s="81">
        <v>796.0</v>
      </c>
      <c r="AD797" s="173"/>
      <c r="AE797" s="87" t="s">
        <v>67</v>
      </c>
      <c r="AF797" s="173"/>
      <c r="AG797" s="87" t="s">
        <v>130</v>
      </c>
      <c r="AH797" s="87"/>
      <c r="AI797" s="87">
        <v>8.116711589E9</v>
      </c>
      <c r="AJ797" s="87" t="s">
        <v>5419</v>
      </c>
      <c r="AK797" s="97" t="s">
        <v>5420</v>
      </c>
      <c r="AL797" s="87" t="s">
        <v>5421</v>
      </c>
      <c r="AM797" s="87" t="s">
        <v>73</v>
      </c>
      <c r="AN797" s="87" t="s">
        <v>74</v>
      </c>
      <c r="AO797" s="87" t="s">
        <v>1698</v>
      </c>
      <c r="AP797" s="87" t="s">
        <v>5422</v>
      </c>
      <c r="AQ797" s="87">
        <v>0.0</v>
      </c>
      <c r="AR797" s="87">
        <v>0.0</v>
      </c>
    </row>
    <row r="798">
      <c r="A798" s="89">
        <v>35.0</v>
      </c>
      <c r="B798" s="87" t="s">
        <v>5423</v>
      </c>
      <c r="C798" s="88" t="s">
        <v>5424</v>
      </c>
      <c r="D798" s="161"/>
      <c r="E798" s="161"/>
      <c r="F798" s="161"/>
      <c r="G798" s="161"/>
      <c r="H798" s="161"/>
      <c r="I798" s="162"/>
      <c r="J798" s="161"/>
      <c r="K798" s="161"/>
      <c r="L798" s="162"/>
      <c r="M798" s="161"/>
      <c r="N798" s="161"/>
      <c r="O798" s="87" t="s">
        <v>142</v>
      </c>
      <c r="P798" s="161"/>
      <c r="Q798" s="87" t="s">
        <v>5219</v>
      </c>
      <c r="R798" s="161"/>
      <c r="S798" s="173"/>
      <c r="T798" s="161"/>
      <c r="U798" s="173"/>
      <c r="V798" s="87" t="s">
        <v>89</v>
      </c>
      <c r="W798" s="87" t="s">
        <v>1214</v>
      </c>
      <c r="X798" s="87" t="s">
        <v>3493</v>
      </c>
      <c r="Y798" s="99">
        <v>39995.0</v>
      </c>
      <c r="Z798" s="162"/>
      <c r="AA798" s="162"/>
      <c r="AB798" s="173"/>
      <c r="AC798" s="81">
        <v>797.0</v>
      </c>
      <c r="AD798" s="173"/>
      <c r="AE798" s="87" t="s">
        <v>220</v>
      </c>
      <c r="AF798" s="173"/>
      <c r="AG798" s="87" t="s">
        <v>130</v>
      </c>
      <c r="AH798" s="173"/>
      <c r="AI798" s="87">
        <v>8.11643411E8</v>
      </c>
      <c r="AJ798" s="87" t="s">
        <v>5425</v>
      </c>
      <c r="AK798" s="97" t="s">
        <v>5426</v>
      </c>
      <c r="AL798" s="87" t="s">
        <v>5427</v>
      </c>
      <c r="AM798" s="87" t="s">
        <v>73</v>
      </c>
      <c r="AN798" s="87" t="s">
        <v>74</v>
      </c>
      <c r="AO798" s="87" t="s">
        <v>75</v>
      </c>
      <c r="AP798" s="87" t="s">
        <v>1236</v>
      </c>
      <c r="AQ798" s="87"/>
      <c r="AR798" s="87"/>
    </row>
    <row r="799">
      <c r="A799" s="89">
        <v>36.0</v>
      </c>
      <c r="B799" s="87" t="s">
        <v>5428</v>
      </c>
      <c r="C799" s="88" t="s">
        <v>5429</v>
      </c>
      <c r="D799" s="161"/>
      <c r="E799" s="161"/>
      <c r="F799" s="161"/>
      <c r="G799" s="161"/>
      <c r="H799" s="161"/>
      <c r="I799" s="162"/>
      <c r="J799" s="161"/>
      <c r="K799" s="161"/>
      <c r="L799" s="162"/>
      <c r="M799" s="161"/>
      <c r="N799" s="161"/>
      <c r="O799" s="87" t="s">
        <v>519</v>
      </c>
      <c r="P799" s="161"/>
      <c r="Q799" s="87" t="s">
        <v>5219</v>
      </c>
      <c r="R799" s="161"/>
      <c r="S799" s="173"/>
      <c r="T799" s="161"/>
      <c r="U799" s="173"/>
      <c r="V799" s="87" t="s">
        <v>267</v>
      </c>
      <c r="W799" s="87" t="s">
        <v>5430</v>
      </c>
      <c r="X799" s="87" t="s">
        <v>5431</v>
      </c>
      <c r="Y799" s="99">
        <v>38626.0</v>
      </c>
      <c r="Z799" s="162"/>
      <c r="AA799" s="162"/>
      <c r="AB799" s="173"/>
      <c r="AC799" s="81">
        <v>798.0</v>
      </c>
      <c r="AD799" s="173"/>
      <c r="AE799" s="87" t="s">
        <v>311</v>
      </c>
      <c r="AF799" s="173"/>
      <c r="AG799" s="87" t="s">
        <v>68</v>
      </c>
      <c r="AH799" s="173"/>
      <c r="AI799" s="87">
        <v>8.5262262602E10</v>
      </c>
      <c r="AJ799" s="87" t="s">
        <v>5432</v>
      </c>
      <c r="AK799" s="97" t="s">
        <v>5433</v>
      </c>
      <c r="AL799" s="87" t="s">
        <v>5434</v>
      </c>
      <c r="AM799" s="87" t="s">
        <v>73</v>
      </c>
      <c r="AN799" s="87" t="s">
        <v>481</v>
      </c>
      <c r="AO799" s="87" t="s">
        <v>75</v>
      </c>
      <c r="AP799" s="87" t="s">
        <v>315</v>
      </c>
      <c r="AQ799" s="87">
        <v>0.0</v>
      </c>
      <c r="AR799" s="87">
        <v>0.0</v>
      </c>
    </row>
    <row r="800">
      <c r="A800" s="89">
        <v>37.0</v>
      </c>
      <c r="B800" s="87" t="s">
        <v>5435</v>
      </c>
      <c r="C800" s="88" t="s">
        <v>5436</v>
      </c>
      <c r="D800" s="161"/>
      <c r="E800" s="161"/>
      <c r="F800" s="161"/>
      <c r="G800" s="161"/>
      <c r="H800" s="161"/>
      <c r="I800" s="162"/>
      <c r="J800" s="161"/>
      <c r="K800" s="161"/>
      <c r="L800" s="162"/>
      <c r="M800" s="161"/>
      <c r="N800" s="161"/>
      <c r="O800" s="87" t="s">
        <v>532</v>
      </c>
      <c r="P800" s="161"/>
      <c r="Q800" s="87" t="s">
        <v>5219</v>
      </c>
      <c r="R800" s="161"/>
      <c r="S800" s="173"/>
      <c r="T800" s="161"/>
      <c r="U800" s="173"/>
      <c r="V800" s="87" t="s">
        <v>285</v>
      </c>
      <c r="W800" s="87" t="s">
        <v>1017</v>
      </c>
      <c r="X800" s="87" t="s">
        <v>5437</v>
      </c>
      <c r="Y800" s="94">
        <v>36309.0</v>
      </c>
      <c r="Z800" s="162"/>
      <c r="AA800" s="162"/>
      <c r="AB800" s="173"/>
      <c r="AC800" s="81">
        <v>799.0</v>
      </c>
      <c r="AD800" s="173"/>
      <c r="AE800" s="87" t="s">
        <v>220</v>
      </c>
      <c r="AF800" s="173"/>
      <c r="AG800" s="87" t="s">
        <v>130</v>
      </c>
      <c r="AH800" s="173"/>
      <c r="AI800" s="87">
        <v>8.2168575881E10</v>
      </c>
      <c r="AJ800" s="87" t="s">
        <v>5438</v>
      </c>
      <c r="AK800" s="97" t="s">
        <v>5439</v>
      </c>
      <c r="AL800" s="87" t="s">
        <v>5440</v>
      </c>
      <c r="AM800" s="87" t="s">
        <v>96</v>
      </c>
      <c r="AN800" s="87" t="s">
        <v>97</v>
      </c>
      <c r="AO800" s="87" t="s">
        <v>272</v>
      </c>
      <c r="AP800" s="87" t="s">
        <v>5441</v>
      </c>
      <c r="AQ800" s="87"/>
      <c r="AR800" s="87"/>
    </row>
    <row r="801">
      <c r="A801" s="89">
        <v>38.0</v>
      </c>
      <c r="B801" s="87" t="s">
        <v>5442</v>
      </c>
      <c r="C801" s="88" t="s">
        <v>5443</v>
      </c>
      <c r="D801" s="161"/>
      <c r="E801" s="161"/>
      <c r="F801" s="161"/>
      <c r="G801" s="161"/>
      <c r="H801" s="161"/>
      <c r="I801" s="162"/>
      <c r="J801" s="161"/>
      <c r="K801" s="161"/>
      <c r="L801" s="162"/>
      <c r="M801" s="161"/>
      <c r="N801" s="161"/>
      <c r="O801" s="87" t="s">
        <v>532</v>
      </c>
      <c r="P801" s="161"/>
      <c r="Q801" s="87" t="s">
        <v>5219</v>
      </c>
      <c r="R801" s="161"/>
      <c r="S801" s="173"/>
      <c r="T801" s="161"/>
      <c r="U801" s="173"/>
      <c r="V801" s="87" t="s">
        <v>285</v>
      </c>
      <c r="W801" s="87" t="s">
        <v>2493</v>
      </c>
      <c r="X801" s="87" t="s">
        <v>5444</v>
      </c>
      <c r="Y801" s="94">
        <v>39613.0</v>
      </c>
      <c r="Z801" s="162"/>
      <c r="AA801" s="162"/>
      <c r="AB801" s="173"/>
      <c r="AC801" s="81">
        <v>800.0</v>
      </c>
      <c r="AD801" s="173"/>
      <c r="AE801" s="87" t="s">
        <v>67</v>
      </c>
      <c r="AF801" s="173"/>
      <c r="AG801" s="87" t="s">
        <v>68</v>
      </c>
      <c r="AH801" s="173"/>
      <c r="AI801" s="87">
        <v>8.2277048558E10</v>
      </c>
      <c r="AJ801" s="87" t="s">
        <v>5445</v>
      </c>
      <c r="AK801" s="97" t="s">
        <v>5446</v>
      </c>
      <c r="AL801" s="87" t="s">
        <v>5447</v>
      </c>
      <c r="AM801" s="87" t="s">
        <v>96</v>
      </c>
      <c r="AN801" s="87" t="s">
        <v>97</v>
      </c>
      <c r="AO801" s="87" t="s">
        <v>499</v>
      </c>
      <c r="AP801" s="87" t="s">
        <v>1479</v>
      </c>
      <c r="AQ801" s="87" t="s">
        <v>77</v>
      </c>
      <c r="AR801" s="87" t="s">
        <v>77</v>
      </c>
    </row>
    <row r="802">
      <c r="A802" s="89">
        <v>39.0</v>
      </c>
      <c r="B802" s="87" t="s">
        <v>5448</v>
      </c>
      <c r="C802" s="88" t="s">
        <v>5449</v>
      </c>
      <c r="D802" s="161"/>
      <c r="E802" s="161"/>
      <c r="F802" s="161"/>
      <c r="G802" s="161"/>
      <c r="H802" s="161"/>
      <c r="I802" s="162"/>
      <c r="J802" s="161"/>
      <c r="K802" s="161"/>
      <c r="L802" s="162"/>
      <c r="M802" s="161"/>
      <c r="N802" s="161"/>
      <c r="O802" s="87" t="s">
        <v>142</v>
      </c>
      <c r="P802" s="161"/>
      <c r="Q802" s="87" t="s">
        <v>5219</v>
      </c>
      <c r="R802" s="161"/>
      <c r="S802" s="173"/>
      <c r="T802" s="161"/>
      <c r="U802" s="173"/>
      <c r="V802" s="87" t="s">
        <v>89</v>
      </c>
      <c r="W802" s="87" t="s">
        <v>2132</v>
      </c>
      <c r="X802" s="87" t="s">
        <v>231</v>
      </c>
      <c r="Y802" s="94">
        <v>39622.0</v>
      </c>
      <c r="Z802" s="162"/>
      <c r="AA802" s="162"/>
      <c r="AB802" s="173"/>
      <c r="AC802" s="81">
        <v>801.0</v>
      </c>
      <c r="AD802" s="173"/>
      <c r="AE802" s="87" t="s">
        <v>220</v>
      </c>
      <c r="AF802" s="173"/>
      <c r="AG802" s="87" t="s">
        <v>130</v>
      </c>
      <c r="AH802" s="173"/>
      <c r="AI802" s="87">
        <v>8.1377494777E10</v>
      </c>
      <c r="AJ802" s="87" t="s">
        <v>5450</v>
      </c>
      <c r="AK802" s="97" t="s">
        <v>5451</v>
      </c>
      <c r="AL802" s="87" t="s">
        <v>5452</v>
      </c>
      <c r="AM802" s="87" t="s">
        <v>96</v>
      </c>
      <c r="AN802" s="87" t="s">
        <v>97</v>
      </c>
      <c r="AO802" s="87" t="s">
        <v>272</v>
      </c>
      <c r="AP802" s="87" t="s">
        <v>5453</v>
      </c>
      <c r="AQ802" s="87"/>
      <c r="AR802" s="87"/>
    </row>
    <row r="803">
      <c r="A803" s="89">
        <v>40.0</v>
      </c>
      <c r="B803" s="87" t="s">
        <v>5454</v>
      </c>
      <c r="C803" s="88" t="s">
        <v>5455</v>
      </c>
      <c r="D803" s="161"/>
      <c r="E803" s="161"/>
      <c r="F803" s="161"/>
      <c r="G803" s="161"/>
      <c r="H803" s="161"/>
      <c r="I803" s="162"/>
      <c r="J803" s="161"/>
      <c r="K803" s="161"/>
      <c r="L803" s="162"/>
      <c r="M803" s="161"/>
      <c r="N803" s="161"/>
      <c r="O803" s="87" t="s">
        <v>142</v>
      </c>
      <c r="P803" s="161"/>
      <c r="Q803" s="87" t="s">
        <v>5219</v>
      </c>
      <c r="R803" s="161"/>
      <c r="S803" s="173"/>
      <c r="T803" s="161"/>
      <c r="U803" s="173"/>
      <c r="V803" s="87" t="s">
        <v>89</v>
      </c>
      <c r="W803" s="87" t="s">
        <v>5456</v>
      </c>
      <c r="X803" s="87" t="s">
        <v>648</v>
      </c>
      <c r="Y803" s="94">
        <v>39949.0</v>
      </c>
      <c r="Z803" s="162"/>
      <c r="AA803" s="162"/>
      <c r="AB803" s="173"/>
      <c r="AC803" s="81">
        <v>802.0</v>
      </c>
      <c r="AD803" s="173"/>
      <c r="AE803" s="87" t="s">
        <v>311</v>
      </c>
      <c r="AF803" s="173"/>
      <c r="AG803" s="87" t="s">
        <v>130</v>
      </c>
      <c r="AH803" s="173"/>
      <c r="AI803" s="87">
        <v>8.52701386E10</v>
      </c>
      <c r="AJ803" s="87" t="s">
        <v>5457</v>
      </c>
      <c r="AK803" s="97" t="s">
        <v>5458</v>
      </c>
      <c r="AL803" s="87" t="s">
        <v>5459</v>
      </c>
      <c r="AM803" s="87" t="s">
        <v>73</v>
      </c>
      <c r="AN803" s="87" t="s">
        <v>166</v>
      </c>
      <c r="AO803" s="87" t="s">
        <v>167</v>
      </c>
      <c r="AP803" s="87" t="s">
        <v>982</v>
      </c>
      <c r="AQ803" s="87">
        <v>1.0</v>
      </c>
      <c r="AR803" s="87">
        <v>1.0</v>
      </c>
    </row>
    <row r="804">
      <c r="A804" s="89">
        <v>41.0</v>
      </c>
      <c r="B804" s="87" t="s">
        <v>5460</v>
      </c>
      <c r="C804" s="88" t="s">
        <v>5461</v>
      </c>
      <c r="D804" s="161"/>
      <c r="E804" s="161"/>
      <c r="F804" s="161"/>
      <c r="G804" s="161"/>
      <c r="H804" s="161"/>
      <c r="I804" s="162"/>
      <c r="J804" s="161"/>
      <c r="K804" s="161"/>
      <c r="L804" s="162"/>
      <c r="M804" s="161"/>
      <c r="N804" s="161"/>
      <c r="O804" s="87" t="s">
        <v>142</v>
      </c>
      <c r="P804" s="161"/>
      <c r="Q804" s="87" t="s">
        <v>5219</v>
      </c>
      <c r="R804" s="161"/>
      <c r="S804" s="173"/>
      <c r="T804" s="161"/>
      <c r="U804" s="173"/>
      <c r="V804" s="87" t="s">
        <v>89</v>
      </c>
      <c r="W804" s="87" t="s">
        <v>218</v>
      </c>
      <c r="X804" s="87" t="s">
        <v>419</v>
      </c>
      <c r="Y804" s="94">
        <v>41020.0</v>
      </c>
      <c r="Z804" s="162"/>
      <c r="AA804" s="162"/>
      <c r="AB804" s="173"/>
      <c r="AC804" s="81">
        <v>803.0</v>
      </c>
      <c r="AD804" s="173"/>
      <c r="AE804" s="87" t="s">
        <v>67</v>
      </c>
      <c r="AF804" s="173"/>
      <c r="AG804" s="87" t="s">
        <v>68</v>
      </c>
      <c r="AH804" s="173"/>
      <c r="AI804" s="87">
        <v>8.1370304413E10</v>
      </c>
      <c r="AJ804" s="87" t="s">
        <v>5462</v>
      </c>
      <c r="AK804" s="97" t="s">
        <v>5463</v>
      </c>
      <c r="AL804" s="87" t="s">
        <v>5464</v>
      </c>
      <c r="AM804" s="87" t="s">
        <v>96</v>
      </c>
      <c r="AN804" s="87" t="s">
        <v>97</v>
      </c>
      <c r="AO804" s="87" t="s">
        <v>136</v>
      </c>
      <c r="AP804" s="87" t="s">
        <v>151</v>
      </c>
      <c r="AQ804" s="87"/>
      <c r="AR804" s="87"/>
    </row>
    <row r="805">
      <c r="A805" s="89">
        <v>42.0</v>
      </c>
      <c r="B805" s="87" t="s">
        <v>5465</v>
      </c>
      <c r="C805" s="88" t="s">
        <v>5466</v>
      </c>
      <c r="D805" s="161"/>
      <c r="E805" s="161"/>
      <c r="F805" s="161"/>
      <c r="G805" s="161"/>
      <c r="H805" s="161"/>
      <c r="I805" s="162"/>
      <c r="J805" s="161"/>
      <c r="K805" s="161"/>
      <c r="L805" s="162"/>
      <c r="M805" s="161"/>
      <c r="N805" s="161"/>
      <c r="O805" s="87" t="s">
        <v>142</v>
      </c>
      <c r="P805" s="161"/>
      <c r="Q805" s="87" t="s">
        <v>5219</v>
      </c>
      <c r="R805" s="161"/>
      <c r="S805" s="173"/>
      <c r="T805" s="161"/>
      <c r="U805" s="173"/>
      <c r="V805" s="87" t="s">
        <v>89</v>
      </c>
      <c r="W805" s="87" t="s">
        <v>90</v>
      </c>
      <c r="X805" s="87" t="s">
        <v>5467</v>
      </c>
      <c r="Y805" s="94">
        <v>40873.0</v>
      </c>
      <c r="Z805" s="162"/>
      <c r="AA805" s="162"/>
      <c r="AB805" s="173"/>
      <c r="AC805" s="81">
        <v>804.0</v>
      </c>
      <c r="AD805" s="173"/>
      <c r="AE805" s="87" t="s">
        <v>67</v>
      </c>
      <c r="AF805" s="173"/>
      <c r="AG805" s="87" t="s">
        <v>68</v>
      </c>
      <c r="AH805" s="173"/>
      <c r="AI805" s="87">
        <v>8.534009401E10</v>
      </c>
      <c r="AJ805" s="87" t="s">
        <v>5468</v>
      </c>
      <c r="AK805" s="97" t="s">
        <v>5469</v>
      </c>
      <c r="AL805" s="87" t="s">
        <v>5470</v>
      </c>
      <c r="AM805" s="87" t="s">
        <v>73</v>
      </c>
      <c r="AN805" s="87" t="s">
        <v>481</v>
      </c>
      <c r="AO805" s="87" t="s">
        <v>1698</v>
      </c>
      <c r="AP805" s="87" t="s">
        <v>5041</v>
      </c>
      <c r="AQ805" s="87"/>
      <c r="AR805" s="87"/>
    </row>
    <row r="806">
      <c r="A806" s="89">
        <v>43.0</v>
      </c>
      <c r="B806" s="87" t="s">
        <v>5471</v>
      </c>
      <c r="C806" s="88" t="s">
        <v>5472</v>
      </c>
      <c r="D806" s="161"/>
      <c r="E806" s="161"/>
      <c r="F806" s="161"/>
      <c r="G806" s="161"/>
      <c r="H806" s="161"/>
      <c r="I806" s="162"/>
      <c r="J806" s="161"/>
      <c r="K806" s="161"/>
      <c r="L806" s="162"/>
      <c r="M806" s="161"/>
      <c r="N806" s="161"/>
      <c r="O806" s="87" t="s">
        <v>142</v>
      </c>
      <c r="P806" s="161"/>
      <c r="Q806" s="87" t="s">
        <v>5219</v>
      </c>
      <c r="R806" s="161"/>
      <c r="S806" s="173"/>
      <c r="T806" s="161"/>
      <c r="U806" s="173"/>
      <c r="V806" s="87" t="s">
        <v>89</v>
      </c>
      <c r="W806" s="87" t="s">
        <v>160</v>
      </c>
      <c r="X806" s="87" t="s">
        <v>745</v>
      </c>
      <c r="Y806" s="94">
        <v>39903.0</v>
      </c>
      <c r="Z806" s="162"/>
      <c r="AA806" s="162"/>
      <c r="AB806" s="173"/>
      <c r="AC806" s="81">
        <v>805.0</v>
      </c>
      <c r="AD806" s="173"/>
      <c r="AE806" s="87" t="s">
        <v>67</v>
      </c>
      <c r="AF806" s="173"/>
      <c r="AG806" s="87" t="s">
        <v>68</v>
      </c>
      <c r="AH806" s="173"/>
      <c r="AI806" s="87">
        <v>8.1263126006E10</v>
      </c>
      <c r="AJ806" s="87" t="s">
        <v>5473</v>
      </c>
      <c r="AK806" s="97" t="s">
        <v>5474</v>
      </c>
      <c r="AL806" s="87" t="s">
        <v>5475</v>
      </c>
      <c r="AM806" s="87" t="s">
        <v>96</v>
      </c>
      <c r="AN806" s="87" t="s">
        <v>97</v>
      </c>
      <c r="AO806" s="87" t="s">
        <v>1429</v>
      </c>
      <c r="AP806" s="87" t="s">
        <v>1960</v>
      </c>
      <c r="AQ806" s="87"/>
      <c r="AR806" s="87"/>
    </row>
    <row r="807">
      <c r="A807" s="89">
        <v>44.0</v>
      </c>
      <c r="B807" s="87" t="s">
        <v>5476</v>
      </c>
      <c r="C807" s="88" t="s">
        <v>5477</v>
      </c>
      <c r="D807" s="161"/>
      <c r="E807" s="161"/>
      <c r="F807" s="161"/>
      <c r="G807" s="161"/>
      <c r="H807" s="161"/>
      <c r="I807" s="162"/>
      <c r="J807" s="161"/>
      <c r="K807" s="161"/>
      <c r="L807" s="162"/>
      <c r="M807" s="161"/>
      <c r="N807" s="161"/>
      <c r="O807" s="87" t="s">
        <v>142</v>
      </c>
      <c r="P807" s="161"/>
      <c r="Q807" s="87" t="s">
        <v>5219</v>
      </c>
      <c r="R807" s="161"/>
      <c r="S807" s="173"/>
      <c r="T807" s="161"/>
      <c r="U807" s="173"/>
      <c r="V807" s="87" t="s">
        <v>89</v>
      </c>
      <c r="W807" s="87" t="s">
        <v>418</v>
      </c>
      <c r="X807" s="87" t="s">
        <v>5478</v>
      </c>
      <c r="Y807" s="94">
        <v>41547.0</v>
      </c>
      <c r="Z807" s="162"/>
      <c r="AA807" s="162"/>
      <c r="AB807" s="173"/>
      <c r="AC807" s="81">
        <v>806.0</v>
      </c>
      <c r="AD807" s="173"/>
      <c r="AE807" s="87" t="s">
        <v>67</v>
      </c>
      <c r="AF807" s="173"/>
      <c r="AG807" s="87" t="s">
        <v>68</v>
      </c>
      <c r="AH807" s="173"/>
      <c r="AI807" s="87">
        <v>8.1375072841E10</v>
      </c>
      <c r="AJ807" s="87" t="s">
        <v>5479</v>
      </c>
      <c r="AK807" s="97" t="s">
        <v>5480</v>
      </c>
      <c r="AL807" s="87" t="s">
        <v>5481</v>
      </c>
      <c r="AM807" s="87" t="s">
        <v>96</v>
      </c>
      <c r="AN807" s="87" t="s">
        <v>97</v>
      </c>
      <c r="AO807" s="87" t="s">
        <v>1511</v>
      </c>
      <c r="AP807" s="87" t="s">
        <v>5482</v>
      </c>
      <c r="AQ807" s="87"/>
      <c r="AR807" s="87"/>
    </row>
    <row r="808">
      <c r="A808" s="89">
        <v>45.0</v>
      </c>
      <c r="B808" s="87" t="s">
        <v>5483</v>
      </c>
      <c r="C808" s="88" t="s">
        <v>5484</v>
      </c>
      <c r="D808" s="161"/>
      <c r="E808" s="161"/>
      <c r="F808" s="161"/>
      <c r="G808" s="161"/>
      <c r="H808" s="161"/>
      <c r="I808" s="162"/>
      <c r="J808" s="161"/>
      <c r="K808" s="161"/>
      <c r="L808" s="162"/>
      <c r="M808" s="161"/>
      <c r="N808" s="161"/>
      <c r="O808" s="87" t="s">
        <v>142</v>
      </c>
      <c r="P808" s="161"/>
      <c r="Q808" s="87" t="s">
        <v>5219</v>
      </c>
      <c r="R808" s="161"/>
      <c r="S808" s="173"/>
      <c r="T808" s="161"/>
      <c r="U808" s="173"/>
      <c r="V808" s="87" t="s">
        <v>89</v>
      </c>
      <c r="W808" s="87" t="s">
        <v>230</v>
      </c>
      <c r="X808" s="87" t="s">
        <v>2856</v>
      </c>
      <c r="Y808" s="94">
        <v>44195.0</v>
      </c>
      <c r="Z808" s="162"/>
      <c r="AA808" s="162"/>
      <c r="AB808" s="173"/>
      <c r="AC808" s="81">
        <v>807.0</v>
      </c>
      <c r="AD808" s="173"/>
      <c r="AE808" s="87" t="s">
        <v>67</v>
      </c>
      <c r="AF808" s="173"/>
      <c r="AG808" s="87" t="s">
        <v>130</v>
      </c>
      <c r="AH808" s="173"/>
      <c r="AI808" s="87">
        <v>8.1262251195E10</v>
      </c>
      <c r="AJ808" s="87" t="s">
        <v>5485</v>
      </c>
      <c r="AK808" s="97" t="s">
        <v>5486</v>
      </c>
      <c r="AL808" s="87" t="s">
        <v>5487</v>
      </c>
      <c r="AM808" s="87" t="s">
        <v>73</v>
      </c>
      <c r="AN808" s="87" t="s">
        <v>481</v>
      </c>
      <c r="AO808" s="87" t="s">
        <v>1291</v>
      </c>
      <c r="AP808" s="87" t="s">
        <v>3383</v>
      </c>
      <c r="AQ808" s="87"/>
      <c r="AR808" s="87"/>
    </row>
    <row r="809">
      <c r="A809" s="89">
        <v>46.0</v>
      </c>
      <c r="B809" s="87" t="s">
        <v>5488</v>
      </c>
      <c r="C809" s="88" t="s">
        <v>5489</v>
      </c>
      <c r="D809" s="161"/>
      <c r="E809" s="161"/>
      <c r="F809" s="161"/>
      <c r="G809" s="161"/>
      <c r="H809" s="161"/>
      <c r="I809" s="162"/>
      <c r="J809" s="161"/>
      <c r="K809" s="161"/>
      <c r="L809" s="162"/>
      <c r="M809" s="161"/>
      <c r="N809" s="161"/>
      <c r="O809" s="87" t="s">
        <v>519</v>
      </c>
      <c r="P809" s="161"/>
      <c r="Q809" s="87" t="s">
        <v>5219</v>
      </c>
      <c r="R809" s="161"/>
      <c r="S809" s="173"/>
      <c r="T809" s="161"/>
      <c r="U809" s="173"/>
      <c r="V809" s="87" t="s">
        <v>89</v>
      </c>
      <c r="W809" s="87" t="s">
        <v>5490</v>
      </c>
      <c r="X809" s="87" t="s">
        <v>5491</v>
      </c>
      <c r="Y809" s="94">
        <v>44968.0</v>
      </c>
      <c r="Z809" s="162"/>
      <c r="AA809" s="162"/>
      <c r="AB809" s="173"/>
      <c r="AC809" s="81">
        <v>808.0</v>
      </c>
      <c r="AD809" s="173"/>
      <c r="AE809" s="87" t="s">
        <v>67</v>
      </c>
      <c r="AF809" s="173"/>
      <c r="AG809" s="87" t="s">
        <v>68</v>
      </c>
      <c r="AH809" s="173"/>
      <c r="AI809" s="87">
        <v>8.1366390492E10</v>
      </c>
      <c r="AJ809" s="87" t="s">
        <v>5492</v>
      </c>
      <c r="AK809" s="97" t="s">
        <v>5493</v>
      </c>
      <c r="AL809" s="87" t="s">
        <v>5494</v>
      </c>
      <c r="AM809" s="87" t="s">
        <v>96</v>
      </c>
      <c r="AN809" s="87" t="s">
        <v>97</v>
      </c>
      <c r="AO809" s="87" t="s">
        <v>272</v>
      </c>
      <c r="AP809" s="87" t="s">
        <v>5269</v>
      </c>
      <c r="AQ809" s="87">
        <v>0.0</v>
      </c>
      <c r="AR809" s="87">
        <v>0.0</v>
      </c>
    </row>
    <row r="810">
      <c r="A810" s="89">
        <v>47.0</v>
      </c>
      <c r="B810" s="87" t="s">
        <v>5495</v>
      </c>
      <c r="C810" s="88" t="s">
        <v>5496</v>
      </c>
      <c r="D810" s="161"/>
      <c r="E810" s="161"/>
      <c r="F810" s="161"/>
      <c r="G810" s="161"/>
      <c r="H810" s="161"/>
      <c r="I810" s="162"/>
      <c r="J810" s="161"/>
      <c r="K810" s="161"/>
      <c r="L810" s="162"/>
      <c r="M810" s="161"/>
      <c r="N810" s="161"/>
      <c r="O810" s="87" t="s">
        <v>519</v>
      </c>
      <c r="P810" s="161"/>
      <c r="Q810" s="87" t="s">
        <v>5219</v>
      </c>
      <c r="R810" s="161"/>
      <c r="S810" s="173"/>
      <c r="T810" s="161"/>
      <c r="U810" s="173"/>
      <c r="V810" s="87" t="s">
        <v>267</v>
      </c>
      <c r="W810" s="87"/>
      <c r="X810" s="87" t="s">
        <v>244</v>
      </c>
      <c r="Y810" s="99">
        <v>35648.0</v>
      </c>
      <c r="Z810" s="162"/>
      <c r="AA810" s="162"/>
      <c r="AB810" s="173"/>
      <c r="AC810" s="81">
        <v>809.0</v>
      </c>
      <c r="AD810" s="173"/>
      <c r="AE810" s="87" t="s">
        <v>220</v>
      </c>
      <c r="AF810" s="173"/>
      <c r="AG810" s="87" t="s">
        <v>130</v>
      </c>
      <c r="AH810" s="173"/>
      <c r="AI810" s="87">
        <v>8.2363264109E10</v>
      </c>
      <c r="AJ810" s="87" t="s">
        <v>5497</v>
      </c>
      <c r="AK810" s="97" t="s">
        <v>5498</v>
      </c>
      <c r="AL810" s="87" t="s">
        <v>5499</v>
      </c>
      <c r="AM810" s="87" t="s">
        <v>73</v>
      </c>
      <c r="AN810" s="87" t="s">
        <v>481</v>
      </c>
      <c r="AO810" s="87" t="s">
        <v>75</v>
      </c>
      <c r="AP810" s="87" t="s">
        <v>315</v>
      </c>
      <c r="AQ810" s="87">
        <v>0.0</v>
      </c>
      <c r="AR810" s="87">
        <v>0.0</v>
      </c>
    </row>
    <row r="811">
      <c r="A811" s="89">
        <v>48.0</v>
      </c>
      <c r="B811" s="87" t="s">
        <v>5500</v>
      </c>
      <c r="C811" s="88" t="s">
        <v>5501</v>
      </c>
      <c r="D811" s="161"/>
      <c r="E811" s="161"/>
      <c r="F811" s="161"/>
      <c r="G811" s="161"/>
      <c r="H811" s="161"/>
      <c r="I811" s="162"/>
      <c r="J811" s="161"/>
      <c r="K811" s="161"/>
      <c r="L811" s="162"/>
      <c r="M811" s="161"/>
      <c r="N811" s="161"/>
      <c r="O811" s="87" t="s">
        <v>519</v>
      </c>
      <c r="P811" s="161"/>
      <c r="Q811" s="87" t="s">
        <v>5219</v>
      </c>
      <c r="R811" s="161"/>
      <c r="S811" s="173"/>
      <c r="T811" s="161"/>
      <c r="U811" s="173"/>
      <c r="V811" s="87" t="s">
        <v>267</v>
      </c>
      <c r="W811" s="87" t="s">
        <v>752</v>
      </c>
      <c r="X811" s="87" t="s">
        <v>5502</v>
      </c>
      <c r="Y811" s="94">
        <v>41200.0</v>
      </c>
      <c r="Z811" s="162"/>
      <c r="AA811" s="162"/>
      <c r="AB811" s="173"/>
      <c r="AC811" s="81">
        <v>810.0</v>
      </c>
      <c r="AD811" s="173"/>
      <c r="AE811" s="87" t="s">
        <v>67</v>
      </c>
      <c r="AF811" s="173"/>
      <c r="AG811" s="87" t="s">
        <v>130</v>
      </c>
      <c r="AH811" s="173"/>
      <c r="AI811" s="87">
        <v>8.1375445549E10</v>
      </c>
      <c r="AJ811" s="87" t="s">
        <v>5503</v>
      </c>
      <c r="AK811" s="97" t="s">
        <v>5504</v>
      </c>
      <c r="AL811" s="87" t="s">
        <v>5505</v>
      </c>
      <c r="AM811" s="87" t="s">
        <v>96</v>
      </c>
      <c r="AN811" s="87" t="s">
        <v>97</v>
      </c>
      <c r="AO811" s="87" t="s">
        <v>1511</v>
      </c>
      <c r="AP811" s="87" t="s">
        <v>1145</v>
      </c>
      <c r="AQ811" s="87"/>
      <c r="AR811" s="87"/>
    </row>
    <row r="812">
      <c r="A812" s="89">
        <v>49.0</v>
      </c>
      <c r="B812" s="87" t="s">
        <v>5506</v>
      </c>
      <c r="C812" s="88" t="s">
        <v>5507</v>
      </c>
      <c r="D812" s="161"/>
      <c r="E812" s="161"/>
      <c r="F812" s="161"/>
      <c r="G812" s="161"/>
      <c r="H812" s="161"/>
      <c r="I812" s="162"/>
      <c r="J812" s="161"/>
      <c r="K812" s="161"/>
      <c r="L812" s="162"/>
      <c r="M812" s="161"/>
      <c r="N812" s="161"/>
      <c r="O812" s="87" t="s">
        <v>142</v>
      </c>
      <c r="P812" s="161"/>
      <c r="Q812" s="87" t="s">
        <v>5219</v>
      </c>
      <c r="R812" s="161"/>
      <c r="S812" s="173"/>
      <c r="T812" s="161"/>
      <c r="U812" s="173"/>
      <c r="V812" s="87" t="s">
        <v>89</v>
      </c>
      <c r="W812" s="87" t="s">
        <v>90</v>
      </c>
      <c r="X812" s="87" t="s">
        <v>2005</v>
      </c>
      <c r="Y812" s="94">
        <v>41624.0</v>
      </c>
      <c r="Z812" s="162"/>
      <c r="AA812" s="162"/>
      <c r="AB812" s="173"/>
      <c r="AC812" s="81">
        <v>811.0</v>
      </c>
      <c r="AD812" s="173"/>
      <c r="AE812" s="87" t="s">
        <v>67</v>
      </c>
      <c r="AF812" s="173"/>
      <c r="AG812" s="87" t="s">
        <v>130</v>
      </c>
      <c r="AH812" s="173"/>
      <c r="AI812" s="87">
        <v>8.1264674192E10</v>
      </c>
      <c r="AJ812" s="87" t="s">
        <v>5508</v>
      </c>
      <c r="AK812" s="97" t="s">
        <v>5509</v>
      </c>
      <c r="AL812" s="87" t="s">
        <v>5510</v>
      </c>
      <c r="AM812" s="87" t="s">
        <v>73</v>
      </c>
      <c r="AN812" s="87" t="s">
        <v>74</v>
      </c>
      <c r="AO812" s="87" t="s">
        <v>203</v>
      </c>
      <c r="AP812" s="87" t="s">
        <v>3153</v>
      </c>
      <c r="AQ812" s="87">
        <v>0.0</v>
      </c>
      <c r="AR812" s="87">
        <v>0.0</v>
      </c>
    </row>
    <row r="813">
      <c r="A813" s="89">
        <v>50.0</v>
      </c>
      <c r="B813" s="87" t="s">
        <v>5511</v>
      </c>
      <c r="C813" s="88" t="s">
        <v>5512</v>
      </c>
      <c r="D813" s="161"/>
      <c r="E813" s="161"/>
      <c r="F813" s="161"/>
      <c r="G813" s="161"/>
      <c r="H813" s="161"/>
      <c r="I813" s="162"/>
      <c r="J813" s="161"/>
      <c r="K813" s="161"/>
      <c r="L813" s="162"/>
      <c r="M813" s="161"/>
      <c r="N813" s="161"/>
      <c r="O813" s="87" t="s">
        <v>142</v>
      </c>
      <c r="P813" s="161"/>
      <c r="Q813" s="87" t="s">
        <v>5219</v>
      </c>
      <c r="R813" s="161"/>
      <c r="S813" s="173"/>
      <c r="T813" s="161"/>
      <c r="U813" s="173"/>
      <c r="V813" s="87" t="s">
        <v>89</v>
      </c>
      <c r="W813" s="87" t="s">
        <v>5513</v>
      </c>
      <c r="X813" s="87" t="s">
        <v>5514</v>
      </c>
      <c r="Y813" s="94">
        <v>41197.0</v>
      </c>
      <c r="Z813" s="162"/>
      <c r="AA813" s="162"/>
      <c r="AB813" s="173"/>
      <c r="AC813" s="81">
        <v>812.0</v>
      </c>
      <c r="AD813" s="173"/>
      <c r="AE813" s="87" t="s">
        <v>67</v>
      </c>
      <c r="AF813" s="173"/>
      <c r="AG813" s="87" t="s">
        <v>130</v>
      </c>
      <c r="AH813" s="173"/>
      <c r="AI813" s="87">
        <v>8.126012346E10</v>
      </c>
      <c r="AJ813" s="87" t="s">
        <v>5515</v>
      </c>
      <c r="AK813" s="97" t="s">
        <v>5516</v>
      </c>
      <c r="AL813" s="87" t="s">
        <v>5517</v>
      </c>
      <c r="AM813" s="87" t="s">
        <v>96</v>
      </c>
      <c r="AN813" s="87" t="s">
        <v>97</v>
      </c>
      <c r="AO813" s="87" t="s">
        <v>1511</v>
      </c>
      <c r="AP813" s="87" t="s">
        <v>5482</v>
      </c>
      <c r="AQ813" s="87"/>
      <c r="AR813" s="87"/>
    </row>
    <row r="814">
      <c r="A814" s="89">
        <v>51.0</v>
      </c>
      <c r="B814" s="87" t="s">
        <v>5518</v>
      </c>
      <c r="C814" s="88" t="s">
        <v>5519</v>
      </c>
      <c r="D814" s="161"/>
      <c r="E814" s="161"/>
      <c r="F814" s="161"/>
      <c r="G814" s="161"/>
      <c r="H814" s="161"/>
      <c r="I814" s="162"/>
      <c r="J814" s="161"/>
      <c r="K814" s="161"/>
      <c r="L814" s="162"/>
      <c r="M814" s="161"/>
      <c r="N814" s="161"/>
      <c r="O814" s="87" t="s">
        <v>142</v>
      </c>
      <c r="P814" s="161"/>
      <c r="Q814" s="87" t="s">
        <v>5219</v>
      </c>
      <c r="R814" s="161"/>
      <c r="S814" s="173"/>
      <c r="T814" s="161"/>
      <c r="U814" s="173"/>
      <c r="V814" s="87" t="s">
        <v>89</v>
      </c>
      <c r="W814" s="87" t="s">
        <v>1520</v>
      </c>
      <c r="X814" s="87" t="s">
        <v>1119</v>
      </c>
      <c r="Y814" s="99">
        <v>44169.0</v>
      </c>
      <c r="Z814" s="162"/>
      <c r="AA814" s="162"/>
      <c r="AB814" s="173"/>
      <c r="AC814" s="81">
        <v>813.0</v>
      </c>
      <c r="AD814" s="173"/>
      <c r="AE814" s="87" t="s">
        <v>67</v>
      </c>
      <c r="AF814" s="173"/>
      <c r="AG814" s="87" t="s">
        <v>130</v>
      </c>
      <c r="AH814" s="173"/>
      <c r="AI814" s="87">
        <v>8.2168487771E10</v>
      </c>
      <c r="AJ814" s="87" t="s">
        <v>5520</v>
      </c>
      <c r="AK814" s="97" t="s">
        <v>5521</v>
      </c>
      <c r="AL814" s="87" t="s">
        <v>5522</v>
      </c>
      <c r="AM814" s="87" t="s">
        <v>2265</v>
      </c>
      <c r="AN814" s="87" t="s">
        <v>97</v>
      </c>
      <c r="AO814" s="87" t="s">
        <v>1501</v>
      </c>
      <c r="AP814" s="87" t="s">
        <v>5523</v>
      </c>
      <c r="AQ814" s="87"/>
      <c r="AR814" s="87"/>
    </row>
    <row r="815">
      <c r="A815" s="89">
        <v>52.0</v>
      </c>
      <c r="B815" s="87" t="s">
        <v>5524</v>
      </c>
      <c r="C815" s="88" t="s">
        <v>5525</v>
      </c>
      <c r="D815" s="161"/>
      <c r="E815" s="161"/>
      <c r="F815" s="161"/>
      <c r="G815" s="161"/>
      <c r="H815" s="161"/>
      <c r="I815" s="162"/>
      <c r="J815" s="161"/>
      <c r="K815" s="161"/>
      <c r="L815" s="162"/>
      <c r="M815" s="161"/>
      <c r="N815" s="161"/>
      <c r="O815" s="87" t="s">
        <v>142</v>
      </c>
      <c r="P815" s="161"/>
      <c r="Q815" s="87" t="s">
        <v>5219</v>
      </c>
      <c r="R815" s="161"/>
      <c r="S815" s="173"/>
      <c r="T815" s="161"/>
      <c r="U815" s="173"/>
      <c r="V815" s="87" t="s">
        <v>89</v>
      </c>
      <c r="W815" s="87" t="s">
        <v>218</v>
      </c>
      <c r="X815" s="87" t="s">
        <v>5526</v>
      </c>
      <c r="Y815" s="94">
        <v>41991.0</v>
      </c>
      <c r="Z815" s="162"/>
      <c r="AA815" s="162"/>
      <c r="AB815" s="173"/>
      <c r="AC815" s="81">
        <v>814.0</v>
      </c>
      <c r="AD815" s="173"/>
      <c r="AE815" s="87" t="s">
        <v>67</v>
      </c>
      <c r="AF815" s="173"/>
      <c r="AG815" s="87" t="s">
        <v>68</v>
      </c>
      <c r="AH815" s="173"/>
      <c r="AI815" s="87">
        <v>8.216510005E10</v>
      </c>
      <c r="AJ815" s="87" t="s">
        <v>5527</v>
      </c>
      <c r="AK815" s="97" t="s">
        <v>5528</v>
      </c>
      <c r="AL815" s="87" t="s">
        <v>5529</v>
      </c>
      <c r="AM815" s="87" t="s">
        <v>73</v>
      </c>
      <c r="AN815" s="87" t="s">
        <v>835</v>
      </c>
      <c r="AO815" s="87" t="s">
        <v>360</v>
      </c>
      <c r="AP815" s="87" t="s">
        <v>566</v>
      </c>
      <c r="AQ815" s="87">
        <v>0.0</v>
      </c>
      <c r="AR815" s="87">
        <v>0.0</v>
      </c>
    </row>
    <row r="816">
      <c r="A816" s="89">
        <v>53.0</v>
      </c>
      <c r="B816" s="87" t="s">
        <v>5530</v>
      </c>
      <c r="C816" s="88" t="s">
        <v>5531</v>
      </c>
      <c r="D816" s="161"/>
      <c r="E816" s="161"/>
      <c r="F816" s="161"/>
      <c r="G816" s="161"/>
      <c r="H816" s="161"/>
      <c r="I816" s="162"/>
      <c r="J816" s="161"/>
      <c r="K816" s="161"/>
      <c r="L816" s="162"/>
      <c r="M816" s="161"/>
      <c r="N816" s="161"/>
      <c r="O816" s="87" t="s">
        <v>532</v>
      </c>
      <c r="P816" s="161"/>
      <c r="Q816" s="87" t="s">
        <v>5219</v>
      </c>
      <c r="R816" s="161"/>
      <c r="S816" s="173"/>
      <c r="T816" s="161"/>
      <c r="U816" s="173"/>
      <c r="V816" s="87" t="s">
        <v>285</v>
      </c>
      <c r="W816" s="87" t="s">
        <v>1017</v>
      </c>
      <c r="X816" s="87" t="s">
        <v>5532</v>
      </c>
      <c r="Y816" s="94">
        <v>38152.0</v>
      </c>
      <c r="Z816" s="162"/>
      <c r="AA816" s="162"/>
      <c r="AB816" s="173"/>
      <c r="AC816" s="81">
        <v>815.0</v>
      </c>
      <c r="AD816" s="173"/>
      <c r="AE816" s="87" t="s">
        <v>67</v>
      </c>
      <c r="AF816" s="173"/>
      <c r="AG816" s="87" t="s">
        <v>68</v>
      </c>
      <c r="AH816" s="173"/>
      <c r="AI816" s="87">
        <v>8.2362094804E10</v>
      </c>
      <c r="AJ816" s="87" t="s">
        <v>5533</v>
      </c>
      <c r="AK816" s="97" t="s">
        <v>5534</v>
      </c>
      <c r="AL816" s="87" t="s">
        <v>5535</v>
      </c>
      <c r="AM816" s="87" t="s">
        <v>732</v>
      </c>
      <c r="AN816" s="87" t="s">
        <v>150</v>
      </c>
      <c r="AO816" s="87" t="s">
        <v>5536</v>
      </c>
      <c r="AP816" s="87" t="s">
        <v>5537</v>
      </c>
      <c r="AQ816" s="87"/>
      <c r="AR816" s="87"/>
    </row>
    <row r="817">
      <c r="A817" s="89">
        <v>54.0</v>
      </c>
      <c r="B817" s="87" t="s">
        <v>5538</v>
      </c>
      <c r="C817" s="88" t="s">
        <v>5539</v>
      </c>
      <c r="D817" s="161"/>
      <c r="E817" s="161"/>
      <c r="F817" s="161"/>
      <c r="G817" s="161"/>
      <c r="H817" s="161"/>
      <c r="I817" s="162"/>
      <c r="J817" s="161"/>
      <c r="K817" s="161"/>
      <c r="L817" s="162"/>
      <c r="M817" s="161"/>
      <c r="N817" s="161"/>
      <c r="O817" s="87" t="s">
        <v>142</v>
      </c>
      <c r="P817" s="161"/>
      <c r="Q817" s="87" t="s">
        <v>5219</v>
      </c>
      <c r="R817" s="161"/>
      <c r="S817" s="173"/>
      <c r="T817" s="161"/>
      <c r="U817" s="173"/>
      <c r="V817" s="87" t="s">
        <v>89</v>
      </c>
      <c r="W817" s="87" t="s">
        <v>5540</v>
      </c>
      <c r="X817" s="87" t="s">
        <v>3281</v>
      </c>
      <c r="Y817" s="94">
        <v>42721.0</v>
      </c>
      <c r="Z817" s="162"/>
      <c r="AA817" s="162"/>
      <c r="AB817" s="173"/>
      <c r="AC817" s="81">
        <v>816.0</v>
      </c>
      <c r="AD817" s="173"/>
      <c r="AE817" s="87" t="s">
        <v>220</v>
      </c>
      <c r="AF817" s="173"/>
      <c r="AG817" s="87" t="s">
        <v>130</v>
      </c>
      <c r="AH817" s="173"/>
      <c r="AI817" s="87">
        <v>8.2165138909E10</v>
      </c>
      <c r="AJ817" s="87" t="s">
        <v>5541</v>
      </c>
      <c r="AK817" s="97" t="s">
        <v>5542</v>
      </c>
      <c r="AL817" s="87" t="s">
        <v>5543</v>
      </c>
      <c r="AM817" s="87" t="s">
        <v>96</v>
      </c>
      <c r="AN817" s="87" t="s">
        <v>74</v>
      </c>
      <c r="AO817" s="87" t="s">
        <v>203</v>
      </c>
      <c r="AP817" s="87" t="s">
        <v>575</v>
      </c>
      <c r="AQ817" s="87"/>
      <c r="AR817" s="87"/>
    </row>
    <row r="818">
      <c r="A818" s="89">
        <v>55.0</v>
      </c>
      <c r="B818" s="87" t="s">
        <v>5544</v>
      </c>
      <c r="C818" s="88" t="s">
        <v>5545</v>
      </c>
      <c r="D818" s="161"/>
      <c r="E818" s="161"/>
      <c r="F818" s="161"/>
      <c r="G818" s="161"/>
      <c r="H818" s="161"/>
      <c r="I818" s="162"/>
      <c r="J818" s="161"/>
      <c r="K818" s="161"/>
      <c r="L818" s="162"/>
      <c r="M818" s="161"/>
      <c r="N818" s="161"/>
      <c r="O818" s="87" t="s">
        <v>142</v>
      </c>
      <c r="P818" s="161"/>
      <c r="Q818" s="87" t="s">
        <v>5219</v>
      </c>
      <c r="R818" s="161"/>
      <c r="S818" s="173"/>
      <c r="T818" s="161"/>
      <c r="U818" s="173"/>
      <c r="V818" s="87" t="s">
        <v>89</v>
      </c>
      <c r="W818" s="87" t="s">
        <v>1214</v>
      </c>
      <c r="X818" s="87" t="s">
        <v>1528</v>
      </c>
      <c r="Y818" s="94">
        <v>40410.0</v>
      </c>
      <c r="Z818" s="162"/>
      <c r="AA818" s="162"/>
      <c r="AB818" s="173"/>
      <c r="AC818" s="81">
        <v>817.0</v>
      </c>
      <c r="AD818" s="173"/>
      <c r="AE818" s="87" t="s">
        <v>67</v>
      </c>
      <c r="AF818" s="173"/>
      <c r="AG818" s="87" t="s">
        <v>68</v>
      </c>
      <c r="AH818" s="173"/>
      <c r="AI818" s="87">
        <v>8.5372766064E10</v>
      </c>
      <c r="AJ818" s="87" t="s">
        <v>5546</v>
      </c>
      <c r="AK818" s="97" t="s">
        <v>5547</v>
      </c>
      <c r="AL818" s="87" t="s">
        <v>5548</v>
      </c>
      <c r="AM818" s="87" t="s">
        <v>692</v>
      </c>
      <c r="AN818" s="87" t="s">
        <v>135</v>
      </c>
      <c r="AO818" s="87" t="s">
        <v>236</v>
      </c>
      <c r="AP818" s="87" t="s">
        <v>152</v>
      </c>
      <c r="AQ818" s="87">
        <v>0.0</v>
      </c>
      <c r="AR818" s="87">
        <v>0.0</v>
      </c>
    </row>
    <row r="819">
      <c r="A819" s="89">
        <v>56.0</v>
      </c>
      <c r="B819" s="87" t="s">
        <v>5549</v>
      </c>
      <c r="C819" s="88" t="s">
        <v>5550</v>
      </c>
      <c r="D819" s="161"/>
      <c r="E819" s="161"/>
      <c r="F819" s="161"/>
      <c r="G819" s="161"/>
      <c r="H819" s="161"/>
      <c r="I819" s="162"/>
      <c r="J819" s="161"/>
      <c r="K819" s="161"/>
      <c r="L819" s="162"/>
      <c r="M819" s="161"/>
      <c r="N819" s="161"/>
      <c r="O819" s="87" t="s">
        <v>142</v>
      </c>
      <c r="P819" s="161"/>
      <c r="Q819" s="87" t="s">
        <v>5219</v>
      </c>
      <c r="R819" s="161"/>
      <c r="S819" s="173"/>
      <c r="T819" s="161"/>
      <c r="U819" s="173"/>
      <c r="V819" s="87" t="s">
        <v>89</v>
      </c>
      <c r="W819" s="87" t="s">
        <v>218</v>
      </c>
      <c r="X819" s="87" t="s">
        <v>1010</v>
      </c>
      <c r="Y819" s="94">
        <v>42427.0</v>
      </c>
      <c r="Z819" s="162"/>
      <c r="AA819" s="162"/>
      <c r="AB819" s="173"/>
      <c r="AC819" s="81">
        <v>818.0</v>
      </c>
      <c r="AD819" s="173"/>
      <c r="AE819" s="87" t="s">
        <v>67</v>
      </c>
      <c r="AF819" s="173"/>
      <c r="AG819" s="87" t="s">
        <v>130</v>
      </c>
      <c r="AH819" s="173"/>
      <c r="AI819" s="87">
        <v>8.5362408951E10</v>
      </c>
      <c r="AJ819" s="87" t="s">
        <v>5551</v>
      </c>
      <c r="AK819" s="97" t="s">
        <v>4862</v>
      </c>
      <c r="AL819" s="87" t="s">
        <v>5481</v>
      </c>
      <c r="AM819" s="87" t="s">
        <v>96</v>
      </c>
      <c r="AN819" s="87" t="s">
        <v>97</v>
      </c>
      <c r="AO819" s="87" t="s">
        <v>1511</v>
      </c>
      <c r="AP819" s="87" t="s">
        <v>5482</v>
      </c>
      <c r="AQ819" s="87"/>
      <c r="AR819" s="87"/>
    </row>
    <row r="820">
      <c r="A820" s="89">
        <v>57.0</v>
      </c>
      <c r="B820" s="87" t="s">
        <v>5552</v>
      </c>
      <c r="C820" s="88" t="s">
        <v>5553</v>
      </c>
      <c r="D820" s="161"/>
      <c r="E820" s="161"/>
      <c r="F820" s="161"/>
      <c r="G820" s="161"/>
      <c r="H820" s="161"/>
      <c r="I820" s="162"/>
      <c r="J820" s="161"/>
      <c r="K820" s="161"/>
      <c r="L820" s="162"/>
      <c r="M820" s="161"/>
      <c r="N820" s="161"/>
      <c r="O820" s="87" t="s">
        <v>142</v>
      </c>
      <c r="P820" s="161"/>
      <c r="Q820" s="87" t="s">
        <v>5219</v>
      </c>
      <c r="R820" s="161"/>
      <c r="S820" s="173"/>
      <c r="T820" s="161"/>
      <c r="U820" s="173"/>
      <c r="V820" s="87" t="s">
        <v>89</v>
      </c>
      <c r="W820" s="87"/>
      <c r="X820" s="87" t="s">
        <v>244</v>
      </c>
      <c r="Y820" s="99">
        <v>42586.0</v>
      </c>
      <c r="Z820" s="162"/>
      <c r="AA820" s="162"/>
      <c r="AB820" s="173"/>
      <c r="AC820" s="81">
        <v>819.0</v>
      </c>
      <c r="AD820" s="173"/>
      <c r="AE820" s="87" t="s">
        <v>67</v>
      </c>
      <c r="AF820" s="173"/>
      <c r="AG820" s="87" t="s">
        <v>130</v>
      </c>
      <c r="AH820" s="173"/>
      <c r="AI820" s="87">
        <v>8.13629341E10</v>
      </c>
      <c r="AJ820" s="87" t="s">
        <v>5554</v>
      </c>
      <c r="AK820" s="97" t="s">
        <v>5555</v>
      </c>
      <c r="AL820" s="87" t="s">
        <v>4813</v>
      </c>
      <c r="AM820" s="87" t="s">
        <v>73</v>
      </c>
      <c r="AN820" s="87" t="s">
        <v>481</v>
      </c>
      <c r="AO820" s="87" t="s">
        <v>360</v>
      </c>
      <c r="AP820" s="87" t="s">
        <v>893</v>
      </c>
      <c r="AQ820" s="87">
        <v>0.0</v>
      </c>
      <c r="AR820" s="87">
        <v>0.0</v>
      </c>
    </row>
    <row r="821">
      <c r="A821" s="89">
        <v>58.0</v>
      </c>
      <c r="B821" s="87" t="s">
        <v>5556</v>
      </c>
      <c r="C821" s="88" t="s">
        <v>5557</v>
      </c>
      <c r="D821" s="161"/>
      <c r="E821" s="161"/>
      <c r="F821" s="161"/>
      <c r="G821" s="161"/>
      <c r="H821" s="161"/>
      <c r="I821" s="162"/>
      <c r="J821" s="161"/>
      <c r="K821" s="161"/>
      <c r="L821" s="162"/>
      <c r="M821" s="161"/>
      <c r="N821" s="161"/>
      <c r="O821" s="87" t="s">
        <v>142</v>
      </c>
      <c r="P821" s="161"/>
      <c r="Q821" s="87" t="s">
        <v>5219</v>
      </c>
      <c r="R821" s="161"/>
      <c r="S821" s="173"/>
      <c r="T821" s="161"/>
      <c r="U821" s="173"/>
      <c r="V821" s="87"/>
      <c r="W821" s="87"/>
      <c r="X821" s="87"/>
      <c r="Y821" s="100"/>
      <c r="Z821" s="162"/>
      <c r="AA821" s="162"/>
      <c r="AB821" s="173"/>
      <c r="AC821" s="81">
        <v>820.0</v>
      </c>
      <c r="AD821" s="173"/>
      <c r="AE821" s="87"/>
      <c r="AF821" s="173"/>
      <c r="AG821" s="87" t="s">
        <v>130</v>
      </c>
      <c r="AH821" s="173"/>
      <c r="AI821" s="87"/>
      <c r="AJ821" s="87"/>
      <c r="AK821" s="97" t="s">
        <v>5558</v>
      </c>
      <c r="AL821" s="87"/>
      <c r="AM821" s="87"/>
      <c r="AN821" s="87"/>
      <c r="AO821" s="87"/>
      <c r="AP821" s="87"/>
      <c r="AQ821" s="87"/>
      <c r="AR821" s="87"/>
    </row>
    <row r="822">
      <c r="A822" s="89">
        <v>59.0</v>
      </c>
      <c r="B822" s="87" t="s">
        <v>5559</v>
      </c>
      <c r="C822" s="88" t="s">
        <v>5560</v>
      </c>
      <c r="D822" s="161"/>
      <c r="E822" s="161"/>
      <c r="F822" s="161"/>
      <c r="G822" s="161"/>
      <c r="H822" s="161"/>
      <c r="I822" s="162"/>
      <c r="J822" s="161"/>
      <c r="K822" s="161"/>
      <c r="L822" s="162"/>
      <c r="M822" s="161"/>
      <c r="N822" s="161"/>
      <c r="O822" s="87" t="s">
        <v>142</v>
      </c>
      <c r="P822" s="161"/>
      <c r="Q822" s="87" t="s">
        <v>5219</v>
      </c>
      <c r="R822" s="161"/>
      <c r="S822" s="173"/>
      <c r="T822" s="161"/>
      <c r="U822" s="173"/>
      <c r="V822" s="87" t="s">
        <v>89</v>
      </c>
      <c r="W822" s="87" t="s">
        <v>160</v>
      </c>
      <c r="X822" s="87" t="s">
        <v>219</v>
      </c>
      <c r="Y822" s="99">
        <v>40238.0</v>
      </c>
      <c r="Z822" s="162"/>
      <c r="AA822" s="162"/>
      <c r="AB822" s="173"/>
      <c r="AC822" s="81">
        <v>821.0</v>
      </c>
      <c r="AD822" s="173"/>
      <c r="AE822" s="87" t="s">
        <v>67</v>
      </c>
      <c r="AF822" s="173"/>
      <c r="AG822" s="87" t="s">
        <v>68</v>
      </c>
      <c r="AH822" s="173"/>
      <c r="AI822" s="87">
        <v>8.1360504055E10</v>
      </c>
      <c r="AJ822" s="87" t="s">
        <v>5561</v>
      </c>
      <c r="AK822" s="97" t="s">
        <v>5562</v>
      </c>
      <c r="AL822" s="87" t="s">
        <v>5563</v>
      </c>
      <c r="AM822" s="87" t="s">
        <v>96</v>
      </c>
      <c r="AN822" s="87" t="s">
        <v>97</v>
      </c>
      <c r="AO822" s="87" t="s">
        <v>379</v>
      </c>
      <c r="AP822" s="87" t="s">
        <v>2205</v>
      </c>
      <c r="AQ822" s="87" t="s">
        <v>77</v>
      </c>
      <c r="AR822" s="87" t="s">
        <v>77</v>
      </c>
    </row>
    <row r="823">
      <c r="A823" s="89">
        <v>60.0</v>
      </c>
      <c r="B823" s="87" t="s">
        <v>5564</v>
      </c>
      <c r="C823" s="88" t="s">
        <v>5565</v>
      </c>
      <c r="D823" s="161"/>
      <c r="E823" s="161"/>
      <c r="F823" s="161"/>
      <c r="G823" s="161"/>
      <c r="H823" s="161"/>
      <c r="I823" s="162"/>
      <c r="J823" s="161"/>
      <c r="K823" s="161"/>
      <c r="L823" s="162"/>
      <c r="M823" s="161"/>
      <c r="N823" s="161"/>
      <c r="O823" s="87" t="s">
        <v>519</v>
      </c>
      <c r="P823" s="161"/>
      <c r="Q823" s="87" t="s">
        <v>5219</v>
      </c>
      <c r="R823" s="161"/>
      <c r="S823" s="173"/>
      <c r="T823" s="161"/>
      <c r="U823" s="173"/>
      <c r="V823" s="87" t="s">
        <v>267</v>
      </c>
      <c r="W823" s="87" t="s">
        <v>5566</v>
      </c>
      <c r="X823" s="87" t="s">
        <v>592</v>
      </c>
      <c r="Y823" s="94">
        <v>39711.0</v>
      </c>
      <c r="Z823" s="162"/>
      <c r="AA823" s="162"/>
      <c r="AB823" s="173"/>
      <c r="AC823" s="81">
        <v>822.0</v>
      </c>
      <c r="AD823" s="173"/>
      <c r="AE823" s="87" t="s">
        <v>220</v>
      </c>
      <c r="AF823" s="173"/>
      <c r="AG823" s="87" t="s">
        <v>68</v>
      </c>
      <c r="AH823" s="173"/>
      <c r="AI823" s="87">
        <v>8.1265888028E10</v>
      </c>
      <c r="AJ823" s="87" t="s">
        <v>5567</v>
      </c>
      <c r="AK823" s="97" t="s">
        <v>5568</v>
      </c>
      <c r="AL823" s="87" t="s">
        <v>5569</v>
      </c>
      <c r="AM823" s="87" t="s">
        <v>73</v>
      </c>
      <c r="AN823" s="87" t="s">
        <v>74</v>
      </c>
      <c r="AO823" s="87" t="s">
        <v>75</v>
      </c>
      <c r="AP823" s="87" t="s">
        <v>1198</v>
      </c>
      <c r="AQ823" s="87"/>
      <c r="AR823" s="87"/>
    </row>
    <row r="824">
      <c r="A824" s="89">
        <v>61.0</v>
      </c>
      <c r="B824" s="87" t="s">
        <v>5570</v>
      </c>
      <c r="C824" s="88" t="s">
        <v>5571</v>
      </c>
      <c r="D824" s="161"/>
      <c r="E824" s="161"/>
      <c r="F824" s="161"/>
      <c r="G824" s="161"/>
      <c r="H824" s="161"/>
      <c r="I824" s="162"/>
      <c r="J824" s="161"/>
      <c r="K824" s="161"/>
      <c r="L824" s="162"/>
      <c r="M824" s="161"/>
      <c r="N824" s="161"/>
      <c r="O824" s="87" t="s">
        <v>142</v>
      </c>
      <c r="P824" s="161"/>
      <c r="Q824" s="87" t="s">
        <v>5219</v>
      </c>
      <c r="R824" s="161"/>
      <c r="S824" s="173"/>
      <c r="T824" s="161"/>
      <c r="U824" s="173"/>
      <c r="V824" s="87" t="s">
        <v>89</v>
      </c>
      <c r="W824" s="87" t="s">
        <v>218</v>
      </c>
      <c r="X824" s="87" t="s">
        <v>231</v>
      </c>
      <c r="Y824" s="94">
        <v>39245.0</v>
      </c>
      <c r="Z824" s="162"/>
      <c r="AA824" s="162"/>
      <c r="AB824" s="173"/>
      <c r="AC824" s="81">
        <v>823.0</v>
      </c>
      <c r="AD824" s="173"/>
      <c r="AE824" s="87" t="s">
        <v>67</v>
      </c>
      <c r="AF824" s="173"/>
      <c r="AG824" s="87" t="s">
        <v>130</v>
      </c>
      <c r="AH824" s="173"/>
      <c r="AI824" s="87">
        <v>8.5261581212E10</v>
      </c>
      <c r="AJ824" s="87" t="s">
        <v>5572</v>
      </c>
      <c r="AK824" s="97" t="s">
        <v>5573</v>
      </c>
      <c r="AL824" s="87" t="s">
        <v>5574</v>
      </c>
      <c r="AM824" s="87" t="s">
        <v>96</v>
      </c>
      <c r="AN824" s="87" t="s">
        <v>97</v>
      </c>
      <c r="AO824" s="87" t="s">
        <v>1511</v>
      </c>
      <c r="AP824" s="87" t="s">
        <v>2942</v>
      </c>
      <c r="AQ824" s="87"/>
      <c r="AR824" s="87"/>
    </row>
    <row r="825">
      <c r="A825" s="89">
        <v>62.0</v>
      </c>
      <c r="B825" s="87" t="s">
        <v>5575</v>
      </c>
      <c r="C825" s="88" t="s">
        <v>5576</v>
      </c>
      <c r="D825" s="161"/>
      <c r="E825" s="161"/>
      <c r="F825" s="161"/>
      <c r="G825" s="161"/>
      <c r="H825" s="161"/>
      <c r="I825" s="162"/>
      <c r="J825" s="161"/>
      <c r="K825" s="161"/>
      <c r="L825" s="162"/>
      <c r="M825" s="161"/>
      <c r="N825" s="161"/>
      <c r="O825" s="87" t="s">
        <v>142</v>
      </c>
      <c r="P825" s="161"/>
      <c r="Q825" s="87" t="s">
        <v>5219</v>
      </c>
      <c r="R825" s="161"/>
      <c r="S825" s="173"/>
      <c r="T825" s="161"/>
      <c r="U825" s="173"/>
      <c r="V825" s="87" t="s">
        <v>89</v>
      </c>
      <c r="W825" s="87" t="s">
        <v>218</v>
      </c>
      <c r="X825" s="87" t="s">
        <v>4184</v>
      </c>
      <c r="Y825" s="99">
        <v>41764.0</v>
      </c>
      <c r="Z825" s="162"/>
      <c r="AA825" s="162"/>
      <c r="AB825" s="173"/>
      <c r="AC825" s="81">
        <v>824.0</v>
      </c>
      <c r="AD825" s="173"/>
      <c r="AE825" s="87" t="s">
        <v>67</v>
      </c>
      <c r="AF825" s="173"/>
      <c r="AG825" s="87" t="s">
        <v>130</v>
      </c>
      <c r="AH825" s="173"/>
      <c r="AI825" s="87">
        <v>8.5207378585E10</v>
      </c>
      <c r="AJ825" s="87" t="s">
        <v>5577</v>
      </c>
      <c r="AK825" s="97" t="s">
        <v>5578</v>
      </c>
      <c r="AL825" s="87" t="s">
        <v>5316</v>
      </c>
      <c r="AM825" s="87" t="s">
        <v>96</v>
      </c>
      <c r="AN825" s="87" t="s">
        <v>135</v>
      </c>
      <c r="AO825" s="87" t="s">
        <v>272</v>
      </c>
      <c r="AP825" s="87" t="s">
        <v>5317</v>
      </c>
      <c r="AQ825" s="87">
        <v>0.0</v>
      </c>
      <c r="AR825" s="87">
        <v>0.0</v>
      </c>
    </row>
    <row r="826">
      <c r="A826" s="108">
        <v>63.0</v>
      </c>
      <c r="B826" s="125" t="s">
        <v>5579</v>
      </c>
      <c r="C826" s="110" t="s">
        <v>5580</v>
      </c>
      <c r="D826" s="226"/>
      <c r="E826" s="226"/>
      <c r="F826" s="226"/>
      <c r="G826" s="226"/>
      <c r="H826" s="226"/>
      <c r="I826" s="227"/>
      <c r="J826" s="226"/>
      <c r="K826" s="226"/>
      <c r="L826" s="227"/>
      <c r="M826" s="226"/>
      <c r="N826" s="226"/>
      <c r="O826" s="125" t="s">
        <v>142</v>
      </c>
      <c r="P826" s="226"/>
      <c r="Q826" s="125" t="s">
        <v>5219</v>
      </c>
      <c r="R826" s="226"/>
      <c r="S826" s="228"/>
      <c r="T826" s="226"/>
      <c r="U826" s="228"/>
      <c r="V826" s="125" t="s">
        <v>89</v>
      </c>
      <c r="W826" s="125" t="s">
        <v>678</v>
      </c>
      <c r="X826" s="125" t="s">
        <v>5581</v>
      </c>
      <c r="Y826" s="229">
        <v>42312.0</v>
      </c>
      <c r="Z826" s="227"/>
      <c r="AA826" s="227"/>
      <c r="AB826" s="228"/>
      <c r="AC826" s="81">
        <v>825.0</v>
      </c>
      <c r="AD826" s="228"/>
      <c r="AE826" s="125"/>
      <c r="AF826" s="228"/>
      <c r="AG826" s="125" t="s">
        <v>130</v>
      </c>
      <c r="AH826" s="228"/>
      <c r="AI826" s="125"/>
      <c r="AJ826" s="125"/>
      <c r="AK826" s="230" t="s">
        <v>5582</v>
      </c>
      <c r="AL826" s="125"/>
      <c r="AM826" s="125"/>
      <c r="AN826" s="125"/>
      <c r="AO826" s="125"/>
      <c r="AP826" s="125"/>
      <c r="AQ826" s="125"/>
      <c r="AR826" s="125"/>
    </row>
    <row r="827">
      <c r="A827" s="118"/>
      <c r="B827" s="214"/>
      <c r="C827" s="118"/>
      <c r="D827" s="118"/>
      <c r="E827" s="118"/>
      <c r="F827" s="118"/>
      <c r="G827" s="118"/>
      <c r="H827" s="118"/>
      <c r="I827" s="214"/>
      <c r="J827" s="118"/>
      <c r="K827" s="118"/>
      <c r="L827" s="214"/>
      <c r="M827" s="118"/>
      <c r="N827" s="118"/>
      <c r="O827" s="214"/>
      <c r="P827" s="118"/>
      <c r="Q827" s="214"/>
      <c r="R827" s="118"/>
      <c r="S827" s="214"/>
      <c r="T827" s="118"/>
      <c r="U827" s="214"/>
      <c r="V827" s="214"/>
      <c r="W827" s="214"/>
      <c r="X827" s="214"/>
      <c r="Y827" s="116"/>
      <c r="Z827" s="214"/>
      <c r="AA827" s="214"/>
      <c r="AB827" s="214"/>
      <c r="AC827" s="81">
        <v>826.0</v>
      </c>
      <c r="AD827" s="214"/>
      <c r="AE827" s="214"/>
      <c r="AF827" s="214"/>
      <c r="AG827" s="214"/>
      <c r="AH827" s="214"/>
      <c r="AI827" s="214"/>
      <c r="AJ827" s="214"/>
      <c r="AK827" s="215"/>
      <c r="AL827" s="214"/>
      <c r="AM827" s="214"/>
      <c r="AN827" s="214"/>
      <c r="AO827" s="214"/>
      <c r="AP827" s="214"/>
      <c r="AQ827" s="214"/>
      <c r="AR827" s="214"/>
    </row>
    <row r="828">
      <c r="A828" s="12" t="s">
        <v>5583</v>
      </c>
      <c r="B828" s="116"/>
      <c r="C828" s="117"/>
      <c r="D828" s="118"/>
      <c r="E828" s="118"/>
      <c r="F828" s="118"/>
      <c r="G828" s="118"/>
      <c r="H828" s="118"/>
      <c r="I828" s="116"/>
      <c r="J828" s="118"/>
      <c r="K828" s="118"/>
      <c r="L828" s="116"/>
      <c r="M828" s="118"/>
      <c r="N828" s="118"/>
      <c r="O828" s="116"/>
      <c r="P828" s="118"/>
      <c r="Q828" s="116"/>
      <c r="R828" s="118"/>
      <c r="S828" s="116"/>
      <c r="T828" s="118"/>
      <c r="U828" s="116"/>
      <c r="V828" s="116"/>
      <c r="W828" s="116"/>
      <c r="X828" s="116"/>
      <c r="Y828" s="116"/>
      <c r="Z828" s="116"/>
      <c r="AA828" s="116"/>
      <c r="AB828" s="116"/>
      <c r="AC828" s="81">
        <v>827.0</v>
      </c>
      <c r="AD828" s="119"/>
      <c r="AE828" s="119"/>
      <c r="AF828" s="119"/>
      <c r="AG828" s="119"/>
      <c r="AH828" s="119"/>
      <c r="AI828" s="119"/>
      <c r="AJ828" s="119"/>
      <c r="AK828" s="29"/>
      <c r="AL828" s="119"/>
      <c r="AM828" s="119"/>
      <c r="AN828" s="119"/>
      <c r="AO828" s="119"/>
      <c r="AP828" s="119"/>
      <c r="AQ828" s="119"/>
      <c r="AR828" s="119"/>
    </row>
    <row r="829">
      <c r="A829" s="21">
        <f>SUM(A827+1)</f>
        <v>1</v>
      </c>
      <c r="B829" s="21" t="s">
        <v>5584</v>
      </c>
      <c r="C829" s="31" t="s">
        <v>5585</v>
      </c>
      <c r="D829" s="23">
        <v>15.0</v>
      </c>
      <c r="E829" s="23">
        <v>9.0</v>
      </c>
      <c r="F829" s="23" t="s">
        <v>50</v>
      </c>
      <c r="G829" s="23" t="s">
        <v>51</v>
      </c>
      <c r="H829" s="34">
        <v>39083.0</v>
      </c>
      <c r="I829" s="21" t="s">
        <v>254</v>
      </c>
      <c r="J829" s="21" t="s">
        <v>255</v>
      </c>
      <c r="K829" s="21" t="s">
        <v>54</v>
      </c>
      <c r="L829" s="21" t="s">
        <v>55</v>
      </c>
      <c r="M829" s="106">
        <v>45200.0</v>
      </c>
      <c r="N829" s="23" t="s">
        <v>56</v>
      </c>
      <c r="O829" s="21" t="s">
        <v>5586</v>
      </c>
      <c r="P829" s="23" t="s">
        <v>107</v>
      </c>
      <c r="Q829" s="21" t="s">
        <v>5587</v>
      </c>
      <c r="R829" s="34">
        <v>45000.0</v>
      </c>
      <c r="S829" s="23" t="s">
        <v>3863</v>
      </c>
      <c r="T829" s="35"/>
      <c r="U829" s="23" t="s">
        <v>88</v>
      </c>
      <c r="V829" s="21" t="s">
        <v>159</v>
      </c>
      <c r="W829" s="21" t="s">
        <v>218</v>
      </c>
      <c r="X829" s="21" t="s">
        <v>745</v>
      </c>
      <c r="Y829" s="21" t="s">
        <v>2596</v>
      </c>
      <c r="Z829" s="37"/>
      <c r="AA829" s="32">
        <v>50772.0</v>
      </c>
      <c r="AB829" s="35"/>
      <c r="AC829" s="23">
        <v>261.0</v>
      </c>
      <c r="AD829" s="21" t="s">
        <v>66</v>
      </c>
      <c r="AE829" s="21" t="s">
        <v>67</v>
      </c>
      <c r="AF829" s="21" t="s">
        <v>92</v>
      </c>
      <c r="AG829" s="21" t="s">
        <v>68</v>
      </c>
      <c r="AH829" s="21" t="s">
        <v>69</v>
      </c>
      <c r="AI829" s="21">
        <v>8.126070757E9</v>
      </c>
      <c r="AJ829" s="21" t="s">
        <v>5588</v>
      </c>
      <c r="AK829" s="21" t="s">
        <v>5589</v>
      </c>
      <c r="AL829" s="21" t="s">
        <v>5590</v>
      </c>
      <c r="AM829" s="21" t="s">
        <v>96</v>
      </c>
      <c r="AN829" s="21" t="s">
        <v>97</v>
      </c>
      <c r="AO829" s="21" t="s">
        <v>1501</v>
      </c>
      <c r="AP829" s="21" t="s">
        <v>5282</v>
      </c>
      <c r="AQ829" s="37"/>
      <c r="AR829" s="37"/>
    </row>
    <row r="830">
      <c r="A830" s="21">
        <f t="shared" ref="A830:A835" si="13">SUM(A829+1)</f>
        <v>2</v>
      </c>
      <c r="B830" s="21" t="s">
        <v>5591</v>
      </c>
      <c r="C830" s="31" t="s">
        <v>5592</v>
      </c>
      <c r="D830" s="23">
        <v>17.0</v>
      </c>
      <c r="E830" s="23">
        <v>11.0</v>
      </c>
      <c r="F830" s="23" t="s">
        <v>80</v>
      </c>
      <c r="G830" s="23" t="s">
        <v>81</v>
      </c>
      <c r="H830" s="34">
        <v>39448.0</v>
      </c>
      <c r="I830" s="21" t="s">
        <v>82</v>
      </c>
      <c r="J830" s="21" t="s">
        <v>83</v>
      </c>
      <c r="K830" s="21" t="s">
        <v>1995</v>
      </c>
      <c r="L830" s="21" t="s">
        <v>105</v>
      </c>
      <c r="M830" s="106">
        <v>43922.0</v>
      </c>
      <c r="N830" s="23" t="s">
        <v>56</v>
      </c>
      <c r="O830" s="21" t="s">
        <v>5593</v>
      </c>
      <c r="P830" s="23" t="s">
        <v>3549</v>
      </c>
      <c r="Q830" s="21" t="s">
        <v>5594</v>
      </c>
      <c r="R830" s="34">
        <v>45000.0</v>
      </c>
      <c r="S830" s="23" t="s">
        <v>3863</v>
      </c>
      <c r="T830" s="35"/>
      <c r="U830" s="23" t="s">
        <v>88</v>
      </c>
      <c r="V830" s="21" t="s">
        <v>89</v>
      </c>
      <c r="W830" s="21" t="s">
        <v>3312</v>
      </c>
      <c r="X830" s="21" t="s">
        <v>2657</v>
      </c>
      <c r="Y830" s="231">
        <v>36988.0</v>
      </c>
      <c r="Z830" s="23" t="s">
        <v>114</v>
      </c>
      <c r="AA830" s="32">
        <v>48951.0</v>
      </c>
      <c r="AB830" s="35"/>
      <c r="AC830" s="23">
        <v>262.0</v>
      </c>
      <c r="AD830" s="21" t="s">
        <v>66</v>
      </c>
      <c r="AE830" s="21" t="s">
        <v>220</v>
      </c>
      <c r="AF830" s="37"/>
      <c r="AG830" s="21" t="s">
        <v>68</v>
      </c>
      <c r="AH830" s="21" t="s">
        <v>246</v>
      </c>
      <c r="AI830" s="21">
        <v>8.1397189999E10</v>
      </c>
      <c r="AJ830" s="21" t="s">
        <v>5595</v>
      </c>
      <c r="AK830" s="21" t="s">
        <v>5596</v>
      </c>
      <c r="AL830" s="21" t="s">
        <v>5597</v>
      </c>
      <c r="AM830" s="21" t="s">
        <v>96</v>
      </c>
      <c r="AN830" s="21" t="s">
        <v>135</v>
      </c>
      <c r="AO830" s="21" t="s">
        <v>98</v>
      </c>
      <c r="AP830" s="21" t="s">
        <v>2220</v>
      </c>
      <c r="AQ830" s="37"/>
      <c r="AR830" s="37"/>
    </row>
    <row r="831">
      <c r="A831" s="21">
        <f t="shared" si="13"/>
        <v>3</v>
      </c>
      <c r="B831" s="39" t="s">
        <v>5598</v>
      </c>
      <c r="C831" s="62" t="s">
        <v>5599</v>
      </c>
      <c r="D831" s="39">
        <v>15.0</v>
      </c>
      <c r="E831" s="39">
        <v>7.0</v>
      </c>
      <c r="F831" s="39" t="s">
        <v>80</v>
      </c>
      <c r="G831" s="39" t="s">
        <v>81</v>
      </c>
      <c r="H831" s="66">
        <v>35490.0</v>
      </c>
      <c r="I831" s="39" t="s">
        <v>254</v>
      </c>
      <c r="J831" s="39" t="s">
        <v>255</v>
      </c>
      <c r="K831" s="39" t="s">
        <v>5600</v>
      </c>
      <c r="L831" s="39" t="s">
        <v>1326</v>
      </c>
      <c r="M831" s="66">
        <v>41183.0</v>
      </c>
      <c r="N831" s="39" t="s">
        <v>141</v>
      </c>
      <c r="O831" s="39" t="s">
        <v>173</v>
      </c>
      <c r="P831" s="64"/>
      <c r="Q831" s="39" t="s">
        <v>59</v>
      </c>
      <c r="R831" s="66">
        <v>45292.0</v>
      </c>
      <c r="S831" s="39" t="s">
        <v>143</v>
      </c>
      <c r="T831" s="64"/>
      <c r="U831" s="39" t="s">
        <v>144</v>
      </c>
      <c r="V831" s="39" t="s">
        <v>159</v>
      </c>
      <c r="W831" s="64"/>
      <c r="X831" s="39" t="s">
        <v>5285</v>
      </c>
      <c r="Y831" s="39" t="s">
        <v>5601</v>
      </c>
      <c r="Z831" s="39" t="s">
        <v>114</v>
      </c>
      <c r="AA831" s="63">
        <v>47129.0</v>
      </c>
      <c r="AB831" s="64"/>
      <c r="AC831" s="23">
        <v>263.0</v>
      </c>
      <c r="AD831" s="39" t="s">
        <v>66</v>
      </c>
      <c r="AE831" s="39" t="s">
        <v>220</v>
      </c>
      <c r="AF831" s="64"/>
      <c r="AG831" s="39" t="s">
        <v>68</v>
      </c>
      <c r="AH831" s="39" t="s">
        <v>69</v>
      </c>
      <c r="AI831" s="39">
        <v>8.1361021317E10</v>
      </c>
      <c r="AJ831" s="64"/>
      <c r="AK831" s="39" t="s">
        <v>5602</v>
      </c>
      <c r="AL831" s="39" t="s">
        <v>5603</v>
      </c>
      <c r="AM831" s="39" t="s">
        <v>96</v>
      </c>
      <c r="AN831" s="39" t="s">
        <v>97</v>
      </c>
      <c r="AO831" s="39" t="s">
        <v>425</v>
      </c>
      <c r="AP831" s="39" t="s">
        <v>5604</v>
      </c>
      <c r="AQ831" s="64"/>
      <c r="AR831" s="64"/>
    </row>
    <row r="832">
      <c r="A832" s="21">
        <f t="shared" si="13"/>
        <v>4</v>
      </c>
      <c r="B832" s="39" t="s">
        <v>5605</v>
      </c>
      <c r="C832" s="62" t="s">
        <v>5606</v>
      </c>
      <c r="D832" s="39">
        <v>11.0</v>
      </c>
      <c r="E832" s="39">
        <v>3.0</v>
      </c>
      <c r="F832" s="39" t="s">
        <v>171</v>
      </c>
      <c r="G832" s="39" t="s">
        <v>172</v>
      </c>
      <c r="H832" s="66">
        <v>40179.0</v>
      </c>
      <c r="I832" s="39" t="s">
        <v>80</v>
      </c>
      <c r="J832" s="39" t="s">
        <v>81</v>
      </c>
      <c r="K832" s="39" t="s">
        <v>104</v>
      </c>
      <c r="L832" s="39" t="s">
        <v>105</v>
      </c>
      <c r="M832" s="66">
        <v>45017.0</v>
      </c>
      <c r="N832" s="39" t="s">
        <v>141</v>
      </c>
      <c r="O832" s="39" t="s">
        <v>229</v>
      </c>
      <c r="P832" s="64"/>
      <c r="Q832" s="39" t="s">
        <v>108</v>
      </c>
      <c r="R832" s="66">
        <v>44936.0</v>
      </c>
      <c r="S832" s="39" t="s">
        <v>125</v>
      </c>
      <c r="T832" s="64"/>
      <c r="U832" s="39" t="s">
        <v>105</v>
      </c>
      <c r="V832" s="39" t="s">
        <v>267</v>
      </c>
      <c r="W832" s="39" t="s">
        <v>5607</v>
      </c>
      <c r="X832" s="39" t="s">
        <v>5608</v>
      </c>
      <c r="Y832" s="39" t="s">
        <v>5609</v>
      </c>
      <c r="Z832" s="64"/>
      <c r="AA832" s="63">
        <v>50042.0</v>
      </c>
      <c r="AB832" s="64"/>
      <c r="AC832" s="23">
        <v>264.0</v>
      </c>
      <c r="AD832" s="39" t="s">
        <v>66</v>
      </c>
      <c r="AE832" s="39" t="s">
        <v>67</v>
      </c>
      <c r="AF832" s="64"/>
      <c r="AG832" s="39" t="s">
        <v>130</v>
      </c>
      <c r="AH832" s="39" t="s">
        <v>131</v>
      </c>
      <c r="AI832" s="39">
        <v>8.5270919315E10</v>
      </c>
      <c r="AJ832" s="39" t="s">
        <v>5610</v>
      </c>
      <c r="AK832" s="39" t="s">
        <v>5611</v>
      </c>
      <c r="AL832" s="39" t="s">
        <v>5612</v>
      </c>
      <c r="AM832" s="39" t="s">
        <v>96</v>
      </c>
      <c r="AN832" s="39" t="s">
        <v>74</v>
      </c>
      <c r="AO832" s="39" t="s">
        <v>75</v>
      </c>
      <c r="AP832" s="39" t="s">
        <v>76</v>
      </c>
      <c r="AQ832" s="64"/>
      <c r="AR832" s="64"/>
    </row>
    <row r="833">
      <c r="A833" s="21">
        <f t="shared" si="13"/>
        <v>5</v>
      </c>
      <c r="B833" s="39" t="s">
        <v>5613</v>
      </c>
      <c r="C833" s="62" t="s">
        <v>5614</v>
      </c>
      <c r="D833" s="39">
        <v>13.0</v>
      </c>
      <c r="E833" s="39">
        <v>3.0</v>
      </c>
      <c r="F833" s="39" t="s">
        <v>50</v>
      </c>
      <c r="G833" s="39" t="s">
        <v>51</v>
      </c>
      <c r="H833" s="66">
        <v>40179.0</v>
      </c>
      <c r="I833" s="39" t="s">
        <v>80</v>
      </c>
      <c r="J833" s="39" t="s">
        <v>81</v>
      </c>
      <c r="K833" s="39" t="s">
        <v>3900</v>
      </c>
      <c r="L833" s="39" t="s">
        <v>105</v>
      </c>
      <c r="M833" s="66">
        <v>45017.0</v>
      </c>
      <c r="N833" s="39" t="s">
        <v>141</v>
      </c>
      <c r="O833" s="39" t="s">
        <v>173</v>
      </c>
      <c r="P833" s="64"/>
      <c r="Q833" s="39" t="s">
        <v>59</v>
      </c>
      <c r="R833" s="66">
        <v>45536.0</v>
      </c>
      <c r="S833" s="39" t="s">
        <v>185</v>
      </c>
      <c r="T833" s="64"/>
      <c r="U833" s="39" t="s">
        <v>144</v>
      </c>
      <c r="V833" s="39" t="s">
        <v>89</v>
      </c>
      <c r="W833" s="39" t="s">
        <v>90</v>
      </c>
      <c r="X833" s="39" t="s">
        <v>1119</v>
      </c>
      <c r="Y833" s="39" t="s">
        <v>5615</v>
      </c>
      <c r="Z833" s="64"/>
      <c r="AA833" s="63">
        <v>51509.0</v>
      </c>
      <c r="AB833" s="64"/>
      <c r="AC833" s="23">
        <v>265.0</v>
      </c>
      <c r="AD833" s="39" t="s">
        <v>66</v>
      </c>
      <c r="AE833" s="39" t="s">
        <v>67</v>
      </c>
      <c r="AF833" s="64"/>
      <c r="AG833" s="39" t="s">
        <v>130</v>
      </c>
      <c r="AH833" s="39" t="s">
        <v>131</v>
      </c>
      <c r="AI833" s="39">
        <v>8.2168275278E10</v>
      </c>
      <c r="AJ833" s="39" t="s">
        <v>5616</v>
      </c>
      <c r="AK833" s="39" t="s">
        <v>5617</v>
      </c>
      <c r="AL833" s="39" t="s">
        <v>5618</v>
      </c>
      <c r="AM833" s="39" t="s">
        <v>96</v>
      </c>
      <c r="AN833" s="39" t="s">
        <v>166</v>
      </c>
      <c r="AO833" s="39" t="s">
        <v>635</v>
      </c>
      <c r="AP833" s="39" t="s">
        <v>2142</v>
      </c>
      <c r="AQ833" s="64"/>
      <c r="AR833" s="64"/>
    </row>
    <row r="834">
      <c r="A834" s="21">
        <f t="shared" si="13"/>
        <v>6</v>
      </c>
      <c r="B834" s="39" t="s">
        <v>5619</v>
      </c>
      <c r="C834" s="62" t="s">
        <v>5620</v>
      </c>
      <c r="D834" s="39">
        <v>19.0</v>
      </c>
      <c r="E834" s="39">
        <v>10.0</v>
      </c>
      <c r="F834" s="39" t="s">
        <v>50</v>
      </c>
      <c r="G834" s="39" t="s">
        <v>51</v>
      </c>
      <c r="H834" s="66">
        <v>40848.0</v>
      </c>
      <c r="I834" s="39" t="s">
        <v>80</v>
      </c>
      <c r="J834" s="39" t="s">
        <v>81</v>
      </c>
      <c r="K834" s="39" t="s">
        <v>3900</v>
      </c>
      <c r="L834" s="39" t="s">
        <v>105</v>
      </c>
      <c r="M834" s="66">
        <v>45017.0</v>
      </c>
      <c r="N834" s="39" t="s">
        <v>141</v>
      </c>
      <c r="O834" s="39" t="s">
        <v>173</v>
      </c>
      <c r="P834" s="64"/>
      <c r="Q834" s="39" t="s">
        <v>59</v>
      </c>
      <c r="R834" s="66">
        <v>45292.0</v>
      </c>
      <c r="S834" s="39" t="s">
        <v>143</v>
      </c>
      <c r="T834" s="64"/>
      <c r="U834" s="39" t="s">
        <v>144</v>
      </c>
      <c r="V834" s="39" t="s">
        <v>285</v>
      </c>
      <c r="W834" s="64"/>
      <c r="X834" s="39" t="s">
        <v>5621</v>
      </c>
      <c r="Y834" s="39" t="s">
        <v>477</v>
      </c>
      <c r="Z834" s="64"/>
      <c r="AA834" s="63">
        <v>46758.0</v>
      </c>
      <c r="AB834" s="64"/>
      <c r="AC834" s="23">
        <v>266.0</v>
      </c>
      <c r="AD834" s="39" t="s">
        <v>66</v>
      </c>
      <c r="AE834" s="39" t="s">
        <v>67</v>
      </c>
      <c r="AF834" s="39" t="s">
        <v>92</v>
      </c>
      <c r="AG834" s="39" t="s">
        <v>68</v>
      </c>
      <c r="AH834" s="64"/>
      <c r="AI834" s="39">
        <v>8.1263876292E10</v>
      </c>
      <c r="AJ834" s="39" t="s">
        <v>5622</v>
      </c>
      <c r="AK834" s="39" t="s">
        <v>5623</v>
      </c>
      <c r="AL834" s="39" t="s">
        <v>5624</v>
      </c>
      <c r="AM834" s="39" t="s">
        <v>96</v>
      </c>
      <c r="AN834" s="64"/>
      <c r="AO834" s="39" t="s">
        <v>1115</v>
      </c>
      <c r="AP834" s="39" t="s">
        <v>5625</v>
      </c>
      <c r="AQ834" s="64"/>
      <c r="AR834" s="64"/>
    </row>
    <row r="835">
      <c r="A835" s="21">
        <f t="shared" si="13"/>
        <v>7</v>
      </c>
      <c r="B835" s="39" t="s">
        <v>5626</v>
      </c>
      <c r="C835" s="62" t="s">
        <v>5627</v>
      </c>
      <c r="D835" s="39">
        <v>12.0</v>
      </c>
      <c r="E835" s="39">
        <v>3.0</v>
      </c>
      <c r="F835" s="39" t="s">
        <v>182</v>
      </c>
      <c r="G835" s="39" t="s">
        <v>183</v>
      </c>
      <c r="H835" s="66">
        <v>41730.0</v>
      </c>
      <c r="I835" s="39" t="s">
        <v>82</v>
      </c>
      <c r="J835" s="39" t="s">
        <v>83</v>
      </c>
      <c r="K835" s="39" t="s">
        <v>228</v>
      </c>
      <c r="L835" s="39" t="s">
        <v>105</v>
      </c>
      <c r="M835" s="66">
        <v>44652.0</v>
      </c>
      <c r="N835" s="39" t="s">
        <v>141</v>
      </c>
      <c r="O835" s="39" t="s">
        <v>229</v>
      </c>
      <c r="P835" s="64"/>
      <c r="Q835" s="39" t="s">
        <v>59</v>
      </c>
      <c r="R835" s="66">
        <v>45108.0</v>
      </c>
      <c r="S835" s="39" t="s">
        <v>5628</v>
      </c>
      <c r="T835" s="64"/>
      <c r="U835" s="39" t="s">
        <v>2015</v>
      </c>
      <c r="V835" s="39" t="s">
        <v>159</v>
      </c>
      <c r="W835" s="39" t="s">
        <v>2572</v>
      </c>
      <c r="X835" s="39" t="s">
        <v>1010</v>
      </c>
      <c r="Y835" s="39" t="s">
        <v>5629</v>
      </c>
      <c r="Z835" s="39" t="s">
        <v>114</v>
      </c>
      <c r="AA835" s="63">
        <v>50050.0</v>
      </c>
      <c r="AB835" s="64"/>
      <c r="AC835" s="23">
        <v>267.0</v>
      </c>
      <c r="AD835" s="39" t="s">
        <v>66</v>
      </c>
      <c r="AE835" s="39" t="s">
        <v>67</v>
      </c>
      <c r="AF835" s="64"/>
      <c r="AG835" s="39" t="s">
        <v>130</v>
      </c>
      <c r="AH835" s="39" t="s">
        <v>131</v>
      </c>
      <c r="AI835" s="39">
        <v>8.1264922222E10</v>
      </c>
      <c r="AJ835" s="39" t="s">
        <v>5630</v>
      </c>
      <c r="AK835" s="39" t="s">
        <v>5631</v>
      </c>
      <c r="AL835" s="39" t="s">
        <v>5632</v>
      </c>
      <c r="AM835" s="39" t="s">
        <v>96</v>
      </c>
      <c r="AN835" s="39" t="s">
        <v>97</v>
      </c>
      <c r="AO835" s="39" t="s">
        <v>136</v>
      </c>
      <c r="AP835" s="39" t="s">
        <v>1404</v>
      </c>
      <c r="AQ835" s="39">
        <v>2.0</v>
      </c>
      <c r="AR835" s="39">
        <v>2.0</v>
      </c>
    </row>
    <row r="836">
      <c r="A836" s="75">
        <v>8.0</v>
      </c>
      <c r="B836" s="72" t="s">
        <v>5633</v>
      </c>
      <c r="C836" s="73" t="s">
        <v>5634</v>
      </c>
      <c r="D836" s="74"/>
      <c r="E836" s="74"/>
      <c r="F836" s="74"/>
      <c r="G836" s="75" t="s">
        <v>517</v>
      </c>
      <c r="H836" s="76">
        <v>45901.0</v>
      </c>
      <c r="I836" s="77"/>
      <c r="J836" s="74"/>
      <c r="K836" s="75" t="s">
        <v>518</v>
      </c>
      <c r="L836" s="72" t="s">
        <v>105</v>
      </c>
      <c r="M836" s="76">
        <v>45901.0</v>
      </c>
      <c r="N836" s="74"/>
      <c r="O836" s="72" t="s">
        <v>519</v>
      </c>
      <c r="P836" s="74"/>
      <c r="Q836" s="72" t="s">
        <v>5587</v>
      </c>
      <c r="R836" s="76">
        <v>45901.0</v>
      </c>
      <c r="S836" s="72" t="s">
        <v>518</v>
      </c>
      <c r="T836" s="78">
        <v>45826.0</v>
      </c>
      <c r="U836" s="72" t="s">
        <v>144</v>
      </c>
      <c r="V836" s="72" t="s">
        <v>267</v>
      </c>
      <c r="W836" s="72" t="s">
        <v>569</v>
      </c>
      <c r="X836" s="72" t="s">
        <v>5635</v>
      </c>
      <c r="Y836" s="84">
        <v>41594.0</v>
      </c>
      <c r="Z836" s="77"/>
      <c r="AA836" s="80"/>
      <c r="AB836" s="80"/>
      <c r="AC836" s="81">
        <v>835.0</v>
      </c>
      <c r="AD836" s="72" t="s">
        <v>522</v>
      </c>
      <c r="AE836" s="72" t="s">
        <v>67</v>
      </c>
      <c r="AF836" s="72" t="s">
        <v>92</v>
      </c>
      <c r="AG836" s="72" t="s">
        <v>68</v>
      </c>
      <c r="AH836" s="77"/>
      <c r="AI836" s="72">
        <v>8.2116336373E10</v>
      </c>
      <c r="AJ836" s="72" t="s">
        <v>5636</v>
      </c>
      <c r="AK836" s="85" t="s">
        <v>5637</v>
      </c>
      <c r="AL836" s="72" t="s">
        <v>5638</v>
      </c>
      <c r="AM836" s="72" t="s">
        <v>96</v>
      </c>
      <c r="AN836" s="72" t="s">
        <v>150</v>
      </c>
      <c r="AO836" s="72" t="s">
        <v>281</v>
      </c>
      <c r="AP836" s="72" t="s">
        <v>657</v>
      </c>
      <c r="AQ836" s="72">
        <v>7.0</v>
      </c>
      <c r="AR836" s="72">
        <v>2.0</v>
      </c>
    </row>
    <row r="837">
      <c r="A837" s="75">
        <v>9.0</v>
      </c>
      <c r="B837" s="72" t="s">
        <v>5639</v>
      </c>
      <c r="C837" s="73" t="s">
        <v>5640</v>
      </c>
      <c r="D837" s="74"/>
      <c r="E837" s="74"/>
      <c r="F837" s="74"/>
      <c r="G837" s="75" t="s">
        <v>531</v>
      </c>
      <c r="H837" s="76">
        <v>45901.0</v>
      </c>
      <c r="I837" s="77"/>
      <c r="J837" s="74"/>
      <c r="K837" s="75" t="s">
        <v>518</v>
      </c>
      <c r="L837" s="72" t="s">
        <v>105</v>
      </c>
      <c r="M837" s="76">
        <v>45901.0</v>
      </c>
      <c r="N837" s="74"/>
      <c r="O837" s="72" t="s">
        <v>532</v>
      </c>
      <c r="P837" s="74"/>
      <c r="Q837" s="72" t="s">
        <v>5587</v>
      </c>
      <c r="R837" s="76">
        <v>45901.0</v>
      </c>
      <c r="S837" s="72" t="s">
        <v>518</v>
      </c>
      <c r="T837" s="78">
        <v>45826.0</v>
      </c>
      <c r="U837" s="72" t="s">
        <v>144</v>
      </c>
      <c r="V837" s="72" t="s">
        <v>285</v>
      </c>
      <c r="W837" s="72" t="s">
        <v>285</v>
      </c>
      <c r="X837" s="72" t="s">
        <v>5641</v>
      </c>
      <c r="Y837" s="84">
        <v>38152.0</v>
      </c>
      <c r="Z837" s="77"/>
      <c r="AA837" s="80"/>
      <c r="AB837" s="77"/>
      <c r="AC837" s="81">
        <v>836.0</v>
      </c>
      <c r="AD837" s="72" t="s">
        <v>522</v>
      </c>
      <c r="AE837" s="72" t="s">
        <v>67</v>
      </c>
      <c r="AF837" s="72" t="s">
        <v>92</v>
      </c>
      <c r="AG837" s="72" t="s">
        <v>68</v>
      </c>
      <c r="AH837" s="77"/>
      <c r="AI837" s="72">
        <v>8.2165695257E10</v>
      </c>
      <c r="AJ837" s="72" t="s">
        <v>5642</v>
      </c>
      <c r="AK837" s="85" t="s">
        <v>5643</v>
      </c>
      <c r="AL837" s="72" t="s">
        <v>5644</v>
      </c>
      <c r="AM837" s="72" t="s">
        <v>73</v>
      </c>
      <c r="AN837" s="72" t="s">
        <v>74</v>
      </c>
      <c r="AO837" s="72" t="s">
        <v>1047</v>
      </c>
      <c r="AP837" s="72" t="s">
        <v>4413</v>
      </c>
      <c r="AQ837" s="77"/>
      <c r="AR837" s="77"/>
    </row>
    <row r="838">
      <c r="A838" s="89">
        <v>10.0</v>
      </c>
      <c r="B838" s="87" t="s">
        <v>5645</v>
      </c>
      <c r="C838" s="88" t="s">
        <v>5646</v>
      </c>
      <c r="D838" s="161"/>
      <c r="E838" s="161"/>
      <c r="F838" s="161"/>
      <c r="G838" s="161"/>
      <c r="H838" s="161"/>
      <c r="I838" s="162"/>
      <c r="J838" s="89"/>
      <c r="K838" s="89"/>
      <c r="L838" s="90"/>
      <c r="M838" s="91"/>
      <c r="N838" s="161"/>
      <c r="O838" s="87" t="s">
        <v>532</v>
      </c>
      <c r="P838" s="161"/>
      <c r="Q838" s="87" t="s">
        <v>5587</v>
      </c>
      <c r="R838" s="91"/>
      <c r="S838" s="90"/>
      <c r="T838" s="93"/>
      <c r="U838" s="90"/>
      <c r="V838" s="87" t="s">
        <v>285</v>
      </c>
      <c r="W838" s="87" t="s">
        <v>1035</v>
      </c>
      <c r="X838" s="87" t="s">
        <v>5647</v>
      </c>
      <c r="Y838" s="94">
        <v>31585.0</v>
      </c>
      <c r="Z838" s="163"/>
      <c r="AA838" s="163"/>
      <c r="AB838" s="163"/>
      <c r="AC838" s="81">
        <v>837.0</v>
      </c>
      <c r="AD838" s="90"/>
      <c r="AE838" s="87" t="s">
        <v>67</v>
      </c>
      <c r="AF838" s="162"/>
      <c r="AG838" s="87" t="s">
        <v>68</v>
      </c>
      <c r="AH838" s="87"/>
      <c r="AI838" s="87" t="s">
        <v>5648</v>
      </c>
      <c r="AJ838" s="87" t="s">
        <v>5649</v>
      </c>
      <c r="AK838" s="97" t="s">
        <v>5650</v>
      </c>
      <c r="AL838" s="87" t="s">
        <v>5651</v>
      </c>
      <c r="AM838" s="87" t="s">
        <v>96</v>
      </c>
      <c r="AN838" s="87" t="s">
        <v>166</v>
      </c>
      <c r="AO838" s="87" t="s">
        <v>5652</v>
      </c>
      <c r="AP838" s="87" t="s">
        <v>2506</v>
      </c>
      <c r="AQ838" s="87">
        <v>0.0</v>
      </c>
      <c r="AR838" s="87">
        <v>0.0</v>
      </c>
    </row>
    <row r="839">
      <c r="A839" s="89">
        <v>11.0</v>
      </c>
      <c r="B839" s="87" t="s">
        <v>5653</v>
      </c>
      <c r="C839" s="88" t="s">
        <v>5654</v>
      </c>
      <c r="D839" s="161"/>
      <c r="E839" s="161"/>
      <c r="F839" s="161"/>
      <c r="G839" s="161"/>
      <c r="H839" s="161"/>
      <c r="I839" s="162"/>
      <c r="J839" s="89"/>
      <c r="K839" s="89"/>
      <c r="L839" s="90"/>
      <c r="M839" s="91"/>
      <c r="N839" s="161"/>
      <c r="O839" s="87" t="s">
        <v>142</v>
      </c>
      <c r="P839" s="161"/>
      <c r="Q839" s="87" t="s">
        <v>5587</v>
      </c>
      <c r="R839" s="91"/>
      <c r="S839" s="90"/>
      <c r="T839" s="93"/>
      <c r="U839" s="90"/>
      <c r="V839" s="87" t="s">
        <v>89</v>
      </c>
      <c r="W839" s="87" t="s">
        <v>5655</v>
      </c>
      <c r="X839" s="87" t="s">
        <v>5656</v>
      </c>
      <c r="Y839" s="94">
        <v>40147.0</v>
      </c>
      <c r="Z839" s="163"/>
      <c r="AA839" s="163"/>
      <c r="AB839" s="163"/>
      <c r="AC839" s="81">
        <v>838.0</v>
      </c>
      <c r="AD839" s="90"/>
      <c r="AE839" s="87" t="s">
        <v>67</v>
      </c>
      <c r="AF839" s="90"/>
      <c r="AG839" s="87" t="s">
        <v>68</v>
      </c>
      <c r="AH839" s="87"/>
      <c r="AI839" s="87">
        <v>8.5270708517E10</v>
      </c>
      <c r="AJ839" s="87" t="s">
        <v>5657</v>
      </c>
      <c r="AK839" s="97" t="s">
        <v>5658</v>
      </c>
      <c r="AL839" s="87" t="s">
        <v>5659</v>
      </c>
      <c r="AM839" s="87" t="s">
        <v>73</v>
      </c>
      <c r="AN839" s="87" t="s">
        <v>481</v>
      </c>
      <c r="AO839" s="87" t="s">
        <v>203</v>
      </c>
      <c r="AP839" s="87" t="s">
        <v>3014</v>
      </c>
      <c r="AQ839" s="87"/>
      <c r="AR839" s="87"/>
    </row>
    <row r="840">
      <c r="A840" s="89">
        <v>12.0</v>
      </c>
      <c r="B840" s="87" t="s">
        <v>5660</v>
      </c>
      <c r="C840" s="88" t="s">
        <v>5661</v>
      </c>
      <c r="D840" s="161"/>
      <c r="E840" s="161"/>
      <c r="F840" s="161"/>
      <c r="G840" s="161"/>
      <c r="H840" s="161"/>
      <c r="I840" s="162"/>
      <c r="J840" s="89"/>
      <c r="K840" s="89"/>
      <c r="L840" s="90"/>
      <c r="M840" s="91"/>
      <c r="N840" s="161"/>
      <c r="O840" s="87" t="s">
        <v>532</v>
      </c>
      <c r="P840" s="161"/>
      <c r="Q840" s="87" t="s">
        <v>5587</v>
      </c>
      <c r="R840" s="91"/>
      <c r="S840" s="90"/>
      <c r="T840" s="93"/>
      <c r="U840" s="90"/>
      <c r="V840" s="87" t="s">
        <v>285</v>
      </c>
      <c r="W840" s="87" t="s">
        <v>1035</v>
      </c>
      <c r="X840" s="87" t="s">
        <v>5662</v>
      </c>
      <c r="Y840" s="94">
        <v>41779.0</v>
      </c>
      <c r="Z840" s="163"/>
      <c r="AA840" s="163"/>
      <c r="AB840" s="163"/>
      <c r="AC840" s="81">
        <v>839.0</v>
      </c>
      <c r="AD840" s="90"/>
      <c r="AE840" s="87" t="s">
        <v>67</v>
      </c>
      <c r="AF840" s="162"/>
      <c r="AG840" s="87" t="s">
        <v>68</v>
      </c>
      <c r="AH840" s="87"/>
      <c r="AI840" s="87">
        <v>8.1277572224E10</v>
      </c>
      <c r="AJ840" s="87" t="s">
        <v>5663</v>
      </c>
      <c r="AK840" s="97" t="s">
        <v>5664</v>
      </c>
      <c r="AL840" s="87" t="s">
        <v>5665</v>
      </c>
      <c r="AM840" s="87" t="s">
        <v>73</v>
      </c>
      <c r="AN840" s="87" t="s">
        <v>74</v>
      </c>
      <c r="AO840" s="87" t="s">
        <v>1082</v>
      </c>
      <c r="AP840" s="87" t="s">
        <v>1083</v>
      </c>
      <c r="AQ840" s="87"/>
      <c r="AR840" s="87"/>
    </row>
    <row r="841">
      <c r="A841" s="89">
        <v>13.0</v>
      </c>
      <c r="B841" s="87" t="s">
        <v>5666</v>
      </c>
      <c r="C841" s="88" t="s">
        <v>5667</v>
      </c>
      <c r="D841" s="161"/>
      <c r="E841" s="161"/>
      <c r="F841" s="161"/>
      <c r="G841" s="161"/>
      <c r="H841" s="161"/>
      <c r="I841" s="162"/>
      <c r="J841" s="161"/>
      <c r="K841" s="161"/>
      <c r="L841" s="162"/>
      <c r="M841" s="161"/>
      <c r="N841" s="161"/>
      <c r="O841" s="87" t="s">
        <v>142</v>
      </c>
      <c r="P841" s="161"/>
      <c r="Q841" s="87" t="s">
        <v>5587</v>
      </c>
      <c r="R841" s="161"/>
      <c r="S841" s="162"/>
      <c r="T841" s="161"/>
      <c r="U841" s="162"/>
      <c r="V841" s="87" t="s">
        <v>89</v>
      </c>
      <c r="W841" s="87" t="s">
        <v>3312</v>
      </c>
      <c r="X841" s="87" t="s">
        <v>1215</v>
      </c>
      <c r="Y841" s="94">
        <v>39763.0</v>
      </c>
      <c r="Z841" s="162"/>
      <c r="AA841" s="162"/>
      <c r="AB841" s="162"/>
      <c r="AC841" s="81">
        <v>840.0</v>
      </c>
      <c r="AD841" s="163"/>
      <c r="AE841" s="87" t="s">
        <v>67</v>
      </c>
      <c r="AF841" s="163"/>
      <c r="AG841" s="87" t="s">
        <v>130</v>
      </c>
      <c r="AH841" s="87"/>
      <c r="AI841" s="87">
        <v>8.1397220085E10</v>
      </c>
      <c r="AJ841" s="87" t="s">
        <v>5668</v>
      </c>
      <c r="AK841" s="97" t="s">
        <v>5669</v>
      </c>
      <c r="AL841" s="87" t="s">
        <v>5670</v>
      </c>
      <c r="AM841" s="87" t="s">
        <v>73</v>
      </c>
      <c r="AN841" s="87" t="s">
        <v>74</v>
      </c>
      <c r="AO841" s="87" t="s">
        <v>925</v>
      </c>
      <c r="AP841" s="87" t="s">
        <v>926</v>
      </c>
      <c r="AQ841" s="87"/>
      <c r="AR841" s="87"/>
    </row>
    <row r="842">
      <c r="A842" s="89">
        <v>14.0</v>
      </c>
      <c r="B842" s="87" t="s">
        <v>5671</v>
      </c>
      <c r="C842" s="88" t="s">
        <v>5672</v>
      </c>
      <c r="D842" s="161"/>
      <c r="E842" s="161"/>
      <c r="F842" s="161"/>
      <c r="G842" s="161"/>
      <c r="H842" s="161"/>
      <c r="I842" s="162"/>
      <c r="J842" s="161"/>
      <c r="K842" s="161"/>
      <c r="L842" s="162"/>
      <c r="M842" s="161"/>
      <c r="N842" s="161"/>
      <c r="O842" s="87" t="s">
        <v>532</v>
      </c>
      <c r="P842" s="161"/>
      <c r="Q842" s="87" t="s">
        <v>5587</v>
      </c>
      <c r="R842" s="161"/>
      <c r="S842" s="162"/>
      <c r="T842" s="161"/>
      <c r="U842" s="162"/>
      <c r="V842" s="87" t="s">
        <v>285</v>
      </c>
      <c r="W842" s="87" t="s">
        <v>1035</v>
      </c>
      <c r="X842" s="87" t="s">
        <v>5673</v>
      </c>
      <c r="Y842" s="94">
        <v>39977.0</v>
      </c>
      <c r="Z842" s="162"/>
      <c r="AA842" s="162"/>
      <c r="AB842" s="162"/>
      <c r="AC842" s="81">
        <v>841.0</v>
      </c>
      <c r="AD842" s="163"/>
      <c r="AE842" s="87" t="s">
        <v>67</v>
      </c>
      <c r="AF842" s="163"/>
      <c r="AG842" s="87" t="s">
        <v>68</v>
      </c>
      <c r="AH842" s="87"/>
      <c r="AI842" s="87">
        <v>8.1375522069E10</v>
      </c>
      <c r="AJ842" s="87" t="s">
        <v>5674</v>
      </c>
      <c r="AK842" s="97" t="s">
        <v>5675</v>
      </c>
      <c r="AL842" s="87" t="s">
        <v>5676</v>
      </c>
      <c r="AM842" s="87" t="s">
        <v>73</v>
      </c>
      <c r="AN842" s="87" t="s">
        <v>2338</v>
      </c>
      <c r="AO842" s="87" t="s">
        <v>5677</v>
      </c>
      <c r="AP842" s="87" t="s">
        <v>5678</v>
      </c>
      <c r="AQ842" s="87"/>
      <c r="AR842" s="87"/>
    </row>
    <row r="843">
      <c r="A843" s="89">
        <v>15.0</v>
      </c>
      <c r="B843" s="87" t="s">
        <v>5679</v>
      </c>
      <c r="C843" s="88" t="s">
        <v>5680</v>
      </c>
      <c r="D843" s="161"/>
      <c r="E843" s="161"/>
      <c r="F843" s="161"/>
      <c r="G843" s="161"/>
      <c r="H843" s="161"/>
      <c r="I843" s="162"/>
      <c r="J843" s="161"/>
      <c r="K843" s="161"/>
      <c r="L843" s="162"/>
      <c r="M843" s="161"/>
      <c r="N843" s="161"/>
      <c r="O843" s="87" t="s">
        <v>142</v>
      </c>
      <c r="P843" s="161"/>
      <c r="Q843" s="87" t="s">
        <v>5587</v>
      </c>
      <c r="R843" s="161"/>
      <c r="S843" s="173"/>
      <c r="T843" s="161"/>
      <c r="U843" s="173"/>
      <c r="V843" s="87" t="s">
        <v>89</v>
      </c>
      <c r="W843" s="87" t="s">
        <v>5681</v>
      </c>
      <c r="X843" s="87" t="s">
        <v>2064</v>
      </c>
      <c r="Y843" s="94">
        <v>41206.0</v>
      </c>
      <c r="Z843" s="162"/>
      <c r="AA843" s="162"/>
      <c r="AB843" s="173"/>
      <c r="AC843" s="81">
        <v>842.0</v>
      </c>
      <c r="AD843" s="173"/>
      <c r="AE843" s="87" t="s">
        <v>67</v>
      </c>
      <c r="AF843" s="173"/>
      <c r="AG843" s="87" t="s">
        <v>130</v>
      </c>
      <c r="AH843" s="87"/>
      <c r="AI843" s="87">
        <v>8.5262726029E10</v>
      </c>
      <c r="AJ843" s="87" t="s">
        <v>5682</v>
      </c>
      <c r="AK843" s="97" t="s">
        <v>5683</v>
      </c>
      <c r="AL843" s="87" t="s">
        <v>5684</v>
      </c>
      <c r="AM843" s="87" t="s">
        <v>96</v>
      </c>
      <c r="AN843" s="87" t="s">
        <v>135</v>
      </c>
      <c r="AO843" s="87" t="s">
        <v>1136</v>
      </c>
      <c r="AP843" s="87" t="s">
        <v>1137</v>
      </c>
      <c r="AQ843" s="87"/>
      <c r="AR843" s="87"/>
    </row>
    <row r="844">
      <c r="A844" s="89">
        <v>16.0</v>
      </c>
      <c r="B844" s="87" t="s">
        <v>5685</v>
      </c>
      <c r="C844" s="88" t="s">
        <v>5686</v>
      </c>
      <c r="D844" s="161"/>
      <c r="E844" s="161"/>
      <c r="F844" s="161"/>
      <c r="G844" s="161"/>
      <c r="H844" s="161"/>
      <c r="I844" s="162"/>
      <c r="J844" s="161"/>
      <c r="K844" s="161"/>
      <c r="L844" s="162"/>
      <c r="M844" s="161"/>
      <c r="N844" s="161"/>
      <c r="O844" s="87" t="s">
        <v>532</v>
      </c>
      <c r="P844" s="161"/>
      <c r="Q844" s="87" t="s">
        <v>5587</v>
      </c>
      <c r="R844" s="161"/>
      <c r="S844" s="173"/>
      <c r="T844" s="161"/>
      <c r="U844" s="173"/>
      <c r="V844" s="87" t="s">
        <v>285</v>
      </c>
      <c r="W844" s="87" t="s">
        <v>1077</v>
      </c>
      <c r="X844" s="87" t="s">
        <v>5687</v>
      </c>
      <c r="Y844" s="94">
        <v>39977.0</v>
      </c>
      <c r="Z844" s="162"/>
      <c r="AA844" s="162"/>
      <c r="AB844" s="173"/>
      <c r="AC844" s="81">
        <v>843.0</v>
      </c>
      <c r="AD844" s="173"/>
      <c r="AE844" s="87" t="s">
        <v>67</v>
      </c>
      <c r="AF844" s="173"/>
      <c r="AG844" s="87" t="s">
        <v>130</v>
      </c>
      <c r="AH844" s="87"/>
      <c r="AI844" s="87" t="s">
        <v>5688</v>
      </c>
      <c r="AJ844" s="87" t="s">
        <v>5689</v>
      </c>
      <c r="AK844" s="97" t="s">
        <v>5690</v>
      </c>
      <c r="AL844" s="87" t="s">
        <v>5691</v>
      </c>
      <c r="AM844" s="87" t="s">
        <v>96</v>
      </c>
      <c r="AN844" s="87" t="s">
        <v>97</v>
      </c>
      <c r="AO844" s="87" t="s">
        <v>425</v>
      </c>
      <c r="AP844" s="87" t="s">
        <v>5692</v>
      </c>
      <c r="AQ844" s="87">
        <v>0.0</v>
      </c>
      <c r="AR844" s="87">
        <v>0.0</v>
      </c>
    </row>
    <row r="845">
      <c r="A845" s="89">
        <v>17.0</v>
      </c>
      <c r="B845" s="87" t="s">
        <v>5693</v>
      </c>
      <c r="C845" s="88" t="s">
        <v>5694</v>
      </c>
      <c r="D845" s="161"/>
      <c r="E845" s="161"/>
      <c r="F845" s="161"/>
      <c r="G845" s="161"/>
      <c r="H845" s="161"/>
      <c r="I845" s="162"/>
      <c r="J845" s="161"/>
      <c r="K845" s="161"/>
      <c r="L845" s="162"/>
      <c r="M845" s="161"/>
      <c r="N845" s="161"/>
      <c r="O845" s="87" t="s">
        <v>532</v>
      </c>
      <c r="P845" s="161"/>
      <c r="Q845" s="87" t="s">
        <v>5587</v>
      </c>
      <c r="R845" s="161"/>
      <c r="S845" s="173"/>
      <c r="T845" s="161"/>
      <c r="U845" s="173"/>
      <c r="V845" s="87" t="s">
        <v>285</v>
      </c>
      <c r="W845" s="87" t="s">
        <v>5695</v>
      </c>
      <c r="X845" s="87" t="s">
        <v>5696</v>
      </c>
      <c r="Y845" s="94">
        <v>38152.0</v>
      </c>
      <c r="Z845" s="162"/>
      <c r="AA845" s="162"/>
      <c r="AB845" s="173"/>
      <c r="AC845" s="81">
        <v>844.0</v>
      </c>
      <c r="AD845" s="173"/>
      <c r="AE845" s="87" t="s">
        <v>67</v>
      </c>
      <c r="AF845" s="173"/>
      <c r="AG845" s="87" t="s">
        <v>68</v>
      </c>
      <c r="AH845" s="87"/>
      <c r="AI845" s="87">
        <v>8.5361235533E10</v>
      </c>
      <c r="AJ845" s="87" t="s">
        <v>5697</v>
      </c>
      <c r="AK845" s="97" t="s">
        <v>5698</v>
      </c>
      <c r="AL845" s="87" t="s">
        <v>5699</v>
      </c>
      <c r="AM845" s="87" t="s">
        <v>73</v>
      </c>
      <c r="AN845" s="87" t="s">
        <v>74</v>
      </c>
      <c r="AO845" s="87" t="s">
        <v>1220</v>
      </c>
      <c r="AP845" s="87" t="s">
        <v>5700</v>
      </c>
      <c r="AQ845" s="87"/>
      <c r="AR845" s="87"/>
    </row>
    <row r="846">
      <c r="A846" s="89">
        <v>18.0</v>
      </c>
      <c r="B846" s="87" t="s">
        <v>5701</v>
      </c>
      <c r="C846" s="88" t="s">
        <v>5702</v>
      </c>
      <c r="D846" s="161"/>
      <c r="E846" s="161"/>
      <c r="F846" s="161"/>
      <c r="G846" s="161"/>
      <c r="H846" s="161"/>
      <c r="I846" s="162"/>
      <c r="J846" s="161"/>
      <c r="K846" s="161"/>
      <c r="L846" s="162"/>
      <c r="M846" s="161"/>
      <c r="N846" s="161"/>
      <c r="O846" s="87" t="s">
        <v>142</v>
      </c>
      <c r="P846" s="161"/>
      <c r="Q846" s="87" t="s">
        <v>5587</v>
      </c>
      <c r="R846" s="161"/>
      <c r="S846" s="173"/>
      <c r="T846" s="161"/>
      <c r="U846" s="173"/>
      <c r="V846" s="87" t="s">
        <v>89</v>
      </c>
      <c r="W846" s="87" t="s">
        <v>5703</v>
      </c>
      <c r="X846" s="87" t="s">
        <v>244</v>
      </c>
      <c r="Y846" s="94">
        <v>43082.0</v>
      </c>
      <c r="Z846" s="162"/>
      <c r="AA846" s="162"/>
      <c r="AB846" s="173"/>
      <c r="AC846" s="81">
        <v>845.0</v>
      </c>
      <c r="AD846" s="173"/>
      <c r="AE846" s="87" t="s">
        <v>67</v>
      </c>
      <c r="AF846" s="173"/>
      <c r="AG846" s="87" t="s">
        <v>68</v>
      </c>
      <c r="AH846" s="87"/>
      <c r="AI846" s="87">
        <v>8.213882402E10</v>
      </c>
      <c r="AJ846" s="87" t="s">
        <v>5704</v>
      </c>
      <c r="AK846" s="97" t="s">
        <v>5705</v>
      </c>
      <c r="AL846" s="87" t="s">
        <v>5706</v>
      </c>
      <c r="AM846" s="87" t="s">
        <v>73</v>
      </c>
      <c r="AN846" s="87" t="s">
        <v>74</v>
      </c>
      <c r="AO846" s="87" t="s">
        <v>5707</v>
      </c>
      <c r="AP846" s="87" t="s">
        <v>5708</v>
      </c>
      <c r="AQ846" s="87"/>
      <c r="AR846" s="87"/>
    </row>
    <row r="847">
      <c r="A847" s="89">
        <v>19.0</v>
      </c>
      <c r="B847" s="87" t="s">
        <v>5709</v>
      </c>
      <c r="C847" s="88" t="s">
        <v>5710</v>
      </c>
      <c r="D847" s="161"/>
      <c r="E847" s="161"/>
      <c r="F847" s="161"/>
      <c r="G847" s="161"/>
      <c r="H847" s="161"/>
      <c r="I847" s="162"/>
      <c r="J847" s="161"/>
      <c r="K847" s="161"/>
      <c r="L847" s="162"/>
      <c r="M847" s="161"/>
      <c r="N847" s="161"/>
      <c r="O847" s="87" t="s">
        <v>142</v>
      </c>
      <c r="P847" s="161"/>
      <c r="Q847" s="87" t="s">
        <v>5587</v>
      </c>
      <c r="R847" s="161"/>
      <c r="S847" s="173"/>
      <c r="T847" s="161"/>
      <c r="U847" s="173"/>
      <c r="V847" s="87" t="s">
        <v>89</v>
      </c>
      <c r="W847" s="87" t="s">
        <v>5711</v>
      </c>
      <c r="X847" s="87" t="s">
        <v>260</v>
      </c>
      <c r="Y847" s="99">
        <v>37961.0</v>
      </c>
      <c r="Z847" s="162"/>
      <c r="AA847" s="162"/>
      <c r="AB847" s="173"/>
      <c r="AC847" s="81">
        <v>846.0</v>
      </c>
      <c r="AD847" s="173"/>
      <c r="AE847" s="87" t="s">
        <v>67</v>
      </c>
      <c r="AF847" s="173"/>
      <c r="AG847" s="87" t="s">
        <v>68</v>
      </c>
      <c r="AH847" s="87"/>
      <c r="AI847" s="87">
        <v>8.5296651321E10</v>
      </c>
      <c r="AJ847" s="87" t="s">
        <v>5712</v>
      </c>
      <c r="AK847" s="97" t="s">
        <v>5713</v>
      </c>
      <c r="AL847" s="87" t="s">
        <v>5714</v>
      </c>
      <c r="AM847" s="87" t="s">
        <v>692</v>
      </c>
      <c r="AN847" s="87" t="s">
        <v>97</v>
      </c>
      <c r="AO847" s="87" t="s">
        <v>1136</v>
      </c>
      <c r="AP847" s="87" t="s">
        <v>5715</v>
      </c>
      <c r="AQ847" s="87"/>
      <c r="AR847" s="87"/>
    </row>
    <row r="848">
      <c r="A848" s="89">
        <v>20.0</v>
      </c>
      <c r="B848" s="87" t="s">
        <v>5716</v>
      </c>
      <c r="C848" s="88" t="s">
        <v>5717</v>
      </c>
      <c r="D848" s="161"/>
      <c r="E848" s="161"/>
      <c r="F848" s="161"/>
      <c r="G848" s="161"/>
      <c r="H848" s="161"/>
      <c r="I848" s="162"/>
      <c r="J848" s="161"/>
      <c r="K848" s="161"/>
      <c r="L848" s="162"/>
      <c r="M848" s="161"/>
      <c r="N848" s="161"/>
      <c r="O848" s="87" t="s">
        <v>142</v>
      </c>
      <c r="P848" s="161"/>
      <c r="Q848" s="87" t="s">
        <v>5587</v>
      </c>
      <c r="R848" s="161"/>
      <c r="S848" s="173"/>
      <c r="T848" s="161"/>
      <c r="U848" s="173"/>
      <c r="V848" s="87" t="s">
        <v>89</v>
      </c>
      <c r="W848" s="87" t="s">
        <v>5718</v>
      </c>
      <c r="X848" s="87" t="s">
        <v>745</v>
      </c>
      <c r="Y848" s="94">
        <v>39427.0</v>
      </c>
      <c r="Z848" s="162"/>
      <c r="AA848" s="162"/>
      <c r="AB848" s="173"/>
      <c r="AC848" s="81">
        <v>847.0</v>
      </c>
      <c r="AD848" s="173"/>
      <c r="AE848" s="87" t="s">
        <v>220</v>
      </c>
      <c r="AF848" s="173"/>
      <c r="AG848" s="87" t="s">
        <v>130</v>
      </c>
      <c r="AH848" s="87"/>
      <c r="AI848" s="87">
        <v>8.5276677613E10</v>
      </c>
      <c r="AJ848" s="87" t="s">
        <v>5719</v>
      </c>
      <c r="AK848" s="97" t="s">
        <v>5720</v>
      </c>
      <c r="AL848" s="87" t="s">
        <v>5721</v>
      </c>
      <c r="AM848" s="87" t="s">
        <v>96</v>
      </c>
      <c r="AN848" s="87" t="s">
        <v>97</v>
      </c>
      <c r="AO848" s="87" t="s">
        <v>1136</v>
      </c>
      <c r="AP848" s="87" t="s">
        <v>1137</v>
      </c>
      <c r="AQ848" s="87"/>
      <c r="AR848" s="87"/>
    </row>
    <row r="849">
      <c r="A849" s="89">
        <v>21.0</v>
      </c>
      <c r="B849" s="87" t="s">
        <v>5722</v>
      </c>
      <c r="C849" s="88" t="s">
        <v>5723</v>
      </c>
      <c r="D849" s="161"/>
      <c r="E849" s="161"/>
      <c r="F849" s="161"/>
      <c r="G849" s="161"/>
      <c r="H849" s="161"/>
      <c r="I849" s="162"/>
      <c r="J849" s="161"/>
      <c r="K849" s="161"/>
      <c r="L849" s="162"/>
      <c r="M849" s="161"/>
      <c r="N849" s="161"/>
      <c r="O849" s="87" t="s">
        <v>142</v>
      </c>
      <c r="P849" s="161"/>
      <c r="Q849" s="87" t="s">
        <v>5587</v>
      </c>
      <c r="R849" s="161"/>
      <c r="S849" s="173"/>
      <c r="T849" s="161"/>
      <c r="U849" s="173"/>
      <c r="V849" s="87" t="s">
        <v>89</v>
      </c>
      <c r="W849" s="87" t="s">
        <v>374</v>
      </c>
      <c r="X849" s="87" t="s">
        <v>648</v>
      </c>
      <c r="Y849" s="94">
        <v>42028.0</v>
      </c>
      <c r="Z849" s="162"/>
      <c r="AA849" s="162"/>
      <c r="AB849" s="173"/>
      <c r="AC849" s="81">
        <v>848.0</v>
      </c>
      <c r="AD849" s="173"/>
      <c r="AE849" s="87" t="s">
        <v>220</v>
      </c>
      <c r="AF849" s="173"/>
      <c r="AG849" s="87" t="s">
        <v>130</v>
      </c>
      <c r="AH849" s="87"/>
      <c r="AI849" s="87">
        <v>8.5358584087E10</v>
      </c>
      <c r="AJ849" s="87" t="s">
        <v>5724</v>
      </c>
      <c r="AK849" s="97" t="s">
        <v>5725</v>
      </c>
      <c r="AL849" s="87" t="s">
        <v>5726</v>
      </c>
      <c r="AM849" s="87" t="s">
        <v>73</v>
      </c>
      <c r="AN849" s="87" t="s">
        <v>74</v>
      </c>
      <c r="AO849" s="87" t="s">
        <v>1047</v>
      </c>
      <c r="AP849" s="87" t="s">
        <v>4573</v>
      </c>
      <c r="AQ849" s="87"/>
      <c r="AR849" s="87"/>
    </row>
    <row r="850">
      <c r="A850" s="89">
        <v>22.0</v>
      </c>
      <c r="B850" s="87" t="s">
        <v>5727</v>
      </c>
      <c r="C850" s="88" t="s">
        <v>5728</v>
      </c>
      <c r="D850" s="161"/>
      <c r="E850" s="161"/>
      <c r="F850" s="161"/>
      <c r="G850" s="161"/>
      <c r="H850" s="161"/>
      <c r="I850" s="162"/>
      <c r="J850" s="161"/>
      <c r="K850" s="161"/>
      <c r="L850" s="162"/>
      <c r="M850" s="161"/>
      <c r="N850" s="161"/>
      <c r="O850" s="87" t="s">
        <v>142</v>
      </c>
      <c r="P850" s="161"/>
      <c r="Q850" s="87" t="s">
        <v>5587</v>
      </c>
      <c r="R850" s="161"/>
      <c r="S850" s="173"/>
      <c r="T850" s="161"/>
      <c r="U850" s="173"/>
      <c r="V850" s="87" t="s">
        <v>89</v>
      </c>
      <c r="W850" s="87" t="s">
        <v>1214</v>
      </c>
      <c r="X850" s="87" t="s">
        <v>1231</v>
      </c>
      <c r="Y850" s="94">
        <v>39133.0</v>
      </c>
      <c r="Z850" s="162"/>
      <c r="AA850" s="162"/>
      <c r="AB850" s="173"/>
      <c r="AC850" s="81">
        <v>849.0</v>
      </c>
      <c r="AD850" s="173"/>
      <c r="AE850" s="87" t="s">
        <v>67</v>
      </c>
      <c r="AF850" s="173"/>
      <c r="AG850" s="87" t="s">
        <v>68</v>
      </c>
      <c r="AH850" s="87"/>
      <c r="AI850" s="87">
        <v>8.2168685481E10</v>
      </c>
      <c r="AJ850" s="87" t="s">
        <v>5729</v>
      </c>
      <c r="AK850" s="97" t="s">
        <v>5730</v>
      </c>
      <c r="AL850" s="87" t="s">
        <v>5731</v>
      </c>
      <c r="AM850" s="87" t="s">
        <v>5732</v>
      </c>
      <c r="AN850" s="87"/>
      <c r="AO850" s="87" t="s">
        <v>1082</v>
      </c>
      <c r="AP850" s="87" t="s">
        <v>1602</v>
      </c>
      <c r="AQ850" s="87"/>
      <c r="AR850" s="87"/>
    </row>
    <row r="851">
      <c r="A851" s="89">
        <v>23.0</v>
      </c>
      <c r="B851" s="87" t="s">
        <v>5733</v>
      </c>
      <c r="C851" s="88" t="s">
        <v>5734</v>
      </c>
      <c r="D851" s="161"/>
      <c r="E851" s="161"/>
      <c r="F851" s="161"/>
      <c r="G851" s="161"/>
      <c r="H851" s="161"/>
      <c r="I851" s="162"/>
      <c r="J851" s="161"/>
      <c r="K851" s="161"/>
      <c r="L851" s="162"/>
      <c r="M851" s="161"/>
      <c r="N851" s="161"/>
      <c r="O851" s="87" t="s">
        <v>532</v>
      </c>
      <c r="P851" s="161"/>
      <c r="Q851" s="87" t="s">
        <v>5587</v>
      </c>
      <c r="R851" s="161"/>
      <c r="S851" s="173"/>
      <c r="T851" s="161"/>
      <c r="U851" s="173"/>
      <c r="V851" s="87" t="s">
        <v>285</v>
      </c>
      <c r="W851" s="87" t="s">
        <v>1035</v>
      </c>
      <c r="X851" s="87" t="s">
        <v>5735</v>
      </c>
      <c r="Y851" s="94">
        <v>38152.0</v>
      </c>
      <c r="Z851" s="162"/>
      <c r="AA851" s="162"/>
      <c r="AB851" s="173"/>
      <c r="AC851" s="81">
        <v>850.0</v>
      </c>
      <c r="AD851" s="173"/>
      <c r="AE851" s="87" t="s">
        <v>67</v>
      </c>
      <c r="AF851" s="173"/>
      <c r="AG851" s="87" t="s">
        <v>68</v>
      </c>
      <c r="AH851" s="87"/>
      <c r="AI851" s="87">
        <v>8.1376194915E10</v>
      </c>
      <c r="AJ851" s="87" t="s">
        <v>5736</v>
      </c>
      <c r="AK851" s="97" t="s">
        <v>5737</v>
      </c>
      <c r="AL851" s="87" t="s">
        <v>5738</v>
      </c>
      <c r="AM851" s="87" t="s">
        <v>96</v>
      </c>
      <c r="AN851" s="87" t="s">
        <v>514</v>
      </c>
      <c r="AO851" s="87" t="s">
        <v>1136</v>
      </c>
      <c r="AP851" s="87" t="s">
        <v>5739</v>
      </c>
      <c r="AQ851" s="87"/>
      <c r="AR851" s="87"/>
    </row>
    <row r="852">
      <c r="A852" s="89">
        <v>24.0</v>
      </c>
      <c r="B852" s="87" t="s">
        <v>5740</v>
      </c>
      <c r="C852" s="88" t="s">
        <v>5741</v>
      </c>
      <c r="D852" s="161"/>
      <c r="E852" s="161"/>
      <c r="F852" s="161"/>
      <c r="G852" s="161"/>
      <c r="H852" s="161"/>
      <c r="I852" s="162"/>
      <c r="J852" s="161"/>
      <c r="K852" s="161"/>
      <c r="L852" s="162"/>
      <c r="M852" s="161"/>
      <c r="N852" s="161"/>
      <c r="O852" s="87" t="s">
        <v>142</v>
      </c>
      <c r="P852" s="161"/>
      <c r="Q852" s="87" t="s">
        <v>5587</v>
      </c>
      <c r="R852" s="161"/>
      <c r="S852" s="173"/>
      <c r="T852" s="161"/>
      <c r="U852" s="173"/>
      <c r="V852" s="87" t="s">
        <v>89</v>
      </c>
      <c r="W852" s="87" t="s">
        <v>2030</v>
      </c>
      <c r="X852" s="87" t="s">
        <v>260</v>
      </c>
      <c r="Y852" s="94">
        <v>40161.0</v>
      </c>
      <c r="Z852" s="162"/>
      <c r="AA852" s="162"/>
      <c r="AB852" s="173"/>
      <c r="AC852" s="81">
        <v>851.0</v>
      </c>
      <c r="AD852" s="173"/>
      <c r="AE852" s="87" t="s">
        <v>67</v>
      </c>
      <c r="AF852" s="173"/>
      <c r="AG852" s="87" t="s">
        <v>130</v>
      </c>
      <c r="AH852" s="87"/>
      <c r="AI852" s="87">
        <v>8.2282317198E10</v>
      </c>
      <c r="AJ852" s="87" t="s">
        <v>5742</v>
      </c>
      <c r="AK852" s="97" t="s">
        <v>5743</v>
      </c>
      <c r="AL852" s="87" t="s">
        <v>5744</v>
      </c>
      <c r="AM852" s="87" t="s">
        <v>732</v>
      </c>
      <c r="AN852" s="87" t="s">
        <v>97</v>
      </c>
      <c r="AO852" s="87" t="s">
        <v>5745</v>
      </c>
      <c r="AP852" s="87" t="s">
        <v>5746</v>
      </c>
      <c r="AQ852" s="87"/>
      <c r="AR852" s="87"/>
    </row>
    <row r="853">
      <c r="A853" s="89">
        <v>25.0</v>
      </c>
      <c r="B853" s="87" t="s">
        <v>5747</v>
      </c>
      <c r="C853" s="88" t="s">
        <v>5748</v>
      </c>
      <c r="D853" s="161"/>
      <c r="E853" s="161"/>
      <c r="F853" s="161"/>
      <c r="G853" s="161"/>
      <c r="H853" s="161"/>
      <c r="I853" s="162"/>
      <c r="J853" s="161"/>
      <c r="K853" s="161"/>
      <c r="L853" s="162"/>
      <c r="M853" s="161"/>
      <c r="N853" s="161"/>
      <c r="O853" s="87" t="s">
        <v>519</v>
      </c>
      <c r="P853" s="161"/>
      <c r="Q853" s="87" t="s">
        <v>5587</v>
      </c>
      <c r="R853" s="161"/>
      <c r="S853" s="173"/>
      <c r="T853" s="161"/>
      <c r="U853" s="173"/>
      <c r="V853" s="87" t="s">
        <v>267</v>
      </c>
      <c r="W853" s="87" t="s">
        <v>346</v>
      </c>
      <c r="X853" s="87" t="s">
        <v>2082</v>
      </c>
      <c r="Y853" s="94">
        <v>42002.0</v>
      </c>
      <c r="Z853" s="162"/>
      <c r="AA853" s="162"/>
      <c r="AB853" s="173"/>
      <c r="AC853" s="81">
        <v>852.0</v>
      </c>
      <c r="AD853" s="173"/>
      <c r="AE853" s="87" t="s">
        <v>67</v>
      </c>
      <c r="AF853" s="173"/>
      <c r="AG853" s="87" t="s">
        <v>68</v>
      </c>
      <c r="AH853" s="87"/>
      <c r="AI853" s="87">
        <v>8.1361783819E10</v>
      </c>
      <c r="AJ853" s="87" t="s">
        <v>5749</v>
      </c>
      <c r="AK853" s="97" t="s">
        <v>5750</v>
      </c>
      <c r="AL853" s="87" t="s">
        <v>5751</v>
      </c>
      <c r="AM853" s="87" t="s">
        <v>73</v>
      </c>
      <c r="AN853" s="87" t="s">
        <v>74</v>
      </c>
      <c r="AO853" s="87" t="s">
        <v>1047</v>
      </c>
      <c r="AP853" s="87" t="s">
        <v>5752</v>
      </c>
      <c r="AQ853" s="87"/>
      <c r="AR853" s="87"/>
    </row>
    <row r="854">
      <c r="A854" s="89">
        <v>26.0</v>
      </c>
      <c r="B854" s="87" t="s">
        <v>5753</v>
      </c>
      <c r="C854" s="88" t="s">
        <v>5754</v>
      </c>
      <c r="D854" s="161"/>
      <c r="E854" s="161"/>
      <c r="F854" s="161"/>
      <c r="G854" s="161"/>
      <c r="H854" s="161"/>
      <c r="I854" s="162"/>
      <c r="J854" s="161"/>
      <c r="K854" s="161"/>
      <c r="L854" s="162"/>
      <c r="M854" s="161"/>
      <c r="N854" s="161"/>
      <c r="O854" s="87" t="s">
        <v>532</v>
      </c>
      <c r="P854" s="161"/>
      <c r="Q854" s="87" t="s">
        <v>5587</v>
      </c>
      <c r="R854" s="161"/>
      <c r="S854" s="173"/>
      <c r="T854" s="161"/>
      <c r="U854" s="173"/>
      <c r="V854" s="87" t="s">
        <v>285</v>
      </c>
      <c r="W854" s="87" t="s">
        <v>5755</v>
      </c>
      <c r="X854" s="87" t="s">
        <v>5756</v>
      </c>
      <c r="Y854" s="99">
        <v>44810.0</v>
      </c>
      <c r="Z854" s="162"/>
      <c r="AA854" s="162"/>
      <c r="AB854" s="173"/>
      <c r="AC854" s="81">
        <v>853.0</v>
      </c>
      <c r="AD854" s="173"/>
      <c r="AE854" s="87" t="s">
        <v>67</v>
      </c>
      <c r="AF854" s="173"/>
      <c r="AG854" s="87" t="s">
        <v>68</v>
      </c>
      <c r="AH854" s="87"/>
      <c r="AI854" s="87">
        <v>8.237070092E10</v>
      </c>
      <c r="AJ854" s="87" t="s">
        <v>5757</v>
      </c>
      <c r="AK854" s="97" t="s">
        <v>5758</v>
      </c>
      <c r="AL854" s="87" t="s">
        <v>5759</v>
      </c>
      <c r="AM854" s="87" t="s">
        <v>73</v>
      </c>
      <c r="AN854" s="87" t="s">
        <v>74</v>
      </c>
      <c r="AO854" s="87" t="s">
        <v>1082</v>
      </c>
      <c r="AP854" s="87" t="s">
        <v>5760</v>
      </c>
      <c r="AQ854" s="87"/>
      <c r="AR854" s="87"/>
    </row>
    <row r="855">
      <c r="A855" s="89">
        <v>27.0</v>
      </c>
      <c r="B855" s="87" t="s">
        <v>5761</v>
      </c>
      <c r="C855" s="88" t="s">
        <v>5762</v>
      </c>
      <c r="D855" s="161"/>
      <c r="E855" s="161"/>
      <c r="F855" s="161"/>
      <c r="G855" s="161"/>
      <c r="H855" s="161"/>
      <c r="I855" s="162"/>
      <c r="J855" s="161"/>
      <c r="K855" s="161"/>
      <c r="L855" s="162"/>
      <c r="M855" s="161"/>
      <c r="N855" s="161"/>
      <c r="O855" s="87" t="s">
        <v>519</v>
      </c>
      <c r="P855" s="161"/>
      <c r="Q855" s="87" t="s">
        <v>5587</v>
      </c>
      <c r="R855" s="161"/>
      <c r="S855" s="173"/>
      <c r="T855" s="161"/>
      <c r="U855" s="173"/>
      <c r="V855" s="87" t="s">
        <v>267</v>
      </c>
      <c r="W855" s="87" t="s">
        <v>4100</v>
      </c>
      <c r="X855" s="87" t="s">
        <v>5763</v>
      </c>
      <c r="Y855" s="94">
        <v>40107.0</v>
      </c>
      <c r="Z855" s="162"/>
      <c r="AA855" s="162"/>
      <c r="AB855" s="173"/>
      <c r="AC855" s="81">
        <v>854.0</v>
      </c>
      <c r="AD855" s="173"/>
      <c r="AE855" s="87" t="s">
        <v>67</v>
      </c>
      <c r="AF855" s="173"/>
      <c r="AG855" s="87" t="s">
        <v>68</v>
      </c>
      <c r="AH855" s="87"/>
      <c r="AI855" s="87">
        <v>8.2365063839E10</v>
      </c>
      <c r="AJ855" s="87" t="s">
        <v>5764</v>
      </c>
      <c r="AK855" s="97" t="s">
        <v>5765</v>
      </c>
      <c r="AL855" s="87" t="s">
        <v>5766</v>
      </c>
      <c r="AM855" s="87" t="s">
        <v>96</v>
      </c>
      <c r="AN855" s="87" t="s">
        <v>414</v>
      </c>
      <c r="AO855" s="87" t="s">
        <v>5767</v>
      </c>
      <c r="AP855" s="87" t="s">
        <v>556</v>
      </c>
      <c r="AQ855" s="87"/>
      <c r="AR855" s="87"/>
    </row>
    <row r="856">
      <c r="A856" s="89">
        <v>28.0</v>
      </c>
      <c r="B856" s="87" t="s">
        <v>5768</v>
      </c>
      <c r="C856" s="88" t="s">
        <v>5769</v>
      </c>
      <c r="D856" s="161"/>
      <c r="E856" s="161"/>
      <c r="F856" s="161"/>
      <c r="G856" s="161"/>
      <c r="H856" s="161"/>
      <c r="I856" s="162"/>
      <c r="J856" s="161"/>
      <c r="K856" s="161"/>
      <c r="L856" s="162"/>
      <c r="M856" s="161"/>
      <c r="N856" s="161"/>
      <c r="O856" s="87" t="s">
        <v>142</v>
      </c>
      <c r="P856" s="161"/>
      <c r="Q856" s="87" t="s">
        <v>5587</v>
      </c>
      <c r="R856" s="161"/>
      <c r="S856" s="173"/>
      <c r="T856" s="161"/>
      <c r="U856" s="173"/>
      <c r="V856" s="87" t="s">
        <v>89</v>
      </c>
      <c r="W856" s="87" t="s">
        <v>4843</v>
      </c>
      <c r="X856" s="87" t="s">
        <v>260</v>
      </c>
      <c r="Y856" s="94">
        <v>40022.0</v>
      </c>
      <c r="Z856" s="162"/>
      <c r="AA856" s="162"/>
      <c r="AB856" s="173"/>
      <c r="AC856" s="81">
        <v>855.0</v>
      </c>
      <c r="AD856" s="173"/>
      <c r="AE856" s="87" t="s">
        <v>67</v>
      </c>
      <c r="AF856" s="173"/>
      <c r="AG856" s="87" t="s">
        <v>68</v>
      </c>
      <c r="AH856" s="87"/>
      <c r="AI856" s="87">
        <v>8.1370028267E10</v>
      </c>
      <c r="AJ856" s="87" t="s">
        <v>5770</v>
      </c>
      <c r="AK856" s="97" t="s">
        <v>5771</v>
      </c>
      <c r="AL856" s="87" t="s">
        <v>5772</v>
      </c>
      <c r="AM856" s="87" t="s">
        <v>73</v>
      </c>
      <c r="AN856" s="87" t="s">
        <v>74</v>
      </c>
      <c r="AO856" s="87" t="s">
        <v>774</v>
      </c>
      <c r="AP856" s="87" t="s">
        <v>4036</v>
      </c>
      <c r="AQ856" s="87"/>
      <c r="AR856" s="87"/>
    </row>
    <row r="857">
      <c r="A857" s="89">
        <v>29.0</v>
      </c>
      <c r="B857" s="87" t="s">
        <v>5773</v>
      </c>
      <c r="C857" s="88" t="s">
        <v>5774</v>
      </c>
      <c r="D857" s="161"/>
      <c r="E857" s="161"/>
      <c r="F857" s="161"/>
      <c r="G857" s="161"/>
      <c r="H857" s="161"/>
      <c r="I857" s="162"/>
      <c r="J857" s="161"/>
      <c r="K857" s="161"/>
      <c r="L857" s="162"/>
      <c r="M857" s="161"/>
      <c r="N857" s="161"/>
      <c r="O857" s="87" t="s">
        <v>142</v>
      </c>
      <c r="P857" s="161"/>
      <c r="Q857" s="87" t="s">
        <v>5587</v>
      </c>
      <c r="R857" s="161"/>
      <c r="S857" s="173"/>
      <c r="T857" s="161"/>
      <c r="U857" s="173"/>
      <c r="V857" s="87" t="s">
        <v>89</v>
      </c>
      <c r="W857" s="87" t="s">
        <v>1520</v>
      </c>
      <c r="X857" s="87" t="s">
        <v>1231</v>
      </c>
      <c r="Y857" s="94">
        <v>39011.0</v>
      </c>
      <c r="Z857" s="162"/>
      <c r="AA857" s="162"/>
      <c r="AB857" s="173"/>
      <c r="AC857" s="81">
        <v>856.0</v>
      </c>
      <c r="AD857" s="173"/>
      <c r="AE857" s="87" t="s">
        <v>67</v>
      </c>
      <c r="AF857" s="173"/>
      <c r="AG857" s="87" t="s">
        <v>130</v>
      </c>
      <c r="AH857" s="87"/>
      <c r="AI857" s="87">
        <v>8.1264183984E10</v>
      </c>
      <c r="AJ857" s="87" t="s">
        <v>5775</v>
      </c>
      <c r="AK857" s="97" t="s">
        <v>5776</v>
      </c>
      <c r="AL857" s="87" t="s">
        <v>5777</v>
      </c>
      <c r="AM857" s="87" t="s">
        <v>73</v>
      </c>
      <c r="AN857" s="87" t="s">
        <v>74</v>
      </c>
      <c r="AO857" s="87" t="s">
        <v>932</v>
      </c>
      <c r="AP857" s="87" t="s">
        <v>1074</v>
      </c>
      <c r="AQ857" s="87">
        <v>0.0</v>
      </c>
      <c r="AR857" s="87">
        <v>0.0</v>
      </c>
    </row>
    <row r="858">
      <c r="A858" s="89">
        <v>30.0</v>
      </c>
      <c r="B858" s="87" t="s">
        <v>5778</v>
      </c>
      <c r="C858" s="88" t="s">
        <v>5779</v>
      </c>
      <c r="D858" s="161"/>
      <c r="E858" s="161"/>
      <c r="F858" s="161"/>
      <c r="G858" s="161"/>
      <c r="H858" s="161"/>
      <c r="I858" s="162"/>
      <c r="J858" s="161"/>
      <c r="K858" s="161"/>
      <c r="L858" s="162"/>
      <c r="M858" s="161"/>
      <c r="N858" s="161"/>
      <c r="O858" s="87" t="s">
        <v>142</v>
      </c>
      <c r="P858" s="161"/>
      <c r="Q858" s="87" t="s">
        <v>5587</v>
      </c>
      <c r="R858" s="161"/>
      <c r="S858" s="173"/>
      <c r="T858" s="161"/>
      <c r="U858" s="173"/>
      <c r="V858" s="87" t="s">
        <v>89</v>
      </c>
      <c r="W858" s="87" t="s">
        <v>5780</v>
      </c>
      <c r="X858" s="87" t="s">
        <v>3449</v>
      </c>
      <c r="Y858" s="94">
        <v>41206.0</v>
      </c>
      <c r="Z858" s="162"/>
      <c r="AA858" s="162"/>
      <c r="AB858" s="173"/>
      <c r="AC858" s="81">
        <v>857.0</v>
      </c>
      <c r="AD858" s="173"/>
      <c r="AE858" s="87" t="s">
        <v>67</v>
      </c>
      <c r="AF858" s="173"/>
      <c r="AG858" s="87" t="s">
        <v>68</v>
      </c>
      <c r="AH858" s="173"/>
      <c r="AI858" s="87">
        <v>8.1397800131E10</v>
      </c>
      <c r="AJ858" s="87" t="s">
        <v>5781</v>
      </c>
      <c r="AK858" s="97" t="s">
        <v>5782</v>
      </c>
      <c r="AL858" s="87" t="s">
        <v>5783</v>
      </c>
      <c r="AM858" s="87" t="s">
        <v>692</v>
      </c>
      <c r="AN858" s="87" t="s">
        <v>135</v>
      </c>
      <c r="AO858" s="87" t="s">
        <v>1136</v>
      </c>
      <c r="AP858" s="87" t="s">
        <v>5784</v>
      </c>
      <c r="AQ858" s="87"/>
      <c r="AR858" s="87"/>
    </row>
    <row r="859">
      <c r="A859" s="89">
        <v>31.0</v>
      </c>
      <c r="B859" s="87" t="s">
        <v>5785</v>
      </c>
      <c r="C859" s="88" t="s">
        <v>5786</v>
      </c>
      <c r="D859" s="161"/>
      <c r="E859" s="161"/>
      <c r="F859" s="161"/>
      <c r="G859" s="161"/>
      <c r="H859" s="161"/>
      <c r="I859" s="162"/>
      <c r="J859" s="161"/>
      <c r="K859" s="161"/>
      <c r="L859" s="162"/>
      <c r="M859" s="161"/>
      <c r="N859" s="161"/>
      <c r="O859" s="87" t="s">
        <v>142</v>
      </c>
      <c r="P859" s="161"/>
      <c r="Q859" s="87" t="s">
        <v>5587</v>
      </c>
      <c r="R859" s="161"/>
      <c r="S859" s="173"/>
      <c r="T859" s="161"/>
      <c r="U859" s="173"/>
      <c r="V859" s="87" t="s">
        <v>89</v>
      </c>
      <c r="W859" s="87" t="s">
        <v>90</v>
      </c>
      <c r="X859" s="87" t="s">
        <v>1231</v>
      </c>
      <c r="Y859" s="94">
        <v>43036.0</v>
      </c>
      <c r="Z859" s="162"/>
      <c r="AA859" s="162"/>
      <c r="AB859" s="173"/>
      <c r="AC859" s="81">
        <v>858.0</v>
      </c>
      <c r="AD859" s="173"/>
      <c r="AE859" s="87" t="s">
        <v>67</v>
      </c>
      <c r="AF859" s="173"/>
      <c r="AG859" s="87" t="s">
        <v>68</v>
      </c>
      <c r="AH859" s="173"/>
      <c r="AI859" s="87">
        <v>8.2165656655E10</v>
      </c>
      <c r="AJ859" s="87" t="s">
        <v>5787</v>
      </c>
      <c r="AK859" s="97" t="s">
        <v>5788</v>
      </c>
      <c r="AL859" s="87" t="s">
        <v>5789</v>
      </c>
      <c r="AM859" s="87" t="s">
        <v>73</v>
      </c>
      <c r="AN859" s="87" t="s">
        <v>74</v>
      </c>
      <c r="AO859" s="87" t="s">
        <v>860</v>
      </c>
      <c r="AP859" s="87" t="s">
        <v>3333</v>
      </c>
      <c r="AQ859" s="87"/>
      <c r="AR859" s="87"/>
    </row>
    <row r="860">
      <c r="A860" s="89">
        <v>32.0</v>
      </c>
      <c r="B860" s="87" t="s">
        <v>5790</v>
      </c>
      <c r="C860" s="88" t="s">
        <v>5791</v>
      </c>
      <c r="D860" s="161"/>
      <c r="E860" s="161"/>
      <c r="F860" s="161"/>
      <c r="G860" s="161"/>
      <c r="H860" s="161"/>
      <c r="I860" s="162"/>
      <c r="J860" s="161"/>
      <c r="K860" s="161"/>
      <c r="L860" s="162"/>
      <c r="M860" s="161"/>
      <c r="N860" s="161"/>
      <c r="O860" s="87" t="s">
        <v>142</v>
      </c>
      <c r="P860" s="161"/>
      <c r="Q860" s="87" t="s">
        <v>5587</v>
      </c>
      <c r="R860" s="161"/>
      <c r="S860" s="173"/>
      <c r="T860" s="161"/>
      <c r="U860" s="173"/>
      <c r="V860" s="87" t="s">
        <v>89</v>
      </c>
      <c r="W860" s="87" t="s">
        <v>218</v>
      </c>
      <c r="X860" s="87" t="s">
        <v>2082</v>
      </c>
      <c r="Y860" s="99">
        <v>41977.0</v>
      </c>
      <c r="Z860" s="162"/>
      <c r="AA860" s="162"/>
      <c r="AB860" s="173"/>
      <c r="AC860" s="81">
        <v>859.0</v>
      </c>
      <c r="AD860" s="173"/>
      <c r="AE860" s="87" t="s">
        <v>67</v>
      </c>
      <c r="AF860" s="173"/>
      <c r="AG860" s="87" t="s">
        <v>130</v>
      </c>
      <c r="AH860" s="173"/>
      <c r="AI860" s="87">
        <v>8.1377444044E10</v>
      </c>
      <c r="AJ860" s="87" t="s">
        <v>5792</v>
      </c>
      <c r="AK860" s="97" t="s">
        <v>5793</v>
      </c>
      <c r="AL860" s="87" t="s">
        <v>5794</v>
      </c>
      <c r="AM860" s="87" t="s">
        <v>732</v>
      </c>
      <c r="AN860" s="87" t="s">
        <v>414</v>
      </c>
      <c r="AO860" s="87" t="s">
        <v>5795</v>
      </c>
      <c r="AP860" s="87" t="s">
        <v>5796</v>
      </c>
      <c r="AQ860" s="87"/>
      <c r="AR860" s="87"/>
    </row>
    <row r="861">
      <c r="A861" s="89">
        <v>33.0</v>
      </c>
      <c r="B861" s="87" t="s">
        <v>5797</v>
      </c>
      <c r="C861" s="88" t="s">
        <v>5798</v>
      </c>
      <c r="D861" s="161"/>
      <c r="E861" s="161"/>
      <c r="F861" s="161"/>
      <c r="G861" s="161"/>
      <c r="H861" s="161"/>
      <c r="I861" s="162"/>
      <c r="J861" s="161"/>
      <c r="K861" s="161"/>
      <c r="L861" s="162"/>
      <c r="M861" s="161"/>
      <c r="N861" s="161"/>
      <c r="O861" s="87" t="s">
        <v>142</v>
      </c>
      <c r="P861" s="161"/>
      <c r="Q861" s="87" t="s">
        <v>5587</v>
      </c>
      <c r="R861" s="161"/>
      <c r="S861" s="173"/>
      <c r="T861" s="161"/>
      <c r="U861" s="173"/>
      <c r="V861" s="87" t="s">
        <v>89</v>
      </c>
      <c r="W861" s="87" t="s">
        <v>218</v>
      </c>
      <c r="X861" s="87" t="s">
        <v>1231</v>
      </c>
      <c r="Y861" s="94">
        <v>42453.0</v>
      </c>
      <c r="Z861" s="162"/>
      <c r="AA861" s="162"/>
      <c r="AB861" s="173"/>
      <c r="AC861" s="81">
        <v>860.0</v>
      </c>
      <c r="AD861" s="173"/>
      <c r="AE861" s="87" t="s">
        <v>67</v>
      </c>
      <c r="AF861" s="173"/>
      <c r="AG861" s="87" t="s">
        <v>130</v>
      </c>
      <c r="AH861" s="173"/>
      <c r="AI861" s="87">
        <v>8.5262766615E10</v>
      </c>
      <c r="AJ861" s="87" t="s">
        <v>5799</v>
      </c>
      <c r="AK861" s="97" t="s">
        <v>5800</v>
      </c>
      <c r="AL861" s="87" t="s">
        <v>5801</v>
      </c>
      <c r="AM861" s="87" t="s">
        <v>73</v>
      </c>
      <c r="AN861" s="87" t="s">
        <v>74</v>
      </c>
      <c r="AO861" s="87" t="s">
        <v>860</v>
      </c>
      <c r="AP861" s="87" t="s">
        <v>5802</v>
      </c>
      <c r="AQ861" s="87">
        <v>0.0</v>
      </c>
      <c r="AR861" s="87">
        <v>0.0</v>
      </c>
    </row>
    <row r="862">
      <c r="A862" s="89">
        <v>34.0</v>
      </c>
      <c r="B862" s="87" t="s">
        <v>5803</v>
      </c>
      <c r="C862" s="88" t="s">
        <v>5804</v>
      </c>
      <c r="D862" s="161"/>
      <c r="E862" s="161"/>
      <c r="F862" s="161"/>
      <c r="G862" s="161"/>
      <c r="H862" s="161"/>
      <c r="I862" s="162"/>
      <c r="J862" s="161"/>
      <c r="K862" s="161"/>
      <c r="L862" s="162"/>
      <c r="M862" s="161"/>
      <c r="N862" s="161"/>
      <c r="O862" s="87" t="s">
        <v>142</v>
      </c>
      <c r="P862" s="161"/>
      <c r="Q862" s="87" t="s">
        <v>5587</v>
      </c>
      <c r="R862" s="161"/>
      <c r="S862" s="173"/>
      <c r="T862" s="161"/>
      <c r="U862" s="173"/>
      <c r="V862" s="87" t="s">
        <v>110</v>
      </c>
      <c r="W862" s="87" t="s">
        <v>5805</v>
      </c>
      <c r="X862" s="87" t="s">
        <v>244</v>
      </c>
      <c r="Y862" s="99">
        <v>38688.0</v>
      </c>
      <c r="Z862" s="162"/>
      <c r="AA862" s="162"/>
      <c r="AB862" s="173"/>
      <c r="AC862" s="81">
        <v>861.0</v>
      </c>
      <c r="AD862" s="173"/>
      <c r="AE862" s="87" t="s">
        <v>67</v>
      </c>
      <c r="AF862" s="173"/>
      <c r="AG862" s="87" t="s">
        <v>130</v>
      </c>
      <c r="AH862" s="173"/>
      <c r="AI862" s="87">
        <v>8.1370022101E10</v>
      </c>
      <c r="AJ862" s="87" t="s">
        <v>5806</v>
      </c>
      <c r="AK862" s="97" t="s">
        <v>5807</v>
      </c>
      <c r="AL862" s="87" t="s">
        <v>5808</v>
      </c>
      <c r="AM862" s="87" t="s">
        <v>73</v>
      </c>
      <c r="AN862" s="87" t="s">
        <v>74</v>
      </c>
      <c r="AO862" s="87" t="s">
        <v>1082</v>
      </c>
      <c r="AP862" s="87" t="s">
        <v>5809</v>
      </c>
      <c r="AQ862" s="87"/>
      <c r="AR862" s="87"/>
    </row>
    <row r="863">
      <c r="A863" s="89">
        <v>35.0</v>
      </c>
      <c r="B863" s="87" t="s">
        <v>5810</v>
      </c>
      <c r="C863" s="88" t="s">
        <v>5811</v>
      </c>
      <c r="D863" s="161"/>
      <c r="E863" s="161"/>
      <c r="F863" s="161"/>
      <c r="G863" s="161"/>
      <c r="H863" s="161"/>
      <c r="I863" s="162"/>
      <c r="J863" s="161"/>
      <c r="K863" s="161"/>
      <c r="L863" s="162"/>
      <c r="M863" s="161"/>
      <c r="N863" s="161"/>
      <c r="O863" s="87" t="s">
        <v>142</v>
      </c>
      <c r="P863" s="161"/>
      <c r="Q863" s="87" t="s">
        <v>5587</v>
      </c>
      <c r="R863" s="161"/>
      <c r="S863" s="173"/>
      <c r="T863" s="161"/>
      <c r="U863" s="173"/>
      <c r="V863" s="87" t="s">
        <v>89</v>
      </c>
      <c r="W863" s="87" t="s">
        <v>5812</v>
      </c>
      <c r="X863" s="87" t="s">
        <v>231</v>
      </c>
      <c r="Y863" s="94">
        <v>40988.0</v>
      </c>
      <c r="Z863" s="162"/>
      <c r="AA863" s="162"/>
      <c r="AB863" s="173"/>
      <c r="AC863" s="81">
        <v>862.0</v>
      </c>
      <c r="AD863" s="173"/>
      <c r="AE863" s="87" t="s">
        <v>67</v>
      </c>
      <c r="AF863" s="173"/>
      <c r="AG863" s="87" t="s">
        <v>68</v>
      </c>
      <c r="AH863" s="173"/>
      <c r="AI863" s="87">
        <v>8.2167377717E10</v>
      </c>
      <c r="AJ863" s="87" t="s">
        <v>5813</v>
      </c>
      <c r="AK863" s="97" t="s">
        <v>5814</v>
      </c>
      <c r="AL863" s="87" t="s">
        <v>5815</v>
      </c>
      <c r="AM863" s="87" t="s">
        <v>1029</v>
      </c>
      <c r="AN863" s="87" t="s">
        <v>514</v>
      </c>
      <c r="AO863" s="87" t="s">
        <v>5816</v>
      </c>
      <c r="AP863" s="87" t="s">
        <v>5817</v>
      </c>
      <c r="AQ863" s="87" t="s">
        <v>77</v>
      </c>
      <c r="AR863" s="87" t="s">
        <v>77</v>
      </c>
    </row>
    <row r="864">
      <c r="A864" s="89">
        <v>36.0</v>
      </c>
      <c r="B864" s="87" t="s">
        <v>5818</v>
      </c>
      <c r="C864" s="88" t="s">
        <v>5819</v>
      </c>
      <c r="D864" s="161"/>
      <c r="E864" s="161"/>
      <c r="F864" s="161"/>
      <c r="G864" s="161"/>
      <c r="H864" s="161"/>
      <c r="I864" s="162"/>
      <c r="J864" s="161"/>
      <c r="K864" s="161"/>
      <c r="L864" s="162"/>
      <c r="M864" s="161"/>
      <c r="N864" s="161"/>
      <c r="O864" s="87" t="s">
        <v>519</v>
      </c>
      <c r="P864" s="161"/>
      <c r="Q864" s="87" t="s">
        <v>5587</v>
      </c>
      <c r="R864" s="161"/>
      <c r="S864" s="173"/>
      <c r="T864" s="161"/>
      <c r="U864" s="173"/>
      <c r="V864" s="87" t="s">
        <v>267</v>
      </c>
      <c r="W864" s="87" t="s">
        <v>5820</v>
      </c>
      <c r="X864" s="87" t="s">
        <v>268</v>
      </c>
      <c r="Y864" s="94">
        <v>37890.0</v>
      </c>
      <c r="Z864" s="162"/>
      <c r="AA864" s="162"/>
      <c r="AB864" s="173"/>
      <c r="AC864" s="81">
        <v>863.0</v>
      </c>
      <c r="AD864" s="173"/>
      <c r="AE864" s="87" t="s">
        <v>220</v>
      </c>
      <c r="AF864" s="173"/>
      <c r="AG864" s="87" t="s">
        <v>68</v>
      </c>
      <c r="AH864" s="173"/>
      <c r="AI864" s="87">
        <v>8.3834374606E10</v>
      </c>
      <c r="AJ864" s="87" t="s">
        <v>5821</v>
      </c>
      <c r="AK864" s="97" t="s">
        <v>5822</v>
      </c>
      <c r="AL864" s="87" t="s">
        <v>5823</v>
      </c>
      <c r="AM864" s="87" t="s">
        <v>96</v>
      </c>
      <c r="AN864" s="87" t="s">
        <v>97</v>
      </c>
      <c r="AO864" s="87" t="s">
        <v>1511</v>
      </c>
      <c r="AP864" s="87" t="s">
        <v>2942</v>
      </c>
      <c r="AQ864" s="87" t="s">
        <v>77</v>
      </c>
      <c r="AR864" s="87" t="s">
        <v>77</v>
      </c>
    </row>
    <row r="865">
      <c r="A865" s="89">
        <v>37.0</v>
      </c>
      <c r="B865" s="87" t="s">
        <v>5824</v>
      </c>
      <c r="C865" s="88" t="s">
        <v>5825</v>
      </c>
      <c r="D865" s="161"/>
      <c r="E865" s="161"/>
      <c r="F865" s="161"/>
      <c r="G865" s="161"/>
      <c r="H865" s="161"/>
      <c r="I865" s="162"/>
      <c r="J865" s="161"/>
      <c r="K865" s="161"/>
      <c r="L865" s="162"/>
      <c r="M865" s="161"/>
      <c r="N865" s="161"/>
      <c r="O865" s="87" t="s">
        <v>142</v>
      </c>
      <c r="P865" s="161"/>
      <c r="Q865" s="87" t="s">
        <v>5587</v>
      </c>
      <c r="R865" s="161"/>
      <c r="S865" s="173"/>
      <c r="T865" s="161"/>
      <c r="U865" s="173"/>
      <c r="V865" s="87" t="s">
        <v>89</v>
      </c>
      <c r="W865" s="87" t="s">
        <v>795</v>
      </c>
      <c r="X865" s="87" t="s">
        <v>2082</v>
      </c>
      <c r="Y865" s="99">
        <v>43867.0</v>
      </c>
      <c r="Z865" s="162"/>
      <c r="AA865" s="162"/>
      <c r="AB865" s="173"/>
      <c r="AC865" s="81">
        <v>864.0</v>
      </c>
      <c r="AD865" s="173"/>
      <c r="AE865" s="87" t="s">
        <v>220</v>
      </c>
      <c r="AF865" s="173"/>
      <c r="AG865" s="87" t="s">
        <v>68</v>
      </c>
      <c r="AH865" s="173"/>
      <c r="AI865" s="87">
        <v>8.2166227495E10</v>
      </c>
      <c r="AJ865" s="87" t="s">
        <v>5826</v>
      </c>
      <c r="AK865" s="97" t="s">
        <v>5827</v>
      </c>
      <c r="AL865" s="87" t="s">
        <v>5828</v>
      </c>
      <c r="AM865" s="87" t="s">
        <v>96</v>
      </c>
      <c r="AN865" s="87" t="s">
        <v>97</v>
      </c>
      <c r="AO865" s="87" t="s">
        <v>1220</v>
      </c>
      <c r="AP865" s="87" t="s">
        <v>3070</v>
      </c>
      <c r="AQ865" s="87"/>
      <c r="AR865" s="87"/>
    </row>
    <row r="866">
      <c r="A866" s="89">
        <v>38.0</v>
      </c>
      <c r="B866" s="87" t="s">
        <v>5829</v>
      </c>
      <c r="C866" s="88" t="s">
        <v>5830</v>
      </c>
      <c r="D866" s="161"/>
      <c r="E866" s="161"/>
      <c r="F866" s="161"/>
      <c r="G866" s="161"/>
      <c r="H866" s="161"/>
      <c r="I866" s="162"/>
      <c r="J866" s="161"/>
      <c r="K866" s="161"/>
      <c r="L866" s="162"/>
      <c r="M866" s="161"/>
      <c r="N866" s="161"/>
      <c r="O866" s="87" t="s">
        <v>519</v>
      </c>
      <c r="P866" s="161"/>
      <c r="Q866" s="87" t="s">
        <v>5587</v>
      </c>
      <c r="R866" s="161"/>
      <c r="S866" s="173"/>
      <c r="T866" s="161"/>
      <c r="U866" s="173"/>
      <c r="V866" s="87" t="s">
        <v>267</v>
      </c>
      <c r="W866" s="87" t="s">
        <v>5831</v>
      </c>
      <c r="X866" s="87" t="s">
        <v>5832</v>
      </c>
      <c r="Y866" s="94">
        <v>36218.0</v>
      </c>
      <c r="Z866" s="162"/>
      <c r="AA866" s="162"/>
      <c r="AB866" s="173"/>
      <c r="AC866" s="81">
        <v>865.0</v>
      </c>
      <c r="AD866" s="173"/>
      <c r="AE866" s="87" t="s">
        <v>220</v>
      </c>
      <c r="AF866" s="173"/>
      <c r="AG866" s="87" t="s">
        <v>130</v>
      </c>
      <c r="AH866" s="173"/>
      <c r="AI866" s="87">
        <v>8.1396879737E10</v>
      </c>
      <c r="AJ866" s="87" t="s">
        <v>5833</v>
      </c>
      <c r="AK866" s="97" t="s">
        <v>5834</v>
      </c>
      <c r="AL866" s="87" t="s">
        <v>5835</v>
      </c>
      <c r="AM866" s="87" t="s">
        <v>73</v>
      </c>
      <c r="AN866" s="87" t="s">
        <v>74</v>
      </c>
      <c r="AO866" s="87" t="s">
        <v>191</v>
      </c>
      <c r="AP866" s="87" t="s">
        <v>5836</v>
      </c>
      <c r="AQ866" s="87">
        <v>0.0</v>
      </c>
      <c r="AR866" s="87">
        <v>0.0</v>
      </c>
    </row>
    <row r="867">
      <c r="A867" s="89">
        <v>39.0</v>
      </c>
      <c r="B867" s="87" t="s">
        <v>5837</v>
      </c>
      <c r="C867" s="88" t="s">
        <v>5838</v>
      </c>
      <c r="D867" s="161"/>
      <c r="E867" s="161"/>
      <c r="F867" s="161"/>
      <c r="G867" s="161"/>
      <c r="H867" s="161"/>
      <c r="I867" s="162"/>
      <c r="J867" s="161"/>
      <c r="K867" s="161"/>
      <c r="L867" s="162"/>
      <c r="M867" s="161"/>
      <c r="N867" s="161"/>
      <c r="O867" s="87" t="s">
        <v>142</v>
      </c>
      <c r="P867" s="161"/>
      <c r="Q867" s="87" t="s">
        <v>5587</v>
      </c>
      <c r="R867" s="161"/>
      <c r="S867" s="173"/>
      <c r="T867" s="161"/>
      <c r="U867" s="173"/>
      <c r="V867" s="87" t="s">
        <v>89</v>
      </c>
      <c r="W867" s="87" t="s">
        <v>4843</v>
      </c>
      <c r="X867" s="87" t="s">
        <v>5839</v>
      </c>
      <c r="Y867" s="94">
        <v>41265.0</v>
      </c>
      <c r="Z867" s="162"/>
      <c r="AA867" s="162"/>
      <c r="AB867" s="173"/>
      <c r="AC867" s="81">
        <v>866.0</v>
      </c>
      <c r="AD867" s="173"/>
      <c r="AE867" s="87" t="s">
        <v>67</v>
      </c>
      <c r="AF867" s="173"/>
      <c r="AG867" s="87" t="s">
        <v>130</v>
      </c>
      <c r="AH867" s="173"/>
      <c r="AI867" s="87">
        <v>8.2162882487E10</v>
      </c>
      <c r="AJ867" s="87" t="s">
        <v>5840</v>
      </c>
      <c r="AK867" s="97" t="s">
        <v>5841</v>
      </c>
      <c r="AL867" s="87" t="s">
        <v>5842</v>
      </c>
      <c r="AM867" s="87" t="s">
        <v>73</v>
      </c>
      <c r="AN867" s="87" t="s">
        <v>74</v>
      </c>
      <c r="AO867" s="87" t="s">
        <v>5707</v>
      </c>
      <c r="AP867" s="87" t="s">
        <v>5843</v>
      </c>
      <c r="AQ867" s="87"/>
      <c r="AR867" s="87"/>
    </row>
    <row r="868">
      <c r="A868" s="89">
        <v>40.0</v>
      </c>
      <c r="B868" s="87" t="s">
        <v>5844</v>
      </c>
      <c r="C868" s="88" t="s">
        <v>5845</v>
      </c>
      <c r="D868" s="161"/>
      <c r="E868" s="161"/>
      <c r="F868" s="161"/>
      <c r="G868" s="161"/>
      <c r="H868" s="161"/>
      <c r="I868" s="162"/>
      <c r="J868" s="161"/>
      <c r="K868" s="161"/>
      <c r="L868" s="162"/>
      <c r="M868" s="161"/>
      <c r="N868" s="161"/>
      <c r="O868" s="87" t="s">
        <v>142</v>
      </c>
      <c r="P868" s="161"/>
      <c r="Q868" s="87" t="s">
        <v>5587</v>
      </c>
      <c r="R868" s="161"/>
      <c r="S868" s="173"/>
      <c r="T868" s="161"/>
      <c r="U868" s="173"/>
      <c r="V868" s="87" t="s">
        <v>89</v>
      </c>
      <c r="W868" s="87" t="s">
        <v>218</v>
      </c>
      <c r="X868" s="87" t="s">
        <v>5846</v>
      </c>
      <c r="Y868" s="94">
        <v>45680.0</v>
      </c>
      <c r="Z868" s="162"/>
      <c r="AA868" s="162"/>
      <c r="AB868" s="173"/>
      <c r="AC868" s="81">
        <v>867.0</v>
      </c>
      <c r="AD868" s="173"/>
      <c r="AE868" s="87" t="s">
        <v>220</v>
      </c>
      <c r="AF868" s="173"/>
      <c r="AG868" s="87" t="s">
        <v>68</v>
      </c>
      <c r="AH868" s="173"/>
      <c r="AI868" s="87">
        <v>8.2276262E10</v>
      </c>
      <c r="AJ868" s="87" t="s">
        <v>5847</v>
      </c>
      <c r="AK868" s="97" t="s">
        <v>5848</v>
      </c>
      <c r="AL868" s="87" t="s">
        <v>5849</v>
      </c>
      <c r="AM868" s="87" t="s">
        <v>732</v>
      </c>
      <c r="AN868" s="87" t="s">
        <v>3615</v>
      </c>
      <c r="AO868" s="87" t="s">
        <v>5850</v>
      </c>
      <c r="AP868" s="87" t="s">
        <v>5851</v>
      </c>
      <c r="AQ868" s="87"/>
      <c r="AR868" s="87"/>
    </row>
    <row r="869">
      <c r="A869" s="89">
        <v>41.0</v>
      </c>
      <c r="B869" s="87" t="s">
        <v>5852</v>
      </c>
      <c r="C869" s="88" t="s">
        <v>5853</v>
      </c>
      <c r="D869" s="161"/>
      <c r="E869" s="161"/>
      <c r="F869" s="161"/>
      <c r="G869" s="161"/>
      <c r="H869" s="161"/>
      <c r="I869" s="162"/>
      <c r="J869" s="161"/>
      <c r="K869" s="161"/>
      <c r="L869" s="162"/>
      <c r="M869" s="161"/>
      <c r="N869" s="161"/>
      <c r="O869" s="87" t="s">
        <v>142</v>
      </c>
      <c r="P869" s="161"/>
      <c r="Q869" s="87" t="s">
        <v>5587</v>
      </c>
      <c r="R869" s="161"/>
      <c r="S869" s="173"/>
      <c r="T869" s="161"/>
      <c r="U869" s="173"/>
      <c r="V869" s="87" t="s">
        <v>89</v>
      </c>
      <c r="W869" s="87"/>
      <c r="X869" s="87" t="s">
        <v>3824</v>
      </c>
      <c r="Y869" s="94">
        <v>44466.0</v>
      </c>
      <c r="Z869" s="162"/>
      <c r="AA869" s="162"/>
      <c r="AB869" s="173"/>
      <c r="AC869" s="81">
        <v>868.0</v>
      </c>
      <c r="AD869" s="173"/>
      <c r="AE869" s="87" t="s">
        <v>67</v>
      </c>
      <c r="AF869" s="173"/>
      <c r="AG869" s="87" t="s">
        <v>130</v>
      </c>
      <c r="AH869" s="173"/>
      <c r="AI869" s="87">
        <v>8.1367199336E10</v>
      </c>
      <c r="AJ869" s="87" t="s">
        <v>5854</v>
      </c>
      <c r="AK869" s="97" t="s">
        <v>5855</v>
      </c>
      <c r="AL869" s="87" t="s">
        <v>5856</v>
      </c>
      <c r="AM869" s="87" t="s">
        <v>73</v>
      </c>
      <c r="AN869" s="87" t="s">
        <v>74</v>
      </c>
      <c r="AO869" s="87" t="s">
        <v>1082</v>
      </c>
      <c r="AP869" s="87" t="s">
        <v>1083</v>
      </c>
      <c r="AQ869" s="87">
        <v>0.0</v>
      </c>
      <c r="AR869" s="87">
        <v>0.0</v>
      </c>
    </row>
    <row r="870">
      <c r="A870" s="89">
        <v>42.0</v>
      </c>
      <c r="B870" s="87" t="s">
        <v>5857</v>
      </c>
      <c r="C870" s="88" t="s">
        <v>5858</v>
      </c>
      <c r="D870" s="161"/>
      <c r="E870" s="161"/>
      <c r="F870" s="161"/>
      <c r="G870" s="161"/>
      <c r="H870" s="161"/>
      <c r="I870" s="162"/>
      <c r="J870" s="161"/>
      <c r="K870" s="161"/>
      <c r="L870" s="162"/>
      <c r="M870" s="161"/>
      <c r="N870" s="161"/>
      <c r="O870" s="87" t="s">
        <v>532</v>
      </c>
      <c r="P870" s="161"/>
      <c r="Q870" s="87" t="s">
        <v>5587</v>
      </c>
      <c r="R870" s="161"/>
      <c r="S870" s="173"/>
      <c r="T870" s="161"/>
      <c r="U870" s="173"/>
      <c r="V870" s="87" t="s">
        <v>285</v>
      </c>
      <c r="W870" s="87" t="s">
        <v>1035</v>
      </c>
      <c r="X870" s="87" t="s">
        <v>5859</v>
      </c>
      <c r="Y870" s="94">
        <v>39657.0</v>
      </c>
      <c r="Z870" s="162"/>
      <c r="AA870" s="162"/>
      <c r="AB870" s="173"/>
      <c r="AC870" s="81">
        <v>869.0</v>
      </c>
      <c r="AD870" s="173"/>
      <c r="AE870" s="87" t="s">
        <v>67</v>
      </c>
      <c r="AF870" s="173"/>
      <c r="AG870" s="87" t="s">
        <v>68</v>
      </c>
      <c r="AH870" s="173"/>
      <c r="AI870" s="87">
        <v>8.1263771837E10</v>
      </c>
      <c r="AJ870" s="87" t="s">
        <v>5860</v>
      </c>
      <c r="AK870" s="97" t="s">
        <v>5861</v>
      </c>
      <c r="AL870" s="87" t="s">
        <v>5862</v>
      </c>
      <c r="AM870" s="87" t="s">
        <v>73</v>
      </c>
      <c r="AN870" s="87" t="s">
        <v>166</v>
      </c>
      <c r="AO870" s="87" t="s">
        <v>167</v>
      </c>
      <c r="AP870" s="87" t="s">
        <v>455</v>
      </c>
      <c r="AQ870" s="87"/>
      <c r="AR870" s="87"/>
    </row>
    <row r="871">
      <c r="A871" s="89">
        <v>43.0</v>
      </c>
      <c r="B871" s="87" t="s">
        <v>5863</v>
      </c>
      <c r="C871" s="88" t="s">
        <v>5864</v>
      </c>
      <c r="D871" s="161"/>
      <c r="E871" s="161"/>
      <c r="F871" s="161"/>
      <c r="G871" s="161"/>
      <c r="H871" s="161"/>
      <c r="I871" s="162"/>
      <c r="J871" s="161"/>
      <c r="K871" s="161"/>
      <c r="L871" s="162"/>
      <c r="M871" s="161"/>
      <c r="N871" s="161"/>
      <c r="O871" s="87" t="s">
        <v>532</v>
      </c>
      <c r="P871" s="161"/>
      <c r="Q871" s="87" t="s">
        <v>5587</v>
      </c>
      <c r="R871" s="161"/>
      <c r="S871" s="173"/>
      <c r="T871" s="161"/>
      <c r="U871" s="173"/>
      <c r="V871" s="87"/>
      <c r="W871" s="87"/>
      <c r="X871" s="87"/>
      <c r="Y871" s="100"/>
      <c r="Z871" s="162"/>
      <c r="AA871" s="162"/>
      <c r="AB871" s="173"/>
      <c r="AC871" s="81">
        <v>870.0</v>
      </c>
      <c r="AD871" s="173"/>
      <c r="AE871" s="87" t="s">
        <v>67</v>
      </c>
      <c r="AF871" s="173"/>
      <c r="AG871" s="87" t="s">
        <v>68</v>
      </c>
      <c r="AH871" s="173"/>
      <c r="AI871" s="87">
        <v>8.3897921207E10</v>
      </c>
      <c r="AJ871" s="87" t="s">
        <v>5865</v>
      </c>
      <c r="AK871" s="97" t="s">
        <v>5866</v>
      </c>
      <c r="AL871" s="87" t="s">
        <v>5867</v>
      </c>
      <c r="AM871" s="87" t="s">
        <v>73</v>
      </c>
      <c r="AN871" s="87" t="s">
        <v>74</v>
      </c>
      <c r="AO871" s="87" t="s">
        <v>925</v>
      </c>
      <c r="AP871" s="87" t="s">
        <v>5868</v>
      </c>
      <c r="AQ871" s="87" t="s">
        <v>77</v>
      </c>
      <c r="AR871" s="87" t="s">
        <v>77</v>
      </c>
    </row>
    <row r="872">
      <c r="A872" s="89">
        <v>44.0</v>
      </c>
      <c r="B872" s="87" t="s">
        <v>5869</v>
      </c>
      <c r="C872" s="88" t="s">
        <v>5870</v>
      </c>
      <c r="D872" s="161"/>
      <c r="E872" s="161"/>
      <c r="F872" s="161"/>
      <c r="G872" s="161"/>
      <c r="H872" s="161"/>
      <c r="I872" s="162"/>
      <c r="J872" s="161"/>
      <c r="K872" s="161"/>
      <c r="L872" s="162"/>
      <c r="M872" s="161"/>
      <c r="N872" s="161"/>
      <c r="O872" s="87" t="s">
        <v>532</v>
      </c>
      <c r="P872" s="161"/>
      <c r="Q872" s="87" t="s">
        <v>5587</v>
      </c>
      <c r="R872" s="161"/>
      <c r="S872" s="173"/>
      <c r="T872" s="161"/>
      <c r="U872" s="173"/>
      <c r="V872" s="87" t="s">
        <v>285</v>
      </c>
      <c r="W872" s="87" t="s">
        <v>1035</v>
      </c>
      <c r="X872" s="87" t="s">
        <v>5871</v>
      </c>
      <c r="Y872" s="94">
        <v>36309.0</v>
      </c>
      <c r="Z872" s="162"/>
      <c r="AA872" s="162"/>
      <c r="AB872" s="173"/>
      <c r="AC872" s="81">
        <v>871.0</v>
      </c>
      <c r="AD872" s="173"/>
      <c r="AE872" s="87" t="s">
        <v>67</v>
      </c>
      <c r="AF872" s="173"/>
      <c r="AG872" s="87" t="s">
        <v>130</v>
      </c>
      <c r="AH872" s="173"/>
      <c r="AI872" s="87" t="s">
        <v>5872</v>
      </c>
      <c r="AJ872" s="87" t="s">
        <v>5873</v>
      </c>
      <c r="AK872" s="97" t="s">
        <v>5874</v>
      </c>
      <c r="AL872" s="87" t="s">
        <v>5875</v>
      </c>
      <c r="AM872" s="87" t="s">
        <v>96</v>
      </c>
      <c r="AN872" s="87" t="s">
        <v>97</v>
      </c>
      <c r="AO872" s="87" t="s">
        <v>5876</v>
      </c>
      <c r="AP872" s="87" t="s">
        <v>5877</v>
      </c>
      <c r="AQ872" s="87"/>
      <c r="AR872" s="87"/>
    </row>
    <row r="873">
      <c r="A873" s="232">
        <v>45.0</v>
      </c>
      <c r="B873" s="233" t="s">
        <v>5878</v>
      </c>
      <c r="C873" s="234" t="s">
        <v>5879</v>
      </c>
      <c r="D873" s="235"/>
      <c r="E873" s="235"/>
      <c r="F873" s="235"/>
      <c r="G873" s="235"/>
      <c r="H873" s="235"/>
      <c r="I873" s="236"/>
      <c r="J873" s="235"/>
      <c r="K873" s="235"/>
      <c r="L873" s="236"/>
      <c r="M873" s="235"/>
      <c r="N873" s="235"/>
      <c r="O873" s="233" t="s">
        <v>532</v>
      </c>
      <c r="P873" s="235"/>
      <c r="Q873" s="233" t="s">
        <v>5587</v>
      </c>
      <c r="R873" s="235"/>
      <c r="S873" s="237"/>
      <c r="T873" s="235"/>
      <c r="U873" s="237"/>
      <c r="V873" s="233" t="s">
        <v>285</v>
      </c>
      <c r="W873" s="233" t="s">
        <v>5880</v>
      </c>
      <c r="X873" s="233" t="s">
        <v>5881</v>
      </c>
      <c r="Y873" s="238" t="s">
        <v>1104</v>
      </c>
      <c r="Z873" s="236"/>
      <c r="AA873" s="236"/>
      <c r="AB873" s="237"/>
      <c r="AC873" s="81">
        <v>872.0</v>
      </c>
      <c r="AD873" s="237"/>
      <c r="AE873" s="233" t="s">
        <v>67</v>
      </c>
      <c r="AF873" s="237"/>
      <c r="AG873" s="233" t="s">
        <v>130</v>
      </c>
      <c r="AH873" s="237"/>
      <c r="AI873" s="233">
        <v>8.3834150302E10</v>
      </c>
      <c r="AJ873" s="233" t="s">
        <v>5882</v>
      </c>
      <c r="AK873" s="239" t="s">
        <v>5883</v>
      </c>
      <c r="AL873" s="233" t="s">
        <v>5884</v>
      </c>
      <c r="AM873" s="233"/>
      <c r="AN873" s="233" t="s">
        <v>5885</v>
      </c>
      <c r="AO873" s="233" t="s">
        <v>1030</v>
      </c>
      <c r="AP873" s="233" t="s">
        <v>2649</v>
      </c>
      <c r="AQ873" s="233"/>
      <c r="AR873" s="233"/>
    </row>
    <row r="874">
      <c r="A874" s="240"/>
      <c r="B874" s="241"/>
      <c r="C874" s="240"/>
      <c r="D874" s="240"/>
      <c r="E874" s="240"/>
      <c r="F874" s="240"/>
      <c r="G874" s="240"/>
      <c r="H874" s="240"/>
      <c r="I874" s="241"/>
      <c r="J874" s="240"/>
      <c r="K874" s="240"/>
      <c r="L874" s="241"/>
      <c r="M874" s="240"/>
      <c r="N874" s="240"/>
      <c r="O874" s="241"/>
      <c r="P874" s="240"/>
      <c r="Q874" s="241"/>
      <c r="R874" s="240"/>
      <c r="S874" s="241"/>
      <c r="T874" s="240"/>
      <c r="U874" s="241"/>
      <c r="V874" s="241"/>
      <c r="W874" s="241"/>
      <c r="X874" s="241"/>
      <c r="Y874" s="242"/>
      <c r="Z874" s="241"/>
      <c r="AA874" s="241"/>
      <c r="AB874" s="241"/>
      <c r="AC874" s="81">
        <v>873.0</v>
      </c>
      <c r="AD874" s="241"/>
      <c r="AE874" s="241"/>
      <c r="AF874" s="241"/>
      <c r="AG874" s="241"/>
      <c r="AH874" s="241"/>
      <c r="AI874" s="241"/>
      <c r="AJ874" s="241"/>
      <c r="AK874" s="243"/>
      <c r="AL874" s="241"/>
      <c r="AM874" s="241"/>
      <c r="AN874" s="241"/>
      <c r="AO874" s="241"/>
      <c r="AP874" s="241"/>
      <c r="AQ874" s="241"/>
      <c r="AR874" s="241"/>
    </row>
    <row r="875">
      <c r="A875" s="2"/>
      <c r="B875" s="3"/>
      <c r="C875" s="6"/>
      <c r="D875" s="2"/>
      <c r="E875" s="2"/>
      <c r="F875" s="2"/>
      <c r="G875" s="2"/>
      <c r="H875" s="2"/>
      <c r="I875" s="3"/>
      <c r="J875" s="2"/>
      <c r="K875" s="2"/>
      <c r="L875" s="3"/>
      <c r="M875" s="2"/>
      <c r="N875" s="2"/>
      <c r="O875" s="3"/>
      <c r="P875" s="2"/>
      <c r="Q875" s="3"/>
      <c r="R875" s="2"/>
      <c r="S875" s="4"/>
      <c r="T875" s="2"/>
      <c r="U875" s="4"/>
      <c r="V875" s="3"/>
      <c r="W875" s="4"/>
      <c r="X875" s="3"/>
      <c r="Y875" s="4"/>
      <c r="Z875" s="3"/>
      <c r="AA875" s="3"/>
      <c r="AB875" s="4"/>
      <c r="AC875" s="81"/>
      <c r="AD875" s="4"/>
      <c r="AE875" s="4"/>
      <c r="AF875" s="4"/>
      <c r="AG875" s="4"/>
      <c r="AH875" s="4"/>
      <c r="AI875" s="4"/>
      <c r="AJ875" s="4"/>
      <c r="AK875" s="5"/>
      <c r="AL875" s="4"/>
      <c r="AM875" s="4"/>
      <c r="AN875" s="4"/>
      <c r="AO875" s="4"/>
      <c r="AP875" s="4"/>
      <c r="AQ875" s="4"/>
      <c r="AR875" s="4"/>
    </row>
    <row r="876">
      <c r="A876" s="2"/>
      <c r="B876" s="3"/>
      <c r="C876" s="6"/>
      <c r="D876" s="2"/>
      <c r="E876" s="2"/>
      <c r="F876" s="2"/>
      <c r="G876" s="2"/>
      <c r="H876" s="2"/>
      <c r="I876" s="3"/>
      <c r="J876" s="2"/>
      <c r="K876" s="2"/>
      <c r="L876" s="3"/>
      <c r="M876" s="2"/>
      <c r="N876" s="2"/>
      <c r="O876" s="3"/>
      <c r="P876" s="2"/>
      <c r="Q876" s="3"/>
      <c r="R876" s="2"/>
      <c r="S876" s="4"/>
      <c r="T876" s="2"/>
      <c r="U876" s="4"/>
      <c r="V876" s="3"/>
      <c r="W876" s="4"/>
      <c r="X876" s="3"/>
      <c r="Y876" s="4"/>
      <c r="Z876" s="3"/>
      <c r="AA876" s="3"/>
      <c r="AB876" s="4"/>
      <c r="AC876" s="81"/>
      <c r="AD876" s="4"/>
      <c r="AE876" s="4"/>
      <c r="AF876" s="4"/>
      <c r="AG876" s="4"/>
      <c r="AH876" s="4"/>
      <c r="AI876" s="4"/>
      <c r="AJ876" s="4"/>
      <c r="AK876" s="5"/>
      <c r="AL876" s="4"/>
      <c r="AM876" s="4"/>
      <c r="AN876" s="4"/>
      <c r="AO876" s="4"/>
      <c r="AP876" s="4"/>
      <c r="AQ876" s="4"/>
      <c r="AR876" s="4"/>
    </row>
    <row r="877">
      <c r="A877" s="2"/>
      <c r="B877" s="3"/>
      <c r="C877" s="6"/>
      <c r="D877" s="2"/>
      <c r="E877" s="2"/>
      <c r="F877" s="2"/>
      <c r="G877" s="2"/>
      <c r="H877" s="2"/>
      <c r="I877" s="3"/>
      <c r="J877" s="2"/>
      <c r="K877" s="2"/>
      <c r="L877" s="3"/>
      <c r="M877" s="2"/>
      <c r="N877" s="2"/>
      <c r="O877" s="3"/>
      <c r="P877" s="2"/>
      <c r="Q877" s="3"/>
      <c r="R877" s="2"/>
      <c r="S877" s="4"/>
      <c r="T877" s="2"/>
      <c r="U877" s="4"/>
      <c r="V877" s="3"/>
      <c r="W877" s="4"/>
      <c r="X877" s="3"/>
      <c r="Y877" s="4"/>
      <c r="Z877" s="3"/>
      <c r="AA877" s="3"/>
      <c r="AB877" s="4"/>
      <c r="AC877" s="81"/>
      <c r="AD877" s="4"/>
      <c r="AE877" s="4"/>
      <c r="AF877" s="4"/>
      <c r="AG877" s="4"/>
      <c r="AH877" s="4"/>
      <c r="AI877" s="4"/>
      <c r="AJ877" s="4"/>
      <c r="AK877" s="5"/>
      <c r="AL877" s="4"/>
      <c r="AM877" s="4"/>
      <c r="AN877" s="4"/>
      <c r="AO877" s="4"/>
      <c r="AP877" s="4"/>
      <c r="AQ877" s="4"/>
      <c r="AR877" s="4"/>
    </row>
    <row r="878">
      <c r="A878" s="2"/>
      <c r="B878" s="3"/>
      <c r="C878" s="6"/>
      <c r="D878" s="2"/>
      <c r="E878" s="2"/>
      <c r="F878" s="2"/>
      <c r="G878" s="2"/>
      <c r="H878" s="2"/>
      <c r="I878" s="3"/>
      <c r="J878" s="2"/>
      <c r="K878" s="2"/>
      <c r="L878" s="3"/>
      <c r="M878" s="2"/>
      <c r="N878" s="2"/>
      <c r="O878" s="3"/>
      <c r="P878" s="2"/>
      <c r="Q878" s="3"/>
      <c r="R878" s="2"/>
      <c r="S878" s="4"/>
      <c r="T878" s="2"/>
      <c r="U878" s="4"/>
      <c r="V878" s="3"/>
      <c r="W878" s="4"/>
      <c r="X878" s="3"/>
      <c r="Y878" s="4"/>
      <c r="Z878" s="3"/>
      <c r="AA878" s="3"/>
      <c r="AB878" s="4"/>
      <c r="AC878" s="81"/>
      <c r="AD878" s="4"/>
      <c r="AE878" s="4"/>
      <c r="AF878" s="4"/>
      <c r="AG878" s="4"/>
      <c r="AH878" s="4"/>
      <c r="AI878" s="4"/>
      <c r="AJ878" s="4"/>
      <c r="AK878" s="5"/>
      <c r="AL878" s="4"/>
      <c r="AM878" s="4"/>
      <c r="AN878" s="4"/>
      <c r="AO878" s="4"/>
      <c r="AP878" s="4"/>
      <c r="AQ878" s="4"/>
      <c r="AR878" s="4"/>
    </row>
    <row r="879">
      <c r="A879" s="2"/>
      <c r="B879" s="3"/>
      <c r="C879" s="6"/>
      <c r="D879" s="2"/>
      <c r="E879" s="2"/>
      <c r="F879" s="2"/>
      <c r="G879" s="2"/>
      <c r="H879" s="2"/>
      <c r="I879" s="3"/>
      <c r="J879" s="2"/>
      <c r="K879" s="2"/>
      <c r="L879" s="3"/>
      <c r="M879" s="2"/>
      <c r="N879" s="2"/>
      <c r="O879" s="3"/>
      <c r="P879" s="2"/>
      <c r="Q879" s="3"/>
      <c r="R879" s="2"/>
      <c r="S879" s="4"/>
      <c r="T879" s="2"/>
      <c r="U879" s="4"/>
      <c r="V879" s="3"/>
      <c r="W879" s="4"/>
      <c r="X879" s="3"/>
      <c r="Y879" s="4"/>
      <c r="Z879" s="3"/>
      <c r="AA879" s="3"/>
      <c r="AB879" s="4"/>
      <c r="AC879" s="81"/>
      <c r="AD879" s="4"/>
      <c r="AE879" s="4"/>
      <c r="AF879" s="4"/>
      <c r="AG879" s="4"/>
      <c r="AH879" s="4"/>
      <c r="AI879" s="4"/>
      <c r="AJ879" s="4"/>
      <c r="AK879" s="5"/>
      <c r="AL879" s="4"/>
      <c r="AM879" s="4"/>
      <c r="AN879" s="4"/>
      <c r="AO879" s="4"/>
      <c r="AP879" s="4"/>
      <c r="AQ879" s="4"/>
      <c r="AR879" s="4"/>
    </row>
    <row r="880">
      <c r="A880" s="2"/>
      <c r="B880" s="3"/>
      <c r="C880" s="6"/>
      <c r="D880" s="2"/>
      <c r="E880" s="2"/>
      <c r="F880" s="2"/>
      <c r="G880" s="2"/>
      <c r="H880" s="2"/>
      <c r="I880" s="3"/>
      <c r="J880" s="2"/>
      <c r="K880" s="2"/>
      <c r="L880" s="3"/>
      <c r="M880" s="2"/>
      <c r="N880" s="2"/>
      <c r="O880" s="3"/>
      <c r="P880" s="2"/>
      <c r="Q880" s="3"/>
      <c r="R880" s="2"/>
      <c r="S880" s="4"/>
      <c r="T880" s="2"/>
      <c r="U880" s="4"/>
      <c r="V880" s="3"/>
      <c r="W880" s="4"/>
      <c r="X880" s="3"/>
      <c r="Y880" s="4"/>
      <c r="Z880" s="3"/>
      <c r="AA880" s="3"/>
      <c r="AB880" s="4"/>
      <c r="AC880" s="81"/>
      <c r="AD880" s="4"/>
      <c r="AE880" s="4"/>
      <c r="AF880" s="4"/>
      <c r="AG880" s="4"/>
      <c r="AH880" s="4"/>
      <c r="AI880" s="4"/>
      <c r="AJ880" s="4"/>
      <c r="AK880" s="5"/>
      <c r="AL880" s="4"/>
      <c r="AM880" s="4"/>
      <c r="AN880" s="4"/>
      <c r="AO880" s="4"/>
      <c r="AP880" s="4"/>
      <c r="AQ880" s="4"/>
      <c r="AR880" s="4"/>
    </row>
    <row r="881">
      <c r="A881" s="2"/>
      <c r="B881" s="3"/>
      <c r="C881" s="6"/>
      <c r="D881" s="2"/>
      <c r="E881" s="2"/>
      <c r="F881" s="2"/>
      <c r="G881" s="2"/>
      <c r="H881" s="2"/>
      <c r="I881" s="3"/>
      <c r="J881" s="2"/>
      <c r="K881" s="2"/>
      <c r="L881" s="3"/>
      <c r="M881" s="2"/>
      <c r="N881" s="2"/>
      <c r="O881" s="3"/>
      <c r="P881" s="2"/>
      <c r="Q881" s="3"/>
      <c r="R881" s="2"/>
      <c r="S881" s="4"/>
      <c r="T881" s="2"/>
      <c r="U881" s="4"/>
      <c r="V881" s="3"/>
      <c r="W881" s="4"/>
      <c r="X881" s="3"/>
      <c r="Y881" s="4"/>
      <c r="Z881" s="3"/>
      <c r="AA881" s="3"/>
      <c r="AB881" s="4"/>
      <c r="AC881" s="81"/>
      <c r="AD881" s="4"/>
      <c r="AE881" s="4"/>
      <c r="AF881" s="4"/>
      <c r="AG881" s="4"/>
      <c r="AH881" s="4"/>
      <c r="AI881" s="4"/>
      <c r="AJ881" s="4"/>
      <c r="AK881" s="5"/>
      <c r="AL881" s="4"/>
      <c r="AM881" s="4"/>
      <c r="AN881" s="4"/>
      <c r="AO881" s="4"/>
      <c r="AP881" s="4"/>
      <c r="AQ881" s="4"/>
      <c r="AR881" s="4"/>
    </row>
    <row r="882">
      <c r="A882" s="2"/>
      <c r="B882" s="3"/>
      <c r="C882" s="6"/>
      <c r="D882" s="2"/>
      <c r="E882" s="2"/>
      <c r="F882" s="2"/>
      <c r="G882" s="2"/>
      <c r="H882" s="2"/>
      <c r="I882" s="3"/>
      <c r="J882" s="2"/>
      <c r="K882" s="2"/>
      <c r="L882" s="3"/>
      <c r="M882" s="2"/>
      <c r="N882" s="2"/>
      <c r="O882" s="3"/>
      <c r="P882" s="2"/>
      <c r="Q882" s="3"/>
      <c r="R882" s="2"/>
      <c r="S882" s="4"/>
      <c r="T882" s="2"/>
      <c r="U882" s="4"/>
      <c r="V882" s="3"/>
      <c r="W882" s="4"/>
      <c r="X882" s="3"/>
      <c r="Y882" s="4"/>
      <c r="Z882" s="3"/>
      <c r="AA882" s="3"/>
      <c r="AB882" s="4"/>
      <c r="AC882" s="81"/>
      <c r="AD882" s="4"/>
      <c r="AE882" s="4"/>
      <c r="AF882" s="4"/>
      <c r="AG882" s="4"/>
      <c r="AH882" s="4"/>
      <c r="AI882" s="4"/>
      <c r="AJ882" s="4"/>
      <c r="AK882" s="5"/>
      <c r="AL882" s="4"/>
      <c r="AM882" s="4"/>
      <c r="AN882" s="4"/>
      <c r="AO882" s="4"/>
      <c r="AP882" s="4"/>
      <c r="AQ882" s="4"/>
      <c r="AR882" s="4"/>
    </row>
    <row r="883">
      <c r="A883" s="2"/>
      <c r="B883" s="3"/>
      <c r="C883" s="6"/>
      <c r="D883" s="2"/>
      <c r="E883" s="2"/>
      <c r="F883" s="2"/>
      <c r="G883" s="2"/>
      <c r="H883" s="2"/>
      <c r="I883" s="3"/>
      <c r="J883" s="2"/>
      <c r="K883" s="2"/>
      <c r="L883" s="3"/>
      <c r="M883" s="2"/>
      <c r="N883" s="2"/>
      <c r="O883" s="3"/>
      <c r="P883" s="2"/>
      <c r="Q883" s="3"/>
      <c r="R883" s="2"/>
      <c r="S883" s="4"/>
      <c r="T883" s="2"/>
      <c r="U883" s="4"/>
      <c r="V883" s="3"/>
      <c r="W883" s="4"/>
      <c r="X883" s="3"/>
      <c r="Y883" s="4"/>
      <c r="Z883" s="3"/>
      <c r="AA883" s="3"/>
      <c r="AB883" s="4"/>
      <c r="AC883" s="81"/>
      <c r="AD883" s="4"/>
      <c r="AE883" s="4"/>
      <c r="AF883" s="4"/>
      <c r="AG883" s="4"/>
      <c r="AH883" s="4"/>
      <c r="AI883" s="4"/>
      <c r="AJ883" s="4"/>
      <c r="AK883" s="5"/>
      <c r="AL883" s="4"/>
      <c r="AM883" s="4"/>
      <c r="AN883" s="4"/>
      <c r="AO883" s="4"/>
      <c r="AP883" s="4"/>
      <c r="AQ883" s="4"/>
      <c r="AR883" s="4"/>
    </row>
    <row r="884">
      <c r="A884" s="2"/>
      <c r="B884" s="3"/>
      <c r="C884" s="6"/>
      <c r="D884" s="2"/>
      <c r="E884" s="2"/>
      <c r="F884" s="2"/>
      <c r="G884" s="2"/>
      <c r="H884" s="2"/>
      <c r="I884" s="3"/>
      <c r="J884" s="2"/>
      <c r="K884" s="2"/>
      <c r="L884" s="3"/>
      <c r="M884" s="2"/>
      <c r="N884" s="2"/>
      <c r="O884" s="3"/>
      <c r="P884" s="2"/>
      <c r="Q884" s="3"/>
      <c r="R884" s="2"/>
      <c r="S884" s="4"/>
      <c r="T884" s="2"/>
      <c r="U884" s="4"/>
      <c r="V884" s="3"/>
      <c r="W884" s="4"/>
      <c r="X884" s="3"/>
      <c r="Y884" s="4"/>
      <c r="Z884" s="3"/>
      <c r="AA884" s="3"/>
      <c r="AB884" s="4"/>
      <c r="AC884" s="81"/>
      <c r="AD884" s="4"/>
      <c r="AE884" s="4"/>
      <c r="AF884" s="4"/>
      <c r="AG884" s="4"/>
      <c r="AH884" s="4"/>
      <c r="AI884" s="4"/>
      <c r="AJ884" s="4"/>
      <c r="AK884" s="5"/>
      <c r="AL884" s="4"/>
      <c r="AM884" s="4"/>
      <c r="AN884" s="4"/>
      <c r="AO884" s="4"/>
      <c r="AP884" s="4"/>
      <c r="AQ884" s="4"/>
      <c r="AR884" s="4"/>
    </row>
    <row r="885">
      <c r="A885" s="2"/>
      <c r="B885" s="3"/>
      <c r="C885" s="6"/>
      <c r="D885" s="2"/>
      <c r="E885" s="2"/>
      <c r="F885" s="2"/>
      <c r="G885" s="2"/>
      <c r="H885" s="2"/>
      <c r="I885" s="3"/>
      <c r="J885" s="2"/>
      <c r="K885" s="2"/>
      <c r="L885" s="3"/>
      <c r="M885" s="2"/>
      <c r="N885" s="2"/>
      <c r="O885" s="3"/>
      <c r="P885" s="2"/>
      <c r="Q885" s="3"/>
      <c r="R885" s="2"/>
      <c r="S885" s="4"/>
      <c r="T885" s="2"/>
      <c r="U885" s="4"/>
      <c r="V885" s="3"/>
      <c r="W885" s="4"/>
      <c r="X885" s="3"/>
      <c r="Y885" s="4"/>
      <c r="Z885" s="3"/>
      <c r="AA885" s="3"/>
      <c r="AB885" s="4"/>
      <c r="AC885" s="81"/>
      <c r="AD885" s="4"/>
      <c r="AE885" s="4"/>
      <c r="AF885" s="4"/>
      <c r="AG885" s="4"/>
      <c r="AH885" s="4"/>
      <c r="AI885" s="4"/>
      <c r="AJ885" s="4"/>
      <c r="AK885" s="5"/>
      <c r="AL885" s="4"/>
      <c r="AM885" s="4"/>
      <c r="AN885" s="4"/>
      <c r="AO885" s="4"/>
      <c r="AP885" s="4"/>
      <c r="AQ885" s="4"/>
      <c r="AR885" s="4"/>
    </row>
    <row r="886">
      <c r="A886" s="2"/>
      <c r="B886" s="3"/>
      <c r="C886" s="6"/>
      <c r="D886" s="2"/>
      <c r="E886" s="2"/>
      <c r="F886" s="2"/>
      <c r="G886" s="2"/>
      <c r="H886" s="2"/>
      <c r="I886" s="3"/>
      <c r="J886" s="2"/>
      <c r="K886" s="2"/>
      <c r="L886" s="3"/>
      <c r="M886" s="2"/>
      <c r="N886" s="2"/>
      <c r="O886" s="3"/>
      <c r="P886" s="2"/>
      <c r="Q886" s="3"/>
      <c r="R886" s="2"/>
      <c r="S886" s="4"/>
      <c r="T886" s="2"/>
      <c r="U886" s="4"/>
      <c r="V886" s="3"/>
      <c r="W886" s="4"/>
      <c r="X886" s="3"/>
      <c r="Y886" s="4"/>
      <c r="Z886" s="3"/>
      <c r="AA886" s="3"/>
      <c r="AB886" s="4"/>
      <c r="AC886" s="4"/>
      <c r="AD886" s="4"/>
      <c r="AE886" s="4"/>
      <c r="AF886" s="4"/>
      <c r="AG886" s="4"/>
      <c r="AH886" s="4"/>
      <c r="AI886" s="4"/>
      <c r="AJ886" s="4"/>
      <c r="AK886" s="5"/>
      <c r="AL886" s="4"/>
      <c r="AM886" s="4"/>
      <c r="AN886" s="4"/>
      <c r="AO886" s="4"/>
      <c r="AP886" s="4"/>
      <c r="AQ886" s="4"/>
      <c r="AR886" s="4"/>
    </row>
    <row r="887">
      <c r="A887" s="2"/>
      <c r="B887" s="3"/>
      <c r="C887" s="6"/>
      <c r="D887" s="2"/>
      <c r="E887" s="2"/>
      <c r="F887" s="2"/>
      <c r="G887" s="2"/>
      <c r="H887" s="2"/>
      <c r="I887" s="3"/>
      <c r="J887" s="2"/>
      <c r="K887" s="2"/>
      <c r="L887" s="3"/>
      <c r="M887" s="2"/>
      <c r="N887" s="2"/>
      <c r="O887" s="3"/>
      <c r="P887" s="2"/>
      <c r="Q887" s="3"/>
      <c r="R887" s="2"/>
      <c r="S887" s="4"/>
      <c r="T887" s="2"/>
      <c r="U887" s="4"/>
      <c r="V887" s="3"/>
      <c r="W887" s="4"/>
      <c r="X887" s="3"/>
      <c r="Y887" s="4"/>
      <c r="Z887" s="3"/>
      <c r="AA887" s="3"/>
      <c r="AB887" s="4"/>
      <c r="AC887" s="4"/>
      <c r="AD887" s="4"/>
      <c r="AE887" s="4"/>
      <c r="AF887" s="4"/>
      <c r="AG887" s="4"/>
      <c r="AH887" s="4"/>
      <c r="AI887" s="4"/>
      <c r="AJ887" s="4"/>
      <c r="AK887" s="5"/>
      <c r="AL887" s="4"/>
      <c r="AM887" s="4"/>
      <c r="AN887" s="4"/>
      <c r="AO887" s="4"/>
      <c r="AP887" s="4"/>
      <c r="AQ887" s="4"/>
      <c r="AR887" s="4"/>
    </row>
    <row r="888">
      <c r="A888" s="2"/>
      <c r="B888" s="3"/>
      <c r="C888" s="6"/>
      <c r="D888" s="2"/>
      <c r="E888" s="2"/>
      <c r="F888" s="2"/>
      <c r="G888" s="2"/>
      <c r="H888" s="2"/>
      <c r="I888" s="3"/>
      <c r="J888" s="2"/>
      <c r="K888" s="2"/>
      <c r="L888" s="3"/>
      <c r="M888" s="2"/>
      <c r="N888" s="2"/>
      <c r="O888" s="3"/>
      <c r="P888" s="2"/>
      <c r="Q888" s="3"/>
      <c r="R888" s="2"/>
      <c r="S888" s="4"/>
      <c r="T888" s="2"/>
      <c r="U888" s="4"/>
      <c r="V888" s="3"/>
      <c r="W888" s="4"/>
      <c r="X888" s="3"/>
      <c r="Y888" s="4"/>
      <c r="Z888" s="3"/>
      <c r="AA888" s="3"/>
      <c r="AB888" s="4"/>
      <c r="AC888" s="4"/>
      <c r="AD888" s="4"/>
      <c r="AE888" s="4"/>
      <c r="AF888" s="4"/>
      <c r="AG888" s="4"/>
      <c r="AH888" s="4"/>
      <c r="AI888" s="4"/>
      <c r="AJ888" s="4"/>
      <c r="AK888" s="5"/>
      <c r="AL888" s="4"/>
      <c r="AM888" s="4"/>
      <c r="AN888" s="4"/>
      <c r="AO888" s="4"/>
      <c r="AP888" s="4"/>
      <c r="AQ888" s="4"/>
      <c r="AR888" s="4"/>
    </row>
    <row r="889">
      <c r="A889" s="2"/>
      <c r="B889" s="3"/>
      <c r="C889" s="6"/>
      <c r="D889" s="2"/>
      <c r="E889" s="2"/>
      <c r="F889" s="2"/>
      <c r="G889" s="2"/>
      <c r="H889" s="2"/>
      <c r="I889" s="3"/>
      <c r="J889" s="2"/>
      <c r="K889" s="2"/>
      <c r="L889" s="3"/>
      <c r="M889" s="2"/>
      <c r="N889" s="2"/>
      <c r="O889" s="3"/>
      <c r="P889" s="2"/>
      <c r="Q889" s="3"/>
      <c r="R889" s="2"/>
      <c r="S889" s="4"/>
      <c r="T889" s="2"/>
      <c r="U889" s="4"/>
      <c r="V889" s="3"/>
      <c r="W889" s="4"/>
      <c r="X889" s="3"/>
      <c r="Y889" s="4"/>
      <c r="Z889" s="3"/>
      <c r="AA889" s="3"/>
      <c r="AB889" s="4"/>
      <c r="AC889" s="4"/>
      <c r="AD889" s="4"/>
      <c r="AE889" s="4"/>
      <c r="AF889" s="4"/>
      <c r="AG889" s="4"/>
      <c r="AH889" s="4"/>
      <c r="AI889" s="4"/>
      <c r="AJ889" s="4"/>
      <c r="AK889" s="5"/>
      <c r="AL889" s="4"/>
      <c r="AM889" s="4"/>
      <c r="AN889" s="4"/>
      <c r="AO889" s="4"/>
      <c r="AP889" s="4"/>
      <c r="AQ889" s="4"/>
      <c r="AR889" s="4"/>
    </row>
    <row r="890">
      <c r="A890" s="2"/>
      <c r="B890" s="3"/>
      <c r="C890" s="6"/>
      <c r="D890" s="2"/>
      <c r="E890" s="2"/>
      <c r="F890" s="2"/>
      <c r="G890" s="2"/>
      <c r="H890" s="2"/>
      <c r="I890" s="3"/>
      <c r="J890" s="2"/>
      <c r="K890" s="2"/>
      <c r="L890" s="3"/>
      <c r="M890" s="2"/>
      <c r="N890" s="2"/>
      <c r="O890" s="3"/>
      <c r="P890" s="2"/>
      <c r="Q890" s="3"/>
      <c r="R890" s="2"/>
      <c r="S890" s="4"/>
      <c r="T890" s="2"/>
      <c r="U890" s="4"/>
      <c r="V890" s="3"/>
      <c r="W890" s="4"/>
      <c r="X890" s="3"/>
      <c r="Y890" s="4"/>
      <c r="Z890" s="3"/>
      <c r="AA890" s="3"/>
      <c r="AB890" s="4"/>
      <c r="AC890" s="4"/>
      <c r="AD890" s="4"/>
      <c r="AE890" s="4"/>
      <c r="AF890" s="4"/>
      <c r="AG890" s="4"/>
      <c r="AH890" s="4"/>
      <c r="AI890" s="4"/>
      <c r="AJ890" s="4"/>
      <c r="AK890" s="5"/>
      <c r="AL890" s="4"/>
      <c r="AM890" s="4"/>
      <c r="AN890" s="4"/>
      <c r="AO890" s="4"/>
      <c r="AP890" s="4"/>
      <c r="AQ890" s="4"/>
      <c r="AR890" s="4"/>
    </row>
    <row r="891">
      <c r="A891" s="2"/>
      <c r="B891" s="3"/>
      <c r="C891" s="6"/>
      <c r="D891" s="2"/>
      <c r="E891" s="2"/>
      <c r="F891" s="2"/>
      <c r="G891" s="2"/>
      <c r="H891" s="2"/>
      <c r="I891" s="3"/>
      <c r="J891" s="2"/>
      <c r="K891" s="2"/>
      <c r="L891" s="3"/>
      <c r="M891" s="2"/>
      <c r="N891" s="2"/>
      <c r="O891" s="3"/>
      <c r="P891" s="2"/>
      <c r="Q891" s="3"/>
      <c r="R891" s="2"/>
      <c r="S891" s="4"/>
      <c r="T891" s="2"/>
      <c r="U891" s="4"/>
      <c r="V891" s="3"/>
      <c r="W891" s="4"/>
      <c r="X891" s="3"/>
      <c r="Y891" s="4"/>
      <c r="Z891" s="3"/>
      <c r="AA891" s="3"/>
      <c r="AB891" s="4"/>
      <c r="AC891" s="4"/>
      <c r="AD891" s="4"/>
      <c r="AE891" s="4"/>
      <c r="AF891" s="4"/>
      <c r="AG891" s="4"/>
      <c r="AH891" s="4"/>
      <c r="AI891" s="4"/>
      <c r="AJ891" s="4"/>
      <c r="AK891" s="5"/>
      <c r="AL891" s="4"/>
      <c r="AM891" s="4"/>
      <c r="AN891" s="4"/>
      <c r="AO891" s="4"/>
      <c r="AP891" s="4"/>
      <c r="AQ891" s="4"/>
      <c r="AR891" s="4"/>
    </row>
    <row r="892">
      <c r="A892" s="2"/>
      <c r="B892" s="3"/>
      <c r="C892" s="6"/>
      <c r="D892" s="2"/>
      <c r="E892" s="2"/>
      <c r="F892" s="2"/>
      <c r="G892" s="2"/>
      <c r="H892" s="2"/>
      <c r="I892" s="3"/>
      <c r="J892" s="2"/>
      <c r="K892" s="2"/>
      <c r="L892" s="3"/>
      <c r="M892" s="2"/>
      <c r="N892" s="2"/>
      <c r="O892" s="3"/>
      <c r="P892" s="2"/>
      <c r="Q892" s="3"/>
      <c r="R892" s="2"/>
      <c r="S892" s="4"/>
      <c r="T892" s="2"/>
      <c r="U892" s="4"/>
      <c r="V892" s="3"/>
      <c r="W892" s="4"/>
      <c r="X892" s="3"/>
      <c r="Y892" s="4"/>
      <c r="Z892" s="3"/>
      <c r="AA892" s="3"/>
      <c r="AB892" s="4"/>
      <c r="AC892" s="4"/>
      <c r="AD892" s="4"/>
      <c r="AE892" s="4"/>
      <c r="AF892" s="4"/>
      <c r="AG892" s="4"/>
      <c r="AH892" s="4"/>
      <c r="AI892" s="4"/>
      <c r="AJ892" s="4"/>
      <c r="AK892" s="5"/>
      <c r="AL892" s="4"/>
      <c r="AM892" s="4"/>
      <c r="AN892" s="4"/>
      <c r="AO892" s="4"/>
      <c r="AP892" s="4"/>
      <c r="AQ892" s="4"/>
      <c r="AR892" s="4"/>
    </row>
    <row r="893">
      <c r="A893" s="2"/>
      <c r="B893" s="3"/>
      <c r="C893" s="6"/>
      <c r="D893" s="2"/>
      <c r="E893" s="2"/>
      <c r="F893" s="2"/>
      <c r="G893" s="2"/>
      <c r="H893" s="2"/>
      <c r="I893" s="3"/>
      <c r="J893" s="2"/>
      <c r="K893" s="2"/>
      <c r="L893" s="3"/>
      <c r="M893" s="2"/>
      <c r="N893" s="2"/>
      <c r="O893" s="3"/>
      <c r="P893" s="2"/>
      <c r="Q893" s="3"/>
      <c r="R893" s="2"/>
      <c r="S893" s="4"/>
      <c r="T893" s="2"/>
      <c r="U893" s="4"/>
      <c r="V893" s="3"/>
      <c r="W893" s="4"/>
      <c r="X893" s="3"/>
      <c r="Y893" s="4"/>
      <c r="Z893" s="3"/>
      <c r="AA893" s="3"/>
      <c r="AB893" s="4"/>
      <c r="AC893" s="4"/>
      <c r="AD893" s="4"/>
      <c r="AE893" s="4"/>
      <c r="AF893" s="4"/>
      <c r="AG893" s="4"/>
      <c r="AH893" s="4"/>
      <c r="AI893" s="4"/>
      <c r="AJ893" s="4"/>
      <c r="AK893" s="5"/>
      <c r="AL893" s="4"/>
      <c r="AM893" s="4"/>
      <c r="AN893" s="4"/>
      <c r="AO893" s="4"/>
      <c r="AP893" s="4"/>
      <c r="AQ893" s="4"/>
      <c r="AR893" s="4"/>
    </row>
    <row r="894">
      <c r="A894" s="2"/>
      <c r="B894" s="3"/>
      <c r="C894" s="6"/>
      <c r="D894" s="2"/>
      <c r="E894" s="2"/>
      <c r="F894" s="2"/>
      <c r="G894" s="2"/>
      <c r="H894" s="2"/>
      <c r="I894" s="3"/>
      <c r="J894" s="2"/>
      <c r="K894" s="2"/>
      <c r="L894" s="3"/>
      <c r="M894" s="2"/>
      <c r="N894" s="2"/>
      <c r="O894" s="3"/>
      <c r="P894" s="2"/>
      <c r="Q894" s="3"/>
      <c r="R894" s="2"/>
      <c r="S894" s="4"/>
      <c r="T894" s="2"/>
      <c r="U894" s="4"/>
      <c r="V894" s="3"/>
      <c r="W894" s="4"/>
      <c r="X894" s="3"/>
      <c r="Y894" s="4"/>
      <c r="Z894" s="3"/>
      <c r="AA894" s="3"/>
      <c r="AB894" s="4"/>
      <c r="AC894" s="4"/>
      <c r="AD894" s="4"/>
      <c r="AE894" s="4"/>
      <c r="AF894" s="4"/>
      <c r="AG894" s="4"/>
      <c r="AH894" s="4"/>
      <c r="AI894" s="4"/>
      <c r="AJ894" s="4"/>
      <c r="AK894" s="5"/>
      <c r="AL894" s="4"/>
      <c r="AM894" s="4"/>
      <c r="AN894" s="4"/>
      <c r="AO894" s="4"/>
      <c r="AP894" s="4"/>
      <c r="AQ894" s="4"/>
      <c r="AR894" s="4"/>
    </row>
    <row r="895">
      <c r="A895" s="2"/>
      <c r="B895" s="3"/>
      <c r="C895" s="6"/>
      <c r="D895" s="2"/>
      <c r="E895" s="2"/>
      <c r="F895" s="2"/>
      <c r="G895" s="2"/>
      <c r="H895" s="2"/>
      <c r="I895" s="3"/>
      <c r="J895" s="2"/>
      <c r="K895" s="2"/>
      <c r="L895" s="3"/>
      <c r="M895" s="2"/>
      <c r="N895" s="2"/>
      <c r="O895" s="3"/>
      <c r="P895" s="2"/>
      <c r="Q895" s="3"/>
      <c r="R895" s="2"/>
      <c r="S895" s="4"/>
      <c r="T895" s="2"/>
      <c r="U895" s="4"/>
      <c r="V895" s="3"/>
      <c r="W895" s="4"/>
      <c r="X895" s="3"/>
      <c r="Y895" s="4"/>
      <c r="Z895" s="3"/>
      <c r="AA895" s="3"/>
      <c r="AB895" s="4"/>
      <c r="AC895" s="4"/>
      <c r="AD895" s="4"/>
      <c r="AE895" s="4"/>
      <c r="AF895" s="4"/>
      <c r="AG895" s="4"/>
      <c r="AH895" s="4"/>
      <c r="AI895" s="4"/>
      <c r="AJ895" s="4"/>
      <c r="AK895" s="5"/>
      <c r="AL895" s="4"/>
      <c r="AM895" s="4"/>
      <c r="AN895" s="4"/>
      <c r="AO895" s="4"/>
      <c r="AP895" s="4"/>
      <c r="AQ895" s="4"/>
      <c r="AR895" s="4"/>
    </row>
    <row r="896">
      <c r="A896" s="2"/>
      <c r="B896" s="3"/>
      <c r="C896" s="6"/>
      <c r="D896" s="2"/>
      <c r="E896" s="2"/>
      <c r="F896" s="2"/>
      <c r="G896" s="2"/>
      <c r="H896" s="2"/>
      <c r="I896" s="3"/>
      <c r="J896" s="2"/>
      <c r="K896" s="2"/>
      <c r="L896" s="3"/>
      <c r="M896" s="2"/>
      <c r="N896" s="2"/>
      <c r="O896" s="3"/>
      <c r="P896" s="2"/>
      <c r="Q896" s="3"/>
      <c r="R896" s="2"/>
      <c r="S896" s="4"/>
      <c r="T896" s="2"/>
      <c r="U896" s="4"/>
      <c r="V896" s="3"/>
      <c r="W896" s="4"/>
      <c r="X896" s="3"/>
      <c r="Y896" s="4"/>
      <c r="Z896" s="3"/>
      <c r="AA896" s="3"/>
      <c r="AB896" s="4"/>
      <c r="AC896" s="4"/>
      <c r="AD896" s="4"/>
      <c r="AE896" s="4"/>
      <c r="AF896" s="4"/>
      <c r="AG896" s="4"/>
      <c r="AH896" s="4"/>
      <c r="AI896" s="4"/>
      <c r="AJ896" s="4"/>
      <c r="AK896" s="5"/>
      <c r="AL896" s="4"/>
      <c r="AM896" s="4"/>
      <c r="AN896" s="4"/>
      <c r="AO896" s="4"/>
      <c r="AP896" s="4"/>
      <c r="AQ896" s="4"/>
      <c r="AR896" s="4"/>
    </row>
    <row r="897">
      <c r="A897" s="2"/>
      <c r="B897" s="3"/>
      <c r="C897" s="6"/>
      <c r="D897" s="2"/>
      <c r="E897" s="2"/>
      <c r="F897" s="2"/>
      <c r="G897" s="2"/>
      <c r="H897" s="2"/>
      <c r="I897" s="3"/>
      <c r="J897" s="2"/>
      <c r="K897" s="2"/>
      <c r="L897" s="3"/>
      <c r="M897" s="2"/>
      <c r="N897" s="2"/>
      <c r="O897" s="3"/>
      <c r="P897" s="2"/>
      <c r="Q897" s="3"/>
      <c r="R897" s="2"/>
      <c r="S897" s="4"/>
      <c r="T897" s="2"/>
      <c r="U897" s="4"/>
      <c r="V897" s="3"/>
      <c r="W897" s="4"/>
      <c r="X897" s="3"/>
      <c r="Y897" s="4"/>
      <c r="Z897" s="3"/>
      <c r="AA897" s="3"/>
      <c r="AB897" s="4"/>
      <c r="AC897" s="4"/>
      <c r="AD897" s="4"/>
      <c r="AE897" s="4"/>
      <c r="AF897" s="4"/>
      <c r="AG897" s="4"/>
      <c r="AH897" s="4"/>
      <c r="AI897" s="4"/>
      <c r="AJ897" s="4"/>
      <c r="AK897" s="5"/>
      <c r="AL897" s="4"/>
      <c r="AM897" s="4"/>
      <c r="AN897" s="4"/>
      <c r="AO897" s="4"/>
      <c r="AP897" s="4"/>
      <c r="AQ897" s="4"/>
      <c r="AR897" s="4"/>
    </row>
    <row r="898">
      <c r="A898" s="2"/>
      <c r="B898" s="3"/>
      <c r="C898" s="6"/>
      <c r="D898" s="2"/>
      <c r="E898" s="2"/>
      <c r="F898" s="2"/>
      <c r="G898" s="2"/>
      <c r="H898" s="2"/>
      <c r="I898" s="3"/>
      <c r="J898" s="2"/>
      <c r="K898" s="2"/>
      <c r="L898" s="3"/>
      <c r="M898" s="2"/>
      <c r="N898" s="2"/>
      <c r="O898" s="3"/>
      <c r="P898" s="2"/>
      <c r="Q898" s="3"/>
      <c r="R898" s="2"/>
      <c r="S898" s="4"/>
      <c r="T898" s="2"/>
      <c r="U898" s="4"/>
      <c r="V898" s="3"/>
      <c r="W898" s="4"/>
      <c r="X898" s="3"/>
      <c r="Y898" s="4"/>
      <c r="Z898" s="3"/>
      <c r="AA898" s="3"/>
      <c r="AB898" s="4"/>
      <c r="AC898" s="4"/>
      <c r="AD898" s="4"/>
      <c r="AE898" s="4"/>
      <c r="AF898" s="4"/>
      <c r="AG898" s="4"/>
      <c r="AH898" s="4"/>
      <c r="AI898" s="4"/>
      <c r="AJ898" s="4"/>
      <c r="AK898" s="5"/>
      <c r="AL898" s="4"/>
      <c r="AM898" s="4"/>
      <c r="AN898" s="4"/>
      <c r="AO898" s="4"/>
      <c r="AP898" s="4"/>
      <c r="AQ898" s="4"/>
      <c r="AR898" s="4"/>
    </row>
    <row r="899">
      <c r="A899" s="2"/>
      <c r="B899" s="3"/>
      <c r="C899" s="6"/>
      <c r="D899" s="2"/>
      <c r="E899" s="2"/>
      <c r="F899" s="2"/>
      <c r="G899" s="2"/>
      <c r="H899" s="2"/>
      <c r="I899" s="3"/>
      <c r="J899" s="2"/>
      <c r="K899" s="2"/>
      <c r="L899" s="3"/>
      <c r="M899" s="2"/>
      <c r="N899" s="2"/>
      <c r="O899" s="3"/>
      <c r="P899" s="2"/>
      <c r="Q899" s="3"/>
      <c r="R899" s="2"/>
      <c r="S899" s="4"/>
      <c r="T899" s="2"/>
      <c r="U899" s="4"/>
      <c r="V899" s="3"/>
      <c r="W899" s="4"/>
      <c r="X899" s="3"/>
      <c r="Y899" s="4"/>
      <c r="Z899" s="3"/>
      <c r="AA899" s="3"/>
      <c r="AB899" s="4"/>
      <c r="AC899" s="4"/>
      <c r="AD899" s="4"/>
      <c r="AE899" s="4"/>
      <c r="AF899" s="4"/>
      <c r="AG899" s="4"/>
      <c r="AH899" s="4"/>
      <c r="AI899" s="4"/>
      <c r="AJ899" s="4"/>
      <c r="AK899" s="5"/>
      <c r="AL899" s="4"/>
      <c r="AM899" s="4"/>
      <c r="AN899" s="4"/>
      <c r="AO899" s="4"/>
      <c r="AP899" s="4"/>
      <c r="AQ899" s="4"/>
      <c r="AR899" s="4"/>
    </row>
    <row r="900">
      <c r="A900" s="2"/>
      <c r="B900" s="3"/>
      <c r="C900" s="6"/>
      <c r="D900" s="2"/>
      <c r="E900" s="2"/>
      <c r="F900" s="2"/>
      <c r="G900" s="2"/>
      <c r="H900" s="2"/>
      <c r="I900" s="3"/>
      <c r="J900" s="2"/>
      <c r="K900" s="2"/>
      <c r="L900" s="3"/>
      <c r="M900" s="2"/>
      <c r="N900" s="2"/>
      <c r="O900" s="3"/>
      <c r="P900" s="2"/>
      <c r="Q900" s="3"/>
      <c r="R900" s="2"/>
      <c r="S900" s="4"/>
      <c r="T900" s="2"/>
      <c r="U900" s="4"/>
      <c r="V900" s="3"/>
      <c r="W900" s="4"/>
      <c r="X900" s="3"/>
      <c r="Y900" s="4"/>
      <c r="Z900" s="3"/>
      <c r="AA900" s="3"/>
      <c r="AB900" s="4"/>
      <c r="AC900" s="4"/>
      <c r="AD900" s="4"/>
      <c r="AE900" s="4"/>
      <c r="AF900" s="4"/>
      <c r="AG900" s="4"/>
      <c r="AH900" s="4"/>
      <c r="AI900" s="4"/>
      <c r="AJ900" s="4"/>
      <c r="AK900" s="5"/>
      <c r="AL900" s="4"/>
      <c r="AM900" s="4"/>
      <c r="AN900" s="4"/>
      <c r="AO900" s="4"/>
      <c r="AP900" s="4"/>
      <c r="AQ900" s="4"/>
      <c r="AR900" s="4"/>
    </row>
    <row r="901">
      <c r="A901" s="2"/>
      <c r="B901" s="3"/>
      <c r="C901" s="6"/>
      <c r="D901" s="2"/>
      <c r="E901" s="2"/>
      <c r="F901" s="2"/>
      <c r="G901" s="2"/>
      <c r="H901" s="2"/>
      <c r="I901" s="3"/>
      <c r="J901" s="2"/>
      <c r="K901" s="2"/>
      <c r="L901" s="3"/>
      <c r="M901" s="2"/>
      <c r="N901" s="2"/>
      <c r="O901" s="3"/>
      <c r="P901" s="2"/>
      <c r="Q901" s="3"/>
      <c r="R901" s="2"/>
      <c r="S901" s="4"/>
      <c r="T901" s="2"/>
      <c r="U901" s="4"/>
      <c r="V901" s="3"/>
      <c r="W901" s="4"/>
      <c r="X901" s="3"/>
      <c r="Y901" s="4"/>
      <c r="Z901" s="3"/>
      <c r="AA901" s="3"/>
      <c r="AB901" s="4"/>
      <c r="AC901" s="4"/>
      <c r="AD901" s="4"/>
      <c r="AE901" s="4"/>
      <c r="AF901" s="4"/>
      <c r="AG901" s="4"/>
      <c r="AH901" s="4"/>
      <c r="AI901" s="4"/>
      <c r="AJ901" s="4"/>
      <c r="AK901" s="5"/>
      <c r="AL901" s="4"/>
      <c r="AM901" s="4"/>
      <c r="AN901" s="4"/>
      <c r="AO901" s="4"/>
      <c r="AP901" s="4"/>
      <c r="AQ901" s="4"/>
      <c r="AR901" s="4"/>
    </row>
    <row r="902">
      <c r="A902" s="2"/>
      <c r="B902" s="3"/>
      <c r="C902" s="6"/>
      <c r="D902" s="2"/>
      <c r="E902" s="2"/>
      <c r="F902" s="2"/>
      <c r="G902" s="2"/>
      <c r="H902" s="2"/>
      <c r="I902" s="3"/>
      <c r="J902" s="2"/>
      <c r="K902" s="2"/>
      <c r="L902" s="3"/>
      <c r="M902" s="2"/>
      <c r="N902" s="2"/>
      <c r="O902" s="3"/>
      <c r="P902" s="2"/>
      <c r="Q902" s="3"/>
      <c r="R902" s="2"/>
      <c r="S902" s="4"/>
      <c r="T902" s="2"/>
      <c r="U902" s="4"/>
      <c r="V902" s="3"/>
      <c r="W902" s="4"/>
      <c r="X902" s="3"/>
      <c r="Y902" s="4"/>
      <c r="Z902" s="3"/>
      <c r="AA902" s="3"/>
      <c r="AB902" s="4"/>
      <c r="AC902" s="4"/>
      <c r="AD902" s="4"/>
      <c r="AE902" s="4"/>
      <c r="AF902" s="4"/>
      <c r="AG902" s="4"/>
      <c r="AH902" s="4"/>
      <c r="AI902" s="4"/>
      <c r="AJ902" s="4"/>
      <c r="AK902" s="5"/>
      <c r="AL902" s="4"/>
      <c r="AM902" s="4"/>
      <c r="AN902" s="4"/>
      <c r="AO902" s="4"/>
      <c r="AP902" s="4"/>
      <c r="AQ902" s="4"/>
      <c r="AR902" s="4"/>
    </row>
    <row r="903">
      <c r="A903" s="2"/>
      <c r="B903" s="3"/>
      <c r="C903" s="6"/>
      <c r="D903" s="2"/>
      <c r="E903" s="2"/>
      <c r="F903" s="2"/>
      <c r="G903" s="2"/>
      <c r="H903" s="2"/>
      <c r="I903" s="3"/>
      <c r="J903" s="2"/>
      <c r="K903" s="2"/>
      <c r="L903" s="3"/>
      <c r="M903" s="2"/>
      <c r="N903" s="2"/>
      <c r="O903" s="3"/>
      <c r="P903" s="2"/>
      <c r="Q903" s="3"/>
      <c r="R903" s="2"/>
      <c r="S903" s="4"/>
      <c r="T903" s="2"/>
      <c r="U903" s="4"/>
      <c r="V903" s="3"/>
      <c r="W903" s="4"/>
      <c r="X903" s="3"/>
      <c r="Y903" s="4"/>
      <c r="Z903" s="3"/>
      <c r="AA903" s="3"/>
      <c r="AB903" s="4"/>
      <c r="AC903" s="4"/>
      <c r="AD903" s="4"/>
      <c r="AE903" s="4"/>
      <c r="AF903" s="4"/>
      <c r="AG903" s="4"/>
      <c r="AH903" s="4"/>
      <c r="AI903" s="4"/>
      <c r="AJ903" s="4"/>
      <c r="AK903" s="5"/>
      <c r="AL903" s="4"/>
      <c r="AM903" s="4"/>
      <c r="AN903" s="4"/>
      <c r="AO903" s="4"/>
      <c r="AP903" s="4"/>
      <c r="AQ903" s="4"/>
      <c r="AR903" s="4"/>
    </row>
    <row r="904">
      <c r="A904" s="2"/>
      <c r="B904" s="3"/>
      <c r="C904" s="6"/>
      <c r="D904" s="2"/>
      <c r="E904" s="2"/>
      <c r="F904" s="2"/>
      <c r="G904" s="2"/>
      <c r="H904" s="2"/>
      <c r="I904" s="3"/>
      <c r="J904" s="2"/>
      <c r="K904" s="2"/>
      <c r="L904" s="3"/>
      <c r="M904" s="2"/>
      <c r="N904" s="2"/>
      <c r="O904" s="3"/>
      <c r="P904" s="2"/>
      <c r="Q904" s="3"/>
      <c r="R904" s="2"/>
      <c r="S904" s="4"/>
      <c r="T904" s="2"/>
      <c r="U904" s="4"/>
      <c r="V904" s="3"/>
      <c r="W904" s="4"/>
      <c r="X904" s="3"/>
      <c r="Y904" s="4"/>
      <c r="Z904" s="3"/>
      <c r="AA904" s="3"/>
      <c r="AB904" s="4"/>
      <c r="AC904" s="4"/>
      <c r="AD904" s="4"/>
      <c r="AE904" s="4"/>
      <c r="AF904" s="4"/>
      <c r="AG904" s="4"/>
      <c r="AH904" s="4"/>
      <c r="AI904" s="4"/>
      <c r="AJ904" s="4"/>
      <c r="AK904" s="5"/>
      <c r="AL904" s="4"/>
      <c r="AM904" s="4"/>
      <c r="AN904" s="4"/>
      <c r="AO904" s="4"/>
      <c r="AP904" s="4"/>
      <c r="AQ904" s="4"/>
      <c r="AR904" s="4"/>
    </row>
    <row r="905">
      <c r="A905" s="2"/>
      <c r="B905" s="3"/>
      <c r="C905" s="6"/>
      <c r="D905" s="2"/>
      <c r="E905" s="2"/>
      <c r="F905" s="2"/>
      <c r="G905" s="2"/>
      <c r="H905" s="2"/>
      <c r="I905" s="3"/>
      <c r="J905" s="2"/>
      <c r="K905" s="2"/>
      <c r="L905" s="3"/>
      <c r="M905" s="2"/>
      <c r="N905" s="2"/>
      <c r="O905" s="3"/>
      <c r="P905" s="2"/>
      <c r="Q905" s="3"/>
      <c r="R905" s="2"/>
      <c r="S905" s="4"/>
      <c r="T905" s="2"/>
      <c r="U905" s="4"/>
      <c r="V905" s="3"/>
      <c r="W905" s="4"/>
      <c r="X905" s="3"/>
      <c r="Y905" s="4"/>
      <c r="Z905" s="3"/>
      <c r="AA905" s="3"/>
      <c r="AB905" s="4"/>
      <c r="AC905" s="4"/>
      <c r="AD905" s="4"/>
      <c r="AE905" s="4"/>
      <c r="AF905" s="4"/>
      <c r="AG905" s="4"/>
      <c r="AH905" s="4"/>
      <c r="AI905" s="4"/>
      <c r="AJ905" s="4"/>
      <c r="AK905" s="5"/>
      <c r="AL905" s="4"/>
      <c r="AM905" s="4"/>
      <c r="AN905" s="4"/>
      <c r="AO905" s="4"/>
      <c r="AP905" s="4"/>
      <c r="AQ905" s="4"/>
      <c r="AR905" s="4"/>
    </row>
    <row r="906">
      <c r="A906" s="2"/>
      <c r="B906" s="3"/>
      <c r="C906" s="6"/>
      <c r="D906" s="2"/>
      <c r="E906" s="2"/>
      <c r="F906" s="2"/>
      <c r="G906" s="2"/>
      <c r="H906" s="2"/>
      <c r="I906" s="3"/>
      <c r="J906" s="2"/>
      <c r="K906" s="2"/>
      <c r="L906" s="3"/>
      <c r="M906" s="2"/>
      <c r="N906" s="2"/>
      <c r="O906" s="3"/>
      <c r="P906" s="2"/>
      <c r="Q906" s="3"/>
      <c r="R906" s="2"/>
      <c r="S906" s="4"/>
      <c r="T906" s="2"/>
      <c r="U906" s="4"/>
      <c r="V906" s="3"/>
      <c r="W906" s="4"/>
      <c r="X906" s="3"/>
      <c r="Y906" s="4"/>
      <c r="Z906" s="3"/>
      <c r="AA906" s="3"/>
      <c r="AB906" s="4"/>
      <c r="AC906" s="4"/>
      <c r="AD906" s="4"/>
      <c r="AE906" s="4"/>
      <c r="AF906" s="4"/>
      <c r="AG906" s="4"/>
      <c r="AH906" s="4"/>
      <c r="AI906" s="4"/>
      <c r="AJ906" s="4"/>
      <c r="AK906" s="5"/>
      <c r="AL906" s="4"/>
      <c r="AM906" s="4"/>
      <c r="AN906" s="4"/>
      <c r="AO906" s="4"/>
      <c r="AP906" s="4"/>
      <c r="AQ906" s="4"/>
      <c r="AR906" s="4"/>
    </row>
    <row r="907">
      <c r="A907" s="2"/>
      <c r="B907" s="3"/>
      <c r="C907" s="6"/>
      <c r="D907" s="2"/>
      <c r="E907" s="2"/>
      <c r="F907" s="2"/>
      <c r="G907" s="2"/>
      <c r="H907" s="2"/>
      <c r="I907" s="3"/>
      <c r="J907" s="2"/>
      <c r="K907" s="2"/>
      <c r="L907" s="3"/>
      <c r="M907" s="2"/>
      <c r="N907" s="2"/>
      <c r="O907" s="3"/>
      <c r="P907" s="2"/>
      <c r="Q907" s="3"/>
      <c r="R907" s="2"/>
      <c r="S907" s="4"/>
      <c r="T907" s="2"/>
      <c r="U907" s="4"/>
      <c r="V907" s="3"/>
      <c r="W907" s="4"/>
      <c r="X907" s="3"/>
      <c r="Y907" s="4"/>
      <c r="Z907" s="3"/>
      <c r="AA907" s="3"/>
      <c r="AB907" s="4"/>
      <c r="AC907" s="4"/>
      <c r="AD907" s="4"/>
      <c r="AE907" s="4"/>
      <c r="AF907" s="4"/>
      <c r="AG907" s="4"/>
      <c r="AH907" s="4"/>
      <c r="AI907" s="4"/>
      <c r="AJ907" s="4"/>
      <c r="AK907" s="5"/>
      <c r="AL907" s="4"/>
      <c r="AM907" s="4"/>
      <c r="AN907" s="4"/>
      <c r="AO907" s="4"/>
      <c r="AP907" s="4"/>
      <c r="AQ907" s="4"/>
      <c r="AR907" s="4"/>
    </row>
    <row r="908">
      <c r="A908" s="2"/>
      <c r="B908" s="3"/>
      <c r="C908" s="6"/>
      <c r="D908" s="2"/>
      <c r="E908" s="2"/>
      <c r="F908" s="2"/>
      <c r="G908" s="2"/>
      <c r="H908" s="2"/>
      <c r="I908" s="3"/>
      <c r="J908" s="2"/>
      <c r="K908" s="2"/>
      <c r="L908" s="3"/>
      <c r="M908" s="2"/>
      <c r="N908" s="2"/>
      <c r="O908" s="3"/>
      <c r="P908" s="2"/>
      <c r="Q908" s="3"/>
      <c r="R908" s="2"/>
      <c r="S908" s="4"/>
      <c r="T908" s="2"/>
      <c r="U908" s="4"/>
      <c r="V908" s="3"/>
      <c r="W908" s="4"/>
      <c r="X908" s="3"/>
      <c r="Y908" s="4"/>
      <c r="Z908" s="3"/>
      <c r="AA908" s="3"/>
      <c r="AB908" s="4"/>
      <c r="AC908" s="4"/>
      <c r="AD908" s="4"/>
      <c r="AE908" s="4"/>
      <c r="AF908" s="4"/>
      <c r="AG908" s="4"/>
      <c r="AH908" s="4"/>
      <c r="AI908" s="4"/>
      <c r="AJ908" s="4"/>
      <c r="AK908" s="5"/>
      <c r="AL908" s="4"/>
      <c r="AM908" s="4"/>
      <c r="AN908" s="4"/>
      <c r="AO908" s="4"/>
      <c r="AP908" s="4"/>
      <c r="AQ908" s="4"/>
      <c r="AR908" s="4"/>
    </row>
    <row r="909">
      <c r="A909" s="2"/>
      <c r="B909" s="3"/>
      <c r="C909" s="6"/>
      <c r="D909" s="2"/>
      <c r="E909" s="2"/>
      <c r="F909" s="2"/>
      <c r="G909" s="2"/>
      <c r="H909" s="2"/>
      <c r="I909" s="3"/>
      <c r="J909" s="2"/>
      <c r="K909" s="2"/>
      <c r="L909" s="3"/>
      <c r="M909" s="2"/>
      <c r="N909" s="2"/>
      <c r="O909" s="3"/>
      <c r="P909" s="2"/>
      <c r="Q909" s="3"/>
      <c r="R909" s="2"/>
      <c r="S909" s="4"/>
      <c r="T909" s="2"/>
      <c r="U909" s="4"/>
      <c r="V909" s="3"/>
      <c r="W909" s="4"/>
      <c r="X909" s="3"/>
      <c r="Y909" s="4"/>
      <c r="Z909" s="3"/>
      <c r="AA909" s="3"/>
      <c r="AB909" s="4"/>
      <c r="AC909" s="4"/>
      <c r="AD909" s="4"/>
      <c r="AE909" s="4"/>
      <c r="AF909" s="4"/>
      <c r="AG909" s="4"/>
      <c r="AH909" s="4"/>
      <c r="AI909" s="4"/>
      <c r="AJ909" s="4"/>
      <c r="AK909" s="5"/>
      <c r="AL909" s="4"/>
      <c r="AM909" s="4"/>
      <c r="AN909" s="4"/>
      <c r="AO909" s="4"/>
      <c r="AP909" s="4"/>
      <c r="AQ909" s="4"/>
      <c r="AR909" s="4"/>
    </row>
    <row r="910">
      <c r="A910" s="2"/>
      <c r="B910" s="3"/>
      <c r="C910" s="6"/>
      <c r="D910" s="2"/>
      <c r="E910" s="2"/>
      <c r="F910" s="2"/>
      <c r="G910" s="2"/>
      <c r="H910" s="2"/>
      <c r="I910" s="3"/>
      <c r="J910" s="2"/>
      <c r="K910" s="2"/>
      <c r="L910" s="3"/>
      <c r="M910" s="2"/>
      <c r="N910" s="2"/>
      <c r="O910" s="3"/>
      <c r="P910" s="2"/>
      <c r="Q910" s="3"/>
      <c r="R910" s="2"/>
      <c r="S910" s="4"/>
      <c r="T910" s="2"/>
      <c r="U910" s="4"/>
      <c r="V910" s="3"/>
      <c r="W910" s="4"/>
      <c r="X910" s="3"/>
      <c r="Y910" s="4"/>
      <c r="Z910" s="3"/>
      <c r="AA910" s="3"/>
      <c r="AB910" s="4"/>
      <c r="AC910" s="4"/>
      <c r="AD910" s="4"/>
      <c r="AE910" s="4"/>
      <c r="AF910" s="4"/>
      <c r="AG910" s="4"/>
      <c r="AH910" s="4"/>
      <c r="AI910" s="4"/>
      <c r="AJ910" s="4"/>
      <c r="AK910" s="5"/>
      <c r="AL910" s="4"/>
      <c r="AM910" s="4"/>
      <c r="AN910" s="4"/>
      <c r="AO910" s="4"/>
      <c r="AP910" s="4"/>
      <c r="AQ910" s="4"/>
      <c r="AR910" s="4"/>
    </row>
    <row r="911">
      <c r="A911" s="2"/>
      <c r="B911" s="3"/>
      <c r="C911" s="6"/>
      <c r="D911" s="2"/>
      <c r="E911" s="2"/>
      <c r="F911" s="2"/>
      <c r="G911" s="2"/>
      <c r="H911" s="2"/>
      <c r="I911" s="3"/>
      <c r="J911" s="2"/>
      <c r="K911" s="2"/>
      <c r="L911" s="3"/>
      <c r="M911" s="2"/>
      <c r="N911" s="2"/>
      <c r="O911" s="3"/>
      <c r="P911" s="2"/>
      <c r="Q911" s="3"/>
      <c r="R911" s="2"/>
      <c r="S911" s="4"/>
      <c r="T911" s="2"/>
      <c r="U911" s="4"/>
      <c r="V911" s="3"/>
      <c r="W911" s="4"/>
      <c r="X911" s="3"/>
      <c r="Y911" s="4"/>
      <c r="Z911" s="3"/>
      <c r="AA911" s="3"/>
      <c r="AB911" s="4"/>
      <c r="AC911" s="4"/>
      <c r="AD911" s="4"/>
      <c r="AE911" s="4"/>
      <c r="AF911" s="4"/>
      <c r="AG911" s="4"/>
      <c r="AH911" s="4"/>
      <c r="AI911" s="4"/>
      <c r="AJ911" s="4"/>
      <c r="AK911" s="5"/>
      <c r="AL911" s="4"/>
      <c r="AM911" s="4"/>
      <c r="AN911" s="4"/>
      <c r="AO911" s="4"/>
      <c r="AP911" s="4"/>
      <c r="AQ911" s="4"/>
      <c r="AR911" s="4"/>
    </row>
    <row r="912">
      <c r="A912" s="2"/>
      <c r="B912" s="3"/>
      <c r="C912" s="6"/>
      <c r="D912" s="2"/>
      <c r="E912" s="2"/>
      <c r="F912" s="2"/>
      <c r="G912" s="2"/>
      <c r="H912" s="2"/>
      <c r="I912" s="3"/>
      <c r="J912" s="2"/>
      <c r="K912" s="2"/>
      <c r="L912" s="3"/>
      <c r="M912" s="2"/>
      <c r="N912" s="2"/>
      <c r="O912" s="3"/>
      <c r="P912" s="2"/>
      <c r="Q912" s="3"/>
      <c r="R912" s="2"/>
      <c r="S912" s="4"/>
      <c r="T912" s="2"/>
      <c r="U912" s="4"/>
      <c r="V912" s="3"/>
      <c r="W912" s="4"/>
      <c r="X912" s="3"/>
      <c r="Y912" s="4"/>
      <c r="Z912" s="3"/>
      <c r="AA912" s="3"/>
      <c r="AB912" s="4"/>
      <c r="AC912" s="4"/>
      <c r="AD912" s="4"/>
      <c r="AE912" s="4"/>
      <c r="AF912" s="4"/>
      <c r="AG912" s="4"/>
      <c r="AH912" s="4"/>
      <c r="AI912" s="4"/>
      <c r="AJ912" s="4"/>
      <c r="AK912" s="5"/>
      <c r="AL912" s="4"/>
      <c r="AM912" s="4"/>
      <c r="AN912" s="4"/>
      <c r="AO912" s="4"/>
      <c r="AP912" s="4"/>
      <c r="AQ912" s="4"/>
      <c r="AR912" s="4"/>
    </row>
    <row r="913">
      <c r="A913" s="2"/>
      <c r="B913" s="3"/>
      <c r="C913" s="6"/>
      <c r="D913" s="2"/>
      <c r="E913" s="2"/>
      <c r="F913" s="2"/>
      <c r="G913" s="2"/>
      <c r="H913" s="2"/>
      <c r="I913" s="3"/>
      <c r="J913" s="2"/>
      <c r="K913" s="2"/>
      <c r="L913" s="3"/>
      <c r="M913" s="2"/>
      <c r="N913" s="2"/>
      <c r="O913" s="3"/>
      <c r="P913" s="2"/>
      <c r="Q913" s="3"/>
      <c r="R913" s="2"/>
      <c r="S913" s="4"/>
      <c r="T913" s="2"/>
      <c r="U913" s="4"/>
      <c r="V913" s="3"/>
      <c r="W913" s="4"/>
      <c r="X913" s="3"/>
      <c r="Y913" s="4"/>
      <c r="Z913" s="3"/>
      <c r="AA913" s="3"/>
      <c r="AB913" s="4"/>
      <c r="AC913" s="4"/>
      <c r="AD913" s="4"/>
      <c r="AE913" s="4"/>
      <c r="AF913" s="4"/>
      <c r="AG913" s="4"/>
      <c r="AH913" s="4"/>
      <c r="AI913" s="4"/>
      <c r="AJ913" s="4"/>
      <c r="AK913" s="5"/>
      <c r="AL913" s="4"/>
      <c r="AM913" s="4"/>
      <c r="AN913" s="4"/>
      <c r="AO913" s="4"/>
      <c r="AP913" s="4"/>
      <c r="AQ913" s="4"/>
      <c r="AR913" s="4"/>
    </row>
    <row r="914">
      <c r="A914" s="2"/>
      <c r="B914" s="3"/>
      <c r="C914" s="6"/>
      <c r="D914" s="2"/>
      <c r="E914" s="2"/>
      <c r="F914" s="2"/>
      <c r="G914" s="2"/>
      <c r="H914" s="2"/>
      <c r="I914" s="3"/>
      <c r="J914" s="2"/>
      <c r="K914" s="2"/>
      <c r="L914" s="3"/>
      <c r="M914" s="2"/>
      <c r="N914" s="2"/>
      <c r="O914" s="3"/>
      <c r="P914" s="2"/>
      <c r="Q914" s="3"/>
      <c r="R914" s="2"/>
      <c r="S914" s="4"/>
      <c r="T914" s="2"/>
      <c r="U914" s="4"/>
      <c r="V914" s="3"/>
      <c r="W914" s="4"/>
      <c r="X914" s="3"/>
      <c r="Y914" s="4"/>
      <c r="Z914" s="3"/>
      <c r="AA914" s="3"/>
      <c r="AB914" s="4"/>
      <c r="AC914" s="4"/>
      <c r="AD914" s="4"/>
      <c r="AE914" s="4"/>
      <c r="AF914" s="4"/>
      <c r="AG914" s="4"/>
      <c r="AH914" s="4"/>
      <c r="AI914" s="4"/>
      <c r="AJ914" s="4"/>
      <c r="AK914" s="5"/>
      <c r="AL914" s="4"/>
      <c r="AM914" s="4"/>
      <c r="AN914" s="4"/>
      <c r="AO914" s="4"/>
      <c r="AP914" s="4"/>
      <c r="AQ914" s="4"/>
      <c r="AR914" s="4"/>
    </row>
    <row r="915">
      <c r="A915" s="2"/>
      <c r="B915" s="3"/>
      <c r="C915" s="6"/>
      <c r="D915" s="2"/>
      <c r="E915" s="2"/>
      <c r="F915" s="2"/>
      <c r="G915" s="2"/>
      <c r="H915" s="2"/>
      <c r="I915" s="3"/>
      <c r="J915" s="2"/>
      <c r="K915" s="2"/>
      <c r="L915" s="3"/>
      <c r="M915" s="2"/>
      <c r="N915" s="2"/>
      <c r="O915" s="3"/>
      <c r="P915" s="2"/>
      <c r="Q915" s="3"/>
      <c r="R915" s="2"/>
      <c r="S915" s="4"/>
      <c r="T915" s="2"/>
      <c r="U915" s="4"/>
      <c r="V915" s="3"/>
      <c r="W915" s="4"/>
      <c r="X915" s="3"/>
      <c r="Y915" s="4"/>
      <c r="Z915" s="3"/>
      <c r="AA915" s="3"/>
      <c r="AB915" s="4"/>
      <c r="AC915" s="4"/>
      <c r="AD915" s="4"/>
      <c r="AE915" s="4"/>
      <c r="AF915" s="4"/>
      <c r="AG915" s="4"/>
      <c r="AH915" s="4"/>
      <c r="AI915" s="4"/>
      <c r="AJ915" s="4"/>
      <c r="AK915" s="5"/>
      <c r="AL915" s="4"/>
      <c r="AM915" s="4"/>
      <c r="AN915" s="4"/>
      <c r="AO915" s="4"/>
      <c r="AP915" s="4"/>
      <c r="AQ915" s="4"/>
      <c r="AR915" s="4"/>
    </row>
    <row r="916">
      <c r="A916" s="2"/>
      <c r="B916" s="3"/>
      <c r="C916" s="6"/>
      <c r="D916" s="2"/>
      <c r="E916" s="2"/>
      <c r="F916" s="2"/>
      <c r="G916" s="2"/>
      <c r="H916" s="2"/>
      <c r="I916" s="3"/>
      <c r="J916" s="2"/>
      <c r="K916" s="2"/>
      <c r="L916" s="3"/>
      <c r="M916" s="2"/>
      <c r="N916" s="2"/>
      <c r="O916" s="3"/>
      <c r="P916" s="2"/>
      <c r="Q916" s="3"/>
      <c r="R916" s="2"/>
      <c r="S916" s="4"/>
      <c r="T916" s="2"/>
      <c r="U916" s="4"/>
      <c r="V916" s="3"/>
      <c r="W916" s="4"/>
      <c r="X916" s="3"/>
      <c r="Y916" s="4"/>
      <c r="Z916" s="3"/>
      <c r="AA916" s="3"/>
      <c r="AB916" s="4"/>
      <c r="AC916" s="4"/>
      <c r="AD916" s="4"/>
      <c r="AE916" s="4"/>
      <c r="AF916" s="4"/>
      <c r="AG916" s="4"/>
      <c r="AH916" s="4"/>
      <c r="AI916" s="4"/>
      <c r="AJ916" s="4"/>
      <c r="AK916" s="5"/>
      <c r="AL916" s="4"/>
      <c r="AM916" s="4"/>
      <c r="AN916" s="4"/>
      <c r="AO916" s="4"/>
      <c r="AP916" s="4"/>
      <c r="AQ916" s="4"/>
      <c r="AR916" s="4"/>
    </row>
    <row r="917">
      <c r="A917" s="2"/>
      <c r="B917" s="3"/>
      <c r="C917" s="6"/>
      <c r="D917" s="2"/>
      <c r="E917" s="2"/>
      <c r="F917" s="2"/>
      <c r="G917" s="2"/>
      <c r="H917" s="2"/>
      <c r="I917" s="3"/>
      <c r="J917" s="2"/>
      <c r="K917" s="2"/>
      <c r="L917" s="3"/>
      <c r="M917" s="2"/>
      <c r="N917" s="2"/>
      <c r="O917" s="3"/>
      <c r="P917" s="2"/>
      <c r="Q917" s="3"/>
      <c r="R917" s="2"/>
      <c r="S917" s="4"/>
      <c r="T917" s="2"/>
      <c r="U917" s="4"/>
      <c r="V917" s="3"/>
      <c r="W917" s="4"/>
      <c r="X917" s="3"/>
      <c r="Y917" s="4"/>
      <c r="Z917" s="3"/>
      <c r="AA917" s="3"/>
      <c r="AB917" s="4"/>
      <c r="AC917" s="4"/>
      <c r="AD917" s="4"/>
      <c r="AE917" s="4"/>
      <c r="AF917" s="4"/>
      <c r="AG917" s="4"/>
      <c r="AH917" s="4"/>
      <c r="AI917" s="4"/>
      <c r="AJ917" s="4"/>
      <c r="AK917" s="5"/>
      <c r="AL917" s="4"/>
      <c r="AM917" s="4"/>
      <c r="AN917" s="4"/>
      <c r="AO917" s="4"/>
      <c r="AP917" s="4"/>
      <c r="AQ917" s="4"/>
      <c r="AR917" s="4"/>
    </row>
    <row r="918">
      <c r="A918" s="2"/>
      <c r="B918" s="3"/>
      <c r="C918" s="6"/>
      <c r="D918" s="2"/>
      <c r="E918" s="2"/>
      <c r="F918" s="2"/>
      <c r="G918" s="2"/>
      <c r="H918" s="2"/>
      <c r="I918" s="3"/>
      <c r="J918" s="2"/>
      <c r="K918" s="2"/>
      <c r="L918" s="3"/>
      <c r="M918" s="2"/>
      <c r="N918" s="2"/>
      <c r="O918" s="3"/>
      <c r="P918" s="2"/>
      <c r="Q918" s="3"/>
      <c r="R918" s="2"/>
      <c r="S918" s="4"/>
      <c r="T918" s="2"/>
      <c r="U918" s="4"/>
      <c r="V918" s="3"/>
      <c r="W918" s="4"/>
      <c r="X918" s="3"/>
      <c r="Y918" s="4"/>
      <c r="Z918" s="3"/>
      <c r="AA918" s="3"/>
      <c r="AB918" s="4"/>
      <c r="AC918" s="4"/>
      <c r="AD918" s="4"/>
      <c r="AE918" s="4"/>
      <c r="AF918" s="4"/>
      <c r="AG918" s="4"/>
      <c r="AH918" s="4"/>
      <c r="AI918" s="4"/>
      <c r="AJ918" s="4"/>
      <c r="AK918" s="5"/>
      <c r="AL918" s="4"/>
      <c r="AM918" s="4"/>
      <c r="AN918" s="4"/>
      <c r="AO918" s="4"/>
      <c r="AP918" s="4"/>
      <c r="AQ918" s="4"/>
      <c r="AR918" s="4"/>
    </row>
    <row r="919">
      <c r="A919" s="2"/>
      <c r="B919" s="3"/>
      <c r="C919" s="6"/>
      <c r="D919" s="2"/>
      <c r="E919" s="2"/>
      <c r="F919" s="2"/>
      <c r="G919" s="2"/>
      <c r="H919" s="2"/>
      <c r="I919" s="3"/>
      <c r="J919" s="2"/>
      <c r="K919" s="2"/>
      <c r="L919" s="3"/>
      <c r="M919" s="2"/>
      <c r="N919" s="2"/>
      <c r="O919" s="3"/>
      <c r="P919" s="2"/>
      <c r="Q919" s="3"/>
      <c r="R919" s="2"/>
      <c r="S919" s="4"/>
      <c r="T919" s="2"/>
      <c r="U919" s="4"/>
      <c r="V919" s="3"/>
      <c r="W919" s="4"/>
      <c r="X919" s="3"/>
      <c r="Y919" s="4"/>
      <c r="Z919" s="3"/>
      <c r="AA919" s="3"/>
      <c r="AB919" s="4"/>
      <c r="AC919" s="4"/>
      <c r="AD919" s="4"/>
      <c r="AE919" s="4"/>
      <c r="AF919" s="4"/>
      <c r="AG919" s="4"/>
      <c r="AH919" s="4"/>
      <c r="AI919" s="4"/>
      <c r="AJ919" s="4"/>
      <c r="AK919" s="5"/>
      <c r="AL919" s="4"/>
      <c r="AM919" s="4"/>
      <c r="AN919" s="4"/>
      <c r="AO919" s="4"/>
      <c r="AP919" s="4"/>
      <c r="AQ919" s="4"/>
      <c r="AR919" s="4"/>
    </row>
    <row r="920">
      <c r="A920" s="2"/>
      <c r="B920" s="3"/>
      <c r="C920" s="6"/>
      <c r="D920" s="2"/>
      <c r="E920" s="2"/>
      <c r="F920" s="2"/>
      <c r="G920" s="2"/>
      <c r="H920" s="2"/>
      <c r="I920" s="3"/>
      <c r="J920" s="2"/>
      <c r="K920" s="2"/>
      <c r="L920" s="3"/>
      <c r="M920" s="2"/>
      <c r="N920" s="2"/>
      <c r="O920" s="3"/>
      <c r="P920" s="2"/>
      <c r="Q920" s="3"/>
      <c r="R920" s="2"/>
      <c r="S920" s="4"/>
      <c r="T920" s="2"/>
      <c r="U920" s="4"/>
      <c r="V920" s="3"/>
      <c r="W920" s="4"/>
      <c r="X920" s="3"/>
      <c r="Y920" s="4"/>
      <c r="Z920" s="3"/>
      <c r="AA920" s="3"/>
      <c r="AB920" s="4"/>
      <c r="AC920" s="4"/>
      <c r="AD920" s="4"/>
      <c r="AE920" s="4"/>
      <c r="AF920" s="4"/>
      <c r="AG920" s="4"/>
      <c r="AH920" s="4"/>
      <c r="AI920" s="4"/>
      <c r="AJ920" s="4"/>
      <c r="AK920" s="5"/>
      <c r="AL920" s="4"/>
      <c r="AM920" s="4"/>
      <c r="AN920" s="4"/>
      <c r="AO920" s="4"/>
      <c r="AP920" s="4"/>
      <c r="AQ920" s="4"/>
      <c r="AR920" s="4"/>
    </row>
    <row r="921">
      <c r="A921" s="2"/>
      <c r="B921" s="3"/>
      <c r="C921" s="6"/>
      <c r="D921" s="2"/>
      <c r="E921" s="2"/>
      <c r="F921" s="2"/>
      <c r="G921" s="2"/>
      <c r="H921" s="2"/>
      <c r="I921" s="3"/>
      <c r="J921" s="2"/>
      <c r="K921" s="2"/>
      <c r="L921" s="3"/>
      <c r="M921" s="2"/>
      <c r="N921" s="2"/>
      <c r="O921" s="3"/>
      <c r="P921" s="2"/>
      <c r="Q921" s="3"/>
      <c r="R921" s="2"/>
      <c r="S921" s="4"/>
      <c r="T921" s="2"/>
      <c r="U921" s="4"/>
      <c r="V921" s="3"/>
      <c r="W921" s="4"/>
      <c r="X921" s="3"/>
      <c r="Y921" s="4"/>
      <c r="Z921" s="3"/>
      <c r="AA921" s="3"/>
      <c r="AB921" s="4"/>
      <c r="AC921" s="4"/>
      <c r="AD921" s="4"/>
      <c r="AE921" s="4"/>
      <c r="AF921" s="4"/>
      <c r="AG921" s="4"/>
      <c r="AH921" s="4"/>
      <c r="AI921" s="4"/>
      <c r="AJ921" s="4"/>
      <c r="AK921" s="5"/>
      <c r="AL921" s="4"/>
      <c r="AM921" s="4"/>
      <c r="AN921" s="4"/>
      <c r="AO921" s="4"/>
      <c r="AP921" s="4"/>
      <c r="AQ921" s="4"/>
      <c r="AR921" s="4"/>
    </row>
    <row r="922">
      <c r="A922" s="2"/>
      <c r="B922" s="3"/>
      <c r="C922" s="6"/>
      <c r="D922" s="2"/>
      <c r="E922" s="2"/>
      <c r="F922" s="2"/>
      <c r="G922" s="2"/>
      <c r="H922" s="2"/>
      <c r="I922" s="3"/>
      <c r="J922" s="2"/>
      <c r="K922" s="2"/>
      <c r="L922" s="3"/>
      <c r="M922" s="2"/>
      <c r="N922" s="2"/>
      <c r="O922" s="3"/>
      <c r="P922" s="2"/>
      <c r="Q922" s="3"/>
      <c r="R922" s="2"/>
      <c r="S922" s="4"/>
      <c r="T922" s="2"/>
      <c r="U922" s="4"/>
      <c r="V922" s="3"/>
      <c r="W922" s="4"/>
      <c r="X922" s="3"/>
      <c r="Y922" s="4"/>
      <c r="Z922" s="3"/>
      <c r="AA922" s="3"/>
      <c r="AB922" s="4"/>
      <c r="AC922" s="4"/>
      <c r="AD922" s="4"/>
      <c r="AE922" s="4"/>
      <c r="AF922" s="4"/>
      <c r="AG922" s="4"/>
      <c r="AH922" s="4"/>
      <c r="AI922" s="4"/>
      <c r="AJ922" s="4"/>
      <c r="AK922" s="5"/>
      <c r="AL922" s="4"/>
      <c r="AM922" s="4"/>
      <c r="AN922" s="4"/>
      <c r="AO922" s="4"/>
      <c r="AP922" s="4"/>
      <c r="AQ922" s="4"/>
      <c r="AR922" s="4"/>
    </row>
    <row r="923">
      <c r="A923" s="2"/>
      <c r="B923" s="3"/>
      <c r="C923" s="6"/>
      <c r="D923" s="2"/>
      <c r="E923" s="2"/>
      <c r="F923" s="2"/>
      <c r="G923" s="2"/>
      <c r="H923" s="2"/>
      <c r="I923" s="3"/>
      <c r="J923" s="2"/>
      <c r="K923" s="2"/>
      <c r="L923" s="3"/>
      <c r="M923" s="2"/>
      <c r="N923" s="2"/>
      <c r="O923" s="3"/>
      <c r="P923" s="2"/>
      <c r="Q923" s="3"/>
      <c r="R923" s="2"/>
      <c r="S923" s="4"/>
      <c r="T923" s="2"/>
      <c r="U923" s="4"/>
      <c r="V923" s="3"/>
      <c r="W923" s="4"/>
      <c r="X923" s="3"/>
      <c r="Y923" s="4"/>
      <c r="Z923" s="3"/>
      <c r="AA923" s="3"/>
      <c r="AB923" s="4"/>
      <c r="AC923" s="4"/>
      <c r="AD923" s="4"/>
      <c r="AE923" s="4"/>
      <c r="AF923" s="4"/>
      <c r="AG923" s="4"/>
      <c r="AH923" s="4"/>
      <c r="AI923" s="4"/>
      <c r="AJ923" s="4"/>
      <c r="AK923" s="5"/>
      <c r="AL923" s="4"/>
      <c r="AM923" s="4"/>
      <c r="AN923" s="4"/>
      <c r="AO923" s="4"/>
      <c r="AP923" s="4"/>
      <c r="AQ923" s="4"/>
      <c r="AR923" s="4"/>
    </row>
    <row r="924">
      <c r="A924" s="2"/>
      <c r="B924" s="3"/>
      <c r="C924" s="6"/>
      <c r="D924" s="2"/>
      <c r="E924" s="2"/>
      <c r="F924" s="2"/>
      <c r="G924" s="2"/>
      <c r="H924" s="2"/>
      <c r="I924" s="3"/>
      <c r="J924" s="2"/>
      <c r="K924" s="2"/>
      <c r="L924" s="3"/>
      <c r="M924" s="2"/>
      <c r="N924" s="2"/>
      <c r="O924" s="3"/>
      <c r="P924" s="2"/>
      <c r="Q924" s="3"/>
      <c r="R924" s="2"/>
      <c r="S924" s="4"/>
      <c r="T924" s="2"/>
      <c r="U924" s="4"/>
      <c r="V924" s="3"/>
      <c r="W924" s="4"/>
      <c r="X924" s="3"/>
      <c r="Y924" s="4"/>
      <c r="Z924" s="3"/>
      <c r="AA924" s="3"/>
      <c r="AB924" s="4"/>
      <c r="AC924" s="4"/>
      <c r="AD924" s="4"/>
      <c r="AE924" s="4"/>
      <c r="AF924" s="4"/>
      <c r="AG924" s="4"/>
      <c r="AH924" s="4"/>
      <c r="AI924" s="4"/>
      <c r="AJ924" s="4"/>
      <c r="AK924" s="5"/>
      <c r="AL924" s="4"/>
      <c r="AM924" s="4"/>
      <c r="AN924" s="4"/>
      <c r="AO924" s="4"/>
      <c r="AP924" s="4"/>
      <c r="AQ924" s="4"/>
      <c r="AR924" s="4"/>
    </row>
    <row r="925">
      <c r="A925" s="2"/>
      <c r="B925" s="3"/>
      <c r="C925" s="6"/>
      <c r="D925" s="2"/>
      <c r="E925" s="2"/>
      <c r="F925" s="2"/>
      <c r="G925" s="2"/>
      <c r="H925" s="2"/>
      <c r="I925" s="3"/>
      <c r="J925" s="2"/>
      <c r="K925" s="2"/>
      <c r="L925" s="3"/>
      <c r="M925" s="2"/>
      <c r="N925" s="2"/>
      <c r="O925" s="3"/>
      <c r="P925" s="2"/>
      <c r="Q925" s="3"/>
      <c r="R925" s="2"/>
      <c r="S925" s="4"/>
      <c r="T925" s="2"/>
      <c r="U925" s="4"/>
      <c r="V925" s="3"/>
      <c r="W925" s="4"/>
      <c r="X925" s="3"/>
      <c r="Y925" s="4"/>
      <c r="Z925" s="3"/>
      <c r="AA925" s="3"/>
      <c r="AB925" s="4"/>
      <c r="AC925" s="4"/>
      <c r="AD925" s="4"/>
      <c r="AE925" s="4"/>
      <c r="AF925" s="4"/>
      <c r="AG925" s="4"/>
      <c r="AH925" s="4"/>
      <c r="AI925" s="4"/>
      <c r="AJ925" s="4"/>
      <c r="AK925" s="5"/>
      <c r="AL925" s="4"/>
      <c r="AM925" s="4"/>
      <c r="AN925" s="4"/>
      <c r="AO925" s="4"/>
      <c r="AP925" s="4"/>
      <c r="AQ925" s="4"/>
      <c r="AR925" s="4"/>
    </row>
    <row r="926">
      <c r="A926" s="2"/>
      <c r="B926" s="3"/>
      <c r="C926" s="6"/>
      <c r="D926" s="2"/>
      <c r="E926" s="2"/>
      <c r="F926" s="2"/>
      <c r="G926" s="2"/>
      <c r="H926" s="2"/>
      <c r="I926" s="3"/>
      <c r="J926" s="2"/>
      <c r="K926" s="2"/>
      <c r="L926" s="3"/>
      <c r="M926" s="2"/>
      <c r="N926" s="2"/>
      <c r="O926" s="3"/>
      <c r="P926" s="2"/>
      <c r="Q926" s="3"/>
      <c r="R926" s="2"/>
      <c r="S926" s="4"/>
      <c r="T926" s="2"/>
      <c r="U926" s="4"/>
      <c r="V926" s="3"/>
      <c r="W926" s="4"/>
      <c r="X926" s="3"/>
      <c r="Y926" s="4"/>
      <c r="Z926" s="3"/>
      <c r="AA926" s="3"/>
      <c r="AB926" s="4"/>
      <c r="AC926" s="4"/>
      <c r="AD926" s="4"/>
      <c r="AE926" s="4"/>
      <c r="AF926" s="4"/>
      <c r="AG926" s="4"/>
      <c r="AH926" s="4"/>
      <c r="AI926" s="4"/>
      <c r="AJ926" s="4"/>
      <c r="AK926" s="5"/>
      <c r="AL926" s="4"/>
      <c r="AM926" s="4"/>
      <c r="AN926" s="4"/>
      <c r="AO926" s="4"/>
      <c r="AP926" s="4"/>
      <c r="AQ926" s="4"/>
      <c r="AR926" s="4"/>
    </row>
    <row r="927">
      <c r="A927" s="2"/>
      <c r="B927" s="3"/>
      <c r="C927" s="6"/>
      <c r="D927" s="2"/>
      <c r="E927" s="2"/>
      <c r="F927" s="2"/>
      <c r="G927" s="2"/>
      <c r="H927" s="2"/>
      <c r="I927" s="3"/>
      <c r="J927" s="2"/>
      <c r="K927" s="2"/>
      <c r="L927" s="3"/>
      <c r="M927" s="2"/>
      <c r="N927" s="2"/>
      <c r="O927" s="3"/>
      <c r="P927" s="2"/>
      <c r="Q927" s="3"/>
      <c r="R927" s="2"/>
      <c r="S927" s="4"/>
      <c r="T927" s="2"/>
      <c r="U927" s="4"/>
      <c r="V927" s="3"/>
      <c r="W927" s="4"/>
      <c r="X927" s="3"/>
      <c r="Y927" s="4"/>
      <c r="Z927" s="3"/>
      <c r="AA927" s="3"/>
      <c r="AB927" s="4"/>
      <c r="AC927" s="4"/>
      <c r="AD927" s="4"/>
      <c r="AE927" s="4"/>
      <c r="AF927" s="4"/>
      <c r="AG927" s="4"/>
      <c r="AH927" s="4"/>
      <c r="AI927" s="4"/>
      <c r="AJ927" s="4"/>
      <c r="AK927" s="5"/>
      <c r="AL927" s="4"/>
      <c r="AM927" s="4"/>
      <c r="AN927" s="4"/>
      <c r="AO927" s="4"/>
      <c r="AP927" s="4"/>
      <c r="AQ927" s="4"/>
      <c r="AR927" s="4"/>
    </row>
    <row r="928">
      <c r="A928" s="2"/>
      <c r="B928" s="3"/>
      <c r="C928" s="6"/>
      <c r="D928" s="2"/>
      <c r="E928" s="2"/>
      <c r="F928" s="2"/>
      <c r="G928" s="2"/>
      <c r="H928" s="2"/>
      <c r="I928" s="3"/>
      <c r="J928" s="2"/>
      <c r="K928" s="2"/>
      <c r="L928" s="3"/>
      <c r="M928" s="2"/>
      <c r="N928" s="2"/>
      <c r="O928" s="3"/>
      <c r="P928" s="2"/>
      <c r="Q928" s="3"/>
      <c r="R928" s="2"/>
      <c r="S928" s="4"/>
      <c r="T928" s="2"/>
      <c r="U928" s="4"/>
      <c r="V928" s="3"/>
      <c r="W928" s="4"/>
      <c r="X928" s="3"/>
      <c r="Y928" s="4"/>
      <c r="Z928" s="3"/>
      <c r="AA928" s="3"/>
      <c r="AB928" s="4"/>
      <c r="AC928" s="4"/>
      <c r="AD928" s="4"/>
      <c r="AE928" s="4"/>
      <c r="AF928" s="4"/>
      <c r="AG928" s="4"/>
      <c r="AH928" s="4"/>
      <c r="AI928" s="4"/>
      <c r="AJ928" s="4"/>
      <c r="AK928" s="5"/>
      <c r="AL928" s="4"/>
      <c r="AM928" s="4"/>
      <c r="AN928" s="4"/>
      <c r="AO928" s="4"/>
      <c r="AP928" s="4"/>
      <c r="AQ928" s="4"/>
      <c r="AR928" s="4"/>
    </row>
    <row r="929">
      <c r="A929" s="2"/>
      <c r="B929" s="3"/>
      <c r="C929" s="6"/>
      <c r="D929" s="2"/>
      <c r="E929" s="2"/>
      <c r="F929" s="2"/>
      <c r="G929" s="2"/>
      <c r="H929" s="2"/>
      <c r="I929" s="3"/>
      <c r="J929" s="2"/>
      <c r="K929" s="2"/>
      <c r="L929" s="3"/>
      <c r="M929" s="2"/>
      <c r="N929" s="2"/>
      <c r="O929" s="3"/>
      <c r="P929" s="2"/>
      <c r="Q929" s="3"/>
      <c r="R929" s="2"/>
      <c r="S929" s="4"/>
      <c r="T929" s="2"/>
      <c r="U929" s="4"/>
      <c r="V929" s="3"/>
      <c r="W929" s="4"/>
      <c r="X929" s="3"/>
      <c r="Y929" s="4"/>
      <c r="Z929" s="3"/>
      <c r="AA929" s="3"/>
      <c r="AB929" s="4"/>
      <c r="AC929" s="4"/>
      <c r="AD929" s="4"/>
      <c r="AE929" s="4"/>
      <c r="AF929" s="4"/>
      <c r="AG929" s="4"/>
      <c r="AH929" s="4"/>
      <c r="AI929" s="4"/>
      <c r="AJ929" s="4"/>
      <c r="AK929" s="5"/>
      <c r="AL929" s="4"/>
      <c r="AM929" s="4"/>
      <c r="AN929" s="4"/>
      <c r="AO929" s="4"/>
      <c r="AP929" s="4"/>
      <c r="AQ929" s="4"/>
      <c r="AR929" s="4"/>
    </row>
    <row r="930">
      <c r="A930" s="2"/>
      <c r="B930" s="3"/>
      <c r="C930" s="6"/>
      <c r="D930" s="2"/>
      <c r="E930" s="2"/>
      <c r="F930" s="2"/>
      <c r="G930" s="2"/>
      <c r="H930" s="2"/>
      <c r="I930" s="3"/>
      <c r="J930" s="2"/>
      <c r="K930" s="2"/>
      <c r="L930" s="3"/>
      <c r="M930" s="2"/>
      <c r="N930" s="2"/>
      <c r="O930" s="3"/>
      <c r="P930" s="2"/>
      <c r="Q930" s="3"/>
      <c r="R930" s="2"/>
      <c r="S930" s="4"/>
      <c r="T930" s="2"/>
      <c r="U930" s="4"/>
      <c r="V930" s="3"/>
      <c r="W930" s="4"/>
      <c r="X930" s="3"/>
      <c r="Y930" s="4"/>
      <c r="Z930" s="3"/>
      <c r="AA930" s="3"/>
      <c r="AB930" s="4"/>
      <c r="AC930" s="4"/>
      <c r="AD930" s="4"/>
      <c r="AE930" s="4"/>
      <c r="AF930" s="4"/>
      <c r="AG930" s="4"/>
      <c r="AH930" s="4"/>
      <c r="AI930" s="4"/>
      <c r="AJ930" s="4"/>
      <c r="AK930" s="5"/>
      <c r="AL930" s="4"/>
      <c r="AM930" s="4"/>
      <c r="AN930" s="4"/>
      <c r="AO930" s="4"/>
      <c r="AP930" s="4"/>
      <c r="AQ930" s="4"/>
      <c r="AR930" s="4"/>
    </row>
    <row r="931">
      <c r="A931" s="2"/>
      <c r="B931" s="3"/>
      <c r="C931" s="6"/>
      <c r="D931" s="2"/>
      <c r="E931" s="2"/>
      <c r="F931" s="2"/>
      <c r="G931" s="2"/>
      <c r="H931" s="2"/>
      <c r="I931" s="3"/>
      <c r="J931" s="2"/>
      <c r="K931" s="2"/>
      <c r="L931" s="3"/>
      <c r="M931" s="2"/>
      <c r="N931" s="2"/>
      <c r="O931" s="3"/>
      <c r="P931" s="2"/>
      <c r="Q931" s="3"/>
      <c r="R931" s="2"/>
      <c r="S931" s="4"/>
      <c r="T931" s="2"/>
      <c r="U931" s="4"/>
      <c r="V931" s="3"/>
      <c r="W931" s="4"/>
      <c r="X931" s="3"/>
      <c r="Y931" s="4"/>
      <c r="Z931" s="3"/>
      <c r="AA931" s="3"/>
      <c r="AB931" s="4"/>
      <c r="AC931" s="4"/>
      <c r="AD931" s="4"/>
      <c r="AE931" s="4"/>
      <c r="AF931" s="4"/>
      <c r="AG931" s="4"/>
      <c r="AH931" s="4"/>
      <c r="AI931" s="4"/>
      <c r="AJ931" s="4"/>
      <c r="AK931" s="5"/>
      <c r="AL931" s="4"/>
      <c r="AM931" s="4"/>
      <c r="AN931" s="4"/>
      <c r="AO931" s="4"/>
      <c r="AP931" s="4"/>
      <c r="AQ931" s="4"/>
      <c r="AR931" s="4"/>
    </row>
    <row r="932">
      <c r="A932" s="2"/>
      <c r="B932" s="3"/>
      <c r="C932" s="6"/>
      <c r="D932" s="2"/>
      <c r="E932" s="2"/>
      <c r="F932" s="2"/>
      <c r="G932" s="2"/>
      <c r="H932" s="2"/>
      <c r="I932" s="3"/>
      <c r="J932" s="2"/>
      <c r="K932" s="2"/>
      <c r="L932" s="3"/>
      <c r="M932" s="2"/>
      <c r="N932" s="2"/>
      <c r="O932" s="3"/>
      <c r="P932" s="2"/>
      <c r="Q932" s="3"/>
      <c r="R932" s="2"/>
      <c r="S932" s="4"/>
      <c r="T932" s="2"/>
      <c r="U932" s="4"/>
      <c r="V932" s="3"/>
      <c r="W932" s="4"/>
      <c r="X932" s="3"/>
      <c r="Y932" s="4"/>
      <c r="Z932" s="3"/>
      <c r="AA932" s="3"/>
      <c r="AB932" s="4"/>
      <c r="AC932" s="4"/>
      <c r="AD932" s="4"/>
      <c r="AE932" s="4"/>
      <c r="AF932" s="4"/>
      <c r="AG932" s="4"/>
      <c r="AH932" s="4"/>
      <c r="AI932" s="4"/>
      <c r="AJ932" s="4"/>
      <c r="AK932" s="5"/>
      <c r="AL932" s="4"/>
      <c r="AM932" s="4"/>
      <c r="AN932" s="4"/>
      <c r="AO932" s="4"/>
      <c r="AP932" s="4"/>
      <c r="AQ932" s="4"/>
      <c r="AR932" s="4"/>
    </row>
    <row r="933">
      <c r="A933" s="2"/>
      <c r="B933" s="3"/>
      <c r="C933" s="6"/>
      <c r="D933" s="2"/>
      <c r="E933" s="2"/>
      <c r="F933" s="2"/>
      <c r="G933" s="2"/>
      <c r="H933" s="2"/>
      <c r="I933" s="3"/>
      <c r="J933" s="2"/>
      <c r="K933" s="2"/>
      <c r="L933" s="3"/>
      <c r="M933" s="2"/>
      <c r="N933" s="2"/>
      <c r="O933" s="3"/>
      <c r="P933" s="2"/>
      <c r="Q933" s="3"/>
      <c r="R933" s="2"/>
      <c r="S933" s="4"/>
      <c r="T933" s="2"/>
      <c r="U933" s="4"/>
      <c r="V933" s="3"/>
      <c r="W933" s="4"/>
      <c r="X933" s="3"/>
      <c r="Y933" s="4"/>
      <c r="Z933" s="3"/>
      <c r="AA933" s="3"/>
      <c r="AB933" s="4"/>
      <c r="AC933" s="4"/>
      <c r="AD933" s="4"/>
      <c r="AE933" s="4"/>
      <c r="AF933" s="4"/>
      <c r="AG933" s="4"/>
      <c r="AH933" s="4"/>
      <c r="AI933" s="4"/>
      <c r="AJ933" s="4"/>
      <c r="AK933" s="5"/>
      <c r="AL933" s="4"/>
      <c r="AM933" s="4"/>
      <c r="AN933" s="4"/>
      <c r="AO933" s="4"/>
      <c r="AP933" s="4"/>
      <c r="AQ933" s="4"/>
      <c r="AR933" s="4"/>
    </row>
    <row r="934">
      <c r="A934" s="2"/>
      <c r="B934" s="3"/>
      <c r="C934" s="6"/>
      <c r="D934" s="2"/>
      <c r="E934" s="2"/>
      <c r="F934" s="2"/>
      <c r="G934" s="2"/>
      <c r="H934" s="2"/>
      <c r="I934" s="3"/>
      <c r="J934" s="2"/>
      <c r="K934" s="2"/>
      <c r="L934" s="3"/>
      <c r="M934" s="2"/>
      <c r="N934" s="2"/>
      <c r="O934" s="3"/>
      <c r="P934" s="2"/>
      <c r="Q934" s="3"/>
      <c r="R934" s="2"/>
      <c r="S934" s="4"/>
      <c r="T934" s="2"/>
      <c r="U934" s="4"/>
      <c r="V934" s="3"/>
      <c r="W934" s="4"/>
      <c r="X934" s="3"/>
      <c r="Y934" s="4"/>
      <c r="Z934" s="3"/>
      <c r="AA934" s="3"/>
      <c r="AB934" s="4"/>
      <c r="AC934" s="4"/>
      <c r="AD934" s="4"/>
      <c r="AE934" s="4"/>
      <c r="AF934" s="4"/>
      <c r="AG934" s="4"/>
      <c r="AH934" s="4"/>
      <c r="AI934" s="4"/>
      <c r="AJ934" s="4"/>
      <c r="AK934" s="5"/>
      <c r="AL934" s="4"/>
      <c r="AM934" s="4"/>
      <c r="AN934" s="4"/>
      <c r="AO934" s="4"/>
      <c r="AP934" s="4"/>
      <c r="AQ934" s="4"/>
      <c r="AR934" s="4"/>
    </row>
    <row r="935">
      <c r="A935" s="2"/>
      <c r="B935" s="3"/>
      <c r="C935" s="6"/>
      <c r="D935" s="2"/>
      <c r="E935" s="2"/>
      <c r="F935" s="2"/>
      <c r="G935" s="2"/>
      <c r="H935" s="2"/>
      <c r="I935" s="3"/>
      <c r="J935" s="2"/>
      <c r="K935" s="2"/>
      <c r="L935" s="3"/>
      <c r="M935" s="2"/>
      <c r="N935" s="2"/>
      <c r="O935" s="3"/>
      <c r="P935" s="2"/>
      <c r="Q935" s="3"/>
      <c r="R935" s="2"/>
      <c r="S935" s="4"/>
      <c r="T935" s="2"/>
      <c r="U935" s="4"/>
      <c r="V935" s="3"/>
      <c r="W935" s="4"/>
      <c r="X935" s="3"/>
      <c r="Y935" s="4"/>
      <c r="Z935" s="3"/>
      <c r="AA935" s="3"/>
      <c r="AB935" s="4"/>
      <c r="AC935" s="4"/>
      <c r="AD935" s="4"/>
      <c r="AE935" s="4"/>
      <c r="AF935" s="4"/>
      <c r="AG935" s="4"/>
      <c r="AH935" s="4"/>
      <c r="AI935" s="4"/>
      <c r="AJ935" s="4"/>
      <c r="AK935" s="5"/>
      <c r="AL935" s="4"/>
      <c r="AM935" s="4"/>
      <c r="AN935" s="4"/>
      <c r="AO935" s="4"/>
      <c r="AP935" s="4"/>
      <c r="AQ935" s="4"/>
      <c r="AR935" s="4"/>
    </row>
    <row r="936">
      <c r="A936" s="2"/>
      <c r="B936" s="3"/>
      <c r="C936" s="6"/>
      <c r="D936" s="2"/>
      <c r="E936" s="2"/>
      <c r="F936" s="2"/>
      <c r="G936" s="2"/>
      <c r="H936" s="2"/>
      <c r="I936" s="3"/>
      <c r="J936" s="2"/>
      <c r="K936" s="2"/>
      <c r="L936" s="3"/>
      <c r="M936" s="2"/>
      <c r="N936" s="2"/>
      <c r="O936" s="3"/>
      <c r="P936" s="2"/>
      <c r="Q936" s="3"/>
      <c r="R936" s="2"/>
      <c r="S936" s="4"/>
      <c r="T936" s="2"/>
      <c r="U936" s="4"/>
      <c r="V936" s="3"/>
      <c r="W936" s="4"/>
      <c r="X936" s="3"/>
      <c r="Y936" s="4"/>
      <c r="Z936" s="3"/>
      <c r="AA936" s="3"/>
      <c r="AB936" s="4"/>
      <c r="AC936" s="4"/>
      <c r="AD936" s="4"/>
      <c r="AE936" s="4"/>
      <c r="AF936" s="4"/>
      <c r="AG936" s="4"/>
      <c r="AH936" s="4"/>
      <c r="AI936" s="4"/>
      <c r="AJ936" s="4"/>
      <c r="AK936" s="5"/>
      <c r="AL936" s="4"/>
      <c r="AM936" s="4"/>
      <c r="AN936" s="4"/>
      <c r="AO936" s="4"/>
      <c r="AP936" s="4"/>
      <c r="AQ936" s="4"/>
      <c r="AR936" s="4"/>
    </row>
    <row r="937">
      <c r="A937" s="2"/>
      <c r="B937" s="3"/>
      <c r="C937" s="6"/>
      <c r="D937" s="2"/>
      <c r="E937" s="2"/>
      <c r="F937" s="2"/>
      <c r="G937" s="2"/>
      <c r="H937" s="2"/>
      <c r="I937" s="3"/>
      <c r="J937" s="2"/>
      <c r="K937" s="2"/>
      <c r="L937" s="3"/>
      <c r="M937" s="2"/>
      <c r="N937" s="2"/>
      <c r="O937" s="3"/>
      <c r="P937" s="2"/>
      <c r="Q937" s="3"/>
      <c r="R937" s="2"/>
      <c r="S937" s="4"/>
      <c r="T937" s="2"/>
      <c r="U937" s="4"/>
      <c r="V937" s="3"/>
      <c r="W937" s="4"/>
      <c r="X937" s="3"/>
      <c r="Y937" s="4"/>
      <c r="Z937" s="3"/>
      <c r="AA937" s="3"/>
      <c r="AB937" s="4"/>
      <c r="AC937" s="4"/>
      <c r="AD937" s="4"/>
      <c r="AE937" s="4"/>
      <c r="AF937" s="4"/>
      <c r="AG937" s="4"/>
      <c r="AH937" s="4"/>
      <c r="AI937" s="4"/>
      <c r="AJ937" s="4"/>
      <c r="AK937" s="5"/>
      <c r="AL937" s="4"/>
      <c r="AM937" s="4"/>
      <c r="AN937" s="4"/>
      <c r="AO937" s="4"/>
      <c r="AP937" s="4"/>
      <c r="AQ937" s="4"/>
      <c r="AR937" s="4"/>
    </row>
    <row r="938">
      <c r="A938" s="2"/>
      <c r="B938" s="3"/>
      <c r="C938" s="6"/>
      <c r="D938" s="2"/>
      <c r="E938" s="2"/>
      <c r="F938" s="2"/>
      <c r="G938" s="2"/>
      <c r="H938" s="2"/>
      <c r="I938" s="3"/>
      <c r="J938" s="2"/>
      <c r="K938" s="2"/>
      <c r="L938" s="3"/>
      <c r="M938" s="2"/>
      <c r="N938" s="2"/>
      <c r="O938" s="3"/>
      <c r="P938" s="2"/>
      <c r="Q938" s="3"/>
      <c r="R938" s="2"/>
      <c r="S938" s="4"/>
      <c r="T938" s="2"/>
      <c r="U938" s="4"/>
      <c r="V938" s="3"/>
      <c r="W938" s="4"/>
      <c r="X938" s="3"/>
      <c r="Y938" s="4"/>
      <c r="Z938" s="3"/>
      <c r="AA938" s="3"/>
      <c r="AB938" s="4"/>
      <c r="AC938" s="4"/>
      <c r="AD938" s="4"/>
      <c r="AE938" s="4"/>
      <c r="AF938" s="4"/>
      <c r="AG938" s="4"/>
      <c r="AH938" s="4"/>
      <c r="AI938" s="4"/>
      <c r="AJ938" s="4"/>
      <c r="AK938" s="5"/>
      <c r="AL938" s="4"/>
      <c r="AM938" s="4"/>
      <c r="AN938" s="4"/>
      <c r="AO938" s="4"/>
      <c r="AP938" s="4"/>
      <c r="AQ938" s="4"/>
      <c r="AR938" s="4"/>
    </row>
    <row r="939">
      <c r="A939" s="2"/>
      <c r="B939" s="3"/>
      <c r="C939" s="6"/>
      <c r="D939" s="2"/>
      <c r="E939" s="2"/>
      <c r="F939" s="2"/>
      <c r="G939" s="2"/>
      <c r="H939" s="2"/>
      <c r="I939" s="3"/>
      <c r="J939" s="2"/>
      <c r="K939" s="2"/>
      <c r="L939" s="3"/>
      <c r="M939" s="2"/>
      <c r="N939" s="2"/>
      <c r="O939" s="3"/>
      <c r="P939" s="2"/>
      <c r="Q939" s="3"/>
      <c r="R939" s="2"/>
      <c r="S939" s="4"/>
      <c r="T939" s="2"/>
      <c r="U939" s="4"/>
      <c r="V939" s="3"/>
      <c r="W939" s="4"/>
      <c r="X939" s="3"/>
      <c r="Y939" s="4"/>
      <c r="Z939" s="3"/>
      <c r="AA939" s="3"/>
      <c r="AB939" s="4"/>
      <c r="AC939" s="4"/>
      <c r="AD939" s="4"/>
      <c r="AE939" s="4"/>
      <c r="AF939" s="4"/>
      <c r="AG939" s="4"/>
      <c r="AH939" s="4"/>
      <c r="AI939" s="4"/>
      <c r="AJ939" s="4"/>
      <c r="AK939" s="5"/>
      <c r="AL939" s="4"/>
      <c r="AM939" s="4"/>
      <c r="AN939" s="4"/>
      <c r="AO939" s="4"/>
      <c r="AP939" s="4"/>
      <c r="AQ939" s="4"/>
      <c r="AR939" s="4"/>
    </row>
    <row r="940">
      <c r="A940" s="2"/>
      <c r="B940" s="3"/>
      <c r="C940" s="6"/>
      <c r="D940" s="2"/>
      <c r="E940" s="2"/>
      <c r="F940" s="2"/>
      <c r="G940" s="2"/>
      <c r="H940" s="2"/>
      <c r="I940" s="3"/>
      <c r="J940" s="2"/>
      <c r="K940" s="2"/>
      <c r="L940" s="3"/>
      <c r="M940" s="2"/>
      <c r="N940" s="2"/>
      <c r="O940" s="3"/>
      <c r="P940" s="2"/>
      <c r="Q940" s="3"/>
      <c r="R940" s="2"/>
      <c r="S940" s="4"/>
      <c r="T940" s="2"/>
      <c r="U940" s="4"/>
      <c r="V940" s="3"/>
      <c r="W940" s="4"/>
      <c r="X940" s="3"/>
      <c r="Y940" s="4"/>
      <c r="Z940" s="3"/>
      <c r="AA940" s="3"/>
      <c r="AB940" s="4"/>
      <c r="AC940" s="4"/>
      <c r="AD940" s="4"/>
      <c r="AE940" s="4"/>
      <c r="AF940" s="4"/>
      <c r="AG940" s="4"/>
      <c r="AH940" s="4"/>
      <c r="AI940" s="4"/>
      <c r="AJ940" s="4"/>
      <c r="AK940" s="5"/>
      <c r="AL940" s="4"/>
      <c r="AM940" s="4"/>
      <c r="AN940" s="4"/>
      <c r="AO940" s="4"/>
      <c r="AP940" s="4"/>
      <c r="AQ940" s="4"/>
      <c r="AR940" s="4"/>
    </row>
    <row r="941">
      <c r="A941" s="2"/>
      <c r="B941" s="3"/>
      <c r="C941" s="6"/>
      <c r="D941" s="2"/>
      <c r="E941" s="2"/>
      <c r="F941" s="2"/>
      <c r="G941" s="2"/>
      <c r="H941" s="2"/>
      <c r="I941" s="3"/>
      <c r="J941" s="2"/>
      <c r="K941" s="2"/>
      <c r="L941" s="3"/>
      <c r="M941" s="2"/>
      <c r="N941" s="2"/>
      <c r="O941" s="3"/>
      <c r="P941" s="2"/>
      <c r="Q941" s="3"/>
      <c r="R941" s="2"/>
      <c r="S941" s="4"/>
      <c r="T941" s="2"/>
      <c r="U941" s="4"/>
      <c r="V941" s="3"/>
      <c r="W941" s="4"/>
      <c r="X941" s="3"/>
      <c r="Y941" s="4"/>
      <c r="Z941" s="3"/>
      <c r="AA941" s="3"/>
      <c r="AB941" s="4"/>
      <c r="AC941" s="4"/>
      <c r="AD941" s="4"/>
      <c r="AE941" s="4"/>
      <c r="AF941" s="4"/>
      <c r="AG941" s="4"/>
      <c r="AH941" s="4"/>
      <c r="AI941" s="4"/>
      <c r="AJ941" s="4"/>
      <c r="AK941" s="5"/>
      <c r="AL941" s="4"/>
      <c r="AM941" s="4"/>
      <c r="AN941" s="4"/>
      <c r="AO941" s="4"/>
      <c r="AP941" s="4"/>
      <c r="AQ941" s="4"/>
      <c r="AR941" s="4"/>
    </row>
    <row r="942">
      <c r="A942" s="2"/>
      <c r="B942" s="3"/>
      <c r="C942" s="6"/>
      <c r="D942" s="2"/>
      <c r="E942" s="2"/>
      <c r="F942" s="2"/>
      <c r="G942" s="2"/>
      <c r="H942" s="2"/>
      <c r="I942" s="3"/>
      <c r="J942" s="2"/>
      <c r="K942" s="2"/>
      <c r="L942" s="3"/>
      <c r="M942" s="2"/>
      <c r="N942" s="2"/>
      <c r="O942" s="3"/>
      <c r="P942" s="2"/>
      <c r="Q942" s="3"/>
      <c r="R942" s="2"/>
      <c r="S942" s="4"/>
      <c r="T942" s="2"/>
      <c r="U942" s="4"/>
      <c r="V942" s="3"/>
      <c r="W942" s="4"/>
      <c r="X942" s="3"/>
      <c r="Y942" s="4"/>
      <c r="Z942" s="3"/>
      <c r="AA942" s="3"/>
      <c r="AB942" s="4"/>
      <c r="AC942" s="4"/>
      <c r="AD942" s="4"/>
      <c r="AE942" s="4"/>
      <c r="AF942" s="4"/>
      <c r="AG942" s="4"/>
      <c r="AH942" s="4"/>
      <c r="AI942" s="4"/>
      <c r="AJ942" s="4"/>
      <c r="AK942" s="5"/>
      <c r="AL942" s="4"/>
      <c r="AM942" s="4"/>
      <c r="AN942" s="4"/>
      <c r="AO942" s="4"/>
      <c r="AP942" s="4"/>
      <c r="AQ942" s="4"/>
      <c r="AR942" s="4"/>
    </row>
    <row r="943">
      <c r="A943" s="2"/>
      <c r="B943" s="3"/>
      <c r="C943" s="6"/>
      <c r="D943" s="2"/>
      <c r="E943" s="2"/>
      <c r="F943" s="2"/>
      <c r="G943" s="2"/>
      <c r="H943" s="2"/>
      <c r="I943" s="3"/>
      <c r="J943" s="2"/>
      <c r="K943" s="2"/>
      <c r="L943" s="3"/>
      <c r="M943" s="2"/>
      <c r="N943" s="2"/>
      <c r="O943" s="3"/>
      <c r="P943" s="2"/>
      <c r="Q943" s="3"/>
      <c r="R943" s="2"/>
      <c r="S943" s="4"/>
      <c r="T943" s="2"/>
      <c r="U943" s="4"/>
      <c r="V943" s="3"/>
      <c r="W943" s="4"/>
      <c r="X943" s="3"/>
      <c r="Y943" s="4"/>
      <c r="Z943" s="3"/>
      <c r="AA943" s="3"/>
      <c r="AB943" s="4"/>
      <c r="AC943" s="4"/>
      <c r="AD943" s="4"/>
      <c r="AE943" s="4"/>
      <c r="AF943" s="4"/>
      <c r="AG943" s="4"/>
      <c r="AH943" s="4"/>
      <c r="AI943" s="4"/>
      <c r="AJ943" s="4"/>
      <c r="AK943" s="5"/>
      <c r="AL943" s="4"/>
      <c r="AM943" s="4"/>
      <c r="AN943" s="4"/>
      <c r="AO943" s="4"/>
      <c r="AP943" s="4"/>
      <c r="AQ943" s="4"/>
      <c r="AR943" s="4"/>
    </row>
    <row r="944">
      <c r="A944" s="2"/>
      <c r="B944" s="3"/>
      <c r="C944" s="6"/>
      <c r="D944" s="2"/>
      <c r="E944" s="2"/>
      <c r="F944" s="2"/>
      <c r="G944" s="2"/>
      <c r="H944" s="2"/>
      <c r="I944" s="3"/>
      <c r="J944" s="2"/>
      <c r="K944" s="2"/>
      <c r="L944" s="3"/>
      <c r="M944" s="2"/>
      <c r="N944" s="2"/>
      <c r="O944" s="3"/>
      <c r="P944" s="2"/>
      <c r="Q944" s="3"/>
      <c r="R944" s="2"/>
      <c r="S944" s="4"/>
      <c r="T944" s="2"/>
      <c r="U944" s="4"/>
      <c r="V944" s="3"/>
      <c r="W944" s="4"/>
      <c r="X944" s="3"/>
      <c r="Y944" s="4"/>
      <c r="Z944" s="3"/>
      <c r="AA944" s="3"/>
      <c r="AB944" s="4"/>
      <c r="AC944" s="4"/>
      <c r="AD944" s="4"/>
      <c r="AE944" s="4"/>
      <c r="AF944" s="4"/>
      <c r="AG944" s="4"/>
      <c r="AH944" s="4"/>
      <c r="AI944" s="4"/>
      <c r="AJ944" s="4"/>
      <c r="AK944" s="5"/>
      <c r="AL944" s="4"/>
      <c r="AM944" s="4"/>
      <c r="AN944" s="4"/>
      <c r="AO944" s="4"/>
      <c r="AP944" s="4"/>
      <c r="AQ944" s="4"/>
      <c r="AR944" s="4"/>
    </row>
    <row r="945">
      <c r="A945" s="2"/>
      <c r="B945" s="3"/>
      <c r="C945" s="6"/>
      <c r="D945" s="2"/>
      <c r="E945" s="2"/>
      <c r="F945" s="2"/>
      <c r="G945" s="2"/>
      <c r="H945" s="2"/>
      <c r="I945" s="3"/>
      <c r="J945" s="2"/>
      <c r="K945" s="2"/>
      <c r="L945" s="3"/>
      <c r="M945" s="2"/>
      <c r="N945" s="2"/>
      <c r="O945" s="3"/>
      <c r="P945" s="2"/>
      <c r="Q945" s="3"/>
      <c r="R945" s="2"/>
      <c r="S945" s="4"/>
      <c r="T945" s="2"/>
      <c r="U945" s="4"/>
      <c r="V945" s="3"/>
      <c r="W945" s="4"/>
      <c r="X945" s="3"/>
      <c r="Y945" s="4"/>
      <c r="Z945" s="3"/>
      <c r="AA945" s="3"/>
      <c r="AB945" s="4"/>
      <c r="AC945" s="4"/>
      <c r="AD945" s="4"/>
      <c r="AE945" s="4"/>
      <c r="AF945" s="4"/>
      <c r="AG945" s="4"/>
      <c r="AH945" s="4"/>
      <c r="AI945" s="4"/>
      <c r="AJ945" s="4"/>
      <c r="AK945" s="5"/>
      <c r="AL945" s="4"/>
      <c r="AM945" s="4"/>
      <c r="AN945" s="4"/>
      <c r="AO945" s="4"/>
      <c r="AP945" s="4"/>
      <c r="AQ945" s="4"/>
      <c r="AR945" s="4"/>
    </row>
    <row r="946">
      <c r="A946" s="2"/>
      <c r="B946" s="3"/>
      <c r="C946" s="6"/>
      <c r="D946" s="2"/>
      <c r="E946" s="2"/>
      <c r="F946" s="2"/>
      <c r="G946" s="2"/>
      <c r="H946" s="2"/>
      <c r="I946" s="3"/>
      <c r="J946" s="2"/>
      <c r="K946" s="2"/>
      <c r="L946" s="3"/>
      <c r="M946" s="2"/>
      <c r="N946" s="2"/>
      <c r="O946" s="3"/>
      <c r="P946" s="2"/>
      <c r="Q946" s="3"/>
      <c r="R946" s="2"/>
      <c r="S946" s="4"/>
      <c r="T946" s="2"/>
      <c r="U946" s="4"/>
      <c r="V946" s="3"/>
      <c r="W946" s="4"/>
      <c r="X946" s="3"/>
      <c r="Y946" s="4"/>
      <c r="Z946" s="3"/>
      <c r="AA946" s="3"/>
      <c r="AB946" s="4"/>
      <c r="AC946" s="4"/>
      <c r="AD946" s="4"/>
      <c r="AE946" s="4"/>
      <c r="AF946" s="4"/>
      <c r="AG946" s="4"/>
      <c r="AH946" s="4"/>
      <c r="AI946" s="4"/>
      <c r="AJ946" s="4"/>
      <c r="AK946" s="5"/>
      <c r="AL946" s="4"/>
      <c r="AM946" s="4"/>
      <c r="AN946" s="4"/>
      <c r="AO946" s="4"/>
      <c r="AP946" s="4"/>
      <c r="AQ946" s="4"/>
      <c r="AR946" s="4"/>
    </row>
    <row r="947">
      <c r="A947" s="2"/>
      <c r="B947" s="3"/>
      <c r="C947" s="6"/>
      <c r="D947" s="2"/>
      <c r="E947" s="2"/>
      <c r="F947" s="2"/>
      <c r="G947" s="2"/>
      <c r="H947" s="2"/>
      <c r="I947" s="3"/>
      <c r="J947" s="2"/>
      <c r="K947" s="2"/>
      <c r="L947" s="3"/>
      <c r="M947" s="2"/>
      <c r="N947" s="2"/>
      <c r="O947" s="3"/>
      <c r="P947" s="2"/>
      <c r="Q947" s="3"/>
      <c r="R947" s="2"/>
      <c r="S947" s="4"/>
      <c r="T947" s="2"/>
      <c r="U947" s="4"/>
      <c r="V947" s="3"/>
      <c r="W947" s="4"/>
      <c r="X947" s="3"/>
      <c r="Y947" s="4"/>
      <c r="Z947" s="3"/>
      <c r="AA947" s="3"/>
      <c r="AB947" s="4"/>
      <c r="AC947" s="4"/>
      <c r="AD947" s="4"/>
      <c r="AE947" s="4"/>
      <c r="AF947" s="4"/>
      <c r="AG947" s="4"/>
      <c r="AH947" s="4"/>
      <c r="AI947" s="4"/>
      <c r="AJ947" s="4"/>
      <c r="AK947" s="5"/>
      <c r="AL947" s="4"/>
      <c r="AM947" s="4"/>
      <c r="AN947" s="4"/>
      <c r="AO947" s="4"/>
      <c r="AP947" s="4"/>
      <c r="AQ947" s="4"/>
      <c r="AR947" s="4"/>
    </row>
    <row r="948">
      <c r="A948" s="2"/>
      <c r="B948" s="3"/>
      <c r="C948" s="6"/>
      <c r="D948" s="2"/>
      <c r="E948" s="2"/>
      <c r="F948" s="2"/>
      <c r="G948" s="2"/>
      <c r="H948" s="2"/>
      <c r="I948" s="3"/>
      <c r="J948" s="2"/>
      <c r="K948" s="2"/>
      <c r="L948" s="3"/>
      <c r="M948" s="2"/>
      <c r="N948" s="2"/>
      <c r="O948" s="3"/>
      <c r="P948" s="2"/>
      <c r="Q948" s="3"/>
      <c r="R948" s="2"/>
      <c r="S948" s="4"/>
      <c r="T948" s="2"/>
      <c r="U948" s="4"/>
      <c r="V948" s="3"/>
      <c r="W948" s="4"/>
      <c r="X948" s="3"/>
      <c r="Y948" s="4"/>
      <c r="Z948" s="3"/>
      <c r="AA948" s="3"/>
      <c r="AB948" s="4"/>
      <c r="AC948" s="4"/>
      <c r="AD948" s="4"/>
      <c r="AE948" s="4"/>
      <c r="AF948" s="4"/>
      <c r="AG948" s="4"/>
      <c r="AH948" s="4"/>
      <c r="AI948" s="4"/>
      <c r="AJ948" s="4"/>
      <c r="AK948" s="5"/>
      <c r="AL948" s="4"/>
      <c r="AM948" s="4"/>
      <c r="AN948" s="4"/>
      <c r="AO948" s="4"/>
      <c r="AP948" s="4"/>
      <c r="AQ948" s="4"/>
      <c r="AR948" s="4"/>
    </row>
    <row r="949">
      <c r="A949" s="2"/>
      <c r="B949" s="3"/>
      <c r="C949" s="6"/>
      <c r="D949" s="2"/>
      <c r="E949" s="2"/>
      <c r="F949" s="2"/>
      <c r="G949" s="2"/>
      <c r="H949" s="2"/>
      <c r="I949" s="3"/>
      <c r="J949" s="2"/>
      <c r="K949" s="2"/>
      <c r="L949" s="3"/>
      <c r="M949" s="2"/>
      <c r="N949" s="2"/>
      <c r="O949" s="3"/>
      <c r="P949" s="2"/>
      <c r="Q949" s="3"/>
      <c r="R949" s="2"/>
      <c r="S949" s="4"/>
      <c r="T949" s="2"/>
      <c r="U949" s="4"/>
      <c r="V949" s="3"/>
      <c r="W949" s="4"/>
      <c r="X949" s="3"/>
      <c r="Y949" s="4"/>
      <c r="Z949" s="3"/>
      <c r="AA949" s="3"/>
      <c r="AB949" s="4"/>
      <c r="AC949" s="4"/>
      <c r="AD949" s="4"/>
      <c r="AE949" s="4"/>
      <c r="AF949" s="4"/>
      <c r="AG949" s="4"/>
      <c r="AH949" s="4"/>
      <c r="AI949" s="4"/>
      <c r="AJ949" s="4"/>
      <c r="AK949" s="5"/>
      <c r="AL949" s="4"/>
      <c r="AM949" s="4"/>
      <c r="AN949" s="4"/>
      <c r="AO949" s="4"/>
      <c r="AP949" s="4"/>
      <c r="AQ949" s="4"/>
      <c r="AR949" s="4"/>
    </row>
    <row r="950">
      <c r="A950" s="2"/>
      <c r="B950" s="3"/>
      <c r="C950" s="6"/>
      <c r="D950" s="2"/>
      <c r="E950" s="2"/>
      <c r="F950" s="2"/>
      <c r="G950" s="2"/>
      <c r="H950" s="2"/>
      <c r="I950" s="3"/>
      <c r="J950" s="2"/>
      <c r="K950" s="2"/>
      <c r="L950" s="3"/>
      <c r="M950" s="2"/>
      <c r="N950" s="2"/>
      <c r="O950" s="3"/>
      <c r="P950" s="2"/>
      <c r="Q950" s="3"/>
      <c r="R950" s="2"/>
      <c r="S950" s="4"/>
      <c r="T950" s="2"/>
      <c r="U950" s="4"/>
      <c r="V950" s="3"/>
      <c r="W950" s="4"/>
      <c r="X950" s="3"/>
      <c r="Y950" s="4"/>
      <c r="Z950" s="3"/>
      <c r="AA950" s="3"/>
      <c r="AB950" s="4"/>
      <c r="AC950" s="4"/>
      <c r="AD950" s="4"/>
      <c r="AE950" s="4"/>
      <c r="AF950" s="4"/>
      <c r="AG950" s="4"/>
      <c r="AH950" s="4"/>
      <c r="AI950" s="4"/>
      <c r="AJ950" s="4"/>
      <c r="AK950" s="5"/>
      <c r="AL950" s="4"/>
      <c r="AM950" s="4"/>
      <c r="AN950" s="4"/>
      <c r="AO950" s="4"/>
      <c r="AP950" s="4"/>
      <c r="AQ950" s="4"/>
      <c r="AR950" s="4"/>
    </row>
    <row r="951">
      <c r="A951" s="2"/>
      <c r="B951" s="3"/>
      <c r="C951" s="6"/>
      <c r="D951" s="2"/>
      <c r="E951" s="2"/>
      <c r="F951" s="2"/>
      <c r="G951" s="2"/>
      <c r="H951" s="2"/>
      <c r="I951" s="3"/>
      <c r="J951" s="2"/>
      <c r="K951" s="2"/>
      <c r="L951" s="3"/>
      <c r="M951" s="2"/>
      <c r="N951" s="2"/>
      <c r="O951" s="3"/>
      <c r="P951" s="2"/>
      <c r="Q951" s="3"/>
      <c r="R951" s="2"/>
      <c r="S951" s="4"/>
      <c r="T951" s="2"/>
      <c r="U951" s="4"/>
      <c r="V951" s="3"/>
      <c r="W951" s="4"/>
      <c r="X951" s="3"/>
      <c r="Y951" s="4"/>
      <c r="Z951" s="3"/>
      <c r="AA951" s="3"/>
      <c r="AB951" s="4"/>
      <c r="AC951" s="4"/>
      <c r="AD951" s="4"/>
      <c r="AE951" s="4"/>
      <c r="AF951" s="4"/>
      <c r="AG951" s="4"/>
      <c r="AH951" s="4"/>
      <c r="AI951" s="4"/>
      <c r="AJ951" s="4"/>
      <c r="AK951" s="5"/>
      <c r="AL951" s="4"/>
      <c r="AM951" s="4"/>
      <c r="AN951" s="4"/>
      <c r="AO951" s="4"/>
      <c r="AP951" s="4"/>
      <c r="AQ951" s="4"/>
      <c r="AR951" s="4"/>
    </row>
    <row r="952">
      <c r="A952" s="2"/>
      <c r="B952" s="3"/>
      <c r="C952" s="6"/>
      <c r="D952" s="2"/>
      <c r="E952" s="2"/>
      <c r="F952" s="2"/>
      <c r="G952" s="2"/>
      <c r="H952" s="2"/>
      <c r="I952" s="3"/>
      <c r="J952" s="2"/>
      <c r="K952" s="2"/>
      <c r="L952" s="3"/>
      <c r="M952" s="2"/>
      <c r="N952" s="2"/>
      <c r="O952" s="3"/>
      <c r="P952" s="2"/>
      <c r="Q952" s="3"/>
      <c r="R952" s="2"/>
      <c r="S952" s="4"/>
      <c r="T952" s="2"/>
      <c r="U952" s="4"/>
      <c r="V952" s="3"/>
      <c r="W952" s="4"/>
      <c r="X952" s="3"/>
      <c r="Y952" s="4"/>
      <c r="Z952" s="3"/>
      <c r="AA952" s="3"/>
      <c r="AB952" s="4"/>
      <c r="AC952" s="4"/>
      <c r="AD952" s="4"/>
      <c r="AE952" s="4"/>
      <c r="AF952" s="4"/>
      <c r="AG952" s="4"/>
      <c r="AH952" s="4"/>
      <c r="AI952" s="4"/>
      <c r="AJ952" s="4"/>
      <c r="AK952" s="5"/>
      <c r="AL952" s="4"/>
      <c r="AM952" s="4"/>
      <c r="AN952" s="4"/>
      <c r="AO952" s="4"/>
      <c r="AP952" s="4"/>
      <c r="AQ952" s="4"/>
      <c r="AR952" s="4"/>
    </row>
    <row r="953">
      <c r="A953" s="2"/>
      <c r="B953" s="3"/>
      <c r="C953" s="6"/>
      <c r="D953" s="2"/>
      <c r="E953" s="2"/>
      <c r="F953" s="2"/>
      <c r="G953" s="2"/>
      <c r="H953" s="2"/>
      <c r="I953" s="3"/>
      <c r="J953" s="2"/>
      <c r="K953" s="2"/>
      <c r="L953" s="3"/>
      <c r="M953" s="2"/>
      <c r="N953" s="2"/>
      <c r="O953" s="3"/>
      <c r="P953" s="2"/>
      <c r="Q953" s="3"/>
      <c r="R953" s="2"/>
      <c r="S953" s="4"/>
      <c r="T953" s="2"/>
      <c r="U953" s="4"/>
      <c r="V953" s="3"/>
      <c r="W953" s="4"/>
      <c r="X953" s="3"/>
      <c r="Y953" s="4"/>
      <c r="Z953" s="3"/>
      <c r="AA953" s="3"/>
      <c r="AB953" s="4"/>
      <c r="AC953" s="4"/>
      <c r="AD953" s="4"/>
      <c r="AE953" s="4"/>
      <c r="AF953" s="4"/>
      <c r="AG953" s="4"/>
      <c r="AH953" s="4"/>
      <c r="AI953" s="4"/>
      <c r="AJ953" s="4"/>
      <c r="AK953" s="5"/>
      <c r="AL953" s="4"/>
      <c r="AM953" s="4"/>
      <c r="AN953" s="4"/>
      <c r="AO953" s="4"/>
      <c r="AP953" s="4"/>
      <c r="AQ953" s="4"/>
      <c r="AR953" s="4"/>
    </row>
    <row r="954">
      <c r="A954" s="2"/>
      <c r="B954" s="3"/>
      <c r="C954" s="6"/>
      <c r="D954" s="2"/>
      <c r="E954" s="2"/>
      <c r="F954" s="2"/>
      <c r="G954" s="2"/>
      <c r="H954" s="2"/>
      <c r="I954" s="3"/>
      <c r="J954" s="2"/>
      <c r="K954" s="2"/>
      <c r="L954" s="3"/>
      <c r="M954" s="2"/>
      <c r="N954" s="2"/>
      <c r="O954" s="3"/>
      <c r="P954" s="2"/>
      <c r="Q954" s="3"/>
      <c r="R954" s="2"/>
      <c r="S954" s="4"/>
      <c r="T954" s="2"/>
      <c r="U954" s="4"/>
      <c r="V954" s="3"/>
      <c r="W954" s="4"/>
      <c r="X954" s="3"/>
      <c r="Y954" s="4"/>
      <c r="Z954" s="3"/>
      <c r="AA954" s="3"/>
      <c r="AB954" s="4"/>
      <c r="AC954" s="4"/>
      <c r="AD954" s="4"/>
      <c r="AE954" s="4"/>
      <c r="AF954" s="4"/>
      <c r="AG954" s="4"/>
      <c r="AH954" s="4"/>
      <c r="AI954" s="4"/>
      <c r="AJ954" s="4"/>
      <c r="AK954" s="5"/>
      <c r="AL954" s="4"/>
      <c r="AM954" s="4"/>
      <c r="AN954" s="4"/>
      <c r="AO954" s="4"/>
      <c r="AP954" s="4"/>
      <c r="AQ954" s="4"/>
      <c r="AR954" s="4"/>
    </row>
    <row r="955">
      <c r="A955" s="2"/>
      <c r="B955" s="3"/>
      <c r="C955" s="6"/>
      <c r="D955" s="2"/>
      <c r="E955" s="2"/>
      <c r="F955" s="2"/>
      <c r="G955" s="2"/>
      <c r="H955" s="2"/>
      <c r="I955" s="3"/>
      <c r="J955" s="2"/>
      <c r="K955" s="2"/>
      <c r="L955" s="3"/>
      <c r="M955" s="2"/>
      <c r="N955" s="2"/>
      <c r="O955" s="3"/>
      <c r="P955" s="2"/>
      <c r="Q955" s="3"/>
      <c r="R955" s="2"/>
      <c r="S955" s="4"/>
      <c r="T955" s="2"/>
      <c r="U955" s="4"/>
      <c r="V955" s="3"/>
      <c r="W955" s="4"/>
      <c r="X955" s="3"/>
      <c r="Y955" s="4"/>
      <c r="Z955" s="3"/>
      <c r="AA955" s="3"/>
      <c r="AB955" s="4"/>
      <c r="AC955" s="4"/>
      <c r="AD955" s="4"/>
      <c r="AE955" s="4"/>
      <c r="AF955" s="4"/>
      <c r="AG955" s="4"/>
      <c r="AH955" s="4"/>
      <c r="AI955" s="4"/>
      <c r="AJ955" s="4"/>
      <c r="AK955" s="5"/>
      <c r="AL955" s="4"/>
      <c r="AM955" s="4"/>
      <c r="AN955" s="4"/>
      <c r="AO955" s="4"/>
      <c r="AP955" s="4"/>
      <c r="AQ955" s="4"/>
      <c r="AR955" s="4"/>
    </row>
    <row r="956">
      <c r="A956" s="2"/>
      <c r="B956" s="3"/>
      <c r="C956" s="6"/>
      <c r="D956" s="2"/>
      <c r="E956" s="2"/>
      <c r="F956" s="2"/>
      <c r="G956" s="2"/>
      <c r="H956" s="2"/>
      <c r="I956" s="3"/>
      <c r="J956" s="2"/>
      <c r="K956" s="2"/>
      <c r="L956" s="3"/>
      <c r="M956" s="2"/>
      <c r="N956" s="2"/>
      <c r="O956" s="3"/>
      <c r="P956" s="2"/>
      <c r="Q956" s="3"/>
      <c r="R956" s="2"/>
      <c r="S956" s="4"/>
      <c r="T956" s="2"/>
      <c r="U956" s="4"/>
      <c r="V956" s="3"/>
      <c r="W956" s="4"/>
      <c r="X956" s="3"/>
      <c r="Y956" s="4"/>
      <c r="Z956" s="3"/>
      <c r="AA956" s="3"/>
      <c r="AB956" s="4"/>
      <c r="AC956" s="4"/>
      <c r="AD956" s="4"/>
      <c r="AE956" s="4"/>
      <c r="AF956" s="4"/>
      <c r="AG956" s="4"/>
      <c r="AH956" s="4"/>
      <c r="AI956" s="4"/>
      <c r="AJ956" s="4"/>
      <c r="AK956" s="5"/>
      <c r="AL956" s="4"/>
      <c r="AM956" s="4"/>
      <c r="AN956" s="4"/>
      <c r="AO956" s="4"/>
      <c r="AP956" s="4"/>
      <c r="AQ956" s="4"/>
      <c r="AR956" s="4"/>
    </row>
    <row r="957">
      <c r="A957" s="2"/>
      <c r="B957" s="3"/>
      <c r="C957" s="6"/>
      <c r="D957" s="2"/>
      <c r="E957" s="2"/>
      <c r="F957" s="2"/>
      <c r="G957" s="2"/>
      <c r="H957" s="2"/>
      <c r="I957" s="3"/>
      <c r="J957" s="2"/>
      <c r="K957" s="2"/>
      <c r="L957" s="3"/>
      <c r="M957" s="2"/>
      <c r="N957" s="2"/>
      <c r="O957" s="3"/>
      <c r="P957" s="2"/>
      <c r="Q957" s="3"/>
      <c r="R957" s="2"/>
      <c r="S957" s="4"/>
      <c r="T957" s="2"/>
      <c r="U957" s="4"/>
      <c r="V957" s="3"/>
      <c r="W957" s="4"/>
      <c r="X957" s="3"/>
      <c r="Y957" s="4"/>
      <c r="Z957" s="3"/>
      <c r="AA957" s="3"/>
      <c r="AB957" s="4"/>
      <c r="AC957" s="4"/>
      <c r="AD957" s="4"/>
      <c r="AE957" s="4"/>
      <c r="AF957" s="4"/>
      <c r="AG957" s="4"/>
      <c r="AH957" s="4"/>
      <c r="AI957" s="4"/>
      <c r="AJ957" s="4"/>
      <c r="AK957" s="5"/>
      <c r="AL957" s="4"/>
      <c r="AM957" s="4"/>
      <c r="AN957" s="4"/>
      <c r="AO957" s="4"/>
      <c r="AP957" s="4"/>
      <c r="AQ957" s="4"/>
      <c r="AR957" s="4"/>
    </row>
    <row r="958">
      <c r="A958" s="2"/>
      <c r="B958" s="3"/>
      <c r="C958" s="6"/>
      <c r="D958" s="2"/>
      <c r="E958" s="2"/>
      <c r="F958" s="2"/>
      <c r="G958" s="2"/>
      <c r="H958" s="2"/>
      <c r="I958" s="3"/>
      <c r="J958" s="2"/>
      <c r="K958" s="2"/>
      <c r="L958" s="3"/>
      <c r="M958" s="2"/>
      <c r="N958" s="2"/>
      <c r="O958" s="3"/>
      <c r="P958" s="2"/>
      <c r="Q958" s="3"/>
      <c r="R958" s="2"/>
      <c r="S958" s="4"/>
      <c r="T958" s="2"/>
      <c r="U958" s="4"/>
      <c r="V958" s="3"/>
      <c r="W958" s="4"/>
      <c r="X958" s="3"/>
      <c r="Y958" s="4"/>
      <c r="Z958" s="3"/>
      <c r="AA958" s="3"/>
      <c r="AB958" s="4"/>
      <c r="AC958" s="4"/>
      <c r="AD958" s="4"/>
      <c r="AE958" s="4"/>
      <c r="AF958" s="4"/>
      <c r="AG958" s="4"/>
      <c r="AH958" s="4"/>
      <c r="AI958" s="4"/>
      <c r="AJ958" s="4"/>
      <c r="AK958" s="5"/>
      <c r="AL958" s="4"/>
      <c r="AM958" s="4"/>
      <c r="AN958" s="4"/>
      <c r="AO958" s="4"/>
      <c r="AP958" s="4"/>
      <c r="AQ958" s="4"/>
      <c r="AR958" s="4"/>
    </row>
    <row r="959">
      <c r="A959" s="2"/>
      <c r="B959" s="3"/>
      <c r="C959" s="6"/>
      <c r="D959" s="2"/>
      <c r="E959" s="2"/>
      <c r="F959" s="2"/>
      <c r="G959" s="2"/>
      <c r="H959" s="2"/>
      <c r="I959" s="3"/>
      <c r="J959" s="2"/>
      <c r="K959" s="2"/>
      <c r="L959" s="3"/>
      <c r="M959" s="2"/>
      <c r="N959" s="2"/>
      <c r="O959" s="3"/>
      <c r="P959" s="2"/>
      <c r="Q959" s="3"/>
      <c r="R959" s="2"/>
      <c r="S959" s="4"/>
      <c r="T959" s="2"/>
      <c r="U959" s="4"/>
      <c r="V959" s="3"/>
      <c r="W959" s="4"/>
      <c r="X959" s="3"/>
      <c r="Y959" s="4"/>
      <c r="Z959" s="3"/>
      <c r="AA959" s="3"/>
      <c r="AB959" s="4"/>
      <c r="AC959" s="4"/>
      <c r="AD959" s="4"/>
      <c r="AE959" s="4"/>
      <c r="AF959" s="4"/>
      <c r="AG959" s="4"/>
      <c r="AH959" s="4"/>
      <c r="AI959" s="4"/>
      <c r="AJ959" s="4"/>
      <c r="AK959" s="5"/>
      <c r="AL959" s="4"/>
      <c r="AM959" s="4"/>
      <c r="AN959" s="4"/>
      <c r="AO959" s="4"/>
      <c r="AP959" s="4"/>
      <c r="AQ959" s="4"/>
      <c r="AR959" s="4"/>
    </row>
    <row r="960">
      <c r="A960" s="2"/>
      <c r="B960" s="3"/>
      <c r="C960" s="6"/>
      <c r="D960" s="2"/>
      <c r="E960" s="2"/>
      <c r="F960" s="2"/>
      <c r="G960" s="2"/>
      <c r="H960" s="2"/>
      <c r="I960" s="3"/>
      <c r="J960" s="2"/>
      <c r="K960" s="2"/>
      <c r="L960" s="3"/>
      <c r="M960" s="2"/>
      <c r="N960" s="2"/>
      <c r="O960" s="3"/>
      <c r="P960" s="2"/>
      <c r="Q960" s="3"/>
      <c r="R960" s="2"/>
      <c r="S960" s="4"/>
      <c r="T960" s="2"/>
      <c r="U960" s="4"/>
      <c r="V960" s="3"/>
      <c r="W960" s="4"/>
      <c r="X960" s="3"/>
      <c r="Y960" s="4"/>
      <c r="Z960" s="3"/>
      <c r="AA960" s="3"/>
      <c r="AB960" s="4"/>
      <c r="AC960" s="4"/>
      <c r="AD960" s="4"/>
      <c r="AE960" s="4"/>
      <c r="AF960" s="4"/>
      <c r="AG960" s="4"/>
      <c r="AH960" s="4"/>
      <c r="AI960" s="4"/>
      <c r="AJ960" s="4"/>
      <c r="AK960" s="5"/>
      <c r="AL960" s="4"/>
      <c r="AM960" s="4"/>
      <c r="AN960" s="4"/>
      <c r="AO960" s="4"/>
      <c r="AP960" s="4"/>
      <c r="AQ960" s="4"/>
      <c r="AR960" s="4"/>
    </row>
    <row r="961">
      <c r="A961" s="2"/>
      <c r="B961" s="3"/>
      <c r="C961" s="6"/>
      <c r="D961" s="2"/>
      <c r="E961" s="2"/>
      <c r="F961" s="2"/>
      <c r="G961" s="2"/>
      <c r="H961" s="2"/>
      <c r="I961" s="3"/>
      <c r="J961" s="2"/>
      <c r="K961" s="2"/>
      <c r="L961" s="3"/>
      <c r="M961" s="2"/>
      <c r="N961" s="2"/>
      <c r="O961" s="3"/>
      <c r="P961" s="2"/>
      <c r="Q961" s="3"/>
      <c r="R961" s="2"/>
      <c r="S961" s="4"/>
      <c r="T961" s="2"/>
      <c r="U961" s="4"/>
      <c r="V961" s="3"/>
      <c r="W961" s="4"/>
      <c r="X961" s="3"/>
      <c r="Y961" s="4"/>
      <c r="Z961" s="3"/>
      <c r="AA961" s="3"/>
      <c r="AB961" s="4"/>
      <c r="AC961" s="4"/>
      <c r="AD961" s="4"/>
      <c r="AE961" s="4"/>
      <c r="AF961" s="4"/>
      <c r="AG961" s="4"/>
      <c r="AH961" s="4"/>
      <c r="AI961" s="4"/>
      <c r="AJ961" s="4"/>
      <c r="AK961" s="5"/>
      <c r="AL961" s="4"/>
      <c r="AM961" s="4"/>
      <c r="AN961" s="4"/>
      <c r="AO961" s="4"/>
      <c r="AP961" s="4"/>
      <c r="AQ961" s="4"/>
      <c r="AR961" s="4"/>
    </row>
    <row r="962">
      <c r="A962" s="2"/>
      <c r="B962" s="3"/>
      <c r="C962" s="6"/>
      <c r="D962" s="2"/>
      <c r="E962" s="2"/>
      <c r="F962" s="2"/>
      <c r="G962" s="2"/>
      <c r="H962" s="2"/>
      <c r="I962" s="3"/>
      <c r="J962" s="2"/>
      <c r="K962" s="2"/>
      <c r="L962" s="3"/>
      <c r="M962" s="2"/>
      <c r="N962" s="2"/>
      <c r="O962" s="3"/>
      <c r="P962" s="2"/>
      <c r="Q962" s="3"/>
      <c r="R962" s="2"/>
      <c r="S962" s="4"/>
      <c r="T962" s="2"/>
      <c r="U962" s="4"/>
      <c r="V962" s="3"/>
      <c r="W962" s="4"/>
      <c r="X962" s="3"/>
      <c r="Y962" s="4"/>
      <c r="Z962" s="3"/>
      <c r="AA962" s="3"/>
      <c r="AB962" s="4"/>
      <c r="AC962" s="4"/>
      <c r="AD962" s="4"/>
      <c r="AE962" s="4"/>
      <c r="AF962" s="4"/>
      <c r="AG962" s="4"/>
      <c r="AH962" s="4"/>
      <c r="AI962" s="4"/>
      <c r="AJ962" s="4"/>
      <c r="AK962" s="5"/>
      <c r="AL962" s="4"/>
      <c r="AM962" s="4"/>
      <c r="AN962" s="4"/>
      <c r="AO962" s="4"/>
      <c r="AP962" s="4"/>
      <c r="AQ962" s="4"/>
      <c r="AR962" s="4"/>
    </row>
    <row r="963">
      <c r="A963" s="2"/>
      <c r="B963" s="3"/>
      <c r="C963" s="6"/>
      <c r="D963" s="2"/>
      <c r="E963" s="2"/>
      <c r="F963" s="2"/>
      <c r="G963" s="2"/>
      <c r="H963" s="2"/>
      <c r="I963" s="3"/>
      <c r="J963" s="2"/>
      <c r="K963" s="2"/>
      <c r="L963" s="3"/>
      <c r="M963" s="2"/>
      <c r="N963" s="2"/>
      <c r="O963" s="3"/>
      <c r="P963" s="2"/>
      <c r="Q963" s="3"/>
      <c r="R963" s="2"/>
      <c r="S963" s="4"/>
      <c r="T963" s="2"/>
      <c r="U963" s="4"/>
      <c r="V963" s="3"/>
      <c r="W963" s="4"/>
      <c r="X963" s="3"/>
      <c r="Y963" s="4"/>
      <c r="Z963" s="3"/>
      <c r="AA963" s="3"/>
      <c r="AB963" s="4"/>
      <c r="AC963" s="4"/>
      <c r="AD963" s="4"/>
      <c r="AE963" s="4"/>
      <c r="AF963" s="4"/>
      <c r="AG963" s="4"/>
      <c r="AH963" s="4"/>
      <c r="AI963" s="4"/>
      <c r="AJ963" s="4"/>
      <c r="AK963" s="5"/>
      <c r="AL963" s="4"/>
      <c r="AM963" s="4"/>
      <c r="AN963" s="4"/>
      <c r="AO963" s="4"/>
      <c r="AP963" s="4"/>
      <c r="AQ963" s="4"/>
      <c r="AR963" s="4"/>
    </row>
    <row r="964">
      <c r="A964" s="2"/>
      <c r="B964" s="3"/>
      <c r="C964" s="6"/>
      <c r="D964" s="2"/>
      <c r="E964" s="2"/>
      <c r="F964" s="2"/>
      <c r="G964" s="2"/>
      <c r="H964" s="2"/>
      <c r="I964" s="3"/>
      <c r="J964" s="2"/>
      <c r="K964" s="2"/>
      <c r="L964" s="3"/>
      <c r="M964" s="2"/>
      <c r="N964" s="2"/>
      <c r="O964" s="3"/>
      <c r="P964" s="2"/>
      <c r="Q964" s="3"/>
      <c r="R964" s="2"/>
      <c r="S964" s="4"/>
      <c r="T964" s="2"/>
      <c r="U964" s="4"/>
      <c r="V964" s="3"/>
      <c r="W964" s="4"/>
      <c r="X964" s="3"/>
      <c r="Y964" s="4"/>
      <c r="Z964" s="3"/>
      <c r="AA964" s="3"/>
      <c r="AB964" s="4"/>
      <c r="AC964" s="4"/>
      <c r="AD964" s="4"/>
      <c r="AE964" s="4"/>
      <c r="AF964" s="4"/>
      <c r="AG964" s="4"/>
      <c r="AH964" s="4"/>
      <c r="AI964" s="4"/>
      <c r="AJ964" s="4"/>
      <c r="AK964" s="5"/>
      <c r="AL964" s="4"/>
      <c r="AM964" s="4"/>
      <c r="AN964" s="4"/>
      <c r="AO964" s="4"/>
      <c r="AP964" s="4"/>
      <c r="AQ964" s="4"/>
      <c r="AR964" s="4"/>
    </row>
    <row r="965">
      <c r="A965" s="2"/>
      <c r="B965" s="3"/>
      <c r="C965" s="6"/>
      <c r="D965" s="2"/>
      <c r="E965" s="2"/>
      <c r="F965" s="2"/>
      <c r="G965" s="2"/>
      <c r="H965" s="2"/>
      <c r="I965" s="3"/>
      <c r="J965" s="2"/>
      <c r="K965" s="2"/>
      <c r="L965" s="3"/>
      <c r="M965" s="2"/>
      <c r="N965" s="2"/>
      <c r="O965" s="3"/>
      <c r="P965" s="2"/>
      <c r="Q965" s="3"/>
      <c r="R965" s="2"/>
      <c r="S965" s="4"/>
      <c r="T965" s="2"/>
      <c r="U965" s="4"/>
      <c r="V965" s="3"/>
      <c r="W965" s="4"/>
      <c r="X965" s="3"/>
      <c r="Y965" s="4"/>
      <c r="Z965" s="3"/>
      <c r="AA965" s="3"/>
      <c r="AB965" s="4"/>
      <c r="AC965" s="4"/>
      <c r="AD965" s="4"/>
      <c r="AE965" s="4"/>
      <c r="AF965" s="4"/>
      <c r="AG965" s="4"/>
      <c r="AH965" s="4"/>
      <c r="AI965" s="4"/>
      <c r="AJ965" s="4"/>
      <c r="AK965" s="5"/>
      <c r="AL965" s="4"/>
      <c r="AM965" s="4"/>
      <c r="AN965" s="4"/>
      <c r="AO965" s="4"/>
      <c r="AP965" s="4"/>
      <c r="AQ965" s="4"/>
      <c r="AR965" s="4"/>
    </row>
    <row r="966">
      <c r="A966" s="2"/>
      <c r="B966" s="3"/>
      <c r="C966" s="6"/>
      <c r="D966" s="2"/>
      <c r="E966" s="2"/>
      <c r="F966" s="2"/>
      <c r="G966" s="2"/>
      <c r="H966" s="2"/>
      <c r="I966" s="3"/>
      <c r="J966" s="2"/>
      <c r="K966" s="2"/>
      <c r="L966" s="3"/>
      <c r="M966" s="2"/>
      <c r="N966" s="2"/>
      <c r="O966" s="3"/>
      <c r="P966" s="2"/>
      <c r="Q966" s="3"/>
      <c r="R966" s="2"/>
      <c r="S966" s="4"/>
      <c r="T966" s="2"/>
      <c r="U966" s="4"/>
      <c r="V966" s="3"/>
      <c r="W966" s="4"/>
      <c r="X966" s="3"/>
      <c r="Y966" s="4"/>
      <c r="Z966" s="3"/>
      <c r="AA966" s="3"/>
      <c r="AB966" s="4"/>
      <c r="AC966" s="4"/>
      <c r="AD966" s="4"/>
      <c r="AE966" s="4"/>
      <c r="AF966" s="4"/>
      <c r="AG966" s="4"/>
      <c r="AH966" s="4"/>
      <c r="AI966" s="4"/>
      <c r="AJ966" s="4"/>
      <c r="AK966" s="5"/>
      <c r="AL966" s="4"/>
      <c r="AM966" s="4"/>
      <c r="AN966" s="4"/>
      <c r="AO966" s="4"/>
      <c r="AP966" s="4"/>
      <c r="AQ966" s="4"/>
      <c r="AR966" s="4"/>
    </row>
    <row r="967">
      <c r="A967" s="2"/>
      <c r="B967" s="3"/>
      <c r="C967" s="6"/>
      <c r="D967" s="2"/>
      <c r="E967" s="2"/>
      <c r="F967" s="2"/>
      <c r="G967" s="2"/>
      <c r="H967" s="2"/>
      <c r="I967" s="3"/>
      <c r="J967" s="2"/>
      <c r="K967" s="2"/>
      <c r="L967" s="3"/>
      <c r="M967" s="2"/>
      <c r="N967" s="2"/>
      <c r="O967" s="3"/>
      <c r="P967" s="2"/>
      <c r="Q967" s="3"/>
      <c r="R967" s="2"/>
      <c r="S967" s="4"/>
      <c r="T967" s="2"/>
      <c r="U967" s="4"/>
      <c r="V967" s="3"/>
      <c r="W967" s="4"/>
      <c r="X967" s="3"/>
      <c r="Y967" s="4"/>
      <c r="Z967" s="3"/>
      <c r="AA967" s="3"/>
      <c r="AB967" s="4"/>
      <c r="AC967" s="4"/>
      <c r="AD967" s="4"/>
      <c r="AE967" s="4"/>
      <c r="AF967" s="4"/>
      <c r="AG967" s="4"/>
      <c r="AH967" s="4"/>
      <c r="AI967" s="4"/>
      <c r="AJ967" s="4"/>
      <c r="AK967" s="5"/>
      <c r="AL967" s="4"/>
      <c r="AM967" s="4"/>
      <c r="AN967" s="4"/>
      <c r="AO967" s="4"/>
      <c r="AP967" s="4"/>
      <c r="AQ967" s="4"/>
      <c r="AR967" s="4"/>
    </row>
    <row r="968">
      <c r="A968" s="2"/>
      <c r="B968" s="3"/>
      <c r="C968" s="6"/>
      <c r="D968" s="2"/>
      <c r="E968" s="2"/>
      <c r="F968" s="2"/>
      <c r="G968" s="2"/>
      <c r="H968" s="2"/>
      <c r="I968" s="3"/>
      <c r="J968" s="2"/>
      <c r="K968" s="2"/>
      <c r="L968" s="3"/>
      <c r="M968" s="2"/>
      <c r="N968" s="2"/>
      <c r="O968" s="3"/>
      <c r="P968" s="2"/>
      <c r="Q968" s="3"/>
      <c r="R968" s="2"/>
      <c r="S968" s="4"/>
      <c r="T968" s="2"/>
      <c r="U968" s="4"/>
      <c r="V968" s="3"/>
      <c r="W968" s="4"/>
      <c r="X968" s="3"/>
      <c r="Y968" s="4"/>
      <c r="Z968" s="3"/>
      <c r="AA968" s="3"/>
      <c r="AB968" s="4"/>
      <c r="AC968" s="4"/>
      <c r="AD968" s="4"/>
      <c r="AE968" s="4"/>
      <c r="AF968" s="4"/>
      <c r="AG968" s="4"/>
      <c r="AH968" s="4"/>
      <c r="AI968" s="4"/>
      <c r="AJ968" s="4"/>
      <c r="AK968" s="5"/>
      <c r="AL968" s="4"/>
      <c r="AM968" s="4"/>
      <c r="AN968" s="4"/>
      <c r="AO968" s="4"/>
      <c r="AP968" s="4"/>
      <c r="AQ968" s="4"/>
      <c r="AR968" s="4"/>
    </row>
    <row r="969">
      <c r="A969" s="2"/>
      <c r="B969" s="3"/>
      <c r="C969" s="6"/>
      <c r="D969" s="2"/>
      <c r="E969" s="2"/>
      <c r="F969" s="2"/>
      <c r="G969" s="2"/>
      <c r="H969" s="2"/>
      <c r="I969" s="3"/>
      <c r="J969" s="2"/>
      <c r="K969" s="2"/>
      <c r="L969" s="3"/>
      <c r="M969" s="2"/>
      <c r="N969" s="2"/>
      <c r="O969" s="3"/>
      <c r="P969" s="2"/>
      <c r="Q969" s="3"/>
      <c r="R969" s="2"/>
      <c r="S969" s="4"/>
      <c r="T969" s="2"/>
      <c r="U969" s="4"/>
      <c r="V969" s="3"/>
      <c r="W969" s="4"/>
      <c r="X969" s="3"/>
      <c r="Y969" s="4"/>
      <c r="Z969" s="3"/>
      <c r="AA969" s="3"/>
      <c r="AB969" s="4"/>
      <c r="AC969" s="4"/>
      <c r="AD969" s="4"/>
      <c r="AE969" s="4"/>
      <c r="AF969" s="4"/>
      <c r="AG969" s="4"/>
      <c r="AH969" s="4"/>
      <c r="AI969" s="4"/>
      <c r="AJ969" s="4"/>
      <c r="AK969" s="5"/>
      <c r="AL969" s="4"/>
      <c r="AM969" s="4"/>
      <c r="AN969" s="4"/>
      <c r="AO969" s="4"/>
      <c r="AP969" s="4"/>
      <c r="AQ969" s="4"/>
      <c r="AR969" s="4"/>
    </row>
    <row r="970">
      <c r="A970" s="2"/>
      <c r="B970" s="3"/>
      <c r="C970" s="6"/>
      <c r="D970" s="2"/>
      <c r="E970" s="2"/>
      <c r="F970" s="2"/>
      <c r="G970" s="2"/>
      <c r="H970" s="2"/>
      <c r="I970" s="3"/>
      <c r="J970" s="2"/>
      <c r="K970" s="2"/>
      <c r="L970" s="3"/>
      <c r="M970" s="2"/>
      <c r="N970" s="2"/>
      <c r="O970" s="3"/>
      <c r="P970" s="2"/>
      <c r="Q970" s="3"/>
      <c r="R970" s="2"/>
      <c r="S970" s="4"/>
      <c r="T970" s="2"/>
      <c r="U970" s="4"/>
      <c r="V970" s="3"/>
      <c r="W970" s="4"/>
      <c r="X970" s="3"/>
      <c r="Y970" s="4"/>
      <c r="Z970" s="3"/>
      <c r="AA970" s="3"/>
      <c r="AB970" s="4"/>
      <c r="AC970" s="4"/>
      <c r="AD970" s="4"/>
      <c r="AE970" s="4"/>
      <c r="AF970" s="4"/>
      <c r="AG970" s="4"/>
      <c r="AH970" s="4"/>
      <c r="AI970" s="4"/>
      <c r="AJ970" s="4"/>
      <c r="AK970" s="5"/>
      <c r="AL970" s="4"/>
      <c r="AM970" s="4"/>
      <c r="AN970" s="4"/>
      <c r="AO970" s="4"/>
      <c r="AP970" s="4"/>
      <c r="AQ970" s="4"/>
      <c r="AR970" s="4"/>
    </row>
    <row r="971">
      <c r="A971" s="2"/>
      <c r="B971" s="3"/>
      <c r="C971" s="6"/>
      <c r="D971" s="2"/>
      <c r="E971" s="2"/>
      <c r="F971" s="2"/>
      <c r="G971" s="2"/>
      <c r="H971" s="2"/>
      <c r="I971" s="3"/>
      <c r="J971" s="2"/>
      <c r="K971" s="2"/>
      <c r="L971" s="3"/>
      <c r="M971" s="2"/>
      <c r="N971" s="2"/>
      <c r="O971" s="3"/>
      <c r="P971" s="2"/>
      <c r="Q971" s="3"/>
      <c r="R971" s="2"/>
      <c r="S971" s="4"/>
      <c r="T971" s="2"/>
      <c r="U971" s="4"/>
      <c r="V971" s="3"/>
      <c r="W971" s="4"/>
      <c r="X971" s="3"/>
      <c r="Y971" s="4"/>
      <c r="Z971" s="3"/>
      <c r="AA971" s="3"/>
      <c r="AB971" s="4"/>
      <c r="AC971" s="4"/>
      <c r="AD971" s="4"/>
      <c r="AE971" s="4"/>
      <c r="AF971" s="4"/>
      <c r="AG971" s="4"/>
      <c r="AH971" s="4"/>
      <c r="AI971" s="4"/>
      <c r="AJ971" s="4"/>
      <c r="AK971" s="5"/>
      <c r="AL971" s="4"/>
      <c r="AM971" s="4"/>
      <c r="AN971" s="4"/>
      <c r="AO971" s="4"/>
      <c r="AP971" s="4"/>
      <c r="AQ971" s="4"/>
      <c r="AR971" s="4"/>
    </row>
    <row r="972">
      <c r="A972" s="2"/>
      <c r="B972" s="3"/>
      <c r="C972" s="6"/>
      <c r="D972" s="2"/>
      <c r="E972" s="2"/>
      <c r="F972" s="2"/>
      <c r="G972" s="2"/>
      <c r="H972" s="2"/>
      <c r="I972" s="3"/>
      <c r="J972" s="2"/>
      <c r="K972" s="2"/>
      <c r="L972" s="3"/>
      <c r="M972" s="2"/>
      <c r="N972" s="2"/>
      <c r="O972" s="3"/>
      <c r="P972" s="2"/>
      <c r="Q972" s="3"/>
      <c r="R972" s="2"/>
      <c r="S972" s="4"/>
      <c r="T972" s="2"/>
      <c r="U972" s="4"/>
      <c r="V972" s="3"/>
      <c r="W972" s="4"/>
      <c r="X972" s="3"/>
      <c r="Y972" s="4"/>
      <c r="Z972" s="3"/>
      <c r="AA972" s="3"/>
      <c r="AB972" s="4"/>
      <c r="AC972" s="4"/>
      <c r="AD972" s="4"/>
      <c r="AE972" s="4"/>
      <c r="AF972" s="4"/>
      <c r="AG972" s="4"/>
      <c r="AH972" s="4"/>
      <c r="AI972" s="4"/>
      <c r="AJ972" s="4"/>
      <c r="AK972" s="5"/>
      <c r="AL972" s="4"/>
      <c r="AM972" s="4"/>
      <c r="AN972" s="4"/>
      <c r="AO972" s="4"/>
      <c r="AP972" s="4"/>
      <c r="AQ972" s="4"/>
      <c r="AR972" s="4"/>
    </row>
    <row r="973">
      <c r="A973" s="2"/>
      <c r="B973" s="3"/>
      <c r="C973" s="6"/>
      <c r="D973" s="2"/>
      <c r="E973" s="2"/>
      <c r="F973" s="2"/>
      <c r="G973" s="2"/>
      <c r="H973" s="2"/>
      <c r="I973" s="3"/>
      <c r="J973" s="2"/>
      <c r="K973" s="2"/>
      <c r="L973" s="3"/>
      <c r="M973" s="2"/>
      <c r="N973" s="2"/>
      <c r="O973" s="3"/>
      <c r="P973" s="2"/>
      <c r="Q973" s="3"/>
      <c r="R973" s="2"/>
      <c r="S973" s="4"/>
      <c r="T973" s="2"/>
      <c r="U973" s="4"/>
      <c r="V973" s="3"/>
      <c r="W973" s="4"/>
      <c r="X973" s="3"/>
      <c r="Y973" s="4"/>
      <c r="Z973" s="3"/>
      <c r="AA973" s="3"/>
      <c r="AB973" s="4"/>
      <c r="AC973" s="4"/>
      <c r="AD973" s="4"/>
      <c r="AE973" s="4"/>
      <c r="AF973" s="4"/>
      <c r="AG973" s="4"/>
      <c r="AH973" s="4"/>
      <c r="AI973" s="4"/>
      <c r="AJ973" s="4"/>
      <c r="AK973" s="5"/>
      <c r="AL973" s="4"/>
      <c r="AM973" s="4"/>
      <c r="AN973" s="4"/>
      <c r="AO973" s="4"/>
      <c r="AP973" s="4"/>
      <c r="AQ973" s="4"/>
      <c r="AR973" s="4"/>
    </row>
    <row r="974">
      <c r="A974" s="2"/>
      <c r="B974" s="3"/>
      <c r="C974" s="6"/>
      <c r="D974" s="2"/>
      <c r="E974" s="2"/>
      <c r="F974" s="2"/>
      <c r="G974" s="2"/>
      <c r="H974" s="2"/>
      <c r="I974" s="3"/>
      <c r="J974" s="2"/>
      <c r="K974" s="2"/>
      <c r="L974" s="3"/>
      <c r="M974" s="2"/>
      <c r="N974" s="2"/>
      <c r="O974" s="3"/>
      <c r="P974" s="2"/>
      <c r="Q974" s="3"/>
      <c r="R974" s="2"/>
      <c r="S974" s="4"/>
      <c r="T974" s="2"/>
      <c r="U974" s="4"/>
      <c r="V974" s="3"/>
      <c r="W974" s="4"/>
      <c r="X974" s="3"/>
      <c r="Y974" s="4"/>
      <c r="Z974" s="3"/>
      <c r="AA974" s="3"/>
      <c r="AB974" s="4"/>
      <c r="AC974" s="4"/>
      <c r="AD974" s="4"/>
      <c r="AE974" s="4"/>
      <c r="AF974" s="4"/>
      <c r="AG974" s="4"/>
      <c r="AH974" s="4"/>
      <c r="AI974" s="4"/>
      <c r="AJ974" s="4"/>
      <c r="AK974" s="5"/>
      <c r="AL974" s="4"/>
      <c r="AM974" s="4"/>
      <c r="AN974" s="4"/>
      <c r="AO974" s="4"/>
      <c r="AP974" s="4"/>
      <c r="AQ974" s="4"/>
      <c r="AR974" s="4"/>
    </row>
    <row r="975">
      <c r="A975" s="2"/>
      <c r="B975" s="3"/>
      <c r="C975" s="6"/>
      <c r="D975" s="2"/>
      <c r="E975" s="2"/>
      <c r="F975" s="2"/>
      <c r="G975" s="2"/>
      <c r="H975" s="2"/>
      <c r="I975" s="3"/>
      <c r="J975" s="2"/>
      <c r="K975" s="2"/>
      <c r="L975" s="3"/>
      <c r="M975" s="2"/>
      <c r="N975" s="2"/>
      <c r="O975" s="3"/>
      <c r="P975" s="2"/>
      <c r="Q975" s="3"/>
      <c r="R975" s="2"/>
      <c r="S975" s="4"/>
      <c r="T975" s="2"/>
      <c r="U975" s="4"/>
      <c r="V975" s="3"/>
      <c r="W975" s="4"/>
      <c r="X975" s="3"/>
      <c r="Y975" s="4"/>
      <c r="Z975" s="3"/>
      <c r="AA975" s="3"/>
      <c r="AB975" s="4"/>
      <c r="AC975" s="4"/>
      <c r="AD975" s="4"/>
      <c r="AE975" s="4"/>
      <c r="AF975" s="4"/>
      <c r="AG975" s="4"/>
      <c r="AH975" s="4"/>
      <c r="AI975" s="4"/>
      <c r="AJ975" s="4"/>
      <c r="AK975" s="5"/>
      <c r="AL975" s="4"/>
      <c r="AM975" s="4"/>
      <c r="AN975" s="4"/>
      <c r="AO975" s="4"/>
      <c r="AP975" s="4"/>
      <c r="AQ975" s="4"/>
      <c r="AR975" s="4"/>
    </row>
    <row r="976">
      <c r="A976" s="2"/>
      <c r="B976" s="3"/>
      <c r="C976" s="6"/>
      <c r="D976" s="2"/>
      <c r="E976" s="2"/>
      <c r="F976" s="2"/>
      <c r="G976" s="2"/>
      <c r="H976" s="2"/>
      <c r="I976" s="3"/>
      <c r="J976" s="2"/>
      <c r="K976" s="2"/>
      <c r="L976" s="3"/>
      <c r="M976" s="2"/>
      <c r="N976" s="2"/>
      <c r="O976" s="3"/>
      <c r="P976" s="2"/>
      <c r="Q976" s="3"/>
      <c r="R976" s="2"/>
      <c r="S976" s="4"/>
      <c r="T976" s="2"/>
      <c r="U976" s="4"/>
      <c r="V976" s="3"/>
      <c r="W976" s="4"/>
      <c r="X976" s="3"/>
      <c r="Y976" s="4"/>
      <c r="Z976" s="3"/>
      <c r="AA976" s="3"/>
      <c r="AB976" s="4"/>
      <c r="AC976" s="4"/>
      <c r="AD976" s="4"/>
      <c r="AE976" s="4"/>
      <c r="AF976" s="4"/>
      <c r="AG976" s="4"/>
      <c r="AH976" s="4"/>
      <c r="AI976" s="4"/>
      <c r="AJ976" s="4"/>
      <c r="AK976" s="5"/>
      <c r="AL976" s="4"/>
      <c r="AM976" s="4"/>
      <c r="AN976" s="4"/>
      <c r="AO976" s="4"/>
      <c r="AP976" s="4"/>
      <c r="AQ976" s="4"/>
      <c r="AR976" s="4"/>
    </row>
    <row r="977">
      <c r="A977" s="2"/>
      <c r="B977" s="3"/>
      <c r="C977" s="6"/>
      <c r="D977" s="2"/>
      <c r="E977" s="2"/>
      <c r="F977" s="2"/>
      <c r="G977" s="2"/>
      <c r="H977" s="2"/>
      <c r="I977" s="3"/>
      <c r="J977" s="2"/>
      <c r="K977" s="2"/>
      <c r="L977" s="3"/>
      <c r="M977" s="2"/>
      <c r="N977" s="2"/>
      <c r="O977" s="3"/>
      <c r="P977" s="2"/>
      <c r="Q977" s="3"/>
      <c r="R977" s="2"/>
      <c r="S977" s="4"/>
      <c r="T977" s="2"/>
      <c r="U977" s="4"/>
      <c r="V977" s="3"/>
      <c r="W977" s="4"/>
      <c r="X977" s="3"/>
      <c r="Y977" s="4"/>
      <c r="Z977" s="3"/>
      <c r="AA977" s="3"/>
      <c r="AB977" s="4"/>
      <c r="AC977" s="4"/>
      <c r="AD977" s="4"/>
      <c r="AE977" s="4"/>
      <c r="AF977" s="4"/>
      <c r="AG977" s="4"/>
      <c r="AH977" s="4"/>
      <c r="AI977" s="4"/>
      <c r="AJ977" s="4"/>
      <c r="AK977" s="5"/>
      <c r="AL977" s="4"/>
      <c r="AM977" s="4"/>
      <c r="AN977" s="4"/>
      <c r="AO977" s="4"/>
      <c r="AP977" s="4"/>
      <c r="AQ977" s="4"/>
      <c r="AR977" s="4"/>
    </row>
    <row r="978">
      <c r="A978" s="2"/>
      <c r="B978" s="3"/>
      <c r="C978" s="6"/>
      <c r="D978" s="2"/>
      <c r="E978" s="2"/>
      <c r="F978" s="2"/>
      <c r="G978" s="2"/>
      <c r="H978" s="2"/>
      <c r="I978" s="3"/>
      <c r="J978" s="2"/>
      <c r="K978" s="2"/>
      <c r="L978" s="3"/>
      <c r="M978" s="2"/>
      <c r="N978" s="2"/>
      <c r="O978" s="3"/>
      <c r="P978" s="2"/>
      <c r="Q978" s="3"/>
      <c r="R978" s="2"/>
      <c r="S978" s="4"/>
      <c r="T978" s="2"/>
      <c r="U978" s="4"/>
      <c r="V978" s="3"/>
      <c r="W978" s="4"/>
      <c r="X978" s="3"/>
      <c r="Y978" s="4"/>
      <c r="Z978" s="3"/>
      <c r="AA978" s="3"/>
      <c r="AB978" s="4"/>
      <c r="AC978" s="4"/>
      <c r="AD978" s="4"/>
      <c r="AE978" s="4"/>
      <c r="AF978" s="4"/>
      <c r="AG978" s="4"/>
      <c r="AH978" s="4"/>
      <c r="AI978" s="4"/>
      <c r="AJ978" s="4"/>
      <c r="AK978" s="5"/>
      <c r="AL978" s="4"/>
      <c r="AM978" s="4"/>
      <c r="AN978" s="4"/>
      <c r="AO978" s="4"/>
      <c r="AP978" s="4"/>
      <c r="AQ978" s="4"/>
      <c r="AR978" s="4"/>
    </row>
    <row r="979">
      <c r="A979" s="2"/>
      <c r="B979" s="3"/>
      <c r="C979" s="6"/>
      <c r="D979" s="2"/>
      <c r="E979" s="2"/>
      <c r="F979" s="2"/>
      <c r="G979" s="2"/>
      <c r="H979" s="2"/>
      <c r="I979" s="3"/>
      <c r="J979" s="2"/>
      <c r="K979" s="2"/>
      <c r="L979" s="3"/>
      <c r="M979" s="2"/>
      <c r="N979" s="2"/>
      <c r="O979" s="3"/>
      <c r="P979" s="2"/>
      <c r="Q979" s="3"/>
      <c r="R979" s="2"/>
      <c r="S979" s="4"/>
      <c r="T979" s="2"/>
      <c r="U979" s="4"/>
      <c r="V979" s="3"/>
      <c r="W979" s="4"/>
      <c r="X979" s="3"/>
      <c r="Y979" s="4"/>
      <c r="Z979" s="3"/>
      <c r="AA979" s="3"/>
      <c r="AB979" s="4"/>
      <c r="AC979" s="4"/>
      <c r="AD979" s="4"/>
      <c r="AE979" s="4"/>
      <c r="AF979" s="4"/>
      <c r="AG979" s="4"/>
      <c r="AH979" s="4"/>
      <c r="AI979" s="4"/>
      <c r="AJ979" s="4"/>
      <c r="AK979" s="5"/>
      <c r="AL979" s="4"/>
      <c r="AM979" s="4"/>
      <c r="AN979" s="4"/>
      <c r="AO979" s="4"/>
      <c r="AP979" s="4"/>
      <c r="AQ979" s="4"/>
      <c r="AR979" s="4"/>
    </row>
    <row r="980">
      <c r="A980" s="2"/>
      <c r="B980" s="3"/>
      <c r="C980" s="6"/>
      <c r="D980" s="2"/>
      <c r="E980" s="2"/>
      <c r="F980" s="2"/>
      <c r="G980" s="2"/>
      <c r="H980" s="2"/>
      <c r="I980" s="3"/>
      <c r="J980" s="2"/>
      <c r="K980" s="2"/>
      <c r="L980" s="3"/>
      <c r="M980" s="2"/>
      <c r="N980" s="2"/>
      <c r="O980" s="3"/>
      <c r="P980" s="2"/>
      <c r="Q980" s="3"/>
      <c r="R980" s="2"/>
      <c r="S980" s="4"/>
      <c r="T980" s="2"/>
      <c r="U980" s="4"/>
      <c r="V980" s="3"/>
      <c r="W980" s="4"/>
      <c r="X980" s="3"/>
      <c r="Y980" s="4"/>
      <c r="Z980" s="3"/>
      <c r="AA980" s="3"/>
      <c r="AB980" s="4"/>
      <c r="AC980" s="4"/>
      <c r="AD980" s="4"/>
      <c r="AE980" s="4"/>
      <c r="AF980" s="4"/>
      <c r="AG980" s="4"/>
      <c r="AH980" s="4"/>
      <c r="AI980" s="4"/>
      <c r="AJ980" s="4"/>
      <c r="AK980" s="5"/>
      <c r="AL980" s="4"/>
      <c r="AM980" s="4"/>
      <c r="AN980" s="4"/>
      <c r="AO980" s="4"/>
      <c r="AP980" s="4"/>
      <c r="AQ980" s="4"/>
      <c r="AR980" s="4"/>
    </row>
    <row r="981">
      <c r="A981" s="2"/>
      <c r="B981" s="3"/>
      <c r="C981" s="6"/>
      <c r="D981" s="2"/>
      <c r="E981" s="2"/>
      <c r="F981" s="2"/>
      <c r="G981" s="2"/>
      <c r="H981" s="2"/>
      <c r="I981" s="3"/>
      <c r="J981" s="2"/>
      <c r="K981" s="2"/>
      <c r="L981" s="3"/>
      <c r="M981" s="2"/>
      <c r="N981" s="2"/>
      <c r="O981" s="3"/>
      <c r="P981" s="2"/>
      <c r="Q981" s="3"/>
      <c r="R981" s="2"/>
      <c r="S981" s="4"/>
      <c r="T981" s="2"/>
      <c r="U981" s="4"/>
      <c r="V981" s="3"/>
      <c r="W981" s="4"/>
      <c r="X981" s="3"/>
      <c r="Y981" s="4"/>
      <c r="Z981" s="3"/>
      <c r="AA981" s="3"/>
      <c r="AB981" s="4"/>
      <c r="AC981" s="4"/>
      <c r="AD981" s="4"/>
      <c r="AE981" s="4"/>
      <c r="AF981" s="4"/>
      <c r="AG981" s="4"/>
      <c r="AH981" s="4"/>
      <c r="AI981" s="4"/>
      <c r="AJ981" s="4"/>
      <c r="AK981" s="5"/>
      <c r="AL981" s="4"/>
      <c r="AM981" s="4"/>
      <c r="AN981" s="4"/>
      <c r="AO981" s="4"/>
      <c r="AP981" s="4"/>
      <c r="AQ981" s="4"/>
      <c r="AR981" s="4"/>
    </row>
    <row r="982">
      <c r="A982" s="2"/>
      <c r="B982" s="3"/>
      <c r="C982" s="6"/>
      <c r="D982" s="2"/>
      <c r="E982" s="2"/>
      <c r="F982" s="2"/>
      <c r="G982" s="2"/>
      <c r="H982" s="2"/>
      <c r="I982" s="3"/>
      <c r="J982" s="2"/>
      <c r="K982" s="2"/>
      <c r="L982" s="3"/>
      <c r="M982" s="2"/>
      <c r="N982" s="2"/>
      <c r="O982" s="3"/>
      <c r="P982" s="2"/>
      <c r="Q982" s="3"/>
      <c r="R982" s="2"/>
      <c r="S982" s="4"/>
      <c r="T982" s="2"/>
      <c r="U982" s="4"/>
      <c r="V982" s="3"/>
      <c r="W982" s="4"/>
      <c r="X982" s="3"/>
      <c r="Y982" s="4"/>
      <c r="Z982" s="3"/>
      <c r="AA982" s="3"/>
      <c r="AB982" s="4"/>
      <c r="AC982" s="4"/>
      <c r="AD982" s="4"/>
      <c r="AE982" s="4"/>
      <c r="AF982" s="4"/>
      <c r="AG982" s="4"/>
      <c r="AH982" s="4"/>
      <c r="AI982" s="4"/>
      <c r="AJ982" s="4"/>
      <c r="AK982" s="5"/>
      <c r="AL982" s="4"/>
      <c r="AM982" s="4"/>
      <c r="AN982" s="4"/>
      <c r="AO982" s="4"/>
      <c r="AP982" s="4"/>
      <c r="AQ982" s="4"/>
      <c r="AR982" s="4"/>
    </row>
    <row r="983">
      <c r="A983" s="2"/>
      <c r="B983" s="3"/>
      <c r="C983" s="6"/>
      <c r="D983" s="2"/>
      <c r="E983" s="2"/>
      <c r="F983" s="2"/>
      <c r="G983" s="2"/>
      <c r="H983" s="2"/>
      <c r="I983" s="3"/>
      <c r="J983" s="2"/>
      <c r="K983" s="2"/>
      <c r="L983" s="3"/>
      <c r="M983" s="2"/>
      <c r="N983" s="2"/>
      <c r="O983" s="3"/>
      <c r="P983" s="2"/>
      <c r="Q983" s="3"/>
      <c r="R983" s="2"/>
      <c r="S983" s="4"/>
      <c r="T983" s="2"/>
      <c r="U983" s="4"/>
      <c r="V983" s="3"/>
      <c r="W983" s="4"/>
      <c r="X983" s="3"/>
      <c r="Y983" s="4"/>
      <c r="Z983" s="3"/>
      <c r="AA983" s="3"/>
      <c r="AB983" s="4"/>
      <c r="AC983" s="4"/>
      <c r="AD983" s="4"/>
      <c r="AE983" s="4"/>
      <c r="AF983" s="4"/>
      <c r="AG983" s="4"/>
      <c r="AH983" s="4"/>
      <c r="AI983" s="4"/>
      <c r="AJ983" s="4"/>
      <c r="AK983" s="5"/>
      <c r="AL983" s="4"/>
      <c r="AM983" s="4"/>
      <c r="AN983" s="4"/>
      <c r="AO983" s="4"/>
      <c r="AP983" s="4"/>
      <c r="AQ983" s="4"/>
      <c r="AR983" s="4"/>
    </row>
    <row r="984">
      <c r="A984" s="2"/>
      <c r="B984" s="3"/>
      <c r="C984" s="6"/>
      <c r="D984" s="2"/>
      <c r="E984" s="2"/>
      <c r="F984" s="2"/>
      <c r="G984" s="2"/>
      <c r="H984" s="2"/>
      <c r="I984" s="3"/>
      <c r="J984" s="2"/>
      <c r="K984" s="2"/>
      <c r="L984" s="3"/>
      <c r="M984" s="2"/>
      <c r="N984" s="2"/>
      <c r="O984" s="3"/>
      <c r="P984" s="2"/>
      <c r="Q984" s="3"/>
      <c r="R984" s="2"/>
      <c r="S984" s="4"/>
      <c r="T984" s="2"/>
      <c r="U984" s="4"/>
      <c r="V984" s="3"/>
      <c r="W984" s="4"/>
      <c r="X984" s="3"/>
      <c r="Y984" s="4"/>
      <c r="Z984" s="3"/>
      <c r="AA984" s="3"/>
      <c r="AB984" s="4"/>
      <c r="AC984" s="4"/>
      <c r="AD984" s="4"/>
      <c r="AE984" s="4"/>
      <c r="AF984" s="4"/>
      <c r="AG984" s="4"/>
      <c r="AH984" s="4"/>
      <c r="AI984" s="4"/>
      <c r="AJ984" s="4"/>
      <c r="AK984" s="5"/>
      <c r="AL984" s="4"/>
      <c r="AM984" s="4"/>
      <c r="AN984" s="4"/>
      <c r="AO984" s="4"/>
      <c r="AP984" s="4"/>
      <c r="AQ984" s="4"/>
      <c r="AR984" s="4"/>
    </row>
    <row r="985">
      <c r="A985" s="2"/>
      <c r="B985" s="3"/>
      <c r="C985" s="6"/>
      <c r="D985" s="2"/>
      <c r="E985" s="2"/>
      <c r="F985" s="2"/>
      <c r="G985" s="2"/>
      <c r="H985" s="2"/>
      <c r="I985" s="3"/>
      <c r="J985" s="2"/>
      <c r="K985" s="2"/>
      <c r="L985" s="3"/>
      <c r="M985" s="2"/>
      <c r="N985" s="2"/>
      <c r="O985" s="3"/>
      <c r="P985" s="2"/>
      <c r="Q985" s="3"/>
      <c r="R985" s="2"/>
      <c r="S985" s="4"/>
      <c r="T985" s="2"/>
      <c r="U985" s="4"/>
      <c r="V985" s="3"/>
      <c r="W985" s="4"/>
      <c r="X985" s="3"/>
      <c r="Y985" s="4"/>
      <c r="Z985" s="3"/>
      <c r="AA985" s="3"/>
      <c r="AB985" s="4"/>
      <c r="AC985" s="4"/>
      <c r="AD985" s="4"/>
      <c r="AE985" s="4"/>
      <c r="AF985" s="4"/>
      <c r="AG985" s="4"/>
      <c r="AH985" s="4"/>
      <c r="AI985" s="4"/>
      <c r="AJ985" s="4"/>
      <c r="AK985" s="5"/>
      <c r="AL985" s="4"/>
      <c r="AM985" s="4"/>
      <c r="AN985" s="4"/>
      <c r="AO985" s="4"/>
      <c r="AP985" s="4"/>
      <c r="AQ985" s="4"/>
      <c r="AR985" s="4"/>
    </row>
    <row r="986">
      <c r="A986" s="2"/>
      <c r="B986" s="3"/>
      <c r="C986" s="6"/>
      <c r="D986" s="2"/>
      <c r="E986" s="2"/>
      <c r="F986" s="2"/>
      <c r="G986" s="2"/>
      <c r="H986" s="2"/>
      <c r="I986" s="3"/>
      <c r="J986" s="2"/>
      <c r="K986" s="2"/>
      <c r="L986" s="3"/>
      <c r="M986" s="2"/>
      <c r="N986" s="2"/>
      <c r="O986" s="3"/>
      <c r="P986" s="2"/>
      <c r="Q986" s="3"/>
      <c r="R986" s="2"/>
      <c r="S986" s="4"/>
      <c r="T986" s="2"/>
      <c r="U986" s="4"/>
      <c r="V986" s="3"/>
      <c r="W986" s="4"/>
      <c r="X986" s="3"/>
      <c r="Y986" s="4"/>
      <c r="Z986" s="3"/>
      <c r="AA986" s="3"/>
      <c r="AB986" s="4"/>
      <c r="AC986" s="4"/>
      <c r="AD986" s="4"/>
      <c r="AE986" s="4"/>
      <c r="AF986" s="4"/>
      <c r="AG986" s="4"/>
      <c r="AH986" s="4"/>
      <c r="AI986" s="4"/>
      <c r="AJ986" s="4"/>
      <c r="AK986" s="5"/>
      <c r="AL986" s="4"/>
      <c r="AM986" s="4"/>
      <c r="AN986" s="4"/>
      <c r="AO986" s="4"/>
      <c r="AP986" s="4"/>
      <c r="AQ986" s="4"/>
      <c r="AR986" s="4"/>
    </row>
    <row r="987">
      <c r="A987" s="2"/>
      <c r="B987" s="3"/>
      <c r="C987" s="6"/>
      <c r="D987" s="2"/>
      <c r="E987" s="2"/>
      <c r="F987" s="2"/>
      <c r="G987" s="2"/>
      <c r="H987" s="2"/>
      <c r="I987" s="3"/>
      <c r="J987" s="2"/>
      <c r="K987" s="2"/>
      <c r="L987" s="3"/>
      <c r="M987" s="2"/>
      <c r="N987" s="2"/>
      <c r="O987" s="3"/>
      <c r="P987" s="2"/>
      <c r="Q987" s="3"/>
      <c r="R987" s="2"/>
      <c r="S987" s="4"/>
      <c r="T987" s="2"/>
      <c r="U987" s="4"/>
      <c r="V987" s="3"/>
      <c r="W987" s="4"/>
      <c r="X987" s="3"/>
      <c r="Y987" s="4"/>
      <c r="Z987" s="3"/>
      <c r="AA987" s="3"/>
      <c r="AB987" s="4"/>
      <c r="AC987" s="4"/>
      <c r="AD987" s="4"/>
      <c r="AE987" s="4"/>
      <c r="AF987" s="4"/>
      <c r="AG987" s="4"/>
      <c r="AH987" s="4"/>
      <c r="AI987" s="4"/>
      <c r="AJ987" s="4"/>
      <c r="AK987" s="5"/>
      <c r="AL987" s="4"/>
      <c r="AM987" s="4"/>
      <c r="AN987" s="4"/>
      <c r="AO987" s="4"/>
      <c r="AP987" s="4"/>
      <c r="AQ987" s="4"/>
      <c r="AR987" s="4"/>
    </row>
    <row r="988">
      <c r="A988" s="2"/>
      <c r="B988" s="3"/>
      <c r="C988" s="6"/>
      <c r="D988" s="2"/>
      <c r="E988" s="2"/>
      <c r="F988" s="2"/>
      <c r="G988" s="2"/>
      <c r="H988" s="2"/>
      <c r="I988" s="3"/>
      <c r="J988" s="2"/>
      <c r="K988" s="2"/>
      <c r="L988" s="3"/>
      <c r="M988" s="2"/>
      <c r="N988" s="2"/>
      <c r="O988" s="3"/>
      <c r="P988" s="2"/>
      <c r="Q988" s="3"/>
      <c r="R988" s="2"/>
      <c r="S988" s="4"/>
      <c r="T988" s="2"/>
      <c r="U988" s="4"/>
      <c r="V988" s="3"/>
      <c r="W988" s="4"/>
      <c r="X988" s="3"/>
      <c r="Y988" s="4"/>
      <c r="Z988" s="3"/>
      <c r="AA988" s="3"/>
      <c r="AB988" s="4"/>
      <c r="AC988" s="4"/>
      <c r="AD988" s="4"/>
      <c r="AE988" s="4"/>
      <c r="AF988" s="4"/>
      <c r="AG988" s="4"/>
      <c r="AH988" s="4"/>
      <c r="AI988" s="4"/>
      <c r="AJ988" s="4"/>
      <c r="AK988" s="5"/>
      <c r="AL988" s="4"/>
      <c r="AM988" s="4"/>
      <c r="AN988" s="4"/>
      <c r="AO988" s="4"/>
      <c r="AP988" s="4"/>
      <c r="AQ988" s="4"/>
      <c r="AR988" s="4"/>
    </row>
    <row r="989">
      <c r="A989" s="2"/>
      <c r="B989" s="3"/>
      <c r="C989" s="6"/>
      <c r="D989" s="2"/>
      <c r="E989" s="2"/>
      <c r="F989" s="2"/>
      <c r="G989" s="2"/>
      <c r="H989" s="2"/>
      <c r="I989" s="3"/>
      <c r="J989" s="2"/>
      <c r="K989" s="2"/>
      <c r="L989" s="3"/>
      <c r="M989" s="2"/>
      <c r="N989" s="2"/>
      <c r="O989" s="3"/>
      <c r="P989" s="2"/>
      <c r="Q989" s="3"/>
      <c r="R989" s="2"/>
      <c r="S989" s="4"/>
      <c r="T989" s="2"/>
      <c r="U989" s="4"/>
      <c r="V989" s="3"/>
      <c r="W989" s="4"/>
      <c r="X989" s="3"/>
      <c r="Y989" s="4"/>
      <c r="Z989" s="3"/>
      <c r="AA989" s="3"/>
      <c r="AB989" s="4"/>
      <c r="AC989" s="4"/>
      <c r="AD989" s="4"/>
      <c r="AE989" s="4"/>
      <c r="AF989" s="4"/>
      <c r="AG989" s="4"/>
      <c r="AH989" s="4"/>
      <c r="AI989" s="4"/>
      <c r="AJ989" s="4"/>
      <c r="AK989" s="5"/>
      <c r="AL989" s="4"/>
      <c r="AM989" s="4"/>
      <c r="AN989" s="4"/>
      <c r="AO989" s="4"/>
      <c r="AP989" s="4"/>
      <c r="AQ989" s="4"/>
      <c r="AR989" s="4"/>
    </row>
    <row r="990">
      <c r="A990" s="2"/>
      <c r="B990" s="3"/>
      <c r="C990" s="6"/>
      <c r="D990" s="2"/>
      <c r="E990" s="2"/>
      <c r="F990" s="2"/>
      <c r="G990" s="2"/>
      <c r="H990" s="2"/>
      <c r="I990" s="3"/>
      <c r="J990" s="2"/>
      <c r="K990" s="2"/>
      <c r="L990" s="3"/>
      <c r="M990" s="2"/>
      <c r="N990" s="2"/>
      <c r="O990" s="3"/>
      <c r="P990" s="2"/>
      <c r="Q990" s="3"/>
      <c r="R990" s="2"/>
      <c r="S990" s="4"/>
      <c r="T990" s="2"/>
      <c r="U990" s="4"/>
      <c r="V990" s="3"/>
      <c r="W990" s="4"/>
      <c r="X990" s="3"/>
      <c r="Y990" s="4"/>
      <c r="Z990" s="3"/>
      <c r="AA990" s="3"/>
      <c r="AB990" s="4"/>
      <c r="AC990" s="4"/>
      <c r="AD990" s="4"/>
      <c r="AE990" s="4"/>
      <c r="AF990" s="4"/>
      <c r="AG990" s="4"/>
      <c r="AH990" s="4"/>
      <c r="AI990" s="4"/>
      <c r="AJ990" s="4"/>
      <c r="AK990" s="5"/>
      <c r="AL990" s="4"/>
      <c r="AM990" s="4"/>
      <c r="AN990" s="4"/>
      <c r="AO990" s="4"/>
      <c r="AP990" s="4"/>
      <c r="AQ990" s="4"/>
      <c r="AR990" s="4"/>
    </row>
    <row r="991">
      <c r="A991" s="2"/>
      <c r="B991" s="3"/>
      <c r="C991" s="6"/>
      <c r="D991" s="2"/>
      <c r="E991" s="2"/>
      <c r="F991" s="2"/>
      <c r="G991" s="2"/>
      <c r="H991" s="2"/>
      <c r="I991" s="3"/>
      <c r="J991" s="2"/>
      <c r="K991" s="2"/>
      <c r="L991" s="3"/>
      <c r="M991" s="2"/>
      <c r="N991" s="2"/>
      <c r="O991" s="3"/>
      <c r="P991" s="2"/>
      <c r="Q991" s="3"/>
      <c r="R991" s="2"/>
      <c r="S991" s="4"/>
      <c r="T991" s="2"/>
      <c r="U991" s="4"/>
      <c r="V991" s="3"/>
      <c r="W991" s="4"/>
      <c r="X991" s="3"/>
      <c r="Y991" s="4"/>
      <c r="Z991" s="3"/>
      <c r="AA991" s="3"/>
      <c r="AB991" s="4"/>
      <c r="AC991" s="4"/>
      <c r="AD991" s="4"/>
      <c r="AE991" s="4"/>
      <c r="AF991" s="4"/>
      <c r="AG991" s="4"/>
      <c r="AH991" s="4"/>
      <c r="AI991" s="4"/>
      <c r="AJ991" s="4"/>
      <c r="AK991" s="5"/>
      <c r="AL991" s="4"/>
      <c r="AM991" s="4"/>
      <c r="AN991" s="4"/>
      <c r="AO991" s="4"/>
      <c r="AP991" s="4"/>
      <c r="AQ991" s="4"/>
      <c r="AR991" s="4"/>
    </row>
    <row r="992">
      <c r="A992" s="2"/>
      <c r="B992" s="3"/>
      <c r="C992" s="6"/>
      <c r="D992" s="2"/>
      <c r="E992" s="2"/>
      <c r="F992" s="2"/>
      <c r="G992" s="2"/>
      <c r="H992" s="2"/>
      <c r="I992" s="3"/>
      <c r="J992" s="2"/>
      <c r="K992" s="2"/>
      <c r="L992" s="3"/>
      <c r="M992" s="2"/>
      <c r="N992" s="2"/>
      <c r="O992" s="3"/>
      <c r="P992" s="2"/>
      <c r="Q992" s="3"/>
      <c r="R992" s="2"/>
      <c r="S992" s="4"/>
      <c r="T992" s="2"/>
      <c r="U992" s="4"/>
      <c r="V992" s="3"/>
      <c r="W992" s="4"/>
      <c r="X992" s="3"/>
      <c r="Y992" s="4"/>
      <c r="Z992" s="3"/>
      <c r="AA992" s="3"/>
      <c r="AB992" s="4"/>
      <c r="AC992" s="4"/>
      <c r="AD992" s="4"/>
      <c r="AE992" s="4"/>
      <c r="AF992" s="4"/>
      <c r="AG992" s="4"/>
      <c r="AH992" s="4"/>
      <c r="AI992" s="4"/>
      <c r="AJ992" s="4"/>
      <c r="AK992" s="5"/>
      <c r="AL992" s="4"/>
      <c r="AM992" s="4"/>
      <c r="AN992" s="4"/>
      <c r="AO992" s="4"/>
      <c r="AP992" s="4"/>
      <c r="AQ992" s="4"/>
      <c r="AR992" s="4"/>
    </row>
    <row r="993">
      <c r="A993" s="2"/>
      <c r="B993" s="3"/>
      <c r="C993" s="6"/>
      <c r="D993" s="2"/>
      <c r="E993" s="2"/>
      <c r="F993" s="2"/>
      <c r="G993" s="2"/>
      <c r="H993" s="2"/>
      <c r="I993" s="3"/>
      <c r="J993" s="2"/>
      <c r="K993" s="2"/>
      <c r="L993" s="3"/>
      <c r="M993" s="2"/>
      <c r="N993" s="2"/>
      <c r="O993" s="3"/>
      <c r="P993" s="2"/>
      <c r="Q993" s="3"/>
      <c r="R993" s="2"/>
      <c r="S993" s="4"/>
      <c r="T993" s="2"/>
      <c r="U993" s="4"/>
      <c r="V993" s="3"/>
      <c r="W993" s="4"/>
      <c r="X993" s="3"/>
      <c r="Y993" s="4"/>
      <c r="Z993" s="3"/>
      <c r="AA993" s="3"/>
      <c r="AB993" s="4"/>
      <c r="AC993" s="4"/>
      <c r="AD993" s="4"/>
      <c r="AE993" s="4"/>
      <c r="AF993" s="4"/>
      <c r="AG993" s="4"/>
      <c r="AH993" s="4"/>
      <c r="AI993" s="4"/>
      <c r="AJ993" s="4"/>
      <c r="AK993" s="5"/>
      <c r="AL993" s="4"/>
      <c r="AM993" s="4"/>
      <c r="AN993" s="4"/>
      <c r="AO993" s="4"/>
      <c r="AP993" s="4"/>
      <c r="AQ993" s="4"/>
      <c r="AR993" s="4"/>
    </row>
    <row r="994">
      <c r="A994" s="2"/>
      <c r="B994" s="3"/>
      <c r="C994" s="6"/>
      <c r="D994" s="2"/>
      <c r="E994" s="2"/>
      <c r="F994" s="2"/>
      <c r="G994" s="2"/>
      <c r="H994" s="2"/>
      <c r="I994" s="3"/>
      <c r="J994" s="2"/>
      <c r="K994" s="2"/>
      <c r="L994" s="3"/>
      <c r="M994" s="2"/>
      <c r="N994" s="2"/>
      <c r="O994" s="3"/>
      <c r="P994" s="2"/>
      <c r="Q994" s="3"/>
      <c r="R994" s="2"/>
      <c r="S994" s="4"/>
      <c r="T994" s="2"/>
      <c r="U994" s="4"/>
      <c r="V994" s="3"/>
      <c r="W994" s="4"/>
      <c r="X994" s="3"/>
      <c r="Y994" s="4"/>
      <c r="Z994" s="3"/>
      <c r="AA994" s="3"/>
      <c r="AB994" s="4"/>
      <c r="AC994" s="4"/>
      <c r="AD994" s="4"/>
      <c r="AE994" s="4"/>
      <c r="AF994" s="4"/>
      <c r="AG994" s="4"/>
      <c r="AH994" s="4"/>
      <c r="AI994" s="4"/>
      <c r="AJ994" s="4"/>
      <c r="AK994" s="5"/>
      <c r="AL994" s="4"/>
      <c r="AM994" s="4"/>
      <c r="AN994" s="4"/>
      <c r="AO994" s="4"/>
      <c r="AP994" s="4"/>
      <c r="AQ994" s="4"/>
      <c r="AR994" s="4"/>
    </row>
    <row r="995">
      <c r="A995" s="2"/>
      <c r="B995" s="3"/>
      <c r="C995" s="6"/>
      <c r="D995" s="2"/>
      <c r="E995" s="2"/>
      <c r="F995" s="2"/>
      <c r="G995" s="2"/>
      <c r="H995" s="2"/>
      <c r="I995" s="3"/>
      <c r="J995" s="2"/>
      <c r="K995" s="2"/>
      <c r="L995" s="3"/>
      <c r="M995" s="2"/>
      <c r="N995" s="2"/>
      <c r="O995" s="3"/>
      <c r="P995" s="2"/>
      <c r="Q995" s="3"/>
      <c r="R995" s="2"/>
      <c r="S995" s="4"/>
      <c r="T995" s="2"/>
      <c r="U995" s="4"/>
      <c r="V995" s="3"/>
      <c r="W995" s="4"/>
      <c r="X995" s="3"/>
      <c r="Y995" s="4"/>
      <c r="Z995" s="3"/>
      <c r="AA995" s="3"/>
      <c r="AB995" s="4"/>
      <c r="AC995" s="4"/>
      <c r="AD995" s="4"/>
      <c r="AE995" s="4"/>
      <c r="AF995" s="4"/>
      <c r="AG995" s="4"/>
      <c r="AH995" s="4"/>
      <c r="AI995" s="4"/>
      <c r="AJ995" s="4"/>
      <c r="AK995" s="5"/>
      <c r="AL995" s="4"/>
      <c r="AM995" s="4"/>
      <c r="AN995" s="4"/>
      <c r="AO995" s="4"/>
      <c r="AP995" s="4"/>
      <c r="AQ995" s="4"/>
      <c r="AR995" s="4"/>
    </row>
    <row r="996">
      <c r="A996" s="2"/>
      <c r="B996" s="3"/>
      <c r="C996" s="6"/>
      <c r="D996" s="2"/>
      <c r="E996" s="2"/>
      <c r="F996" s="2"/>
      <c r="G996" s="2"/>
      <c r="H996" s="2"/>
      <c r="I996" s="3"/>
      <c r="J996" s="2"/>
      <c r="K996" s="2"/>
      <c r="L996" s="3"/>
      <c r="M996" s="2"/>
      <c r="N996" s="2"/>
      <c r="O996" s="3"/>
      <c r="P996" s="2"/>
      <c r="Q996" s="3"/>
      <c r="R996" s="2"/>
      <c r="S996" s="4"/>
      <c r="T996" s="2"/>
      <c r="U996" s="4"/>
      <c r="V996" s="3"/>
      <c r="W996" s="4"/>
      <c r="X996" s="3"/>
      <c r="Y996" s="4"/>
      <c r="Z996" s="3"/>
      <c r="AA996" s="3"/>
      <c r="AB996" s="4"/>
      <c r="AC996" s="4"/>
      <c r="AD996" s="4"/>
      <c r="AE996" s="4"/>
      <c r="AF996" s="4"/>
      <c r="AG996" s="4"/>
      <c r="AH996" s="4"/>
      <c r="AI996" s="4"/>
      <c r="AJ996" s="4"/>
      <c r="AK996" s="5"/>
      <c r="AL996" s="4"/>
      <c r="AM996" s="4"/>
      <c r="AN996" s="4"/>
      <c r="AO996" s="4"/>
      <c r="AP996" s="4"/>
      <c r="AQ996" s="4"/>
      <c r="AR996" s="4"/>
    </row>
    <row r="997">
      <c r="A997" s="2"/>
      <c r="B997" s="3"/>
      <c r="C997" s="6"/>
      <c r="D997" s="2"/>
      <c r="E997" s="2"/>
      <c r="F997" s="2"/>
      <c r="G997" s="2"/>
      <c r="H997" s="2"/>
      <c r="I997" s="3"/>
      <c r="J997" s="2"/>
      <c r="K997" s="2"/>
      <c r="L997" s="3"/>
      <c r="M997" s="2"/>
      <c r="N997" s="2"/>
      <c r="O997" s="3"/>
      <c r="P997" s="2"/>
      <c r="Q997" s="3"/>
      <c r="R997" s="2"/>
      <c r="S997" s="4"/>
      <c r="T997" s="2"/>
      <c r="U997" s="4"/>
      <c r="V997" s="3"/>
      <c r="W997" s="4"/>
      <c r="X997" s="3"/>
      <c r="Y997" s="4"/>
      <c r="Z997" s="3"/>
      <c r="AA997" s="3"/>
      <c r="AB997" s="4"/>
      <c r="AC997" s="4"/>
      <c r="AD997" s="4"/>
      <c r="AE997" s="4"/>
      <c r="AF997" s="4"/>
      <c r="AG997" s="4"/>
      <c r="AH997" s="4"/>
      <c r="AI997" s="4"/>
      <c r="AJ997" s="4"/>
      <c r="AK997" s="5"/>
      <c r="AL997" s="4"/>
      <c r="AM997" s="4"/>
      <c r="AN997" s="4"/>
      <c r="AO997" s="4"/>
      <c r="AP997" s="4"/>
      <c r="AQ997" s="4"/>
      <c r="AR997" s="4"/>
    </row>
    <row r="998">
      <c r="A998" s="2"/>
      <c r="B998" s="3"/>
      <c r="C998" s="6"/>
      <c r="D998" s="2"/>
      <c r="E998" s="2"/>
      <c r="F998" s="2"/>
      <c r="G998" s="2"/>
      <c r="H998" s="2"/>
      <c r="I998" s="3"/>
      <c r="J998" s="2"/>
      <c r="K998" s="2"/>
      <c r="L998" s="3"/>
      <c r="M998" s="2"/>
      <c r="N998" s="2"/>
      <c r="O998" s="3"/>
      <c r="P998" s="2"/>
      <c r="Q998" s="3"/>
      <c r="R998" s="2"/>
      <c r="S998" s="4"/>
      <c r="T998" s="2"/>
      <c r="U998" s="4"/>
      <c r="V998" s="3"/>
      <c r="W998" s="4"/>
      <c r="X998" s="3"/>
      <c r="Y998" s="4"/>
      <c r="Z998" s="3"/>
      <c r="AA998" s="3"/>
      <c r="AB998" s="4"/>
      <c r="AC998" s="4"/>
      <c r="AD998" s="4"/>
      <c r="AE998" s="4"/>
      <c r="AF998" s="4"/>
      <c r="AG998" s="4"/>
      <c r="AH998" s="4"/>
      <c r="AI998" s="4"/>
      <c r="AJ998" s="4"/>
      <c r="AK998" s="5"/>
      <c r="AL998" s="4"/>
      <c r="AM998" s="4"/>
      <c r="AN998" s="4"/>
      <c r="AO998" s="4"/>
      <c r="AP998" s="4"/>
      <c r="AQ998" s="4"/>
      <c r="AR998" s="4"/>
    </row>
    <row r="999">
      <c r="A999" s="2"/>
      <c r="B999" s="3"/>
      <c r="C999" s="6"/>
      <c r="D999" s="2"/>
      <c r="E999" s="2"/>
      <c r="F999" s="2"/>
      <c r="G999" s="2"/>
      <c r="H999" s="2"/>
      <c r="I999" s="3"/>
      <c r="J999" s="2"/>
      <c r="K999" s="2"/>
      <c r="L999" s="3"/>
      <c r="M999" s="2"/>
      <c r="N999" s="2"/>
      <c r="O999" s="3"/>
      <c r="P999" s="2"/>
      <c r="Q999" s="3"/>
      <c r="R999" s="2"/>
      <c r="S999" s="4"/>
      <c r="T999" s="2"/>
      <c r="U999" s="4"/>
      <c r="V999" s="3"/>
      <c r="W999" s="4"/>
      <c r="X999" s="3"/>
      <c r="Y999" s="4"/>
      <c r="Z999" s="3"/>
      <c r="AA999" s="3"/>
      <c r="AB999" s="4"/>
      <c r="AC999" s="4"/>
      <c r="AD999" s="4"/>
      <c r="AE999" s="4"/>
      <c r="AF999" s="4"/>
      <c r="AG999" s="4"/>
      <c r="AH999" s="4"/>
      <c r="AI999" s="4"/>
      <c r="AJ999" s="4"/>
      <c r="AK999" s="5"/>
      <c r="AL999" s="4"/>
      <c r="AM999" s="4"/>
      <c r="AN999" s="4"/>
      <c r="AO999" s="4"/>
      <c r="AP999" s="4"/>
      <c r="AQ999" s="4"/>
      <c r="AR999" s="4"/>
    </row>
    <row r="1000">
      <c r="A1000" s="2"/>
      <c r="B1000" s="3"/>
      <c r="C1000" s="6"/>
      <c r="D1000" s="2"/>
      <c r="E1000" s="2"/>
      <c r="F1000" s="2"/>
      <c r="G1000" s="2"/>
      <c r="H1000" s="2"/>
      <c r="I1000" s="3"/>
      <c r="J1000" s="2"/>
      <c r="K1000" s="2"/>
      <c r="L1000" s="3"/>
      <c r="M1000" s="2"/>
      <c r="N1000" s="2"/>
      <c r="O1000" s="3"/>
      <c r="P1000" s="2"/>
      <c r="Q1000" s="3"/>
      <c r="R1000" s="2"/>
      <c r="S1000" s="4"/>
      <c r="T1000" s="2"/>
      <c r="U1000" s="4"/>
      <c r="V1000" s="3"/>
      <c r="W1000" s="4"/>
      <c r="X1000" s="3"/>
      <c r="Y1000" s="4"/>
      <c r="Z1000" s="3"/>
      <c r="AA1000" s="3"/>
      <c r="AB1000" s="4"/>
      <c r="AC1000" s="4"/>
      <c r="AD1000" s="4"/>
      <c r="AE1000" s="4"/>
      <c r="AF1000" s="4"/>
      <c r="AG1000" s="4"/>
      <c r="AH1000" s="4"/>
      <c r="AI1000" s="4"/>
      <c r="AJ1000" s="4"/>
      <c r="AK1000" s="5"/>
      <c r="AL1000" s="4"/>
      <c r="AM1000" s="4"/>
      <c r="AN1000" s="4"/>
      <c r="AO1000" s="4"/>
      <c r="AP1000" s="4"/>
      <c r="AQ1000" s="4"/>
      <c r="AR1000" s="4"/>
    </row>
    <row r="1001">
      <c r="A1001" s="2"/>
      <c r="B1001" s="3"/>
      <c r="C1001" s="6"/>
      <c r="D1001" s="2"/>
      <c r="E1001" s="2"/>
      <c r="F1001" s="2"/>
      <c r="G1001" s="2"/>
      <c r="H1001" s="2"/>
      <c r="I1001" s="3"/>
      <c r="J1001" s="2"/>
      <c r="K1001" s="2"/>
      <c r="L1001" s="3"/>
      <c r="M1001" s="2"/>
      <c r="N1001" s="2"/>
      <c r="O1001" s="3"/>
      <c r="P1001" s="2"/>
      <c r="Q1001" s="3"/>
      <c r="R1001" s="2"/>
      <c r="S1001" s="4"/>
      <c r="T1001" s="2"/>
      <c r="U1001" s="4"/>
      <c r="V1001" s="3"/>
      <c r="W1001" s="4"/>
      <c r="X1001" s="3"/>
      <c r="Y1001" s="4"/>
      <c r="Z1001" s="3"/>
      <c r="AA1001" s="3"/>
      <c r="AB1001" s="4"/>
      <c r="AC1001" s="4"/>
      <c r="AD1001" s="4"/>
      <c r="AE1001" s="4"/>
      <c r="AF1001" s="4"/>
      <c r="AG1001" s="4"/>
      <c r="AH1001" s="4"/>
      <c r="AI1001" s="4"/>
      <c r="AJ1001" s="4"/>
      <c r="AK1001" s="5"/>
      <c r="AL1001" s="4"/>
      <c r="AM1001" s="4"/>
      <c r="AN1001" s="4"/>
      <c r="AO1001" s="4"/>
      <c r="AP1001" s="4"/>
      <c r="AQ1001" s="4"/>
      <c r="AR1001" s="4"/>
    </row>
    <row r="1002">
      <c r="A1002" s="2"/>
      <c r="B1002" s="3"/>
      <c r="C1002" s="6"/>
      <c r="D1002" s="2"/>
      <c r="E1002" s="2"/>
      <c r="F1002" s="2"/>
      <c r="G1002" s="2"/>
      <c r="H1002" s="2"/>
      <c r="I1002" s="3"/>
      <c r="J1002" s="2"/>
      <c r="K1002" s="2"/>
      <c r="L1002" s="3"/>
      <c r="M1002" s="2"/>
      <c r="N1002" s="2"/>
      <c r="O1002" s="3"/>
      <c r="P1002" s="2"/>
      <c r="Q1002" s="3"/>
      <c r="R1002" s="2"/>
      <c r="S1002" s="4"/>
      <c r="T1002" s="2"/>
      <c r="U1002" s="4"/>
      <c r="V1002" s="3"/>
      <c r="W1002" s="4"/>
      <c r="X1002" s="3"/>
      <c r="Y1002" s="4"/>
      <c r="Z1002" s="3"/>
      <c r="AA1002" s="3"/>
      <c r="AB1002" s="4"/>
      <c r="AC1002" s="4"/>
      <c r="AD1002" s="4"/>
      <c r="AE1002" s="4"/>
      <c r="AF1002" s="4"/>
      <c r="AG1002" s="4"/>
      <c r="AH1002" s="4"/>
      <c r="AI1002" s="4"/>
      <c r="AJ1002" s="4"/>
      <c r="AK1002" s="5"/>
      <c r="AL1002" s="4"/>
      <c r="AM1002" s="4"/>
      <c r="AN1002" s="4"/>
      <c r="AO1002" s="4"/>
      <c r="AP1002" s="4"/>
      <c r="AQ1002" s="4"/>
      <c r="AR1002" s="4"/>
    </row>
    <row r="1003">
      <c r="A1003" s="2"/>
      <c r="B1003" s="3"/>
      <c r="C1003" s="6"/>
      <c r="D1003" s="2"/>
      <c r="E1003" s="2"/>
      <c r="F1003" s="2"/>
      <c r="G1003" s="2"/>
      <c r="H1003" s="2"/>
      <c r="I1003" s="3"/>
      <c r="J1003" s="2"/>
      <c r="K1003" s="2"/>
      <c r="L1003" s="3"/>
      <c r="M1003" s="2"/>
      <c r="N1003" s="2"/>
      <c r="O1003" s="3"/>
      <c r="P1003" s="2"/>
      <c r="Q1003" s="3"/>
      <c r="R1003" s="2"/>
      <c r="S1003" s="4"/>
      <c r="T1003" s="2"/>
      <c r="U1003" s="4"/>
      <c r="V1003" s="3"/>
      <c r="W1003" s="4"/>
      <c r="X1003" s="3"/>
      <c r="Y1003" s="4"/>
      <c r="Z1003" s="3"/>
      <c r="AA1003" s="3"/>
      <c r="AB1003" s="4"/>
      <c r="AC1003" s="4"/>
      <c r="AD1003" s="4"/>
      <c r="AE1003" s="4"/>
      <c r="AF1003" s="4"/>
      <c r="AG1003" s="4"/>
      <c r="AH1003" s="4"/>
      <c r="AI1003" s="4"/>
      <c r="AJ1003" s="4"/>
      <c r="AK1003" s="5"/>
      <c r="AL1003" s="4"/>
      <c r="AM1003" s="4"/>
      <c r="AN1003" s="4"/>
      <c r="AO1003" s="4"/>
      <c r="AP1003" s="4"/>
      <c r="AQ1003" s="4"/>
      <c r="AR1003" s="4"/>
    </row>
    <row r="1004">
      <c r="A1004" s="2"/>
      <c r="B1004" s="3"/>
      <c r="C1004" s="6"/>
      <c r="D1004" s="2"/>
      <c r="E1004" s="2"/>
      <c r="F1004" s="2"/>
      <c r="G1004" s="2"/>
      <c r="H1004" s="2"/>
      <c r="I1004" s="3"/>
      <c r="J1004" s="2"/>
      <c r="K1004" s="2"/>
      <c r="L1004" s="3"/>
      <c r="M1004" s="2"/>
      <c r="N1004" s="2"/>
      <c r="O1004" s="3"/>
      <c r="P1004" s="2"/>
      <c r="Q1004" s="3"/>
      <c r="R1004" s="2"/>
      <c r="S1004" s="4"/>
      <c r="T1004" s="2"/>
      <c r="U1004" s="4"/>
      <c r="V1004" s="3"/>
      <c r="W1004" s="4"/>
      <c r="X1004" s="3"/>
      <c r="Y1004" s="4"/>
      <c r="Z1004" s="3"/>
      <c r="AA1004" s="3"/>
      <c r="AB1004" s="4"/>
      <c r="AC1004" s="4"/>
      <c r="AD1004" s="4"/>
      <c r="AE1004" s="4"/>
      <c r="AF1004" s="4"/>
      <c r="AG1004" s="4"/>
      <c r="AH1004" s="4"/>
      <c r="AI1004" s="4"/>
      <c r="AJ1004" s="4"/>
      <c r="AK1004" s="5"/>
      <c r="AL1004" s="4"/>
      <c r="AM1004" s="4"/>
      <c r="AN1004" s="4"/>
      <c r="AO1004" s="4"/>
      <c r="AP1004" s="4"/>
      <c r="AQ1004" s="4"/>
      <c r="AR1004" s="4"/>
    </row>
    <row r="1005">
      <c r="A1005" s="2"/>
      <c r="B1005" s="3"/>
      <c r="C1005" s="6"/>
      <c r="D1005" s="2"/>
      <c r="E1005" s="2"/>
      <c r="F1005" s="2"/>
      <c r="G1005" s="2"/>
      <c r="H1005" s="2"/>
      <c r="I1005" s="3"/>
      <c r="J1005" s="2"/>
      <c r="K1005" s="2"/>
      <c r="L1005" s="3"/>
      <c r="M1005" s="2"/>
      <c r="N1005" s="2"/>
      <c r="O1005" s="3"/>
      <c r="P1005" s="2"/>
      <c r="Q1005" s="3"/>
      <c r="R1005" s="2"/>
      <c r="S1005" s="4"/>
      <c r="T1005" s="2"/>
      <c r="U1005" s="4"/>
      <c r="V1005" s="3"/>
      <c r="W1005" s="4"/>
      <c r="X1005" s="3"/>
      <c r="Y1005" s="4"/>
      <c r="Z1005" s="3"/>
      <c r="AA1005" s="3"/>
      <c r="AB1005" s="4"/>
      <c r="AC1005" s="4"/>
      <c r="AD1005" s="4"/>
      <c r="AE1005" s="4"/>
      <c r="AF1005" s="4"/>
      <c r="AG1005" s="4"/>
      <c r="AH1005" s="4"/>
      <c r="AI1005" s="4"/>
      <c r="AJ1005" s="4"/>
      <c r="AK1005" s="5"/>
      <c r="AL1005" s="4"/>
      <c r="AM1005" s="4"/>
      <c r="AN1005" s="4"/>
      <c r="AO1005" s="4"/>
      <c r="AP1005" s="4"/>
      <c r="AQ1005" s="4"/>
      <c r="AR1005" s="4"/>
    </row>
    <row r="1006">
      <c r="A1006" s="2"/>
      <c r="B1006" s="3"/>
      <c r="C1006" s="6"/>
      <c r="D1006" s="2"/>
      <c r="E1006" s="2"/>
      <c r="F1006" s="2"/>
      <c r="G1006" s="2"/>
      <c r="H1006" s="2"/>
      <c r="I1006" s="3"/>
      <c r="J1006" s="2"/>
      <c r="K1006" s="2"/>
      <c r="L1006" s="3"/>
      <c r="M1006" s="2"/>
      <c r="N1006" s="2"/>
      <c r="O1006" s="3"/>
      <c r="P1006" s="2"/>
      <c r="Q1006" s="3"/>
      <c r="R1006" s="2"/>
      <c r="S1006" s="4"/>
      <c r="T1006" s="2"/>
      <c r="U1006" s="4"/>
      <c r="V1006" s="3"/>
      <c r="W1006" s="4"/>
      <c r="X1006" s="3"/>
      <c r="Y1006" s="4"/>
      <c r="Z1006" s="3"/>
      <c r="AA1006" s="3"/>
      <c r="AB1006" s="4"/>
      <c r="AC1006" s="4"/>
      <c r="AD1006" s="4"/>
      <c r="AE1006" s="4"/>
      <c r="AF1006" s="4"/>
      <c r="AG1006" s="4"/>
      <c r="AH1006" s="4"/>
      <c r="AI1006" s="4"/>
      <c r="AJ1006" s="4"/>
      <c r="AK1006" s="5"/>
      <c r="AL1006" s="4"/>
      <c r="AM1006" s="4"/>
      <c r="AN1006" s="4"/>
      <c r="AO1006" s="4"/>
      <c r="AP1006" s="4"/>
      <c r="AQ1006" s="4"/>
      <c r="AR1006" s="4"/>
    </row>
    <row r="1007">
      <c r="A1007" s="2"/>
      <c r="B1007" s="3"/>
      <c r="C1007" s="6"/>
      <c r="D1007" s="2"/>
      <c r="E1007" s="2"/>
      <c r="F1007" s="2"/>
      <c r="G1007" s="2"/>
      <c r="H1007" s="2"/>
      <c r="I1007" s="3"/>
      <c r="J1007" s="2"/>
      <c r="K1007" s="2"/>
      <c r="L1007" s="3"/>
      <c r="M1007" s="2"/>
      <c r="N1007" s="2"/>
      <c r="O1007" s="3"/>
      <c r="P1007" s="2"/>
      <c r="Q1007" s="3"/>
      <c r="R1007" s="2"/>
      <c r="S1007" s="4"/>
      <c r="T1007" s="2"/>
      <c r="U1007" s="4"/>
      <c r="V1007" s="3"/>
      <c r="W1007" s="4"/>
      <c r="X1007" s="3"/>
      <c r="Y1007" s="4"/>
      <c r="Z1007" s="3"/>
      <c r="AA1007" s="3"/>
      <c r="AB1007" s="4"/>
      <c r="AC1007" s="4"/>
      <c r="AD1007" s="4"/>
      <c r="AE1007" s="4"/>
      <c r="AF1007" s="4"/>
      <c r="AG1007" s="4"/>
      <c r="AH1007" s="4"/>
      <c r="AI1007" s="4"/>
      <c r="AJ1007" s="4"/>
      <c r="AK1007" s="5"/>
      <c r="AL1007" s="4"/>
      <c r="AM1007" s="4"/>
      <c r="AN1007" s="4"/>
      <c r="AO1007" s="4"/>
      <c r="AP1007" s="4"/>
      <c r="AQ1007" s="4"/>
      <c r="AR1007" s="4"/>
    </row>
    <row r="1008">
      <c r="A1008" s="2"/>
      <c r="B1008" s="3"/>
      <c r="C1008" s="6"/>
      <c r="D1008" s="2"/>
      <c r="E1008" s="2"/>
      <c r="F1008" s="2"/>
      <c r="G1008" s="2"/>
      <c r="H1008" s="2"/>
      <c r="I1008" s="3"/>
      <c r="J1008" s="2"/>
      <c r="K1008" s="2"/>
      <c r="L1008" s="3"/>
      <c r="M1008" s="2"/>
      <c r="N1008" s="2"/>
      <c r="O1008" s="3"/>
      <c r="P1008" s="2"/>
      <c r="Q1008" s="3"/>
      <c r="R1008" s="2"/>
      <c r="S1008" s="4"/>
      <c r="T1008" s="2"/>
      <c r="U1008" s="4"/>
      <c r="V1008" s="3"/>
      <c r="W1008" s="4"/>
      <c r="X1008" s="3"/>
      <c r="Y1008" s="4"/>
      <c r="Z1008" s="3"/>
      <c r="AA1008" s="3"/>
      <c r="AB1008" s="4"/>
      <c r="AC1008" s="4"/>
      <c r="AD1008" s="4"/>
      <c r="AE1008" s="4"/>
      <c r="AF1008" s="4"/>
      <c r="AG1008" s="4"/>
      <c r="AH1008" s="4"/>
      <c r="AI1008" s="4"/>
      <c r="AJ1008" s="4"/>
      <c r="AK1008" s="5"/>
      <c r="AL1008" s="4"/>
      <c r="AM1008" s="4"/>
      <c r="AN1008" s="4"/>
      <c r="AO1008" s="4"/>
      <c r="AP1008" s="4"/>
      <c r="AQ1008" s="4"/>
      <c r="AR1008" s="4"/>
    </row>
    <row r="1009">
      <c r="A1009" s="2"/>
      <c r="B1009" s="3"/>
      <c r="C1009" s="6"/>
      <c r="D1009" s="2"/>
      <c r="E1009" s="2"/>
      <c r="F1009" s="2"/>
      <c r="G1009" s="2"/>
      <c r="H1009" s="2"/>
      <c r="I1009" s="3"/>
      <c r="J1009" s="2"/>
      <c r="K1009" s="2"/>
      <c r="L1009" s="3"/>
      <c r="M1009" s="2"/>
      <c r="N1009" s="2"/>
      <c r="O1009" s="3"/>
      <c r="P1009" s="2"/>
      <c r="Q1009" s="3"/>
      <c r="R1009" s="2"/>
      <c r="S1009" s="4"/>
      <c r="T1009" s="2"/>
      <c r="U1009" s="4"/>
      <c r="V1009" s="3"/>
      <c r="W1009" s="4"/>
      <c r="X1009" s="3"/>
      <c r="Y1009" s="4"/>
      <c r="Z1009" s="3"/>
      <c r="AA1009" s="3"/>
      <c r="AB1009" s="4"/>
      <c r="AC1009" s="4"/>
      <c r="AD1009" s="4"/>
      <c r="AE1009" s="4"/>
      <c r="AF1009" s="4"/>
      <c r="AG1009" s="4"/>
      <c r="AH1009" s="4"/>
      <c r="AI1009" s="4"/>
      <c r="AJ1009" s="4"/>
      <c r="AK1009" s="5"/>
      <c r="AL1009" s="4"/>
      <c r="AM1009" s="4"/>
      <c r="AN1009" s="4"/>
      <c r="AO1009" s="4"/>
      <c r="AP1009" s="4"/>
      <c r="AQ1009" s="4"/>
      <c r="AR1009" s="4"/>
    </row>
    <row r="1010">
      <c r="A1010" s="2"/>
      <c r="B1010" s="3"/>
      <c r="C1010" s="6"/>
      <c r="D1010" s="2"/>
      <c r="E1010" s="2"/>
      <c r="F1010" s="2"/>
      <c r="G1010" s="2"/>
      <c r="H1010" s="2"/>
      <c r="I1010" s="3"/>
      <c r="J1010" s="2"/>
      <c r="K1010" s="2"/>
      <c r="L1010" s="3"/>
      <c r="M1010" s="2"/>
      <c r="N1010" s="2"/>
      <c r="O1010" s="3"/>
      <c r="P1010" s="2"/>
      <c r="Q1010" s="3"/>
      <c r="R1010" s="2"/>
      <c r="S1010" s="4"/>
      <c r="T1010" s="2"/>
      <c r="U1010" s="4"/>
      <c r="V1010" s="3"/>
      <c r="W1010" s="4"/>
      <c r="X1010" s="3"/>
      <c r="Y1010" s="4"/>
      <c r="Z1010" s="3"/>
      <c r="AA1010" s="3"/>
      <c r="AB1010" s="4"/>
      <c r="AC1010" s="4"/>
      <c r="AD1010" s="4"/>
      <c r="AE1010" s="4"/>
      <c r="AF1010" s="4"/>
      <c r="AG1010" s="4"/>
      <c r="AH1010" s="4"/>
      <c r="AI1010" s="4"/>
      <c r="AJ1010" s="4"/>
      <c r="AK1010" s="5"/>
      <c r="AL1010" s="4"/>
      <c r="AM1010" s="4"/>
      <c r="AN1010" s="4"/>
      <c r="AO1010" s="4"/>
      <c r="AP1010" s="4"/>
      <c r="AQ1010" s="4"/>
      <c r="AR1010" s="4"/>
    </row>
    <row r="1011">
      <c r="A1011" s="2"/>
      <c r="B1011" s="3"/>
      <c r="C1011" s="6"/>
      <c r="D1011" s="2"/>
      <c r="E1011" s="2"/>
      <c r="F1011" s="2"/>
      <c r="G1011" s="2"/>
      <c r="H1011" s="2"/>
      <c r="I1011" s="3"/>
      <c r="J1011" s="2"/>
      <c r="K1011" s="2"/>
      <c r="L1011" s="3"/>
      <c r="M1011" s="2"/>
      <c r="N1011" s="2"/>
      <c r="O1011" s="3"/>
      <c r="P1011" s="2"/>
      <c r="Q1011" s="3"/>
      <c r="R1011" s="2"/>
      <c r="S1011" s="4"/>
      <c r="T1011" s="2"/>
      <c r="U1011" s="4"/>
      <c r="V1011" s="3"/>
      <c r="W1011" s="4"/>
      <c r="X1011" s="3"/>
      <c r="Y1011" s="4"/>
      <c r="Z1011" s="3"/>
      <c r="AA1011" s="3"/>
      <c r="AB1011" s="4"/>
      <c r="AC1011" s="4"/>
      <c r="AD1011" s="4"/>
      <c r="AE1011" s="4"/>
      <c r="AF1011" s="4"/>
      <c r="AG1011" s="4"/>
      <c r="AH1011" s="4"/>
      <c r="AI1011" s="4"/>
      <c r="AJ1011" s="4"/>
      <c r="AK1011" s="5"/>
      <c r="AL1011" s="4"/>
      <c r="AM1011" s="4"/>
      <c r="AN1011" s="4"/>
      <c r="AO1011" s="4"/>
      <c r="AP1011" s="4"/>
      <c r="AQ1011" s="4"/>
      <c r="AR1011" s="4"/>
    </row>
    <row r="1012">
      <c r="A1012" s="2"/>
      <c r="B1012" s="3"/>
      <c r="C1012" s="6"/>
      <c r="D1012" s="2"/>
      <c r="E1012" s="2"/>
      <c r="F1012" s="2"/>
      <c r="G1012" s="2"/>
      <c r="H1012" s="2"/>
      <c r="I1012" s="3"/>
      <c r="J1012" s="2"/>
      <c r="K1012" s="2"/>
      <c r="L1012" s="3"/>
      <c r="M1012" s="2"/>
      <c r="N1012" s="2"/>
      <c r="O1012" s="3"/>
      <c r="P1012" s="2"/>
      <c r="Q1012" s="3"/>
      <c r="R1012" s="2"/>
      <c r="S1012" s="4"/>
      <c r="T1012" s="2"/>
      <c r="U1012" s="4"/>
      <c r="V1012" s="3"/>
      <c r="W1012" s="4"/>
      <c r="X1012" s="3"/>
      <c r="Y1012" s="4"/>
      <c r="Z1012" s="3"/>
      <c r="AA1012" s="3"/>
      <c r="AB1012" s="4"/>
      <c r="AC1012" s="4"/>
      <c r="AD1012" s="4"/>
      <c r="AE1012" s="4"/>
      <c r="AF1012" s="4"/>
      <c r="AG1012" s="4"/>
      <c r="AH1012" s="4"/>
      <c r="AI1012" s="4"/>
      <c r="AJ1012" s="4"/>
      <c r="AK1012" s="5"/>
      <c r="AL1012" s="4"/>
      <c r="AM1012" s="4"/>
      <c r="AN1012" s="4"/>
      <c r="AO1012" s="4"/>
      <c r="AP1012" s="4"/>
      <c r="AQ1012" s="4"/>
      <c r="AR1012" s="4"/>
    </row>
    <row r="1013">
      <c r="A1013" s="2"/>
      <c r="B1013" s="3"/>
      <c r="C1013" s="6"/>
      <c r="D1013" s="2"/>
      <c r="E1013" s="2"/>
      <c r="F1013" s="2"/>
      <c r="G1013" s="2"/>
      <c r="H1013" s="2"/>
      <c r="I1013" s="3"/>
      <c r="J1013" s="2"/>
      <c r="K1013" s="2"/>
      <c r="L1013" s="3"/>
      <c r="M1013" s="2"/>
      <c r="N1013" s="2"/>
      <c r="O1013" s="3"/>
      <c r="P1013" s="2"/>
      <c r="Q1013" s="3"/>
      <c r="R1013" s="2"/>
      <c r="S1013" s="4"/>
      <c r="T1013" s="2"/>
      <c r="U1013" s="4"/>
      <c r="V1013" s="3"/>
      <c r="W1013" s="4"/>
      <c r="X1013" s="3"/>
      <c r="Y1013" s="4"/>
      <c r="Z1013" s="3"/>
      <c r="AA1013" s="3"/>
      <c r="AB1013" s="4"/>
      <c r="AC1013" s="4"/>
      <c r="AD1013" s="4"/>
      <c r="AE1013" s="4"/>
      <c r="AF1013" s="4"/>
      <c r="AG1013" s="4"/>
      <c r="AH1013" s="4"/>
      <c r="AI1013" s="4"/>
      <c r="AJ1013" s="4"/>
      <c r="AK1013" s="5"/>
      <c r="AL1013" s="4"/>
      <c r="AM1013" s="4"/>
      <c r="AN1013" s="4"/>
      <c r="AO1013" s="4"/>
      <c r="AP1013" s="4"/>
      <c r="AQ1013" s="4"/>
      <c r="AR1013" s="4"/>
    </row>
    <row r="1014">
      <c r="A1014" s="2"/>
      <c r="B1014" s="3"/>
      <c r="C1014" s="6"/>
      <c r="D1014" s="2"/>
      <c r="E1014" s="2"/>
      <c r="F1014" s="2"/>
      <c r="G1014" s="2"/>
      <c r="H1014" s="2"/>
      <c r="I1014" s="3"/>
      <c r="J1014" s="2"/>
      <c r="K1014" s="2"/>
      <c r="L1014" s="3"/>
      <c r="M1014" s="2"/>
      <c r="N1014" s="2"/>
      <c r="O1014" s="3"/>
      <c r="P1014" s="2"/>
      <c r="Q1014" s="3"/>
      <c r="R1014" s="2"/>
      <c r="S1014" s="4"/>
      <c r="T1014" s="2"/>
      <c r="U1014" s="4"/>
      <c r="V1014" s="3"/>
      <c r="W1014" s="4"/>
      <c r="X1014" s="3"/>
      <c r="Y1014" s="4"/>
      <c r="Z1014" s="3"/>
      <c r="AA1014" s="3"/>
      <c r="AB1014" s="4"/>
      <c r="AC1014" s="4"/>
      <c r="AD1014" s="4"/>
      <c r="AE1014" s="4"/>
      <c r="AF1014" s="4"/>
      <c r="AG1014" s="4"/>
      <c r="AH1014" s="4"/>
      <c r="AI1014" s="4"/>
      <c r="AJ1014" s="4"/>
      <c r="AK1014" s="5"/>
      <c r="AL1014" s="4"/>
      <c r="AM1014" s="4"/>
      <c r="AN1014" s="4"/>
      <c r="AO1014" s="4"/>
      <c r="AP1014" s="4"/>
      <c r="AQ1014" s="4"/>
      <c r="AR1014" s="4"/>
    </row>
    <row r="1015">
      <c r="A1015" s="2"/>
      <c r="B1015" s="3"/>
      <c r="C1015" s="6"/>
      <c r="D1015" s="2"/>
      <c r="E1015" s="2"/>
      <c r="F1015" s="2"/>
      <c r="G1015" s="2"/>
      <c r="H1015" s="2"/>
      <c r="I1015" s="3"/>
      <c r="J1015" s="2"/>
      <c r="K1015" s="2"/>
      <c r="L1015" s="3"/>
      <c r="M1015" s="2"/>
      <c r="N1015" s="2"/>
      <c r="O1015" s="3"/>
      <c r="P1015" s="2"/>
      <c r="Q1015" s="3"/>
      <c r="R1015" s="2"/>
      <c r="S1015" s="4"/>
      <c r="T1015" s="2"/>
      <c r="U1015" s="4"/>
      <c r="V1015" s="3"/>
      <c r="W1015" s="4"/>
      <c r="X1015" s="3"/>
      <c r="Y1015" s="4"/>
      <c r="Z1015" s="3"/>
      <c r="AA1015" s="3"/>
      <c r="AB1015" s="4"/>
      <c r="AC1015" s="4"/>
      <c r="AD1015" s="4"/>
      <c r="AE1015" s="4"/>
      <c r="AF1015" s="4"/>
      <c r="AG1015" s="4"/>
      <c r="AH1015" s="4"/>
      <c r="AI1015" s="4"/>
      <c r="AJ1015" s="4"/>
      <c r="AK1015" s="5"/>
      <c r="AL1015" s="4"/>
      <c r="AM1015" s="4"/>
      <c r="AN1015" s="4"/>
      <c r="AO1015" s="4"/>
      <c r="AP1015" s="4"/>
      <c r="AQ1015" s="4"/>
      <c r="AR1015" s="4"/>
    </row>
    <row r="1016">
      <c r="A1016" s="2"/>
      <c r="B1016" s="3"/>
      <c r="C1016" s="6"/>
      <c r="D1016" s="2"/>
      <c r="E1016" s="2"/>
      <c r="F1016" s="2"/>
      <c r="G1016" s="2"/>
      <c r="H1016" s="2"/>
      <c r="I1016" s="3"/>
      <c r="J1016" s="2"/>
      <c r="K1016" s="2"/>
      <c r="L1016" s="3"/>
      <c r="M1016" s="2"/>
      <c r="N1016" s="2"/>
      <c r="O1016" s="3"/>
      <c r="P1016" s="2"/>
      <c r="Q1016" s="3"/>
      <c r="R1016" s="2"/>
      <c r="S1016" s="4"/>
      <c r="T1016" s="2"/>
      <c r="U1016" s="4"/>
      <c r="V1016" s="3"/>
      <c r="W1016" s="4"/>
      <c r="X1016" s="3"/>
      <c r="Y1016" s="4"/>
      <c r="Z1016" s="3"/>
      <c r="AA1016" s="3"/>
      <c r="AB1016" s="4"/>
      <c r="AC1016" s="4"/>
      <c r="AD1016" s="4"/>
      <c r="AE1016" s="4"/>
      <c r="AF1016" s="4"/>
      <c r="AG1016" s="4"/>
      <c r="AH1016" s="4"/>
      <c r="AI1016" s="4"/>
      <c r="AJ1016" s="4"/>
      <c r="AK1016" s="5"/>
      <c r="AL1016" s="4"/>
      <c r="AM1016" s="4"/>
      <c r="AN1016" s="4"/>
      <c r="AO1016" s="4"/>
      <c r="AP1016" s="4"/>
      <c r="AQ1016" s="4"/>
      <c r="AR1016" s="4"/>
    </row>
    <row r="1017">
      <c r="A1017" s="2"/>
      <c r="B1017" s="3"/>
      <c r="C1017" s="6"/>
      <c r="D1017" s="2"/>
      <c r="E1017" s="2"/>
      <c r="F1017" s="2"/>
      <c r="G1017" s="2"/>
      <c r="H1017" s="2"/>
      <c r="I1017" s="3"/>
      <c r="J1017" s="2"/>
      <c r="K1017" s="2"/>
      <c r="L1017" s="3"/>
      <c r="M1017" s="2"/>
      <c r="N1017" s="2"/>
      <c r="O1017" s="3"/>
      <c r="P1017" s="2"/>
      <c r="Q1017" s="3"/>
      <c r="R1017" s="2"/>
      <c r="S1017" s="4"/>
      <c r="T1017" s="2"/>
      <c r="U1017" s="4"/>
      <c r="V1017" s="3"/>
      <c r="W1017" s="4"/>
      <c r="X1017" s="3"/>
      <c r="Y1017" s="4"/>
      <c r="Z1017" s="3"/>
      <c r="AA1017" s="3"/>
      <c r="AB1017" s="4"/>
      <c r="AC1017" s="4"/>
      <c r="AD1017" s="4"/>
      <c r="AE1017" s="4"/>
      <c r="AF1017" s="4"/>
      <c r="AG1017" s="4"/>
      <c r="AH1017" s="4"/>
      <c r="AI1017" s="4"/>
      <c r="AJ1017" s="4"/>
      <c r="AK1017" s="5"/>
      <c r="AL1017" s="4"/>
      <c r="AM1017" s="4"/>
      <c r="AN1017" s="4"/>
      <c r="AO1017" s="4"/>
      <c r="AP1017" s="4"/>
      <c r="AQ1017" s="4"/>
      <c r="AR1017" s="4"/>
    </row>
    <row r="1018">
      <c r="A1018" s="2"/>
      <c r="B1018" s="3"/>
      <c r="C1018" s="6"/>
      <c r="D1018" s="2"/>
      <c r="E1018" s="2"/>
      <c r="F1018" s="2"/>
      <c r="G1018" s="2"/>
      <c r="H1018" s="2"/>
      <c r="I1018" s="3"/>
      <c r="J1018" s="2"/>
      <c r="K1018" s="2"/>
      <c r="L1018" s="3"/>
      <c r="M1018" s="2"/>
      <c r="N1018" s="2"/>
      <c r="O1018" s="3"/>
      <c r="P1018" s="2"/>
      <c r="Q1018" s="3"/>
      <c r="R1018" s="2"/>
      <c r="S1018" s="4"/>
      <c r="T1018" s="2"/>
      <c r="U1018" s="4"/>
      <c r="V1018" s="3"/>
      <c r="W1018" s="4"/>
      <c r="X1018" s="3"/>
      <c r="Y1018" s="4"/>
      <c r="Z1018" s="3"/>
      <c r="AA1018" s="3"/>
      <c r="AB1018" s="4"/>
      <c r="AC1018" s="4"/>
      <c r="AD1018" s="4"/>
      <c r="AE1018" s="4"/>
      <c r="AF1018" s="4"/>
      <c r="AG1018" s="4"/>
      <c r="AH1018" s="4"/>
      <c r="AI1018" s="4"/>
      <c r="AJ1018" s="4"/>
      <c r="AK1018" s="5"/>
      <c r="AL1018" s="4"/>
      <c r="AM1018" s="4"/>
      <c r="AN1018" s="4"/>
      <c r="AO1018" s="4"/>
      <c r="AP1018" s="4"/>
      <c r="AQ1018" s="4"/>
      <c r="AR1018" s="4"/>
    </row>
    <row r="1019">
      <c r="A1019" s="2"/>
      <c r="B1019" s="3"/>
      <c r="C1019" s="6"/>
      <c r="D1019" s="2"/>
      <c r="E1019" s="2"/>
      <c r="F1019" s="2"/>
      <c r="G1019" s="2"/>
      <c r="H1019" s="2"/>
      <c r="I1019" s="3"/>
      <c r="J1019" s="2"/>
      <c r="K1019" s="2"/>
      <c r="L1019" s="3"/>
      <c r="M1019" s="2"/>
      <c r="N1019" s="2"/>
      <c r="O1019" s="3"/>
      <c r="P1019" s="2"/>
      <c r="Q1019" s="3"/>
      <c r="R1019" s="2"/>
      <c r="S1019" s="4"/>
      <c r="T1019" s="2"/>
      <c r="U1019" s="4"/>
      <c r="V1019" s="3"/>
      <c r="W1019" s="4"/>
      <c r="X1019" s="3"/>
      <c r="Y1019" s="4"/>
      <c r="Z1019" s="3"/>
      <c r="AA1019" s="3"/>
      <c r="AB1019" s="4"/>
      <c r="AC1019" s="4"/>
      <c r="AD1019" s="4"/>
      <c r="AE1019" s="4"/>
      <c r="AF1019" s="4"/>
      <c r="AG1019" s="4"/>
      <c r="AH1019" s="4"/>
      <c r="AI1019" s="4"/>
      <c r="AJ1019" s="4"/>
      <c r="AK1019" s="5"/>
      <c r="AL1019" s="4"/>
      <c r="AM1019" s="4"/>
      <c r="AN1019" s="4"/>
      <c r="AO1019" s="4"/>
      <c r="AP1019" s="4"/>
      <c r="AQ1019" s="4"/>
      <c r="AR1019" s="4"/>
    </row>
    <row r="1020">
      <c r="A1020" s="2"/>
      <c r="B1020" s="3"/>
      <c r="C1020" s="6"/>
      <c r="D1020" s="2"/>
      <c r="E1020" s="2"/>
      <c r="F1020" s="2"/>
      <c r="G1020" s="2"/>
      <c r="H1020" s="2"/>
      <c r="I1020" s="3"/>
      <c r="J1020" s="2"/>
      <c r="K1020" s="2"/>
      <c r="L1020" s="3"/>
      <c r="M1020" s="2"/>
      <c r="N1020" s="2"/>
      <c r="O1020" s="3"/>
      <c r="P1020" s="2"/>
      <c r="Q1020" s="3"/>
      <c r="R1020" s="2"/>
      <c r="S1020" s="4"/>
      <c r="T1020" s="2"/>
      <c r="U1020" s="4"/>
      <c r="V1020" s="3"/>
      <c r="W1020" s="4"/>
      <c r="X1020" s="3"/>
      <c r="Y1020" s="4"/>
      <c r="Z1020" s="3"/>
      <c r="AA1020" s="3"/>
      <c r="AB1020" s="4"/>
      <c r="AC1020" s="4"/>
      <c r="AD1020" s="4"/>
      <c r="AE1020" s="4"/>
      <c r="AF1020" s="4"/>
      <c r="AG1020" s="4"/>
      <c r="AH1020" s="4"/>
      <c r="AI1020" s="4"/>
      <c r="AJ1020" s="4"/>
      <c r="AK1020" s="5"/>
      <c r="AL1020" s="4"/>
      <c r="AM1020" s="4"/>
      <c r="AN1020" s="4"/>
      <c r="AO1020" s="4"/>
      <c r="AP1020" s="4"/>
      <c r="AQ1020" s="4"/>
      <c r="AR1020" s="4"/>
    </row>
    <row r="1021">
      <c r="A1021" s="2"/>
      <c r="B1021" s="3"/>
      <c r="C1021" s="6"/>
      <c r="D1021" s="2"/>
      <c r="E1021" s="2"/>
      <c r="F1021" s="2"/>
      <c r="G1021" s="2"/>
      <c r="H1021" s="2"/>
      <c r="I1021" s="3"/>
      <c r="J1021" s="2"/>
      <c r="K1021" s="2"/>
      <c r="L1021" s="3"/>
      <c r="M1021" s="2"/>
      <c r="N1021" s="2"/>
      <c r="O1021" s="3"/>
      <c r="P1021" s="2"/>
      <c r="Q1021" s="3"/>
      <c r="R1021" s="2"/>
      <c r="S1021" s="4"/>
      <c r="T1021" s="2"/>
      <c r="U1021" s="4"/>
      <c r="V1021" s="3"/>
      <c r="W1021" s="4"/>
      <c r="X1021" s="3"/>
      <c r="Y1021" s="4"/>
      <c r="Z1021" s="3"/>
      <c r="AA1021" s="3"/>
      <c r="AB1021" s="4"/>
      <c r="AC1021" s="4"/>
      <c r="AD1021" s="4"/>
      <c r="AE1021" s="4"/>
      <c r="AF1021" s="4"/>
      <c r="AG1021" s="4"/>
      <c r="AH1021" s="4"/>
      <c r="AI1021" s="4"/>
      <c r="AJ1021" s="4"/>
      <c r="AK1021" s="5"/>
      <c r="AL1021" s="4"/>
      <c r="AM1021" s="4"/>
      <c r="AN1021" s="4"/>
      <c r="AO1021" s="4"/>
      <c r="AP1021" s="4"/>
      <c r="AQ1021" s="4"/>
      <c r="AR1021" s="4"/>
    </row>
    <row r="1022">
      <c r="A1022" s="2"/>
      <c r="B1022" s="3"/>
      <c r="C1022" s="6"/>
      <c r="D1022" s="2"/>
      <c r="E1022" s="2"/>
      <c r="F1022" s="2"/>
      <c r="G1022" s="2"/>
      <c r="H1022" s="2"/>
      <c r="I1022" s="3"/>
      <c r="J1022" s="2"/>
      <c r="K1022" s="2"/>
      <c r="L1022" s="3"/>
      <c r="M1022" s="2"/>
      <c r="N1022" s="2"/>
      <c r="O1022" s="3"/>
      <c r="P1022" s="2"/>
      <c r="Q1022" s="3"/>
      <c r="R1022" s="2"/>
      <c r="S1022" s="4"/>
      <c r="T1022" s="2"/>
      <c r="U1022" s="4"/>
      <c r="V1022" s="3"/>
      <c r="W1022" s="4"/>
      <c r="X1022" s="3"/>
      <c r="Y1022" s="4"/>
      <c r="Z1022" s="3"/>
      <c r="AA1022" s="3"/>
      <c r="AB1022" s="4"/>
      <c r="AC1022" s="4"/>
      <c r="AD1022" s="4"/>
      <c r="AE1022" s="4"/>
      <c r="AF1022" s="4"/>
      <c r="AG1022" s="4"/>
      <c r="AH1022" s="4"/>
      <c r="AI1022" s="4"/>
      <c r="AJ1022" s="4"/>
      <c r="AK1022" s="5"/>
      <c r="AL1022" s="4"/>
      <c r="AM1022" s="4"/>
      <c r="AN1022" s="4"/>
      <c r="AO1022" s="4"/>
      <c r="AP1022" s="4"/>
      <c r="AQ1022" s="4"/>
      <c r="AR1022" s="4"/>
    </row>
    <row r="1023">
      <c r="A1023" s="2"/>
      <c r="B1023" s="3"/>
      <c r="C1023" s="6"/>
      <c r="D1023" s="2"/>
      <c r="E1023" s="2"/>
      <c r="F1023" s="2"/>
      <c r="G1023" s="2"/>
      <c r="H1023" s="2"/>
      <c r="I1023" s="3"/>
      <c r="J1023" s="2"/>
      <c r="K1023" s="2"/>
      <c r="L1023" s="3"/>
      <c r="M1023" s="2"/>
      <c r="N1023" s="2"/>
      <c r="O1023" s="3"/>
      <c r="P1023" s="2"/>
      <c r="Q1023" s="3"/>
      <c r="R1023" s="2"/>
      <c r="S1023" s="4"/>
      <c r="T1023" s="2"/>
      <c r="U1023" s="4"/>
      <c r="V1023" s="3"/>
      <c r="W1023" s="4"/>
      <c r="X1023" s="3"/>
      <c r="Y1023" s="4"/>
      <c r="Z1023" s="3"/>
      <c r="AA1023" s="3"/>
      <c r="AB1023" s="4"/>
      <c r="AC1023" s="4"/>
      <c r="AD1023" s="4"/>
      <c r="AE1023" s="4"/>
      <c r="AF1023" s="4"/>
      <c r="AG1023" s="4"/>
      <c r="AH1023" s="4"/>
      <c r="AI1023" s="4"/>
      <c r="AJ1023" s="4"/>
      <c r="AK1023" s="5"/>
      <c r="AL1023" s="4"/>
      <c r="AM1023" s="4"/>
      <c r="AN1023" s="4"/>
      <c r="AO1023" s="4"/>
      <c r="AP1023" s="4"/>
      <c r="AQ1023" s="4"/>
      <c r="AR1023" s="4"/>
    </row>
    <row r="1024">
      <c r="A1024" s="2"/>
      <c r="B1024" s="3"/>
      <c r="C1024" s="6"/>
      <c r="D1024" s="2"/>
      <c r="E1024" s="2"/>
      <c r="F1024" s="2"/>
      <c r="G1024" s="2"/>
      <c r="H1024" s="2"/>
      <c r="I1024" s="3"/>
      <c r="J1024" s="2"/>
      <c r="K1024" s="2"/>
      <c r="L1024" s="3"/>
      <c r="M1024" s="2"/>
      <c r="N1024" s="2"/>
      <c r="O1024" s="3"/>
      <c r="P1024" s="2"/>
      <c r="Q1024" s="3"/>
      <c r="R1024" s="2"/>
      <c r="S1024" s="4"/>
      <c r="T1024" s="2"/>
      <c r="U1024" s="4"/>
      <c r="V1024" s="3"/>
      <c r="W1024" s="4"/>
      <c r="X1024" s="3"/>
      <c r="Y1024" s="4"/>
      <c r="Z1024" s="3"/>
      <c r="AA1024" s="3"/>
      <c r="AB1024" s="4"/>
      <c r="AC1024" s="4"/>
      <c r="AD1024" s="4"/>
      <c r="AE1024" s="4"/>
      <c r="AF1024" s="4"/>
      <c r="AG1024" s="4"/>
      <c r="AH1024" s="4"/>
      <c r="AI1024" s="4"/>
      <c r="AJ1024" s="4"/>
      <c r="AK1024" s="5"/>
      <c r="AL1024" s="4"/>
      <c r="AM1024" s="4"/>
      <c r="AN1024" s="4"/>
      <c r="AO1024" s="4"/>
      <c r="AP1024" s="4"/>
      <c r="AQ1024" s="4"/>
      <c r="AR1024" s="4"/>
    </row>
    <row r="1025">
      <c r="A1025" s="2"/>
      <c r="B1025" s="3"/>
      <c r="C1025" s="6"/>
      <c r="D1025" s="2"/>
      <c r="E1025" s="2"/>
      <c r="F1025" s="2"/>
      <c r="G1025" s="2"/>
      <c r="H1025" s="2"/>
      <c r="I1025" s="3"/>
      <c r="J1025" s="2"/>
      <c r="K1025" s="2"/>
      <c r="L1025" s="3"/>
      <c r="M1025" s="2"/>
      <c r="N1025" s="2"/>
      <c r="O1025" s="3"/>
      <c r="P1025" s="2"/>
      <c r="Q1025" s="3"/>
      <c r="R1025" s="2"/>
      <c r="S1025" s="4"/>
      <c r="T1025" s="2"/>
      <c r="U1025" s="4"/>
      <c r="V1025" s="3"/>
      <c r="W1025" s="4"/>
      <c r="X1025" s="3"/>
      <c r="Y1025" s="4"/>
      <c r="Z1025" s="3"/>
      <c r="AA1025" s="3"/>
      <c r="AB1025" s="4"/>
      <c r="AC1025" s="4"/>
      <c r="AD1025" s="4"/>
      <c r="AE1025" s="4"/>
      <c r="AF1025" s="4"/>
      <c r="AG1025" s="4"/>
      <c r="AH1025" s="4"/>
      <c r="AI1025" s="4"/>
      <c r="AJ1025" s="4"/>
      <c r="AK1025" s="5"/>
      <c r="AL1025" s="4"/>
      <c r="AM1025" s="4"/>
      <c r="AN1025" s="4"/>
      <c r="AO1025" s="4"/>
      <c r="AP1025" s="4"/>
      <c r="AQ1025" s="4"/>
      <c r="AR1025" s="4"/>
    </row>
    <row r="1026">
      <c r="A1026" s="2"/>
      <c r="B1026" s="3"/>
      <c r="C1026" s="6"/>
      <c r="D1026" s="2"/>
      <c r="E1026" s="2"/>
      <c r="F1026" s="2"/>
      <c r="G1026" s="2"/>
      <c r="H1026" s="2"/>
      <c r="I1026" s="3"/>
      <c r="J1026" s="2"/>
      <c r="K1026" s="2"/>
      <c r="L1026" s="3"/>
      <c r="M1026" s="2"/>
      <c r="N1026" s="2"/>
      <c r="O1026" s="3"/>
      <c r="P1026" s="2"/>
      <c r="Q1026" s="3"/>
      <c r="R1026" s="2"/>
      <c r="S1026" s="4"/>
      <c r="T1026" s="2"/>
      <c r="U1026" s="4"/>
      <c r="V1026" s="3"/>
      <c r="W1026" s="4"/>
      <c r="X1026" s="3"/>
      <c r="Y1026" s="4"/>
      <c r="Z1026" s="3"/>
      <c r="AA1026" s="3"/>
      <c r="AB1026" s="4"/>
      <c r="AC1026" s="4"/>
      <c r="AD1026" s="4"/>
      <c r="AE1026" s="4"/>
      <c r="AF1026" s="4"/>
      <c r="AG1026" s="4"/>
      <c r="AH1026" s="4"/>
      <c r="AI1026" s="4"/>
      <c r="AJ1026" s="4"/>
      <c r="AK1026" s="5"/>
      <c r="AL1026" s="4"/>
      <c r="AM1026" s="4"/>
      <c r="AN1026" s="4"/>
      <c r="AO1026" s="4"/>
      <c r="AP1026" s="4"/>
      <c r="AQ1026" s="4"/>
      <c r="AR1026" s="4"/>
    </row>
    <row r="1027">
      <c r="A1027" s="2"/>
      <c r="B1027" s="3"/>
      <c r="C1027" s="6"/>
      <c r="D1027" s="2"/>
      <c r="E1027" s="2"/>
      <c r="F1027" s="2"/>
      <c r="G1027" s="2"/>
      <c r="H1027" s="2"/>
      <c r="I1027" s="3"/>
      <c r="J1027" s="2"/>
      <c r="K1027" s="2"/>
      <c r="L1027" s="3"/>
      <c r="M1027" s="2"/>
      <c r="N1027" s="2"/>
      <c r="O1027" s="3"/>
      <c r="P1027" s="2"/>
      <c r="Q1027" s="3"/>
      <c r="R1027" s="2"/>
      <c r="S1027" s="4"/>
      <c r="T1027" s="2"/>
      <c r="U1027" s="4"/>
      <c r="V1027" s="3"/>
      <c r="W1027" s="4"/>
      <c r="X1027" s="3"/>
      <c r="Y1027" s="4"/>
      <c r="Z1027" s="3"/>
      <c r="AA1027" s="3"/>
      <c r="AB1027" s="4"/>
      <c r="AC1027" s="4"/>
      <c r="AD1027" s="4"/>
      <c r="AE1027" s="4"/>
      <c r="AF1027" s="4"/>
      <c r="AG1027" s="4"/>
      <c r="AH1027" s="4"/>
      <c r="AI1027" s="4"/>
      <c r="AJ1027" s="4"/>
      <c r="AK1027" s="5"/>
      <c r="AL1027" s="4"/>
      <c r="AM1027" s="4"/>
      <c r="AN1027" s="4"/>
      <c r="AO1027" s="4"/>
      <c r="AP1027" s="4"/>
      <c r="AQ1027" s="4"/>
      <c r="AR1027" s="4"/>
    </row>
    <row r="1028">
      <c r="A1028" s="2"/>
      <c r="B1028" s="3"/>
      <c r="C1028" s="6"/>
      <c r="D1028" s="2"/>
      <c r="E1028" s="2"/>
      <c r="F1028" s="2"/>
      <c r="G1028" s="2"/>
      <c r="H1028" s="2"/>
      <c r="I1028" s="3"/>
      <c r="J1028" s="2"/>
      <c r="K1028" s="2"/>
      <c r="L1028" s="3"/>
      <c r="M1028" s="2"/>
      <c r="N1028" s="2"/>
      <c r="O1028" s="3"/>
      <c r="P1028" s="2"/>
      <c r="Q1028" s="3"/>
      <c r="R1028" s="2"/>
      <c r="S1028" s="4"/>
      <c r="T1028" s="2"/>
      <c r="U1028" s="4"/>
      <c r="V1028" s="3"/>
      <c r="W1028" s="4"/>
      <c r="X1028" s="3"/>
      <c r="Y1028" s="4"/>
      <c r="Z1028" s="3"/>
      <c r="AA1028" s="3"/>
      <c r="AB1028" s="4"/>
      <c r="AC1028" s="4"/>
      <c r="AD1028" s="4"/>
      <c r="AE1028" s="4"/>
      <c r="AF1028" s="4"/>
      <c r="AG1028" s="4"/>
      <c r="AH1028" s="4"/>
      <c r="AI1028" s="4"/>
      <c r="AJ1028" s="4"/>
      <c r="AK1028" s="5"/>
      <c r="AL1028" s="4"/>
      <c r="AM1028" s="4"/>
      <c r="AN1028" s="4"/>
      <c r="AO1028" s="4"/>
      <c r="AP1028" s="4"/>
      <c r="AQ1028" s="4"/>
      <c r="AR1028" s="4"/>
    </row>
    <row r="1029">
      <c r="A1029" s="2"/>
      <c r="B1029" s="3"/>
      <c r="C1029" s="6"/>
      <c r="D1029" s="2"/>
      <c r="E1029" s="2"/>
      <c r="F1029" s="2"/>
      <c r="G1029" s="2"/>
      <c r="H1029" s="2"/>
      <c r="I1029" s="3"/>
      <c r="J1029" s="2"/>
      <c r="K1029" s="2"/>
      <c r="L1029" s="3"/>
      <c r="M1029" s="2"/>
      <c r="N1029" s="2"/>
      <c r="O1029" s="3"/>
      <c r="P1029" s="2"/>
      <c r="Q1029" s="3"/>
      <c r="R1029" s="2"/>
      <c r="S1029" s="4"/>
      <c r="T1029" s="2"/>
      <c r="U1029" s="4"/>
      <c r="V1029" s="3"/>
      <c r="W1029" s="4"/>
      <c r="X1029" s="3"/>
      <c r="Y1029" s="4"/>
      <c r="Z1029" s="3"/>
      <c r="AA1029" s="3"/>
      <c r="AB1029" s="4"/>
      <c r="AC1029" s="4"/>
      <c r="AD1029" s="4"/>
      <c r="AE1029" s="4"/>
      <c r="AF1029" s="4"/>
      <c r="AG1029" s="4"/>
      <c r="AH1029" s="4"/>
      <c r="AI1029" s="4"/>
      <c r="AJ1029" s="4"/>
      <c r="AK1029" s="5"/>
      <c r="AL1029" s="4"/>
      <c r="AM1029" s="4"/>
      <c r="AN1029" s="4"/>
      <c r="AO1029" s="4"/>
      <c r="AP1029" s="4"/>
      <c r="AQ1029" s="4"/>
      <c r="AR1029" s="4"/>
    </row>
    <row r="1030">
      <c r="A1030" s="2"/>
      <c r="B1030" s="3"/>
      <c r="C1030" s="6"/>
      <c r="D1030" s="2"/>
      <c r="E1030" s="2"/>
      <c r="F1030" s="2"/>
      <c r="G1030" s="2"/>
      <c r="H1030" s="2"/>
      <c r="I1030" s="3"/>
      <c r="J1030" s="2"/>
      <c r="K1030" s="2"/>
      <c r="L1030" s="3"/>
      <c r="M1030" s="2"/>
      <c r="N1030" s="2"/>
      <c r="O1030" s="3"/>
      <c r="P1030" s="2"/>
      <c r="Q1030" s="3"/>
      <c r="R1030" s="2"/>
      <c r="S1030" s="4"/>
      <c r="T1030" s="2"/>
      <c r="U1030" s="4"/>
      <c r="V1030" s="3"/>
      <c r="W1030" s="4"/>
      <c r="X1030" s="3"/>
      <c r="Y1030" s="4"/>
      <c r="Z1030" s="3"/>
      <c r="AA1030" s="3"/>
      <c r="AB1030" s="4"/>
      <c r="AC1030" s="4"/>
      <c r="AD1030" s="4"/>
      <c r="AE1030" s="4"/>
      <c r="AF1030" s="4"/>
      <c r="AG1030" s="4"/>
      <c r="AH1030" s="4"/>
      <c r="AI1030" s="4"/>
      <c r="AJ1030" s="4"/>
      <c r="AK1030" s="5"/>
      <c r="AL1030" s="4"/>
      <c r="AM1030" s="4"/>
      <c r="AN1030" s="4"/>
      <c r="AO1030" s="4"/>
      <c r="AP1030" s="4"/>
      <c r="AQ1030" s="4"/>
      <c r="AR1030" s="4"/>
    </row>
    <row r="1031">
      <c r="A1031" s="2"/>
      <c r="B1031" s="3"/>
      <c r="C1031" s="6"/>
      <c r="D1031" s="2"/>
      <c r="E1031" s="2"/>
      <c r="F1031" s="2"/>
      <c r="G1031" s="2"/>
      <c r="H1031" s="2"/>
      <c r="I1031" s="3"/>
      <c r="J1031" s="2"/>
      <c r="K1031" s="2"/>
      <c r="L1031" s="3"/>
      <c r="M1031" s="2"/>
      <c r="N1031" s="2"/>
      <c r="O1031" s="3"/>
      <c r="P1031" s="2"/>
      <c r="Q1031" s="3"/>
      <c r="R1031" s="2"/>
      <c r="S1031" s="4"/>
      <c r="T1031" s="2"/>
      <c r="U1031" s="4"/>
      <c r="V1031" s="3"/>
      <c r="W1031" s="4"/>
      <c r="X1031" s="3"/>
      <c r="Y1031" s="4"/>
      <c r="Z1031" s="3"/>
      <c r="AA1031" s="3"/>
      <c r="AB1031" s="4"/>
      <c r="AC1031" s="4"/>
      <c r="AD1031" s="4"/>
      <c r="AE1031" s="4"/>
      <c r="AF1031" s="4"/>
      <c r="AG1031" s="4"/>
      <c r="AH1031" s="4"/>
      <c r="AI1031" s="4"/>
      <c r="AJ1031" s="4"/>
      <c r="AK1031" s="5"/>
      <c r="AL1031" s="4"/>
      <c r="AM1031" s="4"/>
      <c r="AN1031" s="4"/>
      <c r="AO1031" s="4"/>
      <c r="AP1031" s="4"/>
      <c r="AQ1031" s="4"/>
      <c r="AR1031" s="4"/>
    </row>
    <row r="1032">
      <c r="A1032" s="2"/>
      <c r="B1032" s="3"/>
      <c r="C1032" s="6"/>
      <c r="D1032" s="2"/>
      <c r="E1032" s="2"/>
      <c r="F1032" s="2"/>
      <c r="G1032" s="2"/>
      <c r="H1032" s="2"/>
      <c r="I1032" s="3"/>
      <c r="J1032" s="2"/>
      <c r="K1032" s="2"/>
      <c r="L1032" s="3"/>
      <c r="M1032" s="2"/>
      <c r="N1032" s="2"/>
      <c r="O1032" s="3"/>
      <c r="P1032" s="2"/>
      <c r="Q1032" s="3"/>
      <c r="R1032" s="2"/>
      <c r="S1032" s="4"/>
      <c r="T1032" s="2"/>
      <c r="U1032" s="4"/>
      <c r="V1032" s="3"/>
      <c r="W1032" s="4"/>
      <c r="X1032" s="3"/>
      <c r="Y1032" s="4"/>
      <c r="Z1032" s="3"/>
      <c r="AA1032" s="3"/>
      <c r="AB1032" s="4"/>
      <c r="AC1032" s="4"/>
      <c r="AD1032" s="4"/>
      <c r="AE1032" s="4"/>
      <c r="AF1032" s="4"/>
      <c r="AG1032" s="4"/>
      <c r="AH1032" s="4"/>
      <c r="AI1032" s="4"/>
      <c r="AJ1032" s="4"/>
      <c r="AK1032" s="5"/>
      <c r="AL1032" s="4"/>
      <c r="AM1032" s="4"/>
      <c r="AN1032" s="4"/>
      <c r="AO1032" s="4"/>
      <c r="AP1032" s="4"/>
      <c r="AQ1032" s="4"/>
      <c r="AR1032" s="4"/>
    </row>
    <row r="1033">
      <c r="A1033" s="2"/>
      <c r="B1033" s="3"/>
      <c r="C1033" s="6"/>
      <c r="D1033" s="2"/>
      <c r="E1033" s="2"/>
      <c r="F1033" s="2"/>
      <c r="G1033" s="2"/>
      <c r="H1033" s="2"/>
      <c r="I1033" s="3"/>
      <c r="J1033" s="2"/>
      <c r="K1033" s="2"/>
      <c r="L1033" s="3"/>
      <c r="M1033" s="2"/>
      <c r="N1033" s="2"/>
      <c r="O1033" s="3"/>
      <c r="P1033" s="2"/>
      <c r="Q1033" s="3"/>
      <c r="R1033" s="2"/>
      <c r="S1033" s="4"/>
      <c r="T1033" s="2"/>
      <c r="U1033" s="4"/>
      <c r="V1033" s="3"/>
      <c r="W1033" s="4"/>
      <c r="X1033" s="3"/>
      <c r="Y1033" s="4"/>
      <c r="Z1033" s="3"/>
      <c r="AA1033" s="3"/>
      <c r="AB1033" s="4"/>
      <c r="AC1033" s="4"/>
      <c r="AD1033" s="4"/>
      <c r="AE1033" s="4"/>
      <c r="AF1033" s="4"/>
      <c r="AG1033" s="4"/>
      <c r="AH1033" s="4"/>
      <c r="AI1033" s="4"/>
      <c r="AJ1033" s="4"/>
      <c r="AK1033" s="5"/>
      <c r="AL1033" s="4"/>
      <c r="AM1033" s="4"/>
      <c r="AN1033" s="4"/>
      <c r="AO1033" s="4"/>
      <c r="AP1033" s="4"/>
      <c r="AQ1033" s="4"/>
      <c r="AR1033" s="4"/>
    </row>
    <row r="1034">
      <c r="A1034" s="2"/>
      <c r="B1034" s="3"/>
      <c r="C1034" s="6"/>
      <c r="D1034" s="2"/>
      <c r="E1034" s="2"/>
      <c r="F1034" s="2"/>
      <c r="G1034" s="2"/>
      <c r="H1034" s="2"/>
      <c r="I1034" s="3"/>
      <c r="J1034" s="2"/>
      <c r="K1034" s="2"/>
      <c r="L1034" s="3"/>
      <c r="M1034" s="2"/>
      <c r="N1034" s="2"/>
      <c r="O1034" s="3"/>
      <c r="P1034" s="2"/>
      <c r="Q1034" s="3"/>
      <c r="R1034" s="2"/>
      <c r="S1034" s="4"/>
      <c r="T1034" s="2"/>
      <c r="U1034" s="4"/>
      <c r="V1034" s="3"/>
      <c r="W1034" s="4"/>
      <c r="X1034" s="3"/>
      <c r="Y1034" s="4"/>
      <c r="Z1034" s="3"/>
      <c r="AA1034" s="3"/>
      <c r="AB1034" s="4"/>
      <c r="AC1034" s="4"/>
      <c r="AD1034" s="4"/>
      <c r="AE1034" s="4"/>
      <c r="AF1034" s="4"/>
      <c r="AG1034" s="4"/>
      <c r="AH1034" s="4"/>
      <c r="AI1034" s="4"/>
      <c r="AJ1034" s="4"/>
      <c r="AK1034" s="5"/>
      <c r="AL1034" s="4"/>
      <c r="AM1034" s="4"/>
      <c r="AN1034" s="4"/>
      <c r="AO1034" s="4"/>
      <c r="AP1034" s="4"/>
      <c r="AQ1034" s="4"/>
      <c r="AR1034" s="4"/>
    </row>
    <row r="1035">
      <c r="A1035" s="2"/>
      <c r="B1035" s="3"/>
      <c r="C1035" s="6"/>
      <c r="D1035" s="2"/>
      <c r="E1035" s="2"/>
      <c r="F1035" s="2"/>
      <c r="G1035" s="2"/>
      <c r="H1035" s="2"/>
      <c r="I1035" s="3"/>
      <c r="J1035" s="2"/>
      <c r="K1035" s="2"/>
      <c r="L1035" s="3"/>
      <c r="M1035" s="2"/>
      <c r="N1035" s="2"/>
      <c r="O1035" s="3"/>
      <c r="P1035" s="2"/>
      <c r="Q1035" s="3"/>
      <c r="R1035" s="2"/>
      <c r="S1035" s="4"/>
      <c r="T1035" s="2"/>
      <c r="U1035" s="4"/>
      <c r="V1035" s="3"/>
      <c r="W1035" s="4"/>
      <c r="X1035" s="3"/>
      <c r="Y1035" s="4"/>
      <c r="Z1035" s="3"/>
      <c r="AA1035" s="3"/>
      <c r="AB1035" s="4"/>
      <c r="AC1035" s="4"/>
      <c r="AD1035" s="4"/>
      <c r="AE1035" s="4"/>
      <c r="AF1035" s="4"/>
      <c r="AG1035" s="4"/>
      <c r="AH1035" s="4"/>
      <c r="AI1035" s="4"/>
      <c r="AJ1035" s="4"/>
      <c r="AK1035" s="5"/>
      <c r="AL1035" s="4"/>
      <c r="AM1035" s="4"/>
      <c r="AN1035" s="4"/>
      <c r="AO1035" s="4"/>
      <c r="AP1035" s="4"/>
      <c r="AQ1035" s="4"/>
      <c r="AR1035" s="4"/>
    </row>
    <row r="1036">
      <c r="A1036" s="2"/>
      <c r="B1036" s="3"/>
      <c r="C1036" s="6"/>
      <c r="D1036" s="2"/>
      <c r="E1036" s="2"/>
      <c r="F1036" s="2"/>
      <c r="G1036" s="2"/>
      <c r="H1036" s="2"/>
      <c r="I1036" s="3"/>
      <c r="J1036" s="2"/>
      <c r="K1036" s="2"/>
      <c r="L1036" s="3"/>
      <c r="M1036" s="2"/>
      <c r="N1036" s="2"/>
      <c r="O1036" s="3"/>
      <c r="P1036" s="2"/>
      <c r="Q1036" s="3"/>
      <c r="R1036" s="2"/>
      <c r="S1036" s="4"/>
      <c r="T1036" s="2"/>
      <c r="U1036" s="4"/>
      <c r="V1036" s="3"/>
      <c r="W1036" s="4"/>
      <c r="X1036" s="3"/>
      <c r="Y1036" s="4"/>
      <c r="Z1036" s="3"/>
      <c r="AA1036" s="3"/>
      <c r="AB1036" s="4"/>
      <c r="AC1036" s="4"/>
      <c r="AD1036" s="4"/>
      <c r="AE1036" s="4"/>
      <c r="AF1036" s="4"/>
      <c r="AG1036" s="4"/>
      <c r="AH1036" s="4"/>
      <c r="AI1036" s="4"/>
      <c r="AJ1036" s="4"/>
      <c r="AK1036" s="5"/>
      <c r="AL1036" s="4"/>
      <c r="AM1036" s="4"/>
      <c r="AN1036" s="4"/>
      <c r="AO1036" s="4"/>
      <c r="AP1036" s="4"/>
      <c r="AQ1036" s="4"/>
      <c r="AR1036" s="4"/>
    </row>
    <row r="1037">
      <c r="A1037" s="2"/>
      <c r="B1037" s="3"/>
      <c r="C1037" s="6"/>
      <c r="D1037" s="2"/>
      <c r="E1037" s="2"/>
      <c r="F1037" s="2"/>
      <c r="G1037" s="2"/>
      <c r="H1037" s="2"/>
      <c r="I1037" s="3"/>
      <c r="J1037" s="2"/>
      <c r="K1037" s="2"/>
      <c r="L1037" s="3"/>
      <c r="M1037" s="2"/>
      <c r="N1037" s="2"/>
      <c r="O1037" s="3"/>
      <c r="P1037" s="2"/>
      <c r="Q1037" s="3"/>
      <c r="R1037" s="2"/>
      <c r="S1037" s="4"/>
      <c r="T1037" s="2"/>
      <c r="U1037" s="4"/>
      <c r="V1037" s="3"/>
      <c r="W1037" s="4"/>
      <c r="X1037" s="3"/>
      <c r="Y1037" s="4"/>
      <c r="Z1037" s="3"/>
      <c r="AA1037" s="3"/>
      <c r="AB1037" s="4"/>
      <c r="AC1037" s="4"/>
      <c r="AD1037" s="4"/>
      <c r="AE1037" s="4"/>
      <c r="AF1037" s="4"/>
      <c r="AG1037" s="4"/>
      <c r="AH1037" s="4"/>
      <c r="AI1037" s="4"/>
      <c r="AJ1037" s="4"/>
      <c r="AK1037" s="5"/>
      <c r="AL1037" s="4"/>
      <c r="AM1037" s="4"/>
      <c r="AN1037" s="4"/>
      <c r="AO1037" s="4"/>
      <c r="AP1037" s="4"/>
      <c r="AQ1037" s="4"/>
      <c r="AR1037" s="4"/>
    </row>
    <row r="1038">
      <c r="A1038" s="2"/>
      <c r="B1038" s="3"/>
      <c r="C1038" s="6"/>
      <c r="D1038" s="2"/>
      <c r="E1038" s="2"/>
      <c r="F1038" s="2"/>
      <c r="G1038" s="2"/>
      <c r="H1038" s="2"/>
      <c r="I1038" s="3"/>
      <c r="J1038" s="2"/>
      <c r="K1038" s="2"/>
      <c r="L1038" s="3"/>
      <c r="M1038" s="2"/>
      <c r="N1038" s="2"/>
      <c r="O1038" s="3"/>
      <c r="P1038" s="2"/>
      <c r="Q1038" s="3"/>
      <c r="R1038" s="2"/>
      <c r="S1038" s="4"/>
      <c r="T1038" s="2"/>
      <c r="U1038" s="4"/>
      <c r="V1038" s="3"/>
      <c r="W1038" s="4"/>
      <c r="X1038" s="3"/>
      <c r="Y1038" s="4"/>
      <c r="Z1038" s="3"/>
      <c r="AA1038" s="3"/>
      <c r="AB1038" s="4"/>
      <c r="AC1038" s="4"/>
      <c r="AD1038" s="4"/>
      <c r="AE1038" s="4"/>
      <c r="AF1038" s="4"/>
      <c r="AG1038" s="4"/>
      <c r="AH1038" s="4"/>
      <c r="AI1038" s="4"/>
      <c r="AJ1038" s="4"/>
      <c r="AK1038" s="5"/>
      <c r="AL1038" s="4"/>
      <c r="AM1038" s="4"/>
      <c r="AN1038" s="4"/>
      <c r="AO1038" s="4"/>
      <c r="AP1038" s="4"/>
      <c r="AQ1038" s="4"/>
      <c r="AR1038" s="4"/>
    </row>
    <row r="1039">
      <c r="A1039" s="2"/>
      <c r="B1039" s="3"/>
      <c r="C1039" s="6"/>
      <c r="D1039" s="2"/>
      <c r="E1039" s="2"/>
      <c r="F1039" s="2"/>
      <c r="G1039" s="2"/>
      <c r="H1039" s="2"/>
      <c r="I1039" s="3"/>
      <c r="J1039" s="2"/>
      <c r="K1039" s="2"/>
      <c r="L1039" s="3"/>
      <c r="M1039" s="2"/>
      <c r="N1039" s="2"/>
      <c r="O1039" s="3"/>
      <c r="P1039" s="2"/>
      <c r="Q1039" s="3"/>
      <c r="R1039" s="2"/>
      <c r="S1039" s="4"/>
      <c r="T1039" s="2"/>
      <c r="U1039" s="4"/>
      <c r="V1039" s="3"/>
      <c r="W1039" s="4"/>
      <c r="X1039" s="3"/>
      <c r="Y1039" s="4"/>
      <c r="Z1039" s="3"/>
      <c r="AA1039" s="3"/>
      <c r="AB1039" s="4"/>
      <c r="AC1039" s="4"/>
      <c r="AD1039" s="4"/>
      <c r="AE1039" s="4"/>
      <c r="AF1039" s="4"/>
      <c r="AG1039" s="4"/>
      <c r="AH1039" s="4"/>
      <c r="AI1039" s="4"/>
      <c r="AJ1039" s="4"/>
      <c r="AK1039" s="5"/>
      <c r="AL1039" s="4"/>
      <c r="AM1039" s="4"/>
      <c r="AN1039" s="4"/>
      <c r="AO1039" s="4"/>
      <c r="AP1039" s="4"/>
      <c r="AQ1039" s="4"/>
      <c r="AR1039" s="4"/>
    </row>
    <row r="1040">
      <c r="A1040" s="2"/>
      <c r="B1040" s="3"/>
      <c r="C1040" s="6"/>
      <c r="D1040" s="2"/>
      <c r="E1040" s="2"/>
      <c r="F1040" s="2"/>
      <c r="G1040" s="2"/>
      <c r="H1040" s="2"/>
      <c r="I1040" s="3"/>
      <c r="J1040" s="2"/>
      <c r="K1040" s="2"/>
      <c r="L1040" s="3"/>
      <c r="M1040" s="2"/>
      <c r="N1040" s="2"/>
      <c r="O1040" s="3"/>
      <c r="P1040" s="2"/>
      <c r="Q1040" s="3"/>
      <c r="R1040" s="2"/>
      <c r="S1040" s="4"/>
      <c r="T1040" s="2"/>
      <c r="U1040" s="4"/>
      <c r="V1040" s="3"/>
      <c r="W1040" s="4"/>
      <c r="X1040" s="3"/>
      <c r="Y1040" s="4"/>
      <c r="Z1040" s="3"/>
      <c r="AA1040" s="3"/>
      <c r="AB1040" s="4"/>
      <c r="AC1040" s="4"/>
      <c r="AD1040" s="4"/>
      <c r="AE1040" s="4"/>
      <c r="AF1040" s="4"/>
      <c r="AG1040" s="4"/>
      <c r="AH1040" s="4"/>
      <c r="AI1040" s="4"/>
      <c r="AJ1040" s="4"/>
      <c r="AK1040" s="5"/>
      <c r="AL1040" s="4"/>
      <c r="AM1040" s="4"/>
      <c r="AN1040" s="4"/>
      <c r="AO1040" s="4"/>
      <c r="AP1040" s="4"/>
      <c r="AQ1040" s="4"/>
      <c r="AR1040" s="4"/>
    </row>
    <row r="1041">
      <c r="A1041" s="2"/>
      <c r="B1041" s="3"/>
      <c r="C1041" s="6"/>
      <c r="D1041" s="2"/>
      <c r="E1041" s="2"/>
      <c r="F1041" s="2"/>
      <c r="G1041" s="2"/>
      <c r="H1041" s="2"/>
      <c r="I1041" s="3"/>
      <c r="J1041" s="2"/>
      <c r="K1041" s="2"/>
      <c r="L1041" s="3"/>
      <c r="M1041" s="2"/>
      <c r="N1041" s="2"/>
      <c r="O1041" s="3"/>
      <c r="P1041" s="2"/>
      <c r="Q1041" s="3"/>
      <c r="R1041" s="2"/>
      <c r="S1041" s="4"/>
      <c r="T1041" s="2"/>
      <c r="U1041" s="4"/>
      <c r="V1041" s="3"/>
      <c r="W1041" s="4"/>
      <c r="X1041" s="3"/>
      <c r="Y1041" s="4"/>
      <c r="Z1041" s="3"/>
      <c r="AA1041" s="3"/>
      <c r="AB1041" s="4"/>
      <c r="AC1041" s="4"/>
      <c r="AD1041" s="4"/>
      <c r="AE1041" s="4"/>
      <c r="AF1041" s="4"/>
      <c r="AG1041" s="4"/>
      <c r="AH1041" s="4"/>
      <c r="AI1041" s="4"/>
      <c r="AJ1041" s="4"/>
      <c r="AK1041" s="5"/>
      <c r="AL1041" s="4"/>
      <c r="AM1041" s="4"/>
      <c r="AN1041" s="4"/>
      <c r="AO1041" s="4"/>
      <c r="AP1041" s="4"/>
      <c r="AQ1041" s="4"/>
      <c r="AR1041" s="4"/>
    </row>
    <row r="1042">
      <c r="A1042" s="2"/>
      <c r="B1042" s="3"/>
      <c r="C1042" s="6"/>
      <c r="D1042" s="2"/>
      <c r="E1042" s="2"/>
      <c r="F1042" s="2"/>
      <c r="G1042" s="2"/>
      <c r="H1042" s="2"/>
      <c r="I1042" s="3"/>
      <c r="J1042" s="2"/>
      <c r="K1042" s="2"/>
      <c r="L1042" s="3"/>
      <c r="M1042" s="2"/>
      <c r="N1042" s="2"/>
      <c r="O1042" s="3"/>
      <c r="P1042" s="2"/>
      <c r="Q1042" s="3"/>
      <c r="R1042" s="2"/>
      <c r="S1042" s="4"/>
      <c r="T1042" s="2"/>
      <c r="U1042" s="4"/>
      <c r="V1042" s="3"/>
      <c r="W1042" s="4"/>
      <c r="X1042" s="3"/>
      <c r="Y1042" s="4"/>
      <c r="Z1042" s="3"/>
      <c r="AA1042" s="3"/>
      <c r="AB1042" s="4"/>
      <c r="AC1042" s="4"/>
      <c r="AD1042" s="4"/>
      <c r="AE1042" s="4"/>
      <c r="AF1042" s="4"/>
      <c r="AG1042" s="4"/>
      <c r="AH1042" s="4"/>
      <c r="AI1042" s="4"/>
      <c r="AJ1042" s="4"/>
      <c r="AK1042" s="5"/>
      <c r="AL1042" s="4"/>
      <c r="AM1042" s="4"/>
      <c r="AN1042" s="4"/>
      <c r="AO1042" s="4"/>
      <c r="AP1042" s="4"/>
      <c r="AQ1042" s="4"/>
      <c r="AR1042" s="4"/>
    </row>
    <row r="1043">
      <c r="A1043" s="2"/>
      <c r="B1043" s="3"/>
      <c r="C1043" s="6"/>
      <c r="D1043" s="2"/>
      <c r="E1043" s="2"/>
      <c r="F1043" s="2"/>
      <c r="G1043" s="2"/>
      <c r="H1043" s="2"/>
      <c r="I1043" s="3"/>
      <c r="J1043" s="2"/>
      <c r="K1043" s="2"/>
      <c r="L1043" s="3"/>
      <c r="M1043" s="2"/>
      <c r="N1043" s="2"/>
      <c r="O1043" s="3"/>
      <c r="P1043" s="2"/>
      <c r="Q1043" s="3"/>
      <c r="R1043" s="2"/>
      <c r="S1043" s="4"/>
      <c r="T1043" s="2"/>
      <c r="U1043" s="4"/>
      <c r="V1043" s="3"/>
      <c r="W1043" s="4"/>
      <c r="X1043" s="3"/>
      <c r="Y1043" s="4"/>
      <c r="Z1043" s="3"/>
      <c r="AA1043" s="3"/>
      <c r="AB1043" s="4"/>
      <c r="AC1043" s="4"/>
      <c r="AD1043" s="4"/>
      <c r="AE1043" s="4"/>
      <c r="AF1043" s="4"/>
      <c r="AG1043" s="4"/>
      <c r="AH1043" s="4"/>
      <c r="AI1043" s="4"/>
      <c r="AJ1043" s="4"/>
      <c r="AK1043" s="5"/>
      <c r="AL1043" s="4"/>
      <c r="AM1043" s="4"/>
      <c r="AN1043" s="4"/>
      <c r="AO1043" s="4"/>
      <c r="AP1043" s="4"/>
      <c r="AQ1043" s="4"/>
      <c r="AR1043" s="4"/>
    </row>
    <row r="1044">
      <c r="A1044" s="2"/>
      <c r="B1044" s="3"/>
      <c r="C1044" s="6"/>
      <c r="D1044" s="2"/>
      <c r="E1044" s="2"/>
      <c r="F1044" s="2"/>
      <c r="G1044" s="2"/>
      <c r="H1044" s="2"/>
      <c r="I1044" s="3"/>
      <c r="J1044" s="2"/>
      <c r="K1044" s="2"/>
      <c r="L1044" s="3"/>
      <c r="M1044" s="2"/>
      <c r="N1044" s="2"/>
      <c r="O1044" s="3"/>
      <c r="P1044" s="2"/>
      <c r="Q1044" s="3"/>
      <c r="R1044" s="2"/>
      <c r="S1044" s="4"/>
      <c r="T1044" s="2"/>
      <c r="U1044" s="4"/>
      <c r="V1044" s="3"/>
      <c r="W1044" s="4"/>
      <c r="X1044" s="3"/>
      <c r="Y1044" s="4"/>
      <c r="Z1044" s="3"/>
      <c r="AA1044" s="3"/>
      <c r="AB1044" s="4"/>
      <c r="AC1044" s="4"/>
      <c r="AD1044" s="4"/>
      <c r="AE1044" s="4"/>
      <c r="AF1044" s="4"/>
      <c r="AG1044" s="4"/>
      <c r="AH1044" s="4"/>
      <c r="AI1044" s="4"/>
      <c r="AJ1044" s="4"/>
      <c r="AK1044" s="5"/>
      <c r="AL1044" s="4"/>
      <c r="AM1044" s="4"/>
      <c r="AN1044" s="4"/>
      <c r="AO1044" s="4"/>
      <c r="AP1044" s="4"/>
      <c r="AQ1044" s="4"/>
      <c r="AR1044" s="4"/>
    </row>
    <row r="1045">
      <c r="A1045" s="2"/>
      <c r="B1045" s="3"/>
      <c r="C1045" s="6"/>
      <c r="D1045" s="2"/>
      <c r="E1045" s="2"/>
      <c r="F1045" s="2"/>
      <c r="G1045" s="2"/>
      <c r="H1045" s="2"/>
      <c r="I1045" s="3"/>
      <c r="J1045" s="2"/>
      <c r="K1045" s="2"/>
      <c r="L1045" s="3"/>
      <c r="M1045" s="2"/>
      <c r="N1045" s="2"/>
      <c r="O1045" s="3"/>
      <c r="P1045" s="2"/>
      <c r="Q1045" s="3"/>
      <c r="R1045" s="2"/>
      <c r="S1045" s="4"/>
      <c r="T1045" s="2"/>
      <c r="U1045" s="4"/>
      <c r="V1045" s="3"/>
      <c r="W1045" s="4"/>
      <c r="X1045" s="3"/>
      <c r="Y1045" s="4"/>
      <c r="Z1045" s="3"/>
      <c r="AA1045" s="3"/>
      <c r="AB1045" s="4"/>
      <c r="AC1045" s="4"/>
      <c r="AD1045" s="4"/>
      <c r="AE1045" s="4"/>
      <c r="AF1045" s="4"/>
      <c r="AG1045" s="4"/>
      <c r="AH1045" s="4"/>
      <c r="AI1045" s="4"/>
      <c r="AJ1045" s="4"/>
      <c r="AK1045" s="5"/>
      <c r="AL1045" s="4"/>
      <c r="AM1045" s="4"/>
      <c r="AN1045" s="4"/>
      <c r="AO1045" s="4"/>
      <c r="AP1045" s="4"/>
      <c r="AQ1045" s="4"/>
      <c r="AR1045" s="4"/>
    </row>
    <row r="1046">
      <c r="A1046" s="2"/>
      <c r="B1046" s="3"/>
      <c r="C1046" s="6"/>
      <c r="D1046" s="2"/>
      <c r="E1046" s="2"/>
      <c r="F1046" s="2"/>
      <c r="G1046" s="2"/>
      <c r="H1046" s="2"/>
      <c r="I1046" s="3"/>
      <c r="J1046" s="2"/>
      <c r="K1046" s="2"/>
      <c r="L1046" s="3"/>
      <c r="M1046" s="2"/>
      <c r="N1046" s="2"/>
      <c r="O1046" s="3"/>
      <c r="P1046" s="2"/>
      <c r="Q1046" s="3"/>
      <c r="R1046" s="2"/>
      <c r="S1046" s="4"/>
      <c r="T1046" s="2"/>
      <c r="U1046" s="4"/>
      <c r="V1046" s="3"/>
      <c r="W1046" s="4"/>
      <c r="X1046" s="3"/>
      <c r="Y1046" s="4"/>
      <c r="Z1046" s="3"/>
      <c r="AA1046" s="3"/>
      <c r="AB1046" s="4"/>
      <c r="AC1046" s="4"/>
      <c r="AD1046" s="4"/>
      <c r="AE1046" s="4"/>
      <c r="AF1046" s="4"/>
      <c r="AG1046" s="4"/>
      <c r="AH1046" s="4"/>
      <c r="AI1046" s="4"/>
      <c r="AJ1046" s="4"/>
      <c r="AK1046" s="5"/>
      <c r="AL1046" s="4"/>
      <c r="AM1046" s="4"/>
      <c r="AN1046" s="4"/>
      <c r="AO1046" s="4"/>
      <c r="AP1046" s="4"/>
      <c r="AQ1046" s="4"/>
      <c r="AR1046" s="4"/>
    </row>
    <row r="1047">
      <c r="A1047" s="2"/>
      <c r="B1047" s="3"/>
      <c r="C1047" s="6"/>
      <c r="D1047" s="2"/>
      <c r="E1047" s="2"/>
      <c r="F1047" s="2"/>
      <c r="G1047" s="2"/>
      <c r="H1047" s="2"/>
      <c r="I1047" s="3"/>
      <c r="J1047" s="2"/>
      <c r="K1047" s="2"/>
      <c r="L1047" s="3"/>
      <c r="M1047" s="2"/>
      <c r="N1047" s="2"/>
      <c r="O1047" s="3"/>
      <c r="P1047" s="2"/>
      <c r="Q1047" s="3"/>
      <c r="R1047" s="2"/>
      <c r="S1047" s="4"/>
      <c r="T1047" s="2"/>
      <c r="U1047" s="4"/>
      <c r="V1047" s="3"/>
      <c r="W1047" s="4"/>
      <c r="X1047" s="3"/>
      <c r="Y1047" s="4"/>
      <c r="Z1047" s="3"/>
      <c r="AA1047" s="3"/>
      <c r="AB1047" s="4"/>
      <c r="AC1047" s="4"/>
      <c r="AD1047" s="4"/>
      <c r="AE1047" s="4"/>
      <c r="AF1047" s="4"/>
      <c r="AG1047" s="4"/>
      <c r="AH1047" s="4"/>
      <c r="AI1047" s="4"/>
      <c r="AJ1047" s="4"/>
      <c r="AK1047" s="5"/>
      <c r="AL1047" s="4"/>
      <c r="AM1047" s="4"/>
      <c r="AN1047" s="4"/>
      <c r="AO1047" s="4"/>
      <c r="AP1047" s="4"/>
      <c r="AQ1047" s="4"/>
      <c r="AR1047" s="4"/>
    </row>
    <row r="1048">
      <c r="A1048" s="2"/>
      <c r="B1048" s="3"/>
      <c r="C1048" s="6"/>
      <c r="D1048" s="2"/>
      <c r="E1048" s="2"/>
      <c r="F1048" s="2"/>
      <c r="G1048" s="2"/>
      <c r="H1048" s="2"/>
      <c r="I1048" s="3"/>
      <c r="J1048" s="2"/>
      <c r="K1048" s="2"/>
      <c r="L1048" s="3"/>
      <c r="M1048" s="2"/>
      <c r="N1048" s="2"/>
      <c r="O1048" s="3"/>
      <c r="P1048" s="2"/>
      <c r="Q1048" s="3"/>
      <c r="R1048" s="2"/>
      <c r="S1048" s="4"/>
      <c r="T1048" s="2"/>
      <c r="U1048" s="4"/>
      <c r="V1048" s="3"/>
      <c r="W1048" s="4"/>
      <c r="X1048" s="3"/>
      <c r="Y1048" s="4"/>
      <c r="Z1048" s="3"/>
      <c r="AA1048" s="3"/>
      <c r="AB1048" s="4"/>
      <c r="AC1048" s="4"/>
      <c r="AD1048" s="4"/>
      <c r="AE1048" s="4"/>
      <c r="AF1048" s="4"/>
      <c r="AG1048" s="4"/>
      <c r="AH1048" s="4"/>
      <c r="AI1048" s="4"/>
      <c r="AJ1048" s="4"/>
      <c r="AK1048" s="5"/>
      <c r="AL1048" s="4"/>
      <c r="AM1048" s="4"/>
      <c r="AN1048" s="4"/>
      <c r="AO1048" s="4"/>
      <c r="AP1048" s="4"/>
      <c r="AQ1048" s="4"/>
      <c r="AR1048" s="4"/>
    </row>
    <row r="1049">
      <c r="A1049" s="2"/>
      <c r="B1049" s="3"/>
      <c r="C1049" s="6"/>
      <c r="D1049" s="2"/>
      <c r="E1049" s="2"/>
      <c r="F1049" s="2"/>
      <c r="G1049" s="2"/>
      <c r="H1049" s="2"/>
      <c r="I1049" s="3"/>
      <c r="J1049" s="2"/>
      <c r="K1049" s="2"/>
      <c r="L1049" s="3"/>
      <c r="M1049" s="2"/>
      <c r="N1049" s="2"/>
      <c r="O1049" s="3"/>
      <c r="P1049" s="2"/>
      <c r="Q1049" s="3"/>
      <c r="R1049" s="2"/>
      <c r="S1049" s="4"/>
      <c r="T1049" s="2"/>
      <c r="U1049" s="4"/>
      <c r="V1049" s="3"/>
      <c r="W1049" s="4"/>
      <c r="X1049" s="3"/>
      <c r="Y1049" s="4"/>
      <c r="Z1049" s="3"/>
      <c r="AA1049" s="3"/>
      <c r="AB1049" s="4"/>
      <c r="AC1049" s="4"/>
      <c r="AD1049" s="4"/>
      <c r="AE1049" s="4"/>
      <c r="AF1049" s="4"/>
      <c r="AG1049" s="4"/>
      <c r="AH1049" s="4"/>
      <c r="AI1049" s="4"/>
      <c r="AJ1049" s="4"/>
      <c r="AK1049" s="5"/>
      <c r="AL1049" s="4"/>
      <c r="AM1049" s="4"/>
      <c r="AN1049" s="4"/>
      <c r="AO1049" s="4"/>
      <c r="AP1049" s="4"/>
      <c r="AQ1049" s="4"/>
      <c r="AR1049" s="4"/>
    </row>
    <row r="1050">
      <c r="A1050" s="2"/>
      <c r="B1050" s="3"/>
      <c r="C1050" s="6"/>
      <c r="D1050" s="2"/>
      <c r="E1050" s="2"/>
      <c r="F1050" s="2"/>
      <c r="G1050" s="2"/>
      <c r="H1050" s="2"/>
      <c r="I1050" s="3"/>
      <c r="J1050" s="2"/>
      <c r="K1050" s="2"/>
      <c r="L1050" s="3"/>
      <c r="M1050" s="2"/>
      <c r="N1050" s="2"/>
      <c r="O1050" s="3"/>
      <c r="P1050" s="2"/>
      <c r="Q1050" s="3"/>
      <c r="R1050" s="2"/>
      <c r="S1050" s="4"/>
      <c r="T1050" s="2"/>
      <c r="U1050" s="4"/>
      <c r="V1050" s="3"/>
      <c r="W1050" s="4"/>
      <c r="X1050" s="3"/>
      <c r="Y1050" s="4"/>
      <c r="Z1050" s="3"/>
      <c r="AA1050" s="3"/>
      <c r="AB1050" s="4"/>
      <c r="AC1050" s="4"/>
      <c r="AD1050" s="4"/>
      <c r="AE1050" s="4"/>
      <c r="AF1050" s="4"/>
      <c r="AG1050" s="4"/>
      <c r="AH1050" s="4"/>
      <c r="AI1050" s="4"/>
      <c r="AJ1050" s="4"/>
      <c r="AK1050" s="5"/>
      <c r="AL1050" s="4"/>
      <c r="AM1050" s="4"/>
      <c r="AN1050" s="4"/>
      <c r="AO1050" s="4"/>
      <c r="AP1050" s="4"/>
      <c r="AQ1050" s="4"/>
      <c r="AR1050" s="4"/>
    </row>
    <row r="1051">
      <c r="A1051" s="2"/>
      <c r="B1051" s="3"/>
      <c r="C1051" s="6"/>
      <c r="D1051" s="2"/>
      <c r="E1051" s="2"/>
      <c r="F1051" s="2"/>
      <c r="G1051" s="2"/>
      <c r="H1051" s="2"/>
      <c r="I1051" s="3"/>
      <c r="J1051" s="2"/>
      <c r="K1051" s="2"/>
      <c r="L1051" s="3"/>
      <c r="M1051" s="2"/>
      <c r="N1051" s="2"/>
      <c r="O1051" s="3"/>
      <c r="P1051" s="2"/>
      <c r="Q1051" s="3"/>
      <c r="R1051" s="2"/>
      <c r="S1051" s="4"/>
      <c r="T1051" s="2"/>
      <c r="U1051" s="4"/>
      <c r="V1051" s="3"/>
      <c r="W1051" s="4"/>
      <c r="X1051" s="3"/>
      <c r="Y1051" s="4"/>
      <c r="Z1051" s="3"/>
      <c r="AA1051" s="3"/>
      <c r="AB1051" s="4"/>
      <c r="AC1051" s="4"/>
      <c r="AD1051" s="4"/>
      <c r="AE1051" s="4"/>
      <c r="AF1051" s="4"/>
      <c r="AG1051" s="4"/>
      <c r="AH1051" s="4"/>
      <c r="AI1051" s="4"/>
      <c r="AJ1051" s="4"/>
      <c r="AK1051" s="5"/>
      <c r="AL1051" s="4"/>
      <c r="AM1051" s="4"/>
      <c r="AN1051" s="4"/>
      <c r="AO1051" s="4"/>
      <c r="AP1051" s="4"/>
      <c r="AQ1051" s="4"/>
      <c r="AR1051" s="4"/>
    </row>
    <row r="1052">
      <c r="A1052" s="2"/>
      <c r="B1052" s="3"/>
      <c r="C1052" s="6"/>
      <c r="D1052" s="2"/>
      <c r="E1052" s="2"/>
      <c r="F1052" s="2"/>
      <c r="G1052" s="2"/>
      <c r="H1052" s="2"/>
      <c r="I1052" s="3"/>
      <c r="J1052" s="2"/>
      <c r="K1052" s="2"/>
      <c r="L1052" s="3"/>
      <c r="M1052" s="2"/>
      <c r="N1052" s="2"/>
      <c r="O1052" s="3"/>
      <c r="P1052" s="2"/>
      <c r="Q1052" s="3"/>
      <c r="R1052" s="2"/>
      <c r="S1052" s="4"/>
      <c r="T1052" s="2"/>
      <c r="U1052" s="4"/>
      <c r="V1052" s="3"/>
      <c r="W1052" s="4"/>
      <c r="X1052" s="3"/>
      <c r="Y1052" s="4"/>
      <c r="Z1052" s="3"/>
      <c r="AA1052" s="3"/>
      <c r="AB1052" s="4"/>
      <c r="AC1052" s="4"/>
      <c r="AD1052" s="4"/>
      <c r="AE1052" s="4"/>
      <c r="AF1052" s="4"/>
      <c r="AG1052" s="4"/>
      <c r="AH1052" s="4"/>
      <c r="AI1052" s="4"/>
      <c r="AJ1052" s="4"/>
      <c r="AK1052" s="5"/>
      <c r="AL1052" s="4"/>
      <c r="AM1052" s="4"/>
      <c r="AN1052" s="4"/>
      <c r="AO1052" s="4"/>
      <c r="AP1052" s="4"/>
      <c r="AQ1052" s="4"/>
      <c r="AR1052" s="4"/>
    </row>
    <row r="1053">
      <c r="A1053" s="2"/>
      <c r="B1053" s="3"/>
      <c r="C1053" s="6"/>
      <c r="D1053" s="2"/>
      <c r="E1053" s="2"/>
      <c r="F1053" s="2"/>
      <c r="G1053" s="2"/>
      <c r="H1053" s="2"/>
      <c r="I1053" s="3"/>
      <c r="J1053" s="2"/>
      <c r="K1053" s="2"/>
      <c r="L1053" s="3"/>
      <c r="M1053" s="2"/>
      <c r="N1053" s="2"/>
      <c r="O1053" s="3"/>
      <c r="P1053" s="2"/>
      <c r="Q1053" s="3"/>
      <c r="R1053" s="2"/>
      <c r="S1053" s="4"/>
      <c r="T1053" s="2"/>
      <c r="U1053" s="4"/>
      <c r="V1053" s="3"/>
      <c r="W1053" s="4"/>
      <c r="X1053" s="3"/>
      <c r="Y1053" s="4"/>
      <c r="Z1053" s="3"/>
      <c r="AA1053" s="3"/>
      <c r="AB1053" s="4"/>
      <c r="AC1053" s="4"/>
      <c r="AD1053" s="4"/>
      <c r="AE1053" s="4"/>
      <c r="AF1053" s="4"/>
      <c r="AG1053" s="4"/>
      <c r="AH1053" s="4"/>
      <c r="AI1053" s="4"/>
      <c r="AJ1053" s="4"/>
      <c r="AK1053" s="5"/>
      <c r="AL1053" s="4"/>
      <c r="AM1053" s="4"/>
      <c r="AN1053" s="4"/>
      <c r="AO1053" s="4"/>
      <c r="AP1053" s="4"/>
      <c r="AQ1053" s="4"/>
      <c r="AR1053" s="4"/>
    </row>
    <row r="1054">
      <c r="A1054" s="2"/>
      <c r="B1054" s="3"/>
      <c r="C1054" s="6"/>
      <c r="D1054" s="2"/>
      <c r="E1054" s="2"/>
      <c r="F1054" s="2"/>
      <c r="G1054" s="2"/>
      <c r="H1054" s="2"/>
      <c r="I1054" s="3"/>
      <c r="J1054" s="2"/>
      <c r="K1054" s="2"/>
      <c r="L1054" s="3"/>
      <c r="M1054" s="2"/>
      <c r="N1054" s="2"/>
      <c r="O1054" s="3"/>
      <c r="P1054" s="2"/>
      <c r="Q1054" s="3"/>
      <c r="R1054" s="2"/>
      <c r="S1054" s="4"/>
      <c r="T1054" s="2"/>
      <c r="U1054" s="4"/>
      <c r="V1054" s="3"/>
      <c r="W1054" s="4"/>
      <c r="X1054" s="3"/>
      <c r="Y1054" s="4"/>
      <c r="Z1054" s="3"/>
      <c r="AA1054" s="3"/>
      <c r="AB1054" s="4"/>
      <c r="AC1054" s="4"/>
      <c r="AD1054" s="4"/>
      <c r="AE1054" s="4"/>
      <c r="AF1054" s="4"/>
      <c r="AG1054" s="4"/>
      <c r="AH1054" s="4"/>
      <c r="AI1054" s="4"/>
      <c r="AJ1054" s="4"/>
      <c r="AK1054" s="5"/>
      <c r="AL1054" s="4"/>
      <c r="AM1054" s="4"/>
      <c r="AN1054" s="4"/>
      <c r="AO1054" s="4"/>
      <c r="AP1054" s="4"/>
      <c r="AQ1054" s="4"/>
      <c r="AR1054" s="4"/>
    </row>
    <row r="1055">
      <c r="A1055" s="2"/>
      <c r="B1055" s="3"/>
      <c r="C1055" s="6"/>
      <c r="D1055" s="2"/>
      <c r="E1055" s="2"/>
      <c r="F1055" s="2"/>
      <c r="G1055" s="2"/>
      <c r="H1055" s="2"/>
      <c r="I1055" s="3"/>
      <c r="J1055" s="2"/>
      <c r="K1055" s="2"/>
      <c r="L1055" s="3"/>
      <c r="M1055" s="2"/>
      <c r="N1055" s="2"/>
      <c r="O1055" s="3"/>
      <c r="P1055" s="2"/>
      <c r="Q1055" s="3"/>
      <c r="R1055" s="2"/>
      <c r="S1055" s="4"/>
      <c r="T1055" s="2"/>
      <c r="U1055" s="4"/>
      <c r="V1055" s="3"/>
      <c r="W1055" s="4"/>
      <c r="X1055" s="3"/>
      <c r="Y1055" s="4"/>
      <c r="Z1055" s="3"/>
      <c r="AA1055" s="3"/>
      <c r="AB1055" s="4"/>
      <c r="AC1055" s="4"/>
      <c r="AD1055" s="4"/>
      <c r="AE1055" s="4"/>
      <c r="AF1055" s="4"/>
      <c r="AG1055" s="4"/>
      <c r="AH1055" s="4"/>
      <c r="AI1055" s="4"/>
      <c r="AJ1055" s="4"/>
      <c r="AK1055" s="5"/>
      <c r="AL1055" s="4"/>
      <c r="AM1055" s="4"/>
      <c r="AN1055" s="4"/>
      <c r="AO1055" s="4"/>
      <c r="AP1055" s="4"/>
      <c r="AQ1055" s="4"/>
      <c r="AR1055" s="4"/>
    </row>
    <row r="1056">
      <c r="A1056" s="2"/>
      <c r="B1056" s="3"/>
      <c r="C1056" s="6"/>
      <c r="D1056" s="2"/>
      <c r="E1056" s="2"/>
      <c r="F1056" s="2"/>
      <c r="G1056" s="2"/>
      <c r="H1056" s="2"/>
      <c r="I1056" s="3"/>
      <c r="J1056" s="2"/>
      <c r="K1056" s="2"/>
      <c r="L1056" s="3"/>
      <c r="M1056" s="2"/>
      <c r="N1056" s="2"/>
      <c r="O1056" s="3"/>
      <c r="P1056" s="2"/>
      <c r="Q1056" s="3"/>
      <c r="R1056" s="2"/>
      <c r="S1056" s="4"/>
      <c r="T1056" s="2"/>
      <c r="U1056" s="4"/>
      <c r="V1056" s="3"/>
      <c r="W1056" s="4"/>
      <c r="X1056" s="3"/>
      <c r="Y1056" s="4"/>
      <c r="Z1056" s="3"/>
      <c r="AA1056" s="3"/>
      <c r="AB1056" s="4"/>
      <c r="AC1056" s="4"/>
      <c r="AD1056" s="4"/>
      <c r="AE1056" s="4"/>
      <c r="AF1056" s="4"/>
      <c r="AG1056" s="4"/>
      <c r="AH1056" s="4"/>
      <c r="AI1056" s="4"/>
      <c r="AJ1056" s="4"/>
      <c r="AK1056" s="5"/>
      <c r="AL1056" s="4"/>
      <c r="AM1056" s="4"/>
      <c r="AN1056" s="4"/>
      <c r="AO1056" s="4"/>
      <c r="AP1056" s="4"/>
      <c r="AQ1056" s="4"/>
      <c r="AR1056" s="4"/>
    </row>
    <row r="1057">
      <c r="A1057" s="2"/>
      <c r="B1057" s="3"/>
      <c r="C1057" s="6"/>
      <c r="D1057" s="2"/>
      <c r="E1057" s="2"/>
      <c r="F1057" s="2"/>
      <c r="G1057" s="2"/>
      <c r="H1057" s="2"/>
      <c r="I1057" s="3"/>
      <c r="J1057" s="2"/>
      <c r="K1057" s="2"/>
      <c r="L1057" s="3"/>
      <c r="M1057" s="2"/>
      <c r="N1057" s="2"/>
      <c r="O1057" s="3"/>
      <c r="P1057" s="2"/>
      <c r="Q1057" s="3"/>
      <c r="R1057" s="2"/>
      <c r="S1057" s="4"/>
      <c r="T1057" s="2"/>
      <c r="U1057" s="4"/>
      <c r="V1057" s="3"/>
      <c r="W1057" s="4"/>
      <c r="X1057" s="3"/>
      <c r="Y1057" s="4"/>
      <c r="Z1057" s="3"/>
      <c r="AA1057" s="3"/>
      <c r="AB1057" s="4"/>
      <c r="AC1057" s="4"/>
      <c r="AD1057" s="4"/>
      <c r="AE1057" s="4"/>
      <c r="AF1057" s="4"/>
      <c r="AG1057" s="4"/>
      <c r="AH1057" s="4"/>
      <c r="AI1057" s="4"/>
      <c r="AJ1057" s="4"/>
      <c r="AK1057" s="5"/>
      <c r="AL1057" s="4"/>
      <c r="AM1057" s="4"/>
      <c r="AN1057" s="4"/>
      <c r="AO1057" s="4"/>
      <c r="AP1057" s="4"/>
      <c r="AQ1057" s="4"/>
      <c r="AR1057" s="4"/>
    </row>
    <row r="1058">
      <c r="A1058" s="2"/>
      <c r="B1058" s="3"/>
      <c r="C1058" s="6"/>
      <c r="D1058" s="2"/>
      <c r="E1058" s="2"/>
      <c r="F1058" s="2"/>
      <c r="G1058" s="2"/>
      <c r="H1058" s="2"/>
      <c r="I1058" s="3"/>
      <c r="J1058" s="2"/>
      <c r="K1058" s="2"/>
      <c r="L1058" s="3"/>
      <c r="M1058" s="2"/>
      <c r="N1058" s="2"/>
      <c r="O1058" s="3"/>
      <c r="P1058" s="2"/>
      <c r="Q1058" s="3"/>
      <c r="R1058" s="2"/>
      <c r="S1058" s="4"/>
      <c r="T1058" s="2"/>
      <c r="U1058" s="4"/>
      <c r="V1058" s="3"/>
      <c r="W1058" s="4"/>
      <c r="X1058" s="3"/>
      <c r="Y1058" s="4"/>
      <c r="Z1058" s="3"/>
      <c r="AA1058" s="3"/>
      <c r="AB1058" s="4"/>
      <c r="AC1058" s="4"/>
      <c r="AD1058" s="4"/>
      <c r="AE1058" s="4"/>
      <c r="AF1058" s="4"/>
      <c r="AG1058" s="4"/>
      <c r="AH1058" s="4"/>
      <c r="AI1058" s="4"/>
      <c r="AJ1058" s="4"/>
      <c r="AK1058" s="5"/>
      <c r="AL1058" s="4"/>
      <c r="AM1058" s="4"/>
      <c r="AN1058" s="4"/>
      <c r="AO1058" s="4"/>
      <c r="AP1058" s="4"/>
      <c r="AQ1058" s="4"/>
      <c r="AR1058" s="4"/>
    </row>
    <row r="1059">
      <c r="A1059" s="2"/>
      <c r="B1059" s="3"/>
      <c r="C1059" s="6"/>
      <c r="D1059" s="2"/>
      <c r="E1059" s="2"/>
      <c r="F1059" s="2"/>
      <c r="G1059" s="2"/>
      <c r="H1059" s="2"/>
      <c r="I1059" s="3"/>
      <c r="J1059" s="2"/>
      <c r="K1059" s="2"/>
      <c r="L1059" s="3"/>
      <c r="M1059" s="2"/>
      <c r="N1059" s="2"/>
      <c r="O1059" s="3"/>
      <c r="P1059" s="2"/>
      <c r="Q1059" s="3"/>
      <c r="R1059" s="2"/>
      <c r="S1059" s="4"/>
      <c r="T1059" s="2"/>
      <c r="U1059" s="4"/>
      <c r="V1059" s="3"/>
      <c r="W1059" s="4"/>
      <c r="X1059" s="3"/>
      <c r="Y1059" s="4"/>
      <c r="Z1059" s="3"/>
      <c r="AA1059" s="3"/>
      <c r="AB1059" s="4"/>
      <c r="AC1059" s="4"/>
      <c r="AD1059" s="4"/>
      <c r="AE1059" s="4"/>
      <c r="AF1059" s="4"/>
      <c r="AG1059" s="4"/>
      <c r="AH1059" s="4"/>
      <c r="AI1059" s="4"/>
      <c r="AJ1059" s="4"/>
      <c r="AK1059" s="5"/>
      <c r="AL1059" s="4"/>
      <c r="AM1059" s="4"/>
      <c r="AN1059" s="4"/>
      <c r="AO1059" s="4"/>
      <c r="AP1059" s="4"/>
      <c r="AQ1059" s="4"/>
      <c r="AR1059" s="4"/>
    </row>
    <row r="1060">
      <c r="A1060" s="2"/>
      <c r="B1060" s="3"/>
      <c r="C1060" s="6"/>
      <c r="D1060" s="2"/>
      <c r="E1060" s="2"/>
      <c r="F1060" s="2"/>
      <c r="G1060" s="2"/>
      <c r="H1060" s="2"/>
      <c r="I1060" s="3"/>
      <c r="J1060" s="2"/>
      <c r="K1060" s="2"/>
      <c r="L1060" s="3"/>
      <c r="M1060" s="2"/>
      <c r="N1060" s="2"/>
      <c r="O1060" s="3"/>
      <c r="P1060" s="2"/>
      <c r="Q1060" s="3"/>
      <c r="R1060" s="2"/>
      <c r="S1060" s="4"/>
      <c r="T1060" s="2"/>
      <c r="U1060" s="4"/>
      <c r="V1060" s="3"/>
      <c r="W1060" s="4"/>
      <c r="X1060" s="3"/>
      <c r="Y1060" s="4"/>
      <c r="Z1060" s="3"/>
      <c r="AA1060" s="3"/>
      <c r="AB1060" s="4"/>
      <c r="AC1060" s="4"/>
      <c r="AD1060" s="4"/>
      <c r="AE1060" s="4"/>
      <c r="AF1060" s="4"/>
      <c r="AG1060" s="4"/>
      <c r="AH1060" s="4"/>
      <c r="AI1060" s="4"/>
      <c r="AJ1060" s="4"/>
      <c r="AK1060" s="5"/>
      <c r="AL1060" s="4"/>
      <c r="AM1060" s="4"/>
      <c r="AN1060" s="4"/>
      <c r="AO1060" s="4"/>
      <c r="AP1060" s="4"/>
      <c r="AQ1060" s="4"/>
      <c r="AR1060" s="4"/>
    </row>
    <row r="1061">
      <c r="A1061" s="2"/>
      <c r="B1061" s="3"/>
      <c r="C1061" s="6"/>
      <c r="D1061" s="2"/>
      <c r="E1061" s="2"/>
      <c r="F1061" s="2"/>
      <c r="G1061" s="2"/>
      <c r="H1061" s="2"/>
      <c r="I1061" s="3"/>
      <c r="J1061" s="2"/>
      <c r="K1061" s="2"/>
      <c r="L1061" s="3"/>
      <c r="M1061" s="2"/>
      <c r="N1061" s="2"/>
      <c r="O1061" s="3"/>
      <c r="P1061" s="2"/>
      <c r="Q1061" s="3"/>
      <c r="R1061" s="2"/>
      <c r="S1061" s="4"/>
      <c r="T1061" s="2"/>
      <c r="U1061" s="4"/>
      <c r="V1061" s="3"/>
      <c r="W1061" s="4"/>
      <c r="X1061" s="3"/>
      <c r="Y1061" s="4"/>
      <c r="Z1061" s="3"/>
      <c r="AA1061" s="3"/>
      <c r="AB1061" s="4"/>
      <c r="AC1061" s="4"/>
      <c r="AD1061" s="4"/>
      <c r="AE1061" s="4"/>
      <c r="AF1061" s="4"/>
      <c r="AG1061" s="4"/>
      <c r="AH1061" s="4"/>
      <c r="AI1061" s="4"/>
      <c r="AJ1061" s="4"/>
      <c r="AK1061" s="5"/>
      <c r="AL1061" s="4"/>
      <c r="AM1061" s="4"/>
      <c r="AN1061" s="4"/>
      <c r="AO1061" s="4"/>
      <c r="AP1061" s="4"/>
      <c r="AQ1061" s="4"/>
      <c r="AR1061" s="4"/>
    </row>
    <row r="1062">
      <c r="A1062" s="2"/>
      <c r="B1062" s="3"/>
      <c r="C1062" s="6"/>
      <c r="D1062" s="2"/>
      <c r="E1062" s="2"/>
      <c r="F1062" s="2"/>
      <c r="G1062" s="2"/>
      <c r="H1062" s="2"/>
      <c r="I1062" s="3"/>
      <c r="J1062" s="2"/>
      <c r="K1062" s="2"/>
      <c r="L1062" s="3"/>
      <c r="M1062" s="2"/>
      <c r="N1062" s="2"/>
      <c r="O1062" s="3"/>
      <c r="P1062" s="2"/>
      <c r="Q1062" s="3"/>
      <c r="R1062" s="2"/>
      <c r="S1062" s="4"/>
      <c r="T1062" s="2"/>
      <c r="U1062" s="4"/>
      <c r="V1062" s="3"/>
      <c r="W1062" s="4"/>
      <c r="X1062" s="3"/>
      <c r="Y1062" s="4"/>
      <c r="Z1062" s="3"/>
      <c r="AA1062" s="3"/>
      <c r="AB1062" s="4"/>
      <c r="AC1062" s="4"/>
      <c r="AD1062" s="4"/>
      <c r="AE1062" s="4"/>
      <c r="AF1062" s="4"/>
      <c r="AG1062" s="4"/>
      <c r="AH1062" s="4"/>
      <c r="AI1062" s="4"/>
      <c r="AJ1062" s="4"/>
      <c r="AK1062" s="5"/>
      <c r="AL1062" s="4"/>
      <c r="AM1062" s="4"/>
      <c r="AN1062" s="4"/>
      <c r="AO1062" s="4"/>
      <c r="AP1062" s="4"/>
      <c r="AQ1062" s="4"/>
      <c r="AR1062" s="4"/>
    </row>
    <row r="1063">
      <c r="A1063" s="2"/>
      <c r="B1063" s="3"/>
      <c r="C1063" s="6"/>
      <c r="D1063" s="2"/>
      <c r="E1063" s="2"/>
      <c r="F1063" s="2"/>
      <c r="G1063" s="2"/>
      <c r="H1063" s="2"/>
      <c r="I1063" s="3"/>
      <c r="J1063" s="2"/>
      <c r="K1063" s="2"/>
      <c r="L1063" s="3"/>
      <c r="M1063" s="2"/>
      <c r="N1063" s="2"/>
      <c r="O1063" s="3"/>
      <c r="P1063" s="2"/>
      <c r="Q1063" s="3"/>
      <c r="R1063" s="2"/>
      <c r="S1063" s="4"/>
      <c r="T1063" s="2"/>
      <c r="U1063" s="4"/>
      <c r="V1063" s="3"/>
      <c r="W1063" s="4"/>
      <c r="X1063" s="3"/>
      <c r="Y1063" s="4"/>
      <c r="Z1063" s="3"/>
      <c r="AA1063" s="3"/>
      <c r="AB1063" s="4"/>
      <c r="AC1063" s="4"/>
      <c r="AD1063" s="4"/>
      <c r="AE1063" s="4"/>
      <c r="AF1063" s="4"/>
      <c r="AG1063" s="4"/>
      <c r="AH1063" s="4"/>
      <c r="AI1063" s="4"/>
      <c r="AJ1063" s="4"/>
      <c r="AK1063" s="5"/>
      <c r="AL1063" s="4"/>
      <c r="AM1063" s="4"/>
      <c r="AN1063" s="4"/>
      <c r="AO1063" s="4"/>
      <c r="AP1063" s="4"/>
      <c r="AQ1063" s="4"/>
      <c r="AR1063" s="4"/>
    </row>
    <row r="1064">
      <c r="A1064" s="2"/>
      <c r="B1064" s="3"/>
      <c r="C1064" s="6"/>
      <c r="D1064" s="2"/>
      <c r="E1064" s="2"/>
      <c r="F1064" s="2"/>
      <c r="G1064" s="2"/>
      <c r="H1064" s="2"/>
      <c r="I1064" s="3"/>
      <c r="J1064" s="2"/>
      <c r="K1064" s="2"/>
      <c r="L1064" s="3"/>
      <c r="M1064" s="2"/>
      <c r="N1064" s="2"/>
      <c r="O1064" s="3"/>
      <c r="P1064" s="2"/>
      <c r="Q1064" s="3"/>
      <c r="R1064" s="2"/>
      <c r="S1064" s="4"/>
      <c r="T1064" s="2"/>
      <c r="U1064" s="4"/>
      <c r="V1064" s="3"/>
      <c r="W1064" s="4"/>
      <c r="X1064" s="3"/>
      <c r="Y1064" s="4"/>
      <c r="Z1064" s="3"/>
      <c r="AA1064" s="3"/>
      <c r="AB1064" s="4"/>
      <c r="AC1064" s="4"/>
      <c r="AD1064" s="4"/>
      <c r="AE1064" s="4"/>
      <c r="AF1064" s="4"/>
      <c r="AG1064" s="4"/>
      <c r="AH1064" s="4"/>
      <c r="AI1064" s="4"/>
      <c r="AJ1064" s="4"/>
      <c r="AK1064" s="5"/>
      <c r="AL1064" s="4"/>
      <c r="AM1064" s="4"/>
      <c r="AN1064" s="4"/>
      <c r="AO1064" s="4"/>
      <c r="AP1064" s="4"/>
      <c r="AQ1064" s="4"/>
      <c r="AR1064" s="4"/>
    </row>
    <row r="1065">
      <c r="A1065" s="2"/>
      <c r="B1065" s="3"/>
      <c r="C1065" s="6"/>
      <c r="D1065" s="2"/>
      <c r="E1065" s="2"/>
      <c r="F1065" s="2"/>
      <c r="G1065" s="2"/>
      <c r="H1065" s="2"/>
      <c r="I1065" s="3"/>
      <c r="J1065" s="2"/>
      <c r="K1065" s="2"/>
      <c r="L1065" s="3"/>
      <c r="M1065" s="2"/>
      <c r="N1065" s="2"/>
      <c r="O1065" s="3"/>
      <c r="P1065" s="2"/>
      <c r="Q1065" s="3"/>
      <c r="R1065" s="2"/>
      <c r="S1065" s="4"/>
      <c r="T1065" s="2"/>
      <c r="U1065" s="4"/>
      <c r="V1065" s="3"/>
      <c r="W1065" s="4"/>
      <c r="X1065" s="3"/>
      <c r="Y1065" s="4"/>
      <c r="Z1065" s="3"/>
      <c r="AA1065" s="3"/>
      <c r="AB1065" s="4"/>
      <c r="AC1065" s="4"/>
      <c r="AD1065" s="4"/>
      <c r="AE1065" s="4"/>
      <c r="AF1065" s="4"/>
      <c r="AG1065" s="4"/>
      <c r="AH1065" s="4"/>
      <c r="AI1065" s="4"/>
      <c r="AJ1065" s="4"/>
      <c r="AK1065" s="5"/>
      <c r="AL1065" s="4"/>
      <c r="AM1065" s="4"/>
      <c r="AN1065" s="4"/>
      <c r="AO1065" s="4"/>
      <c r="AP1065" s="4"/>
      <c r="AQ1065" s="4"/>
      <c r="AR1065" s="4"/>
    </row>
    <row r="1066">
      <c r="A1066" s="2"/>
      <c r="B1066" s="3"/>
      <c r="C1066" s="6"/>
      <c r="D1066" s="2"/>
      <c r="E1066" s="2"/>
      <c r="F1066" s="2"/>
      <c r="G1066" s="2"/>
      <c r="H1066" s="2"/>
      <c r="I1066" s="3"/>
      <c r="J1066" s="2"/>
      <c r="K1066" s="2"/>
      <c r="L1066" s="3"/>
      <c r="M1066" s="2"/>
      <c r="N1066" s="2"/>
      <c r="O1066" s="3"/>
      <c r="P1066" s="2"/>
      <c r="Q1066" s="3"/>
      <c r="R1066" s="2"/>
      <c r="S1066" s="4"/>
      <c r="T1066" s="2"/>
      <c r="U1066" s="4"/>
      <c r="V1066" s="3"/>
      <c r="W1066" s="4"/>
      <c r="X1066" s="3"/>
      <c r="Y1066" s="4"/>
      <c r="Z1066" s="3"/>
      <c r="AA1066" s="3"/>
      <c r="AB1066" s="4"/>
      <c r="AC1066" s="4"/>
      <c r="AD1066" s="4"/>
      <c r="AE1066" s="4"/>
      <c r="AF1066" s="4"/>
      <c r="AG1066" s="4"/>
      <c r="AH1066" s="4"/>
      <c r="AI1066" s="4"/>
      <c r="AJ1066" s="4"/>
      <c r="AK1066" s="5"/>
      <c r="AL1066" s="4"/>
      <c r="AM1066" s="4"/>
      <c r="AN1066" s="4"/>
      <c r="AO1066" s="4"/>
      <c r="AP1066" s="4"/>
      <c r="AQ1066" s="4"/>
      <c r="AR1066" s="4"/>
    </row>
    <row r="1067">
      <c r="A1067" s="2"/>
      <c r="B1067" s="3"/>
      <c r="C1067" s="6"/>
      <c r="D1067" s="2"/>
      <c r="E1067" s="2"/>
      <c r="F1067" s="2"/>
      <c r="G1067" s="2"/>
      <c r="H1067" s="2"/>
      <c r="I1067" s="3"/>
      <c r="J1067" s="2"/>
      <c r="K1067" s="2"/>
      <c r="L1067" s="3"/>
      <c r="M1067" s="2"/>
      <c r="N1067" s="2"/>
      <c r="O1067" s="3"/>
      <c r="P1067" s="2"/>
      <c r="Q1067" s="3"/>
      <c r="R1067" s="2"/>
      <c r="S1067" s="4"/>
      <c r="T1067" s="2"/>
      <c r="U1067" s="4"/>
      <c r="V1067" s="3"/>
      <c r="W1067" s="4"/>
      <c r="X1067" s="3"/>
      <c r="Y1067" s="4"/>
      <c r="Z1067" s="3"/>
      <c r="AA1067" s="3"/>
      <c r="AB1067" s="4"/>
      <c r="AC1067" s="4"/>
      <c r="AD1067" s="4"/>
      <c r="AE1067" s="4"/>
      <c r="AF1067" s="4"/>
      <c r="AG1067" s="4"/>
      <c r="AH1067" s="4"/>
      <c r="AI1067" s="4"/>
      <c r="AJ1067" s="4"/>
      <c r="AK1067" s="5"/>
      <c r="AL1067" s="4"/>
      <c r="AM1067" s="4"/>
      <c r="AN1067" s="4"/>
      <c r="AO1067" s="4"/>
      <c r="AP1067" s="4"/>
      <c r="AQ1067" s="4"/>
      <c r="AR1067" s="4"/>
    </row>
    <row r="1068">
      <c r="A1068" s="2"/>
      <c r="B1068" s="3"/>
      <c r="C1068" s="6"/>
      <c r="D1068" s="2"/>
      <c r="E1068" s="2"/>
      <c r="F1068" s="2"/>
      <c r="G1068" s="2"/>
      <c r="H1068" s="2"/>
      <c r="I1068" s="3"/>
      <c r="J1068" s="2"/>
      <c r="K1068" s="2"/>
      <c r="L1068" s="3"/>
      <c r="M1068" s="2"/>
      <c r="N1068" s="2"/>
      <c r="O1068" s="3"/>
      <c r="P1068" s="2"/>
      <c r="Q1068" s="3"/>
      <c r="R1068" s="2"/>
      <c r="S1068" s="4"/>
      <c r="T1068" s="2"/>
      <c r="U1068" s="4"/>
      <c r="V1068" s="3"/>
      <c r="W1068" s="4"/>
      <c r="X1068" s="3"/>
      <c r="Y1068" s="4"/>
      <c r="Z1068" s="3"/>
      <c r="AA1068" s="3"/>
      <c r="AB1068" s="4"/>
      <c r="AC1068" s="4"/>
      <c r="AD1068" s="4"/>
      <c r="AE1068" s="4"/>
      <c r="AF1068" s="4"/>
      <c r="AG1068" s="4"/>
      <c r="AH1068" s="4"/>
      <c r="AI1068" s="4"/>
      <c r="AJ1068" s="4"/>
      <c r="AK1068" s="5"/>
      <c r="AL1068" s="4"/>
      <c r="AM1068" s="4"/>
      <c r="AN1068" s="4"/>
      <c r="AO1068" s="4"/>
      <c r="AP1068" s="4"/>
      <c r="AQ1068" s="4"/>
      <c r="AR1068" s="4"/>
    </row>
    <row r="1069">
      <c r="A1069" s="2"/>
      <c r="B1069" s="3"/>
      <c r="C1069" s="6"/>
      <c r="D1069" s="2"/>
      <c r="E1069" s="2"/>
      <c r="F1069" s="2"/>
      <c r="G1069" s="2"/>
      <c r="H1069" s="2"/>
      <c r="I1069" s="3"/>
      <c r="J1069" s="2"/>
      <c r="K1069" s="2"/>
      <c r="L1069" s="3"/>
      <c r="M1069" s="2"/>
      <c r="N1069" s="2"/>
      <c r="O1069" s="3"/>
      <c r="P1069" s="2"/>
      <c r="Q1069" s="3"/>
      <c r="R1069" s="2"/>
      <c r="S1069" s="4"/>
      <c r="T1069" s="2"/>
      <c r="U1069" s="4"/>
      <c r="V1069" s="3"/>
      <c r="W1069" s="4"/>
      <c r="X1069" s="3"/>
      <c r="Y1069" s="4"/>
      <c r="Z1069" s="3"/>
      <c r="AA1069" s="3"/>
      <c r="AB1069" s="4"/>
      <c r="AC1069" s="4"/>
      <c r="AD1069" s="4"/>
      <c r="AE1069" s="4"/>
      <c r="AF1069" s="4"/>
      <c r="AG1069" s="4"/>
      <c r="AH1069" s="4"/>
      <c r="AI1069" s="4"/>
      <c r="AJ1069" s="4"/>
      <c r="AK1069" s="5"/>
      <c r="AL1069" s="4"/>
      <c r="AM1069" s="4"/>
      <c r="AN1069" s="4"/>
      <c r="AO1069" s="4"/>
      <c r="AP1069" s="4"/>
      <c r="AQ1069" s="4"/>
      <c r="AR1069" s="4"/>
    </row>
    <row r="1070">
      <c r="A1070" s="2"/>
      <c r="B1070" s="3"/>
      <c r="C1070" s="6"/>
      <c r="D1070" s="2"/>
      <c r="E1070" s="2"/>
      <c r="F1070" s="2"/>
      <c r="G1070" s="2"/>
      <c r="H1070" s="2"/>
      <c r="I1070" s="3"/>
      <c r="J1070" s="2"/>
      <c r="K1070" s="2"/>
      <c r="L1070" s="3"/>
      <c r="M1070" s="2"/>
      <c r="N1070" s="2"/>
      <c r="O1070" s="3"/>
      <c r="P1070" s="2"/>
      <c r="Q1070" s="3"/>
      <c r="R1070" s="2"/>
      <c r="S1070" s="4"/>
      <c r="T1070" s="2"/>
      <c r="U1070" s="4"/>
      <c r="V1070" s="3"/>
      <c r="W1070" s="4"/>
      <c r="X1070" s="3"/>
      <c r="Y1070" s="4"/>
      <c r="Z1070" s="3"/>
      <c r="AA1070" s="3"/>
      <c r="AB1070" s="4"/>
      <c r="AC1070" s="4"/>
      <c r="AD1070" s="4"/>
      <c r="AE1070" s="4"/>
      <c r="AF1070" s="4"/>
      <c r="AG1070" s="4"/>
      <c r="AH1070" s="4"/>
      <c r="AI1070" s="4"/>
      <c r="AJ1070" s="4"/>
      <c r="AK1070" s="5"/>
      <c r="AL1070" s="4"/>
      <c r="AM1070" s="4"/>
      <c r="AN1070" s="4"/>
      <c r="AO1070" s="4"/>
      <c r="AP1070" s="4"/>
      <c r="AQ1070" s="4"/>
      <c r="AR1070" s="4"/>
    </row>
    <row r="1071">
      <c r="A1071" s="2"/>
      <c r="B1071" s="3"/>
      <c r="C1071" s="6"/>
      <c r="D1071" s="2"/>
      <c r="E1071" s="2"/>
      <c r="F1071" s="2"/>
      <c r="G1071" s="2"/>
      <c r="H1071" s="2"/>
      <c r="I1071" s="3"/>
      <c r="J1071" s="2"/>
      <c r="K1071" s="2"/>
      <c r="L1071" s="3"/>
      <c r="M1071" s="2"/>
      <c r="N1071" s="2"/>
      <c r="O1071" s="3"/>
      <c r="P1071" s="2"/>
      <c r="Q1071" s="3"/>
      <c r="R1071" s="2"/>
      <c r="S1071" s="4"/>
      <c r="T1071" s="2"/>
      <c r="U1071" s="4"/>
      <c r="V1071" s="3"/>
      <c r="W1071" s="4"/>
      <c r="X1071" s="3"/>
      <c r="Y1071" s="4"/>
      <c r="Z1071" s="3"/>
      <c r="AA1071" s="3"/>
      <c r="AB1071" s="4"/>
      <c r="AC1071" s="4"/>
      <c r="AD1071" s="4"/>
      <c r="AE1071" s="4"/>
      <c r="AF1071" s="4"/>
      <c r="AG1071" s="4"/>
      <c r="AH1071" s="4"/>
      <c r="AI1071" s="4"/>
      <c r="AJ1071" s="4"/>
      <c r="AK1071" s="5"/>
      <c r="AL1071" s="4"/>
      <c r="AM1071" s="4"/>
      <c r="AN1071" s="4"/>
      <c r="AO1071" s="4"/>
      <c r="AP1071" s="4"/>
      <c r="AQ1071" s="4"/>
      <c r="AR1071" s="4"/>
    </row>
    <row r="1072">
      <c r="A1072" s="2"/>
      <c r="B1072" s="3"/>
      <c r="C1072" s="6"/>
      <c r="D1072" s="2"/>
      <c r="E1072" s="2"/>
      <c r="F1072" s="2"/>
      <c r="G1072" s="2"/>
      <c r="H1072" s="2"/>
      <c r="I1072" s="3"/>
      <c r="J1072" s="2"/>
      <c r="K1072" s="2"/>
      <c r="L1072" s="3"/>
      <c r="M1072" s="2"/>
      <c r="N1072" s="2"/>
      <c r="O1072" s="3"/>
      <c r="P1072" s="2"/>
      <c r="Q1072" s="3"/>
      <c r="R1072" s="2"/>
      <c r="S1072" s="4"/>
      <c r="T1072" s="2"/>
      <c r="U1072" s="4"/>
      <c r="V1072" s="3"/>
      <c r="W1072" s="4"/>
      <c r="X1072" s="3"/>
      <c r="Y1072" s="4"/>
      <c r="Z1072" s="3"/>
      <c r="AA1072" s="3"/>
      <c r="AB1072" s="4"/>
      <c r="AC1072" s="4"/>
      <c r="AD1072" s="4"/>
      <c r="AE1072" s="4"/>
      <c r="AF1072" s="4"/>
      <c r="AG1072" s="4"/>
      <c r="AH1072" s="4"/>
      <c r="AI1072" s="4"/>
      <c r="AJ1072" s="4"/>
      <c r="AK1072" s="5"/>
      <c r="AL1072" s="4"/>
      <c r="AM1072" s="4"/>
      <c r="AN1072" s="4"/>
      <c r="AO1072" s="4"/>
      <c r="AP1072" s="4"/>
      <c r="AQ1072" s="4"/>
      <c r="AR1072" s="4"/>
    </row>
    <row r="1073">
      <c r="A1073" s="2"/>
      <c r="B1073" s="3"/>
      <c r="C1073" s="6"/>
      <c r="D1073" s="2"/>
      <c r="E1073" s="2"/>
      <c r="F1073" s="2"/>
      <c r="G1073" s="2"/>
      <c r="H1073" s="2"/>
      <c r="I1073" s="3"/>
      <c r="J1073" s="2"/>
      <c r="K1073" s="2"/>
      <c r="L1073" s="3"/>
      <c r="M1073" s="2"/>
      <c r="N1073" s="2"/>
      <c r="O1073" s="3"/>
      <c r="P1073" s="2"/>
      <c r="Q1073" s="3"/>
      <c r="R1073" s="2"/>
      <c r="S1073" s="4"/>
      <c r="T1073" s="2"/>
      <c r="U1073" s="4"/>
      <c r="V1073" s="3"/>
      <c r="W1073" s="4"/>
      <c r="X1073" s="3"/>
      <c r="Y1073" s="4"/>
      <c r="Z1073" s="3"/>
      <c r="AA1073" s="3"/>
      <c r="AB1073" s="4"/>
      <c r="AC1073" s="4"/>
      <c r="AD1073" s="4"/>
      <c r="AE1073" s="4"/>
      <c r="AF1073" s="4"/>
      <c r="AG1073" s="4"/>
      <c r="AH1073" s="4"/>
      <c r="AI1073" s="4"/>
      <c r="AJ1073" s="4"/>
      <c r="AK1073" s="5"/>
      <c r="AL1073" s="4"/>
      <c r="AM1073" s="4"/>
      <c r="AN1073" s="4"/>
      <c r="AO1073" s="4"/>
      <c r="AP1073" s="4"/>
      <c r="AQ1073" s="4"/>
      <c r="AR1073" s="4"/>
    </row>
  </sheetData>
  <autoFilter ref="$A$6:$AR$874">
    <sortState ref="A6:AR874">
      <sortCondition ref="AC6:AC874"/>
      <sortCondition ref="C6:C874"/>
      <sortCondition ref="M6:M874"/>
    </sortState>
  </autoFilter>
  <mergeCells count="49"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N3:U3"/>
    <mergeCell ref="V3:Y3"/>
    <mergeCell ref="AA3:AA5"/>
    <mergeCell ref="AB3:AB5"/>
    <mergeCell ref="AC3:AC5"/>
    <mergeCell ref="AD3:AD5"/>
    <mergeCell ref="AE3:AE5"/>
    <mergeCell ref="Z4:Z5"/>
    <mergeCell ref="AM3:AM5"/>
    <mergeCell ref="AN3:AN5"/>
    <mergeCell ref="AO3:AO5"/>
    <mergeCell ref="AP3:AP5"/>
    <mergeCell ref="AQ3:AQ5"/>
    <mergeCell ref="AR3:AR5"/>
    <mergeCell ref="AF3:AF5"/>
    <mergeCell ref="AG3:AG5"/>
    <mergeCell ref="AH3:AH5"/>
    <mergeCell ref="AI3:AI5"/>
    <mergeCell ref="AJ3:AJ5"/>
    <mergeCell ref="AK3:AK5"/>
    <mergeCell ref="AL3:AL5"/>
    <mergeCell ref="F4:F5"/>
    <mergeCell ref="G4:G5"/>
    <mergeCell ref="H4:H5"/>
    <mergeCell ref="I4:I5"/>
    <mergeCell ref="J4:J5"/>
    <mergeCell ref="K4:K5"/>
    <mergeCell ref="L4:L5"/>
    <mergeCell ref="M4:M5"/>
    <mergeCell ref="A1:F1"/>
    <mergeCell ref="A3:A5"/>
    <mergeCell ref="B3:B5"/>
    <mergeCell ref="C3:C5"/>
    <mergeCell ref="D3:E3"/>
    <mergeCell ref="F3:H3"/>
    <mergeCell ref="I3:M3"/>
    <mergeCell ref="D5:E5"/>
  </mergeCells>
  <conditionalFormatting sqref="B2:B6 B827:B828 B875:B1073">
    <cfRule type="cellIs" dxfId="0" priority="1" operator="equal">
      <formula>"formula"</formula>
    </cfRule>
  </conditionalFormatting>
  <conditionalFormatting sqref="B498:B533">
    <cfRule type="cellIs" dxfId="0" priority="2" operator="equal">
      <formula>"formula"</formula>
    </cfRule>
  </conditionalFormatting>
  <conditionalFormatting sqref="B547">
    <cfRule type="cellIs" dxfId="0" priority="3" operator="equal">
      <formula>"formula"</formula>
    </cfRule>
  </conditionalFormatting>
  <conditionalFormatting sqref="B551:B567 B569:B592">
    <cfRule type="cellIs" dxfId="0" priority="4" operator="equal">
      <formula>"formula"</formula>
    </cfRule>
  </conditionalFormatting>
  <conditionalFormatting sqref="B604:B605">
    <cfRule type="cellIs" dxfId="0" priority="5" operator="equal">
      <formula>"formula"</formula>
    </cfRule>
  </conditionalFormatting>
  <conditionalFormatting sqref="B610:B646">
    <cfRule type="cellIs" dxfId="0" priority="6" operator="equal">
      <formula>"formula"</formula>
    </cfRule>
  </conditionalFormatting>
  <conditionalFormatting sqref="B656:B657">
    <cfRule type="cellIs" dxfId="0" priority="7" operator="equal">
      <formula>"formula"</formula>
    </cfRule>
  </conditionalFormatting>
  <conditionalFormatting sqref="B660:B705">
    <cfRule type="cellIs" dxfId="0" priority="8" operator="equal">
      <formula>"formula"</formula>
    </cfRule>
  </conditionalFormatting>
  <conditionalFormatting sqref="B713:B714">
    <cfRule type="cellIs" dxfId="0" priority="9" operator="equal">
      <formula>"formula"</formula>
    </cfRule>
  </conditionalFormatting>
  <conditionalFormatting sqref="B718:B760">
    <cfRule type="cellIs" dxfId="0" priority="10" operator="equal">
      <formula>"formula"</formula>
    </cfRule>
  </conditionalFormatting>
  <conditionalFormatting sqref="B775:B776">
    <cfRule type="cellIs" dxfId="0" priority="11" operator="equal">
      <formula>"formula"</formula>
    </cfRule>
  </conditionalFormatting>
  <conditionalFormatting sqref="B781:B826">
    <cfRule type="cellIs" dxfId="0" priority="12" operator="equal">
      <formula>"formula"</formula>
    </cfRule>
  </conditionalFormatting>
  <conditionalFormatting sqref="B836:B837">
    <cfRule type="cellIs" dxfId="0" priority="13" operator="equal">
      <formula>"formula"</formula>
    </cfRule>
  </conditionalFormatting>
  <conditionalFormatting sqref="B841:B873">
    <cfRule type="cellIs" dxfId="0" priority="14" operator="equal">
      <formula>"formula"</formula>
    </cfRule>
  </conditionalFormatting>
  <conditionalFormatting sqref="B67:B149">
    <cfRule type="cellIs" dxfId="0" priority="15" operator="equal">
      <formula>"formula"</formula>
    </cfRule>
  </conditionalFormatting>
  <conditionalFormatting sqref="B207:B236">
    <cfRule type="cellIs" dxfId="0" priority="16" operator="equal">
      <formula>"formula"</formula>
    </cfRule>
  </conditionalFormatting>
  <conditionalFormatting sqref="B288:B329">
    <cfRule type="cellIs" dxfId="0" priority="17" operator="equal">
      <formula>"formula"</formula>
    </cfRule>
  </conditionalFormatting>
  <conditionalFormatting sqref="B396:B453">
    <cfRule type="cellIs" dxfId="0" priority="18" operator="equal">
      <formula>"formula"</formula>
    </cfRule>
  </conditionalFormatting>
  <conditionalFormatting sqref="B480:B482">
    <cfRule type="cellIs" dxfId="0" priority="19" operator="equal">
      <formula>"formula"</formula>
    </cfRule>
  </conditionalFormatting>
  <hyperlinks>
    <hyperlink r:id="rId1" ref="S243"/>
    <hyperlink r:id="rId2" ref="S467"/>
    <hyperlink r:id="rId3" ref="AJ514"/>
  </hyperlinks>
  <printOptions/>
  <pageMargins bottom="0.75" footer="0.0" header="0.0" left="0.7" right="0.7" top="0.75"/>
  <pageSetup paperSize="9" orientation="portrait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4.38"/>
    <col customWidth="1" min="2" max="2" width="40.63"/>
    <col customWidth="1" min="3" max="3" width="19.13"/>
    <col customWidth="1" min="4" max="4" width="7.88"/>
    <col customWidth="1" min="5" max="5" width="8.13"/>
    <col customWidth="1" min="6" max="6" width="16.0"/>
    <col customWidth="1" min="7" max="7" width="9.25"/>
    <col customWidth="1" min="9" max="9" width="16.25"/>
    <col customWidth="1" min="10" max="10" width="8.38"/>
    <col customWidth="1" min="12" max="12" width="26.38"/>
    <col customWidth="1" min="14" max="14" width="23.0"/>
    <col customWidth="1" min="15" max="15" width="90.88"/>
    <col customWidth="1" min="16" max="16" width="9.0"/>
    <col customWidth="1" min="17" max="17" width="144.75"/>
    <col customWidth="1" min="19" max="19" width="14.0"/>
    <col customWidth="1" min="20" max="20" width="9.88"/>
    <col customWidth="1" min="21" max="21" width="15.25"/>
    <col customWidth="1" min="22" max="22" width="11.13"/>
    <col customWidth="1" min="23" max="23" width="38.75"/>
    <col customWidth="1" min="24" max="24" width="49.75"/>
    <col customWidth="1" min="25" max="25" width="14.13"/>
    <col customWidth="1" min="26" max="26" width="33.13"/>
    <col customWidth="1" min="27" max="27" width="9.38"/>
    <col customWidth="1" min="28" max="28" width="14.38"/>
    <col customWidth="1" min="29" max="29" width="6.75"/>
    <col customWidth="1" min="30" max="30" width="12.38"/>
    <col customWidth="1" min="31" max="31" width="13.75"/>
    <col customWidth="1" min="32" max="32" width="12.63"/>
    <col customWidth="1" min="33" max="33" width="12.38"/>
    <col customWidth="1" min="34" max="34" width="10.13"/>
    <col customWidth="1" min="35" max="35" width="13.0"/>
    <col customWidth="1" min="36" max="36" width="26.0"/>
    <col customWidth="1" min="37" max="37" width="27.88"/>
    <col customWidth="1" min="38" max="38" width="58.63"/>
    <col customWidth="1" min="39" max="40" width="15.0"/>
    <col customWidth="1" min="41" max="41" width="18.0"/>
    <col customWidth="1" min="42" max="42" width="19.88"/>
    <col customWidth="1" min="43" max="43" width="6.88"/>
    <col customWidth="1" min="44" max="44" width="3.63"/>
  </cols>
  <sheetData>
    <row r="1">
      <c r="A1" s="244" t="s">
        <v>0</v>
      </c>
      <c r="B1" s="3"/>
      <c r="C1" s="6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2"/>
      <c r="Q1" s="3"/>
      <c r="R1" s="2"/>
      <c r="S1" s="4"/>
      <c r="T1" s="3"/>
      <c r="U1" s="4"/>
      <c r="V1" s="3"/>
      <c r="W1" s="4"/>
      <c r="X1" s="3"/>
      <c r="Y1" s="3"/>
      <c r="Z1" s="3"/>
      <c r="AA1" s="3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>
      <c r="A2" s="2"/>
      <c r="B2" s="3"/>
      <c r="C2" s="6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2"/>
      <c r="Q2" s="3"/>
      <c r="R2" s="2"/>
      <c r="S2" s="4"/>
      <c r="T2" s="3"/>
      <c r="U2" s="4"/>
      <c r="V2" s="3"/>
      <c r="W2" s="4"/>
      <c r="X2" s="3"/>
      <c r="Y2" s="3"/>
      <c r="Z2" s="3"/>
      <c r="AA2" s="3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>
      <c r="A3" s="245" t="s">
        <v>1</v>
      </c>
      <c r="B3" s="245" t="s">
        <v>2</v>
      </c>
      <c r="C3" s="246" t="s">
        <v>3</v>
      </c>
      <c r="D3" s="247" t="s">
        <v>4</v>
      </c>
      <c r="E3" s="10"/>
      <c r="F3" s="247" t="s">
        <v>5</v>
      </c>
      <c r="G3" s="11"/>
      <c r="H3" s="10"/>
      <c r="I3" s="247" t="s">
        <v>6</v>
      </c>
      <c r="J3" s="11"/>
      <c r="K3" s="11"/>
      <c r="L3" s="11"/>
      <c r="M3" s="10"/>
      <c r="N3" s="247" t="s">
        <v>7</v>
      </c>
      <c r="O3" s="11"/>
      <c r="P3" s="11"/>
      <c r="Q3" s="11"/>
      <c r="R3" s="11"/>
      <c r="S3" s="11"/>
      <c r="T3" s="11"/>
      <c r="U3" s="10"/>
      <c r="V3" s="247" t="s">
        <v>8</v>
      </c>
      <c r="W3" s="11"/>
      <c r="X3" s="11"/>
      <c r="Y3" s="10"/>
      <c r="Z3" s="248" t="s">
        <v>9</v>
      </c>
      <c r="AA3" s="245" t="s">
        <v>10</v>
      </c>
      <c r="AB3" s="249" t="s">
        <v>11</v>
      </c>
      <c r="AC3" s="249" t="s">
        <v>12</v>
      </c>
      <c r="AD3" s="249" t="s">
        <v>13</v>
      </c>
      <c r="AE3" s="249" t="s">
        <v>14</v>
      </c>
      <c r="AF3" s="249" t="s">
        <v>15</v>
      </c>
      <c r="AG3" s="249" t="s">
        <v>16</v>
      </c>
      <c r="AH3" s="249" t="s">
        <v>17</v>
      </c>
      <c r="AI3" s="249" t="s">
        <v>18</v>
      </c>
      <c r="AJ3" s="249" t="s">
        <v>19</v>
      </c>
      <c r="AK3" s="249" t="s">
        <v>20</v>
      </c>
      <c r="AL3" s="249" t="s">
        <v>21</v>
      </c>
      <c r="AM3" s="249" t="s">
        <v>22</v>
      </c>
      <c r="AN3" s="249" t="s">
        <v>23</v>
      </c>
      <c r="AO3" s="249" t="s">
        <v>24</v>
      </c>
      <c r="AP3" s="249" t="s">
        <v>25</v>
      </c>
      <c r="AQ3" s="249" t="s">
        <v>26</v>
      </c>
      <c r="AR3" s="249" t="s">
        <v>27</v>
      </c>
    </row>
    <row r="4">
      <c r="A4" s="15"/>
      <c r="B4" s="15"/>
      <c r="C4" s="15"/>
      <c r="D4" s="248" t="s">
        <v>28</v>
      </c>
      <c r="E4" s="248" t="s">
        <v>29</v>
      </c>
      <c r="F4" s="245" t="s">
        <v>30</v>
      </c>
      <c r="G4" s="249" t="s">
        <v>31</v>
      </c>
      <c r="H4" s="245" t="s">
        <v>32</v>
      </c>
      <c r="I4" s="245" t="s">
        <v>30</v>
      </c>
      <c r="J4" s="249" t="s">
        <v>31</v>
      </c>
      <c r="K4" s="245" t="s">
        <v>33</v>
      </c>
      <c r="L4" s="245" t="s">
        <v>34</v>
      </c>
      <c r="M4" s="245" t="s">
        <v>32</v>
      </c>
      <c r="N4" s="245" t="s">
        <v>35</v>
      </c>
      <c r="O4" s="245" t="s">
        <v>36</v>
      </c>
      <c r="P4" s="245" t="s">
        <v>37</v>
      </c>
      <c r="Q4" s="245" t="s">
        <v>38</v>
      </c>
      <c r="R4" s="245" t="s">
        <v>39</v>
      </c>
      <c r="S4" s="245" t="s">
        <v>33</v>
      </c>
      <c r="T4" s="245" t="s">
        <v>40</v>
      </c>
      <c r="U4" s="249" t="s">
        <v>34</v>
      </c>
      <c r="V4" s="249" t="s">
        <v>41</v>
      </c>
      <c r="W4" s="245" t="s">
        <v>42</v>
      </c>
      <c r="X4" s="245" t="s">
        <v>43</v>
      </c>
      <c r="Y4" s="245" t="s">
        <v>44</v>
      </c>
      <c r="Z4" s="245" t="s">
        <v>45</v>
      </c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</row>
    <row r="5">
      <c r="A5" s="16"/>
      <c r="B5" s="16"/>
      <c r="C5" s="16"/>
      <c r="D5" s="247" t="s">
        <v>46</v>
      </c>
      <c r="E5" s="10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</row>
    <row r="6">
      <c r="A6" s="250">
        <v>1.0</v>
      </c>
      <c r="B6" s="251">
        <v>2.0</v>
      </c>
      <c r="C6" s="252" t="s">
        <v>47</v>
      </c>
      <c r="D6" s="251">
        <v>4.0</v>
      </c>
      <c r="E6" s="251">
        <v>5.0</v>
      </c>
      <c r="F6" s="251">
        <v>6.0</v>
      </c>
      <c r="G6" s="251">
        <v>7.0</v>
      </c>
      <c r="H6" s="251">
        <v>8.0</v>
      </c>
      <c r="I6" s="251">
        <v>9.0</v>
      </c>
      <c r="J6" s="251">
        <v>10.0</v>
      </c>
      <c r="K6" s="251">
        <v>11.0</v>
      </c>
      <c r="L6" s="251">
        <v>12.0</v>
      </c>
      <c r="M6" s="251">
        <v>13.0</v>
      </c>
      <c r="N6" s="251">
        <v>14.0</v>
      </c>
      <c r="O6" s="251">
        <v>15.0</v>
      </c>
      <c r="P6" s="251">
        <v>16.0</v>
      </c>
      <c r="Q6" s="251">
        <v>17.0</v>
      </c>
      <c r="R6" s="251">
        <v>18.0</v>
      </c>
      <c r="S6" s="251">
        <v>19.0</v>
      </c>
      <c r="T6" s="251">
        <v>20.0</v>
      </c>
      <c r="U6" s="251">
        <v>21.0</v>
      </c>
      <c r="V6" s="251">
        <v>22.0</v>
      </c>
      <c r="W6" s="251">
        <v>23.0</v>
      </c>
      <c r="X6" s="251">
        <v>24.0</v>
      </c>
      <c r="Y6" s="251">
        <v>25.0</v>
      </c>
      <c r="Z6" s="251">
        <v>26.0</v>
      </c>
      <c r="AA6" s="251">
        <v>27.0</v>
      </c>
      <c r="AB6" s="251">
        <v>28.0</v>
      </c>
      <c r="AC6" s="251">
        <v>29.0</v>
      </c>
      <c r="AD6" s="251">
        <v>30.0</v>
      </c>
      <c r="AE6" s="251">
        <v>31.0</v>
      </c>
      <c r="AF6" s="251">
        <v>32.0</v>
      </c>
      <c r="AG6" s="251">
        <v>33.0</v>
      </c>
      <c r="AH6" s="251">
        <v>34.0</v>
      </c>
      <c r="AI6" s="251">
        <v>35.0</v>
      </c>
      <c r="AJ6" s="251">
        <v>36.0</v>
      </c>
      <c r="AK6" s="251">
        <v>37.0</v>
      </c>
      <c r="AL6" s="251">
        <v>38.0</v>
      </c>
      <c r="AM6" s="251">
        <v>39.0</v>
      </c>
      <c r="AN6" s="251">
        <v>40.0</v>
      </c>
      <c r="AO6" s="251">
        <v>41.0</v>
      </c>
      <c r="AP6" s="251">
        <v>42.0</v>
      </c>
      <c r="AQ6" s="251">
        <v>43.0</v>
      </c>
      <c r="AR6" s="251">
        <v>44.0</v>
      </c>
    </row>
    <row r="7">
      <c r="A7" s="21">
        <v>1.0</v>
      </c>
      <c r="B7" s="21" t="s">
        <v>48</v>
      </c>
      <c r="C7" s="22" t="s">
        <v>49</v>
      </c>
      <c r="D7" s="23">
        <v>17.0</v>
      </c>
      <c r="E7" s="23">
        <v>0.0</v>
      </c>
      <c r="F7" s="23" t="s">
        <v>50</v>
      </c>
      <c r="G7" s="23" t="s">
        <v>51</v>
      </c>
      <c r="H7" s="24">
        <v>38261.0</v>
      </c>
      <c r="I7" s="21" t="s">
        <v>52</v>
      </c>
      <c r="J7" s="21" t="s">
        <v>53</v>
      </c>
      <c r="K7" s="21" t="s">
        <v>54</v>
      </c>
      <c r="L7" s="21" t="s">
        <v>55</v>
      </c>
      <c r="M7" s="25">
        <v>45200.0</v>
      </c>
      <c r="N7" s="23" t="s">
        <v>56</v>
      </c>
      <c r="O7" s="21" t="s">
        <v>57</v>
      </c>
      <c r="P7" s="23" t="s">
        <v>58</v>
      </c>
      <c r="Q7" s="21" t="s">
        <v>59</v>
      </c>
      <c r="R7" s="24">
        <v>44511.0</v>
      </c>
      <c r="S7" s="23" t="s">
        <v>60</v>
      </c>
      <c r="T7" s="26"/>
      <c r="U7" s="23" t="s">
        <v>61</v>
      </c>
      <c r="V7" s="21" t="s">
        <v>62</v>
      </c>
      <c r="W7" s="21" t="s">
        <v>63</v>
      </c>
      <c r="X7" s="21" t="s">
        <v>64</v>
      </c>
      <c r="Y7" s="27">
        <v>44825.0</v>
      </c>
      <c r="Z7" s="23" t="s">
        <v>65</v>
      </c>
      <c r="AA7" s="28">
        <v>52608.0</v>
      </c>
      <c r="AB7" s="29"/>
      <c r="AC7" s="23">
        <v>1.0</v>
      </c>
      <c r="AD7" s="21" t="s">
        <v>66</v>
      </c>
      <c r="AE7" s="21" t="s">
        <v>67</v>
      </c>
      <c r="AF7" s="30"/>
      <c r="AG7" s="21" t="s">
        <v>68</v>
      </c>
      <c r="AH7" s="21" t="s">
        <v>69</v>
      </c>
      <c r="AI7" s="21">
        <v>8.11655502E8</v>
      </c>
      <c r="AJ7" s="21" t="s">
        <v>70</v>
      </c>
      <c r="AK7" s="21" t="s">
        <v>71</v>
      </c>
      <c r="AL7" s="21" t="s">
        <v>72</v>
      </c>
      <c r="AM7" s="21" t="s">
        <v>73</v>
      </c>
      <c r="AN7" s="21" t="s">
        <v>74</v>
      </c>
      <c r="AO7" s="21" t="s">
        <v>75</v>
      </c>
      <c r="AP7" s="21" t="s">
        <v>76</v>
      </c>
      <c r="AQ7" s="21" t="s">
        <v>77</v>
      </c>
      <c r="AR7" s="21" t="s">
        <v>77</v>
      </c>
    </row>
    <row r="8">
      <c r="A8" s="21">
        <f t="shared" ref="A8:A47" si="1">SUM(A7+1)</f>
        <v>2</v>
      </c>
      <c r="B8" s="21" t="s">
        <v>78</v>
      </c>
      <c r="C8" s="31" t="s">
        <v>79</v>
      </c>
      <c r="D8" s="23">
        <v>12.0</v>
      </c>
      <c r="E8" s="23">
        <v>4.0</v>
      </c>
      <c r="F8" s="23" t="s">
        <v>80</v>
      </c>
      <c r="G8" s="23" t="s">
        <v>81</v>
      </c>
      <c r="H8" s="32">
        <v>37987.0</v>
      </c>
      <c r="I8" s="21" t="s">
        <v>82</v>
      </c>
      <c r="J8" s="21" t="s">
        <v>83</v>
      </c>
      <c r="K8" s="21" t="s">
        <v>84</v>
      </c>
      <c r="L8" s="21" t="s">
        <v>61</v>
      </c>
      <c r="M8" s="33">
        <v>42095.0</v>
      </c>
      <c r="N8" s="23" t="s">
        <v>56</v>
      </c>
      <c r="O8" s="21" t="s">
        <v>85</v>
      </c>
      <c r="P8" s="23" t="s">
        <v>58</v>
      </c>
      <c r="Q8" s="21" t="s">
        <v>86</v>
      </c>
      <c r="R8" s="34">
        <v>46076.0</v>
      </c>
      <c r="S8" s="23" t="s">
        <v>87</v>
      </c>
      <c r="T8" s="35"/>
      <c r="U8" s="23" t="s">
        <v>88</v>
      </c>
      <c r="V8" s="21" t="s">
        <v>89</v>
      </c>
      <c r="W8" s="21" t="s">
        <v>90</v>
      </c>
      <c r="X8" s="21" t="s">
        <v>91</v>
      </c>
      <c r="Y8" s="36">
        <v>37221.0</v>
      </c>
      <c r="Z8" s="35"/>
      <c r="AA8" s="32">
        <v>50050.0</v>
      </c>
      <c r="AB8" s="35"/>
      <c r="AC8" s="23">
        <v>2.0</v>
      </c>
      <c r="AD8" s="21" t="s">
        <v>66</v>
      </c>
      <c r="AE8" s="21" t="s">
        <v>67</v>
      </c>
      <c r="AF8" s="21" t="s">
        <v>92</v>
      </c>
      <c r="AG8" s="21" t="s">
        <v>68</v>
      </c>
      <c r="AH8" s="37"/>
      <c r="AI8" s="21">
        <v>8.116161977E9</v>
      </c>
      <c r="AJ8" s="21" t="s">
        <v>93</v>
      </c>
      <c r="AK8" s="21" t="s">
        <v>94</v>
      </c>
      <c r="AL8" s="21" t="s">
        <v>95</v>
      </c>
      <c r="AM8" s="21" t="s">
        <v>96</v>
      </c>
      <c r="AN8" s="21" t="s">
        <v>97</v>
      </c>
      <c r="AO8" s="21" t="s">
        <v>98</v>
      </c>
      <c r="AP8" s="21" t="s">
        <v>99</v>
      </c>
      <c r="AQ8" s="37"/>
      <c r="AR8" s="37"/>
    </row>
    <row r="9">
      <c r="A9" s="21">
        <f t="shared" si="1"/>
        <v>3</v>
      </c>
      <c r="B9" s="21" t="s">
        <v>100</v>
      </c>
      <c r="C9" s="38" t="s">
        <v>101</v>
      </c>
      <c r="D9" s="23">
        <v>8.0</v>
      </c>
      <c r="E9" s="23">
        <v>10.0</v>
      </c>
      <c r="F9" s="23" t="s">
        <v>80</v>
      </c>
      <c r="G9" s="23" t="s">
        <v>81</v>
      </c>
      <c r="H9" s="24">
        <v>41791.0</v>
      </c>
      <c r="I9" s="21" t="s">
        <v>102</v>
      </c>
      <c r="J9" s="21" t="s">
        <v>103</v>
      </c>
      <c r="K9" s="21" t="s">
        <v>104</v>
      </c>
      <c r="L9" s="21" t="s">
        <v>105</v>
      </c>
      <c r="M9" s="25">
        <v>45017.0</v>
      </c>
      <c r="N9" s="23" t="s">
        <v>56</v>
      </c>
      <c r="O9" s="21" t="s">
        <v>106</v>
      </c>
      <c r="P9" s="23" t="s">
        <v>107</v>
      </c>
      <c r="Q9" s="21" t="s">
        <v>108</v>
      </c>
      <c r="R9" s="24">
        <v>45628.0</v>
      </c>
      <c r="S9" s="23" t="s">
        <v>109</v>
      </c>
      <c r="T9" s="26"/>
      <c r="U9" s="23" t="s">
        <v>105</v>
      </c>
      <c r="V9" s="21" t="s">
        <v>110</v>
      </c>
      <c r="W9" s="21" t="s">
        <v>111</v>
      </c>
      <c r="X9" s="21" t="s">
        <v>112</v>
      </c>
      <c r="Y9" s="21" t="s">
        <v>113</v>
      </c>
      <c r="Z9" s="23" t="s">
        <v>114</v>
      </c>
      <c r="AA9" s="28">
        <v>54795.0</v>
      </c>
      <c r="AB9" s="29"/>
      <c r="AC9" s="23">
        <v>3.0</v>
      </c>
      <c r="AD9" s="21" t="s">
        <v>66</v>
      </c>
      <c r="AE9" s="21" t="s">
        <v>67</v>
      </c>
      <c r="AF9" s="30"/>
      <c r="AG9" s="21" t="s">
        <v>68</v>
      </c>
      <c r="AH9" s="21" t="s">
        <v>69</v>
      </c>
      <c r="AI9" s="21">
        <v>8.2168289466E10</v>
      </c>
      <c r="AJ9" s="21" t="s">
        <v>115</v>
      </c>
      <c r="AK9" s="21" t="s">
        <v>116</v>
      </c>
      <c r="AL9" s="21" t="s">
        <v>117</v>
      </c>
      <c r="AM9" s="21" t="s">
        <v>96</v>
      </c>
      <c r="AN9" s="30"/>
      <c r="AO9" s="21" t="s">
        <v>118</v>
      </c>
      <c r="AP9" s="21" t="s">
        <v>119</v>
      </c>
      <c r="AQ9" s="21">
        <v>1.0</v>
      </c>
      <c r="AR9" s="21">
        <v>9.0</v>
      </c>
    </row>
    <row r="10">
      <c r="A10" s="21">
        <f t="shared" si="1"/>
        <v>4</v>
      </c>
      <c r="B10" s="39" t="s">
        <v>120</v>
      </c>
      <c r="C10" s="40" t="s">
        <v>121</v>
      </c>
      <c r="D10" s="41">
        <v>8.0</v>
      </c>
      <c r="E10" s="41">
        <v>5.0</v>
      </c>
      <c r="F10" s="39" t="s">
        <v>80</v>
      </c>
      <c r="G10" s="39" t="s">
        <v>81</v>
      </c>
      <c r="H10" s="42">
        <v>43313.0</v>
      </c>
      <c r="I10" s="39" t="s">
        <v>102</v>
      </c>
      <c r="J10" s="39" t="s">
        <v>103</v>
      </c>
      <c r="K10" s="39" t="s">
        <v>122</v>
      </c>
      <c r="L10" s="39" t="s">
        <v>105</v>
      </c>
      <c r="M10" s="42">
        <v>46023.0</v>
      </c>
      <c r="N10" s="39" t="s">
        <v>123</v>
      </c>
      <c r="O10" s="39" t="s">
        <v>124</v>
      </c>
      <c r="P10" s="43"/>
      <c r="Q10" s="39" t="s">
        <v>59</v>
      </c>
      <c r="R10" s="42">
        <v>44936.0</v>
      </c>
      <c r="S10" s="39" t="s">
        <v>125</v>
      </c>
      <c r="T10" s="44"/>
      <c r="U10" s="39" t="s">
        <v>105</v>
      </c>
      <c r="V10" s="39" t="s">
        <v>110</v>
      </c>
      <c r="W10" s="39" t="s">
        <v>126</v>
      </c>
      <c r="X10" s="39" t="s">
        <v>127</v>
      </c>
      <c r="Y10" s="39" t="s">
        <v>128</v>
      </c>
      <c r="Z10" s="39" t="s">
        <v>114</v>
      </c>
      <c r="AA10" s="45">
        <v>55164.0</v>
      </c>
      <c r="AB10" s="46"/>
      <c r="AC10" s="23">
        <v>4.0</v>
      </c>
      <c r="AD10" s="39" t="s">
        <v>66</v>
      </c>
      <c r="AE10" s="39" t="s">
        <v>67</v>
      </c>
      <c r="AF10" s="39" t="s">
        <v>129</v>
      </c>
      <c r="AG10" s="39" t="s">
        <v>130</v>
      </c>
      <c r="AH10" s="39" t="s">
        <v>131</v>
      </c>
      <c r="AI10" s="39">
        <v>8.2321477445E10</v>
      </c>
      <c r="AJ10" s="39" t="s">
        <v>132</v>
      </c>
      <c r="AK10" s="39" t="s">
        <v>133</v>
      </c>
      <c r="AL10" s="39" t="s">
        <v>134</v>
      </c>
      <c r="AM10" s="39" t="s">
        <v>96</v>
      </c>
      <c r="AN10" s="39" t="s">
        <v>135</v>
      </c>
      <c r="AO10" s="39" t="s">
        <v>136</v>
      </c>
      <c r="AP10" s="39" t="s">
        <v>137</v>
      </c>
      <c r="AQ10" s="39" t="s">
        <v>77</v>
      </c>
      <c r="AR10" s="39" t="s">
        <v>77</v>
      </c>
    </row>
    <row r="11">
      <c r="A11" s="21">
        <f t="shared" si="1"/>
        <v>5</v>
      </c>
      <c r="B11" s="39" t="s">
        <v>138</v>
      </c>
      <c r="C11" s="40" t="s">
        <v>139</v>
      </c>
      <c r="D11" s="41">
        <v>22.0</v>
      </c>
      <c r="E11" s="41">
        <v>3.0</v>
      </c>
      <c r="F11" s="39" t="s">
        <v>50</v>
      </c>
      <c r="G11" s="39" t="s">
        <v>51</v>
      </c>
      <c r="H11" s="42">
        <v>40452.0</v>
      </c>
      <c r="I11" s="39" t="s">
        <v>82</v>
      </c>
      <c r="J11" s="39" t="s">
        <v>83</v>
      </c>
      <c r="K11" s="39" t="s">
        <v>140</v>
      </c>
      <c r="L11" s="39" t="s">
        <v>105</v>
      </c>
      <c r="M11" s="42">
        <v>45809.0</v>
      </c>
      <c r="N11" s="39" t="s">
        <v>141</v>
      </c>
      <c r="O11" s="39" t="s">
        <v>142</v>
      </c>
      <c r="P11" s="43"/>
      <c r="Q11" s="39" t="s">
        <v>108</v>
      </c>
      <c r="R11" s="42">
        <v>45292.0</v>
      </c>
      <c r="S11" s="39" t="s">
        <v>143</v>
      </c>
      <c r="T11" s="44"/>
      <c r="U11" s="39" t="s">
        <v>144</v>
      </c>
      <c r="V11" s="39" t="s">
        <v>89</v>
      </c>
      <c r="W11" s="39" t="s">
        <v>90</v>
      </c>
      <c r="X11" s="39" t="s">
        <v>145</v>
      </c>
      <c r="Y11" s="39" t="s">
        <v>146</v>
      </c>
      <c r="Z11" s="39" t="s">
        <v>114</v>
      </c>
      <c r="AA11" s="45">
        <v>48591.0</v>
      </c>
      <c r="AB11" s="46"/>
      <c r="AC11" s="23">
        <v>5.0</v>
      </c>
      <c r="AD11" s="39" t="s">
        <v>66</v>
      </c>
      <c r="AE11" s="39" t="s">
        <v>67</v>
      </c>
      <c r="AF11" s="39" t="s">
        <v>92</v>
      </c>
      <c r="AG11" s="39" t="s">
        <v>68</v>
      </c>
      <c r="AH11" s="39" t="s">
        <v>69</v>
      </c>
      <c r="AI11" s="39">
        <v>8.139132311E10</v>
      </c>
      <c r="AJ11" s="39" t="s">
        <v>147</v>
      </c>
      <c r="AK11" s="39" t="s">
        <v>148</v>
      </c>
      <c r="AL11" s="39" t="s">
        <v>149</v>
      </c>
      <c r="AM11" s="39" t="s">
        <v>96</v>
      </c>
      <c r="AN11" s="39" t="s">
        <v>150</v>
      </c>
      <c r="AO11" s="39" t="s">
        <v>151</v>
      </c>
      <c r="AP11" s="39" t="s">
        <v>152</v>
      </c>
      <c r="AQ11" s="39" t="s">
        <v>77</v>
      </c>
      <c r="AR11" s="39" t="s">
        <v>77</v>
      </c>
    </row>
    <row r="12">
      <c r="A12" s="21">
        <f t="shared" si="1"/>
        <v>6</v>
      </c>
      <c r="B12" s="39" t="s">
        <v>153</v>
      </c>
      <c r="C12" s="40" t="s">
        <v>154</v>
      </c>
      <c r="D12" s="41">
        <v>12.0</v>
      </c>
      <c r="E12" s="41">
        <v>3.0</v>
      </c>
      <c r="F12" s="39" t="s">
        <v>50</v>
      </c>
      <c r="G12" s="39" t="s">
        <v>51</v>
      </c>
      <c r="H12" s="42">
        <v>41244.0</v>
      </c>
      <c r="I12" s="39" t="s">
        <v>80</v>
      </c>
      <c r="J12" s="39" t="s">
        <v>81</v>
      </c>
      <c r="K12" s="39" t="s">
        <v>155</v>
      </c>
      <c r="L12" s="39" t="s">
        <v>156</v>
      </c>
      <c r="M12" s="42">
        <v>44652.0</v>
      </c>
      <c r="N12" s="39" t="s">
        <v>123</v>
      </c>
      <c r="O12" s="39" t="s">
        <v>157</v>
      </c>
      <c r="P12" s="43"/>
      <c r="Q12" s="39" t="s">
        <v>59</v>
      </c>
      <c r="R12" s="42">
        <v>45870.0</v>
      </c>
      <c r="S12" s="39" t="s">
        <v>158</v>
      </c>
      <c r="T12" s="44"/>
      <c r="U12" s="39" t="s">
        <v>144</v>
      </c>
      <c r="V12" s="39" t="s">
        <v>159</v>
      </c>
      <c r="W12" s="39" t="s">
        <v>160</v>
      </c>
      <c r="X12" s="39" t="s">
        <v>161</v>
      </c>
      <c r="Y12" s="39" t="s">
        <v>162</v>
      </c>
      <c r="Z12" s="39" t="s">
        <v>114</v>
      </c>
      <c r="AA12" s="45">
        <v>52607.0</v>
      </c>
      <c r="AB12" s="46"/>
      <c r="AC12" s="23">
        <v>6.0</v>
      </c>
      <c r="AD12" s="39" t="s">
        <v>66</v>
      </c>
      <c r="AE12" s="39" t="s">
        <v>67</v>
      </c>
      <c r="AF12" s="39" t="s">
        <v>92</v>
      </c>
      <c r="AG12" s="39" t="s">
        <v>130</v>
      </c>
      <c r="AH12" s="39" t="s">
        <v>69</v>
      </c>
      <c r="AI12" s="39">
        <v>8.52966738E10</v>
      </c>
      <c r="AJ12" s="39" t="s">
        <v>163</v>
      </c>
      <c r="AK12" s="39" t="s">
        <v>164</v>
      </c>
      <c r="AL12" s="39" t="s">
        <v>165</v>
      </c>
      <c r="AM12" s="39" t="s">
        <v>73</v>
      </c>
      <c r="AN12" s="39" t="s">
        <v>166</v>
      </c>
      <c r="AO12" s="39" t="s">
        <v>167</v>
      </c>
      <c r="AP12" s="39" t="s">
        <v>168</v>
      </c>
      <c r="AQ12" s="43"/>
      <c r="AR12" s="43"/>
    </row>
    <row r="13">
      <c r="A13" s="21">
        <f t="shared" si="1"/>
        <v>7</v>
      </c>
      <c r="B13" s="39" t="s">
        <v>169</v>
      </c>
      <c r="C13" s="40" t="s">
        <v>170</v>
      </c>
      <c r="D13" s="41">
        <v>20.0</v>
      </c>
      <c r="E13" s="41">
        <v>4.0</v>
      </c>
      <c r="F13" s="39" t="s">
        <v>171</v>
      </c>
      <c r="G13" s="39" t="s">
        <v>172</v>
      </c>
      <c r="H13" s="42">
        <v>39845.0</v>
      </c>
      <c r="I13" s="39" t="s">
        <v>82</v>
      </c>
      <c r="J13" s="39" t="s">
        <v>83</v>
      </c>
      <c r="K13" s="39" t="s">
        <v>140</v>
      </c>
      <c r="L13" s="39" t="s">
        <v>105</v>
      </c>
      <c r="M13" s="42">
        <v>45809.0</v>
      </c>
      <c r="N13" s="39" t="s">
        <v>141</v>
      </c>
      <c r="O13" s="39" t="s">
        <v>173</v>
      </c>
      <c r="P13" s="43"/>
      <c r="Q13" s="39" t="s">
        <v>86</v>
      </c>
      <c r="R13" s="42">
        <v>45292.0</v>
      </c>
      <c r="S13" s="39" t="s">
        <v>143</v>
      </c>
      <c r="T13" s="44"/>
      <c r="U13" s="39" t="s">
        <v>144</v>
      </c>
      <c r="V13" s="39" t="s">
        <v>89</v>
      </c>
      <c r="W13" s="43"/>
      <c r="X13" s="39" t="s">
        <v>174</v>
      </c>
      <c r="Y13" s="47">
        <v>41174.0</v>
      </c>
      <c r="Z13" s="46"/>
      <c r="AA13" s="45">
        <v>50774.0</v>
      </c>
      <c r="AB13" s="46"/>
      <c r="AC13" s="23">
        <v>7.0</v>
      </c>
      <c r="AD13" s="39" t="s">
        <v>66</v>
      </c>
      <c r="AE13" s="39" t="s">
        <v>67</v>
      </c>
      <c r="AF13" s="43"/>
      <c r="AG13" s="39" t="s">
        <v>68</v>
      </c>
      <c r="AH13" s="39" t="s">
        <v>69</v>
      </c>
      <c r="AI13" s="39">
        <v>8.1262066262E10</v>
      </c>
      <c r="AJ13" s="39" t="s">
        <v>175</v>
      </c>
      <c r="AK13" s="39" t="s">
        <v>176</v>
      </c>
      <c r="AL13" s="39" t="s">
        <v>177</v>
      </c>
      <c r="AM13" s="39" t="s">
        <v>96</v>
      </c>
      <c r="AN13" s="39" t="s">
        <v>74</v>
      </c>
      <c r="AO13" s="39" t="s">
        <v>178</v>
      </c>
      <c r="AP13" s="39" t="s">
        <v>179</v>
      </c>
      <c r="AQ13" s="43"/>
      <c r="AR13" s="43"/>
    </row>
    <row r="14">
      <c r="A14" s="21">
        <f t="shared" si="1"/>
        <v>8</v>
      </c>
      <c r="B14" s="39" t="s">
        <v>180</v>
      </c>
      <c r="C14" s="40" t="s">
        <v>181</v>
      </c>
      <c r="D14" s="41">
        <v>4.0</v>
      </c>
      <c r="E14" s="41">
        <v>0.0</v>
      </c>
      <c r="F14" s="39" t="s">
        <v>80</v>
      </c>
      <c r="G14" s="39" t="s">
        <v>81</v>
      </c>
      <c r="H14" s="42">
        <v>44409.0</v>
      </c>
      <c r="I14" s="39" t="s">
        <v>182</v>
      </c>
      <c r="J14" s="39" t="s">
        <v>183</v>
      </c>
      <c r="K14" s="39" t="s">
        <v>184</v>
      </c>
      <c r="L14" s="39" t="s">
        <v>105</v>
      </c>
      <c r="M14" s="42">
        <v>45870.0</v>
      </c>
      <c r="N14" s="39" t="s">
        <v>141</v>
      </c>
      <c r="O14" s="39" t="s">
        <v>173</v>
      </c>
      <c r="P14" s="43"/>
      <c r="Q14" s="39" t="s">
        <v>59</v>
      </c>
      <c r="R14" s="42">
        <v>45558.0</v>
      </c>
      <c r="S14" s="39" t="s">
        <v>185</v>
      </c>
      <c r="T14" s="44"/>
      <c r="U14" s="39" t="s">
        <v>144</v>
      </c>
      <c r="V14" s="39" t="s">
        <v>110</v>
      </c>
      <c r="W14" s="39" t="s">
        <v>186</v>
      </c>
      <c r="X14" s="39" t="s">
        <v>112</v>
      </c>
      <c r="Y14" s="39" t="s">
        <v>187</v>
      </c>
      <c r="Z14" s="39" t="s">
        <v>114</v>
      </c>
      <c r="AA14" s="45">
        <v>57353.0</v>
      </c>
      <c r="AB14" s="46"/>
      <c r="AC14" s="23">
        <v>8.0</v>
      </c>
      <c r="AD14" s="39" t="s">
        <v>66</v>
      </c>
      <c r="AE14" s="39" t="s">
        <v>67</v>
      </c>
      <c r="AF14" s="39" t="s">
        <v>129</v>
      </c>
      <c r="AG14" s="39" t="s">
        <v>68</v>
      </c>
      <c r="AH14" s="39" t="s">
        <v>69</v>
      </c>
      <c r="AI14" s="39">
        <v>8.126933201E10</v>
      </c>
      <c r="AJ14" s="39" t="s">
        <v>188</v>
      </c>
      <c r="AK14" s="39" t="s">
        <v>189</v>
      </c>
      <c r="AL14" s="39" t="s">
        <v>190</v>
      </c>
      <c r="AM14" s="39" t="s">
        <v>73</v>
      </c>
      <c r="AN14" s="39" t="s">
        <v>74</v>
      </c>
      <c r="AO14" s="39" t="s">
        <v>191</v>
      </c>
      <c r="AP14" s="39" t="s">
        <v>192</v>
      </c>
      <c r="AQ14" s="39">
        <v>0.0</v>
      </c>
      <c r="AR14" s="39">
        <v>0.0</v>
      </c>
    </row>
    <row r="15">
      <c r="A15" s="21">
        <f t="shared" si="1"/>
        <v>9</v>
      </c>
      <c r="B15" s="39" t="s">
        <v>193</v>
      </c>
      <c r="C15" s="48" t="s">
        <v>194</v>
      </c>
      <c r="D15" s="41">
        <v>12.0</v>
      </c>
      <c r="E15" s="41">
        <v>11.0</v>
      </c>
      <c r="F15" s="39" t="s">
        <v>50</v>
      </c>
      <c r="G15" s="39" t="s">
        <v>51</v>
      </c>
      <c r="H15" s="42">
        <v>40179.0</v>
      </c>
      <c r="I15" s="39" t="s">
        <v>102</v>
      </c>
      <c r="J15" s="39" t="s">
        <v>103</v>
      </c>
      <c r="K15" s="39" t="s">
        <v>195</v>
      </c>
      <c r="L15" s="39" t="s">
        <v>105</v>
      </c>
      <c r="M15" s="42">
        <v>44835.0</v>
      </c>
      <c r="N15" s="39" t="s">
        <v>141</v>
      </c>
      <c r="O15" s="39" t="s">
        <v>196</v>
      </c>
      <c r="P15" s="43"/>
      <c r="Q15" s="39" t="s">
        <v>108</v>
      </c>
      <c r="R15" s="42">
        <v>45292.0</v>
      </c>
      <c r="S15" s="39" t="s">
        <v>143</v>
      </c>
      <c r="T15" s="44"/>
      <c r="U15" s="39" t="s">
        <v>144</v>
      </c>
      <c r="V15" s="39" t="s">
        <v>89</v>
      </c>
      <c r="W15" s="39" t="s">
        <v>197</v>
      </c>
      <c r="X15" s="39" t="s">
        <v>198</v>
      </c>
      <c r="Y15" s="39" t="s">
        <v>199</v>
      </c>
      <c r="Z15" s="39" t="s">
        <v>114</v>
      </c>
      <c r="AA15" s="45">
        <v>51145.0</v>
      </c>
      <c r="AB15" s="46"/>
      <c r="AC15" s="23">
        <v>9.0</v>
      </c>
      <c r="AD15" s="39" t="s">
        <v>66</v>
      </c>
      <c r="AE15" s="39" t="s">
        <v>67</v>
      </c>
      <c r="AF15" s="39" t="s">
        <v>92</v>
      </c>
      <c r="AG15" s="39" t="s">
        <v>130</v>
      </c>
      <c r="AH15" s="39" t="s">
        <v>69</v>
      </c>
      <c r="AI15" s="39">
        <v>8.116000209E9</v>
      </c>
      <c r="AJ15" s="39" t="s">
        <v>200</v>
      </c>
      <c r="AK15" s="39" t="s">
        <v>201</v>
      </c>
      <c r="AL15" s="39" t="s">
        <v>202</v>
      </c>
      <c r="AM15" s="39" t="s">
        <v>96</v>
      </c>
      <c r="AN15" s="39" t="s">
        <v>74</v>
      </c>
      <c r="AO15" s="39" t="s">
        <v>203</v>
      </c>
      <c r="AP15" s="39" t="s">
        <v>204</v>
      </c>
      <c r="AQ15" s="43"/>
      <c r="AR15" s="43"/>
    </row>
    <row r="16">
      <c r="A16" s="21">
        <f t="shared" si="1"/>
        <v>10</v>
      </c>
      <c r="B16" s="39" t="s">
        <v>205</v>
      </c>
      <c r="C16" s="40" t="s">
        <v>206</v>
      </c>
      <c r="D16" s="41">
        <v>25.0</v>
      </c>
      <c r="E16" s="41">
        <v>1.0</v>
      </c>
      <c r="F16" s="39" t="s">
        <v>50</v>
      </c>
      <c r="G16" s="39" t="s">
        <v>51</v>
      </c>
      <c r="H16" s="42">
        <v>34700.0</v>
      </c>
      <c r="I16" s="39" t="s">
        <v>82</v>
      </c>
      <c r="J16" s="39" t="s">
        <v>83</v>
      </c>
      <c r="K16" s="39" t="s">
        <v>104</v>
      </c>
      <c r="L16" s="39" t="s">
        <v>105</v>
      </c>
      <c r="M16" s="42">
        <v>45017.0</v>
      </c>
      <c r="N16" s="39" t="s">
        <v>141</v>
      </c>
      <c r="O16" s="39" t="s">
        <v>196</v>
      </c>
      <c r="P16" s="43"/>
      <c r="Q16" s="39" t="s">
        <v>108</v>
      </c>
      <c r="R16" s="42">
        <v>45292.0</v>
      </c>
      <c r="S16" s="39" t="s">
        <v>143</v>
      </c>
      <c r="T16" s="44"/>
      <c r="U16" s="39" t="s">
        <v>144</v>
      </c>
      <c r="V16" s="39" t="s">
        <v>89</v>
      </c>
      <c r="W16" s="39" t="s">
        <v>207</v>
      </c>
      <c r="X16" s="39" t="s">
        <v>208</v>
      </c>
      <c r="Y16" s="39" t="s">
        <v>209</v>
      </c>
      <c r="Z16" s="46"/>
      <c r="AA16" s="45">
        <v>46398.0</v>
      </c>
      <c r="AB16" s="46"/>
      <c r="AC16" s="23">
        <v>10.0</v>
      </c>
      <c r="AD16" s="39" t="s">
        <v>66</v>
      </c>
      <c r="AE16" s="39" t="s">
        <v>67</v>
      </c>
      <c r="AF16" s="39" t="s">
        <v>92</v>
      </c>
      <c r="AG16" s="39" t="s">
        <v>130</v>
      </c>
      <c r="AH16" s="39" t="s">
        <v>69</v>
      </c>
      <c r="AI16" s="39">
        <v>8.1375762662E10</v>
      </c>
      <c r="AJ16" s="39" t="s">
        <v>210</v>
      </c>
      <c r="AK16" s="39" t="s">
        <v>211</v>
      </c>
      <c r="AL16" s="39" t="s">
        <v>212</v>
      </c>
      <c r="AM16" s="39" t="s">
        <v>96</v>
      </c>
      <c r="AN16" s="39" t="s">
        <v>135</v>
      </c>
      <c r="AO16" s="39" t="s">
        <v>213</v>
      </c>
      <c r="AP16" s="39" t="s">
        <v>214</v>
      </c>
      <c r="AQ16" s="43"/>
      <c r="AR16" s="43"/>
    </row>
    <row r="17">
      <c r="A17" s="21">
        <f t="shared" si="1"/>
        <v>11</v>
      </c>
      <c r="B17" s="39" t="s">
        <v>215</v>
      </c>
      <c r="C17" s="40" t="s">
        <v>216</v>
      </c>
      <c r="D17" s="41">
        <v>18.0</v>
      </c>
      <c r="E17" s="41">
        <v>4.0</v>
      </c>
      <c r="F17" s="39" t="s">
        <v>171</v>
      </c>
      <c r="G17" s="39" t="s">
        <v>172</v>
      </c>
      <c r="H17" s="42">
        <v>38443.0</v>
      </c>
      <c r="I17" s="39" t="s">
        <v>82</v>
      </c>
      <c r="J17" s="39" t="s">
        <v>83</v>
      </c>
      <c r="K17" s="39" t="s">
        <v>217</v>
      </c>
      <c r="L17" s="39" t="s">
        <v>61</v>
      </c>
      <c r="M17" s="42">
        <v>45383.0</v>
      </c>
      <c r="N17" s="39" t="s">
        <v>141</v>
      </c>
      <c r="O17" s="39" t="s">
        <v>196</v>
      </c>
      <c r="P17" s="43"/>
      <c r="Q17" s="39" t="s">
        <v>108</v>
      </c>
      <c r="R17" s="42">
        <v>45292.0</v>
      </c>
      <c r="S17" s="39" t="s">
        <v>143</v>
      </c>
      <c r="T17" s="44"/>
      <c r="U17" s="39" t="s">
        <v>144</v>
      </c>
      <c r="V17" s="39" t="s">
        <v>89</v>
      </c>
      <c r="W17" s="39" t="s">
        <v>218</v>
      </c>
      <c r="X17" s="39" t="s">
        <v>219</v>
      </c>
      <c r="Y17" s="47">
        <v>43356.0</v>
      </c>
      <c r="Z17" s="39" t="s">
        <v>114</v>
      </c>
      <c r="AA17" s="45">
        <v>46755.0</v>
      </c>
      <c r="AB17" s="46"/>
      <c r="AC17" s="23">
        <v>11.0</v>
      </c>
      <c r="AD17" s="39" t="s">
        <v>66</v>
      </c>
      <c r="AE17" s="39" t="s">
        <v>220</v>
      </c>
      <c r="AF17" s="39" t="s">
        <v>92</v>
      </c>
      <c r="AG17" s="39" t="s">
        <v>130</v>
      </c>
      <c r="AH17" s="39" t="s">
        <v>69</v>
      </c>
      <c r="AI17" s="39">
        <v>8.1362177724E10</v>
      </c>
      <c r="AJ17" s="39" t="s">
        <v>221</v>
      </c>
      <c r="AK17" s="39" t="s">
        <v>222</v>
      </c>
      <c r="AL17" s="39" t="s">
        <v>223</v>
      </c>
      <c r="AM17" s="39" t="s">
        <v>96</v>
      </c>
      <c r="AN17" s="39" t="s">
        <v>166</v>
      </c>
      <c r="AO17" s="39" t="s">
        <v>224</v>
      </c>
      <c r="AP17" s="39" t="s">
        <v>225</v>
      </c>
      <c r="AQ17" s="39" t="s">
        <v>77</v>
      </c>
      <c r="AR17" s="39" t="s">
        <v>77</v>
      </c>
    </row>
    <row r="18">
      <c r="A18" s="21">
        <f t="shared" si="1"/>
        <v>12</v>
      </c>
      <c r="B18" s="39" t="s">
        <v>226</v>
      </c>
      <c r="C18" s="40" t="s">
        <v>227</v>
      </c>
      <c r="D18" s="41">
        <v>12.0</v>
      </c>
      <c r="E18" s="41">
        <v>3.0</v>
      </c>
      <c r="F18" s="39" t="s">
        <v>80</v>
      </c>
      <c r="G18" s="39" t="s">
        <v>81</v>
      </c>
      <c r="H18" s="42">
        <v>40179.0</v>
      </c>
      <c r="I18" s="39" t="s">
        <v>82</v>
      </c>
      <c r="J18" s="39" t="s">
        <v>83</v>
      </c>
      <c r="K18" s="39" t="s">
        <v>228</v>
      </c>
      <c r="L18" s="39" t="s">
        <v>105</v>
      </c>
      <c r="M18" s="42">
        <v>44652.0</v>
      </c>
      <c r="N18" s="39" t="s">
        <v>141</v>
      </c>
      <c r="O18" s="39" t="s">
        <v>229</v>
      </c>
      <c r="P18" s="43"/>
      <c r="Q18" s="39" t="s">
        <v>108</v>
      </c>
      <c r="R18" s="42">
        <v>45292.0</v>
      </c>
      <c r="S18" s="39" t="s">
        <v>143</v>
      </c>
      <c r="T18" s="44"/>
      <c r="U18" s="39" t="s">
        <v>144</v>
      </c>
      <c r="V18" s="39" t="s">
        <v>89</v>
      </c>
      <c r="W18" s="39" t="s">
        <v>230</v>
      </c>
      <c r="X18" s="39" t="s">
        <v>231</v>
      </c>
      <c r="Y18" s="39" t="s">
        <v>232</v>
      </c>
      <c r="Z18" s="46"/>
      <c r="AA18" s="45">
        <v>51877.0</v>
      </c>
      <c r="AB18" s="46"/>
      <c r="AC18" s="23">
        <v>12.0</v>
      </c>
      <c r="AD18" s="39" t="s">
        <v>66</v>
      </c>
      <c r="AE18" s="39" t="s">
        <v>67</v>
      </c>
      <c r="AF18" s="43"/>
      <c r="AG18" s="39" t="s">
        <v>130</v>
      </c>
      <c r="AH18" s="39" t="s">
        <v>69</v>
      </c>
      <c r="AI18" s="39">
        <v>8.7890696286E10</v>
      </c>
      <c r="AJ18" s="39" t="s">
        <v>233</v>
      </c>
      <c r="AK18" s="39" t="s">
        <v>234</v>
      </c>
      <c r="AL18" s="39" t="s">
        <v>235</v>
      </c>
      <c r="AM18" s="39" t="s">
        <v>96</v>
      </c>
      <c r="AN18" s="39" t="s">
        <v>97</v>
      </c>
      <c r="AO18" s="39" t="s">
        <v>236</v>
      </c>
      <c r="AP18" s="39" t="s">
        <v>237</v>
      </c>
      <c r="AQ18" s="43"/>
      <c r="AR18" s="43"/>
    </row>
    <row r="19">
      <c r="A19" s="21">
        <f t="shared" si="1"/>
        <v>13</v>
      </c>
      <c r="B19" s="49" t="s">
        <v>238</v>
      </c>
      <c r="C19" s="50" t="s">
        <v>239</v>
      </c>
      <c r="D19" s="49">
        <v>0.0</v>
      </c>
      <c r="E19" s="49">
        <v>0.0</v>
      </c>
      <c r="F19" s="49" t="s">
        <v>80</v>
      </c>
      <c r="G19" s="49" t="s">
        <v>81</v>
      </c>
      <c r="H19" s="51">
        <v>45778.0</v>
      </c>
      <c r="I19" s="49" t="s">
        <v>80</v>
      </c>
      <c r="J19" s="49" t="s">
        <v>81</v>
      </c>
      <c r="K19" s="49" t="s">
        <v>240</v>
      </c>
      <c r="L19" s="49" t="s">
        <v>105</v>
      </c>
      <c r="M19" s="51">
        <v>45778.0</v>
      </c>
      <c r="N19" s="49" t="s">
        <v>141</v>
      </c>
      <c r="O19" s="49" t="s">
        <v>241</v>
      </c>
      <c r="P19" s="52"/>
      <c r="Q19" s="49" t="s">
        <v>59</v>
      </c>
      <c r="R19" s="51">
        <v>45778.0</v>
      </c>
      <c r="S19" s="49" t="s">
        <v>242</v>
      </c>
      <c r="T19" s="53"/>
      <c r="U19" s="49" t="s">
        <v>105</v>
      </c>
      <c r="V19" s="49" t="s">
        <v>89</v>
      </c>
      <c r="W19" s="49" t="s">
        <v>243</v>
      </c>
      <c r="X19" s="49" t="s">
        <v>244</v>
      </c>
      <c r="Y19" s="49" t="s">
        <v>245</v>
      </c>
      <c r="Z19" s="52"/>
      <c r="AA19" s="54">
        <v>57713.0</v>
      </c>
      <c r="AB19" s="55"/>
      <c r="AC19" s="23">
        <v>13.0</v>
      </c>
      <c r="AD19" s="49" t="s">
        <v>5</v>
      </c>
      <c r="AE19" s="49" t="s">
        <v>67</v>
      </c>
      <c r="AF19" s="49" t="s">
        <v>129</v>
      </c>
      <c r="AG19" s="49" t="s">
        <v>68</v>
      </c>
      <c r="AH19" s="49" t="s">
        <v>246</v>
      </c>
      <c r="AI19" s="49">
        <v>8.95622855506E11</v>
      </c>
      <c r="AJ19" s="49" t="s">
        <v>247</v>
      </c>
      <c r="AK19" s="49" t="s">
        <v>248</v>
      </c>
      <c r="AL19" s="49" t="s">
        <v>249</v>
      </c>
      <c r="AM19" s="49" t="s">
        <v>250</v>
      </c>
      <c r="AN19" s="49" t="s">
        <v>166</v>
      </c>
      <c r="AO19" s="49" t="s">
        <v>251</v>
      </c>
      <c r="AP19" s="49" t="s">
        <v>251</v>
      </c>
      <c r="AQ19" s="49">
        <v>0.0</v>
      </c>
      <c r="AR19" s="49">
        <v>0.0</v>
      </c>
    </row>
    <row r="20">
      <c r="A20" s="21">
        <f t="shared" si="1"/>
        <v>14</v>
      </c>
      <c r="B20" s="21" t="s">
        <v>252</v>
      </c>
      <c r="C20" s="38" t="s">
        <v>253</v>
      </c>
      <c r="D20" s="23">
        <v>22.0</v>
      </c>
      <c r="E20" s="23">
        <v>7.0</v>
      </c>
      <c r="F20" s="23" t="s">
        <v>80</v>
      </c>
      <c r="G20" s="23" t="s">
        <v>81</v>
      </c>
      <c r="H20" s="24">
        <v>35125.0</v>
      </c>
      <c r="I20" s="21" t="s">
        <v>254</v>
      </c>
      <c r="J20" s="21" t="s">
        <v>255</v>
      </c>
      <c r="K20" s="21" t="s">
        <v>256</v>
      </c>
      <c r="L20" s="21" t="s">
        <v>55</v>
      </c>
      <c r="M20" s="25">
        <v>43374.0</v>
      </c>
      <c r="N20" s="23" t="s">
        <v>56</v>
      </c>
      <c r="O20" s="21" t="s">
        <v>257</v>
      </c>
      <c r="P20" s="56"/>
      <c r="Q20" s="21" t="s">
        <v>59</v>
      </c>
      <c r="R20" s="24">
        <v>44568.0</v>
      </c>
      <c r="S20" s="23" t="s">
        <v>258</v>
      </c>
      <c r="T20" s="26"/>
      <c r="U20" s="23" t="s">
        <v>105</v>
      </c>
      <c r="V20" s="21" t="s">
        <v>159</v>
      </c>
      <c r="W20" s="21" t="s">
        <v>259</v>
      </c>
      <c r="X20" s="21" t="s">
        <v>260</v>
      </c>
      <c r="Y20" s="27">
        <v>43069.0</v>
      </c>
      <c r="Z20" s="23" t="s">
        <v>114</v>
      </c>
      <c r="AA20" s="28">
        <v>46389.0</v>
      </c>
      <c r="AB20" s="29"/>
      <c r="AC20" s="23">
        <v>14.0</v>
      </c>
      <c r="AD20" s="21" t="s">
        <v>66</v>
      </c>
      <c r="AE20" s="21" t="s">
        <v>67</v>
      </c>
      <c r="AF20" s="21" t="s">
        <v>92</v>
      </c>
      <c r="AG20" s="21" t="s">
        <v>130</v>
      </c>
      <c r="AH20" s="21" t="s">
        <v>131</v>
      </c>
      <c r="AI20" s="21">
        <v>8.1263246069E10</v>
      </c>
      <c r="AJ20" s="21" t="s">
        <v>261</v>
      </c>
      <c r="AK20" s="21" t="s">
        <v>262</v>
      </c>
      <c r="AL20" s="21" t="s">
        <v>263</v>
      </c>
      <c r="AM20" s="21" t="s">
        <v>96</v>
      </c>
      <c r="AN20" s="21" t="s">
        <v>97</v>
      </c>
      <c r="AO20" s="21" t="s">
        <v>236</v>
      </c>
      <c r="AP20" s="21" t="s">
        <v>237</v>
      </c>
      <c r="AQ20" s="30"/>
      <c r="AR20" s="30"/>
    </row>
    <row r="21">
      <c r="A21" s="21">
        <f t="shared" si="1"/>
        <v>15</v>
      </c>
      <c r="B21" s="39" t="s">
        <v>264</v>
      </c>
      <c r="C21" s="57" t="s">
        <v>265</v>
      </c>
      <c r="D21" s="39">
        <v>10.0</v>
      </c>
      <c r="E21" s="39">
        <v>3.0</v>
      </c>
      <c r="F21" s="39" t="s">
        <v>171</v>
      </c>
      <c r="G21" s="39" t="s">
        <v>172</v>
      </c>
      <c r="H21" s="42">
        <v>40544.0</v>
      </c>
      <c r="I21" s="39" t="s">
        <v>182</v>
      </c>
      <c r="J21" s="39" t="s">
        <v>183</v>
      </c>
      <c r="K21" s="39" t="s">
        <v>104</v>
      </c>
      <c r="L21" s="39" t="s">
        <v>105</v>
      </c>
      <c r="M21" s="42">
        <v>45017.0</v>
      </c>
      <c r="N21" s="39" t="s">
        <v>141</v>
      </c>
      <c r="O21" s="39" t="s">
        <v>229</v>
      </c>
      <c r="P21" s="43"/>
      <c r="Q21" s="39" t="s">
        <v>266</v>
      </c>
      <c r="R21" s="42">
        <v>45292.0</v>
      </c>
      <c r="S21" s="39" t="s">
        <v>143</v>
      </c>
      <c r="T21" s="46"/>
      <c r="U21" s="39" t="s">
        <v>144</v>
      </c>
      <c r="V21" s="39" t="s">
        <v>267</v>
      </c>
      <c r="W21" s="39" t="s">
        <v>230</v>
      </c>
      <c r="X21" s="39" t="s">
        <v>268</v>
      </c>
      <c r="Y21" s="47">
        <v>40441.0</v>
      </c>
      <c r="Z21" s="46"/>
      <c r="AA21" s="45">
        <v>53696.0</v>
      </c>
      <c r="AB21" s="46"/>
      <c r="AC21" s="23">
        <v>15.0</v>
      </c>
      <c r="AD21" s="39" t="s">
        <v>66</v>
      </c>
      <c r="AE21" s="39" t="s">
        <v>67</v>
      </c>
      <c r="AF21" s="43"/>
      <c r="AG21" s="39" t="s">
        <v>130</v>
      </c>
      <c r="AH21" s="39" t="s">
        <v>246</v>
      </c>
      <c r="AI21" s="39">
        <v>8.5370782608E10</v>
      </c>
      <c r="AJ21" s="39" t="s">
        <v>269</v>
      </c>
      <c r="AK21" s="39" t="s">
        <v>270</v>
      </c>
      <c r="AL21" s="39" t="s">
        <v>271</v>
      </c>
      <c r="AM21" s="39" t="s">
        <v>96</v>
      </c>
      <c r="AN21" s="39" t="s">
        <v>97</v>
      </c>
      <c r="AO21" s="39" t="s">
        <v>272</v>
      </c>
      <c r="AP21" s="39" t="s">
        <v>273</v>
      </c>
      <c r="AQ21" s="43"/>
      <c r="AR21" s="43"/>
    </row>
    <row r="22">
      <c r="A22" s="21">
        <f t="shared" si="1"/>
        <v>16</v>
      </c>
      <c r="B22" s="39" t="s">
        <v>274</v>
      </c>
      <c r="C22" s="40" t="s">
        <v>275</v>
      </c>
      <c r="D22" s="41">
        <v>12.0</v>
      </c>
      <c r="E22" s="41">
        <v>3.0</v>
      </c>
      <c r="F22" s="39" t="s">
        <v>80</v>
      </c>
      <c r="G22" s="39" t="s">
        <v>81</v>
      </c>
      <c r="H22" s="42">
        <v>40179.0</v>
      </c>
      <c r="I22" s="39" t="s">
        <v>82</v>
      </c>
      <c r="J22" s="39" t="s">
        <v>83</v>
      </c>
      <c r="K22" s="39" t="s">
        <v>228</v>
      </c>
      <c r="L22" s="39" t="s">
        <v>105</v>
      </c>
      <c r="M22" s="42">
        <v>44652.0</v>
      </c>
      <c r="N22" s="39" t="s">
        <v>141</v>
      </c>
      <c r="O22" s="39" t="s">
        <v>173</v>
      </c>
      <c r="P22" s="43"/>
      <c r="Q22" s="39" t="s">
        <v>86</v>
      </c>
      <c r="R22" s="42">
        <v>45292.0</v>
      </c>
      <c r="S22" s="39" t="s">
        <v>143</v>
      </c>
      <c r="T22" s="44"/>
      <c r="U22" s="39" t="s">
        <v>144</v>
      </c>
      <c r="V22" s="39" t="s">
        <v>89</v>
      </c>
      <c r="W22" s="39" t="s">
        <v>276</v>
      </c>
      <c r="X22" s="39" t="s">
        <v>277</v>
      </c>
      <c r="Y22" s="47">
        <v>39198.0</v>
      </c>
      <c r="Z22" s="46"/>
      <c r="AA22" s="45">
        <v>50777.0</v>
      </c>
      <c r="AB22" s="46"/>
      <c r="AC22" s="23">
        <v>16.0</v>
      </c>
      <c r="AD22" s="39" t="s">
        <v>66</v>
      </c>
      <c r="AE22" s="39" t="s">
        <v>67</v>
      </c>
      <c r="AF22" s="43"/>
      <c r="AG22" s="39" t="s">
        <v>130</v>
      </c>
      <c r="AH22" s="43"/>
      <c r="AI22" s="39">
        <v>8.2367351828E10</v>
      </c>
      <c r="AJ22" s="39" t="s">
        <v>278</v>
      </c>
      <c r="AK22" s="39" t="s">
        <v>279</v>
      </c>
      <c r="AL22" s="39" t="s">
        <v>280</v>
      </c>
      <c r="AM22" s="39" t="s">
        <v>96</v>
      </c>
      <c r="AN22" s="39" t="s">
        <v>150</v>
      </c>
      <c r="AO22" s="39" t="s">
        <v>281</v>
      </c>
      <c r="AP22" s="39" t="s">
        <v>282</v>
      </c>
      <c r="AQ22" s="43"/>
      <c r="AR22" s="43"/>
    </row>
    <row r="23">
      <c r="A23" s="21">
        <f t="shared" si="1"/>
        <v>17</v>
      </c>
      <c r="B23" s="39" t="s">
        <v>283</v>
      </c>
      <c r="C23" s="40" t="s">
        <v>284</v>
      </c>
      <c r="D23" s="41">
        <v>17.0</v>
      </c>
      <c r="E23" s="41">
        <v>10.0</v>
      </c>
      <c r="F23" s="39" t="s">
        <v>50</v>
      </c>
      <c r="G23" s="39" t="s">
        <v>51</v>
      </c>
      <c r="H23" s="42">
        <v>40664.0</v>
      </c>
      <c r="I23" s="39" t="s">
        <v>80</v>
      </c>
      <c r="J23" s="39" t="s">
        <v>81</v>
      </c>
      <c r="K23" s="43"/>
      <c r="L23" s="39" t="s">
        <v>105</v>
      </c>
      <c r="M23" s="42">
        <v>45931.0</v>
      </c>
      <c r="N23" s="39" t="s">
        <v>141</v>
      </c>
      <c r="O23" s="39" t="s">
        <v>196</v>
      </c>
      <c r="P23" s="43"/>
      <c r="Q23" s="39" t="s">
        <v>86</v>
      </c>
      <c r="R23" s="42">
        <v>45292.0</v>
      </c>
      <c r="S23" s="39" t="s">
        <v>143</v>
      </c>
      <c r="T23" s="44"/>
      <c r="U23" s="39" t="s">
        <v>144</v>
      </c>
      <c r="V23" s="39" t="s">
        <v>285</v>
      </c>
      <c r="W23" s="43"/>
      <c r="X23" s="39" t="s">
        <v>286</v>
      </c>
      <c r="Y23" s="39" t="s">
        <v>287</v>
      </c>
      <c r="Z23" s="46"/>
      <c r="AA23" s="45">
        <v>50412.0</v>
      </c>
      <c r="AB23" s="46"/>
      <c r="AC23" s="23">
        <v>17.0</v>
      </c>
      <c r="AD23" s="39" t="s">
        <v>66</v>
      </c>
      <c r="AE23" s="39" t="s">
        <v>67</v>
      </c>
      <c r="AF23" s="39" t="s">
        <v>92</v>
      </c>
      <c r="AG23" s="39" t="s">
        <v>130</v>
      </c>
      <c r="AH23" s="39" t="s">
        <v>288</v>
      </c>
      <c r="AI23" s="39">
        <v>8.1362698265E10</v>
      </c>
      <c r="AJ23" s="39" t="s">
        <v>289</v>
      </c>
      <c r="AK23" s="39" t="s">
        <v>290</v>
      </c>
      <c r="AL23" s="39" t="s">
        <v>291</v>
      </c>
      <c r="AM23" s="39" t="s">
        <v>96</v>
      </c>
      <c r="AN23" s="39" t="s">
        <v>97</v>
      </c>
      <c r="AO23" s="39" t="s">
        <v>292</v>
      </c>
      <c r="AP23" s="39" t="s">
        <v>293</v>
      </c>
      <c r="AQ23" s="39">
        <v>0.0</v>
      </c>
      <c r="AR23" s="39">
        <v>0.0</v>
      </c>
    </row>
    <row r="24">
      <c r="A24" s="21">
        <f t="shared" si="1"/>
        <v>18</v>
      </c>
      <c r="B24" s="39" t="s">
        <v>294</v>
      </c>
      <c r="C24" s="40" t="s">
        <v>295</v>
      </c>
      <c r="D24" s="41">
        <v>14.0</v>
      </c>
      <c r="E24" s="41">
        <v>5.0</v>
      </c>
      <c r="F24" s="39" t="s">
        <v>50</v>
      </c>
      <c r="G24" s="39" t="s">
        <v>51</v>
      </c>
      <c r="H24" s="42">
        <v>42887.0</v>
      </c>
      <c r="I24" s="39" t="s">
        <v>296</v>
      </c>
      <c r="J24" s="39" t="s">
        <v>297</v>
      </c>
      <c r="K24" s="39" t="s">
        <v>104</v>
      </c>
      <c r="L24" s="39" t="s">
        <v>105</v>
      </c>
      <c r="M24" s="42">
        <v>45017.0</v>
      </c>
      <c r="N24" s="39" t="s">
        <v>141</v>
      </c>
      <c r="O24" s="39" t="s">
        <v>229</v>
      </c>
      <c r="P24" s="43"/>
      <c r="Q24" s="39" t="s">
        <v>108</v>
      </c>
      <c r="R24" s="42">
        <v>45292.0</v>
      </c>
      <c r="S24" s="39" t="s">
        <v>143</v>
      </c>
      <c r="T24" s="44"/>
      <c r="U24" s="39" t="s">
        <v>144</v>
      </c>
      <c r="V24" s="39" t="s">
        <v>285</v>
      </c>
      <c r="W24" s="39" t="s">
        <v>298</v>
      </c>
      <c r="X24" s="39" t="s">
        <v>299</v>
      </c>
      <c r="Y24" s="39" t="s">
        <v>300</v>
      </c>
      <c r="Z24" s="46"/>
      <c r="AA24" s="45">
        <v>51139.0</v>
      </c>
      <c r="AB24" s="46"/>
      <c r="AC24" s="23">
        <v>18.0</v>
      </c>
      <c r="AD24" s="39" t="s">
        <v>66</v>
      </c>
      <c r="AE24" s="39" t="s">
        <v>67</v>
      </c>
      <c r="AF24" s="39" t="s">
        <v>92</v>
      </c>
      <c r="AG24" s="39" t="s">
        <v>68</v>
      </c>
      <c r="AH24" s="39" t="s">
        <v>246</v>
      </c>
      <c r="AI24" s="39">
        <v>8.1375502383E10</v>
      </c>
      <c r="AJ24" s="39" t="s">
        <v>301</v>
      </c>
      <c r="AK24" s="39" t="s">
        <v>302</v>
      </c>
      <c r="AL24" s="39" t="s">
        <v>303</v>
      </c>
      <c r="AM24" s="39" t="s">
        <v>73</v>
      </c>
      <c r="AN24" s="39" t="s">
        <v>74</v>
      </c>
      <c r="AO24" s="39" t="s">
        <v>178</v>
      </c>
      <c r="AP24" s="39" t="s">
        <v>304</v>
      </c>
      <c r="AQ24" s="43"/>
      <c r="AR24" s="43"/>
    </row>
    <row r="25">
      <c r="A25" s="21">
        <f t="shared" si="1"/>
        <v>19</v>
      </c>
      <c r="B25" s="39" t="s">
        <v>305</v>
      </c>
      <c r="C25" s="40" t="s">
        <v>306</v>
      </c>
      <c r="D25" s="41">
        <v>10.0</v>
      </c>
      <c r="E25" s="41">
        <v>3.0</v>
      </c>
      <c r="F25" s="39" t="s">
        <v>307</v>
      </c>
      <c r="G25" s="39" t="s">
        <v>308</v>
      </c>
      <c r="H25" s="42">
        <v>41730.0</v>
      </c>
      <c r="I25" s="39" t="s">
        <v>182</v>
      </c>
      <c r="J25" s="39" t="s">
        <v>183</v>
      </c>
      <c r="K25" s="39" t="s">
        <v>155</v>
      </c>
      <c r="L25" s="39" t="s">
        <v>88</v>
      </c>
      <c r="M25" s="42">
        <v>44652.0</v>
      </c>
      <c r="N25" s="39" t="s">
        <v>141</v>
      </c>
      <c r="O25" s="39" t="s">
        <v>196</v>
      </c>
      <c r="P25" s="43"/>
      <c r="Q25" s="39" t="s">
        <v>86</v>
      </c>
      <c r="R25" s="42">
        <v>45292.0</v>
      </c>
      <c r="S25" s="39" t="s">
        <v>143</v>
      </c>
      <c r="T25" s="44"/>
      <c r="U25" s="39" t="s">
        <v>144</v>
      </c>
      <c r="V25" s="39" t="s">
        <v>267</v>
      </c>
      <c r="W25" s="39" t="s">
        <v>309</v>
      </c>
      <c r="X25" s="39" t="s">
        <v>244</v>
      </c>
      <c r="Y25" s="39" t="s">
        <v>310</v>
      </c>
      <c r="Z25" s="39" t="s">
        <v>114</v>
      </c>
      <c r="AA25" s="45">
        <v>51870.0</v>
      </c>
      <c r="AB25" s="46"/>
      <c r="AC25" s="23">
        <v>19.0</v>
      </c>
      <c r="AD25" s="39" t="s">
        <v>66</v>
      </c>
      <c r="AE25" s="39" t="s">
        <v>311</v>
      </c>
      <c r="AF25" s="39" t="s">
        <v>92</v>
      </c>
      <c r="AG25" s="39" t="s">
        <v>68</v>
      </c>
      <c r="AH25" s="39" t="s">
        <v>69</v>
      </c>
      <c r="AI25" s="39">
        <v>8.2364388831E10</v>
      </c>
      <c r="AJ25" s="39" t="s">
        <v>312</v>
      </c>
      <c r="AK25" s="39" t="s">
        <v>313</v>
      </c>
      <c r="AL25" s="39" t="s">
        <v>314</v>
      </c>
      <c r="AM25" s="39" t="s">
        <v>96</v>
      </c>
      <c r="AN25" s="39" t="s">
        <v>97</v>
      </c>
      <c r="AO25" s="39" t="s">
        <v>75</v>
      </c>
      <c r="AP25" s="39" t="s">
        <v>315</v>
      </c>
      <c r="AQ25" s="43"/>
      <c r="AR25" s="43"/>
    </row>
    <row r="26">
      <c r="A26" s="21">
        <f t="shared" si="1"/>
        <v>20</v>
      </c>
      <c r="B26" s="39" t="s">
        <v>316</v>
      </c>
      <c r="C26" s="40" t="s">
        <v>317</v>
      </c>
      <c r="D26" s="41">
        <v>12.0</v>
      </c>
      <c r="E26" s="41">
        <v>1.0</v>
      </c>
      <c r="F26" s="41" t="s">
        <v>80</v>
      </c>
      <c r="G26" s="41" t="s">
        <v>81</v>
      </c>
      <c r="H26" s="58">
        <v>35855.0</v>
      </c>
      <c r="I26" s="39" t="s">
        <v>82</v>
      </c>
      <c r="J26" s="39" t="s">
        <v>83</v>
      </c>
      <c r="K26" s="39" t="s">
        <v>318</v>
      </c>
      <c r="L26" s="39" t="s">
        <v>61</v>
      </c>
      <c r="M26" s="42">
        <v>40269.0</v>
      </c>
      <c r="N26" s="41" t="s">
        <v>141</v>
      </c>
      <c r="O26" s="39" t="s">
        <v>229</v>
      </c>
      <c r="P26" s="59"/>
      <c r="Q26" s="39" t="s">
        <v>108</v>
      </c>
      <c r="R26" s="58">
        <v>45292.0</v>
      </c>
      <c r="S26" s="41" t="s">
        <v>143</v>
      </c>
      <c r="T26" s="60"/>
      <c r="U26" s="41" t="s">
        <v>144</v>
      </c>
      <c r="V26" s="39" t="s">
        <v>89</v>
      </c>
      <c r="W26" s="39" t="s">
        <v>319</v>
      </c>
      <c r="X26" s="39" t="s">
        <v>320</v>
      </c>
      <c r="Y26" s="39" t="s">
        <v>321</v>
      </c>
      <c r="Z26" s="41" t="s">
        <v>114</v>
      </c>
      <c r="AA26" s="61">
        <v>46392.0</v>
      </c>
      <c r="AB26" s="59"/>
      <c r="AC26" s="23">
        <v>20.0</v>
      </c>
      <c r="AD26" s="39" t="s">
        <v>66</v>
      </c>
      <c r="AE26" s="39" t="s">
        <v>67</v>
      </c>
      <c r="AF26" s="39" t="s">
        <v>92</v>
      </c>
      <c r="AG26" s="39" t="s">
        <v>68</v>
      </c>
      <c r="AH26" s="39" t="s">
        <v>69</v>
      </c>
      <c r="AI26" s="39">
        <v>8.1362668008E10</v>
      </c>
      <c r="AJ26" s="39" t="s">
        <v>322</v>
      </c>
      <c r="AK26" s="39" t="s">
        <v>323</v>
      </c>
      <c r="AL26" s="39" t="s">
        <v>324</v>
      </c>
      <c r="AM26" s="39" t="s">
        <v>96</v>
      </c>
      <c r="AN26" s="39" t="s">
        <v>150</v>
      </c>
      <c r="AO26" s="39" t="s">
        <v>281</v>
      </c>
      <c r="AP26" s="39" t="s">
        <v>325</v>
      </c>
      <c r="AQ26" s="39" t="s">
        <v>326</v>
      </c>
      <c r="AR26" s="43"/>
    </row>
    <row r="27">
      <c r="A27" s="21">
        <f t="shared" si="1"/>
        <v>21</v>
      </c>
      <c r="B27" s="39" t="s">
        <v>327</v>
      </c>
      <c r="C27" s="40" t="s">
        <v>328</v>
      </c>
      <c r="D27" s="41">
        <v>18.0</v>
      </c>
      <c r="E27" s="41">
        <v>1.0</v>
      </c>
      <c r="F27" s="39" t="s">
        <v>50</v>
      </c>
      <c r="G27" s="39" t="s">
        <v>51</v>
      </c>
      <c r="H27" s="42">
        <v>37073.0</v>
      </c>
      <c r="I27" s="39" t="s">
        <v>102</v>
      </c>
      <c r="J27" s="39" t="s">
        <v>103</v>
      </c>
      <c r="K27" s="39" t="s">
        <v>104</v>
      </c>
      <c r="L27" s="39" t="s">
        <v>105</v>
      </c>
      <c r="M27" s="42">
        <v>45017.0</v>
      </c>
      <c r="N27" s="39" t="s">
        <v>141</v>
      </c>
      <c r="O27" s="39" t="s">
        <v>229</v>
      </c>
      <c r="P27" s="43"/>
      <c r="Q27" s="39" t="s">
        <v>108</v>
      </c>
      <c r="R27" s="42">
        <v>45292.0</v>
      </c>
      <c r="S27" s="39" t="s">
        <v>143</v>
      </c>
      <c r="T27" s="44"/>
      <c r="U27" s="39" t="s">
        <v>144</v>
      </c>
      <c r="V27" s="39" t="s">
        <v>89</v>
      </c>
      <c r="W27" s="39" t="s">
        <v>90</v>
      </c>
      <c r="X27" s="39" t="s">
        <v>329</v>
      </c>
      <c r="Y27" s="39" t="s">
        <v>330</v>
      </c>
      <c r="Z27" s="39" t="s">
        <v>114</v>
      </c>
      <c r="AA27" s="45">
        <v>49317.0</v>
      </c>
      <c r="AB27" s="46"/>
      <c r="AC27" s="23">
        <v>21.0</v>
      </c>
      <c r="AD27" s="39" t="s">
        <v>66</v>
      </c>
      <c r="AE27" s="39" t="s">
        <v>67</v>
      </c>
      <c r="AF27" s="39" t="s">
        <v>92</v>
      </c>
      <c r="AG27" s="39" t="s">
        <v>68</v>
      </c>
      <c r="AH27" s="39" t="s">
        <v>246</v>
      </c>
      <c r="AI27" s="39">
        <v>8.216191186E10</v>
      </c>
      <c r="AJ27" s="39" t="s">
        <v>331</v>
      </c>
      <c r="AK27" s="39" t="s">
        <v>332</v>
      </c>
      <c r="AL27" s="39" t="s">
        <v>333</v>
      </c>
      <c r="AM27" s="39" t="s">
        <v>96</v>
      </c>
      <c r="AN27" s="39" t="s">
        <v>97</v>
      </c>
      <c r="AO27" s="39" t="s">
        <v>272</v>
      </c>
      <c r="AP27" s="39" t="s">
        <v>334</v>
      </c>
      <c r="AQ27" s="43"/>
      <c r="AR27" s="43"/>
    </row>
    <row r="28">
      <c r="A28" s="21">
        <f t="shared" si="1"/>
        <v>22</v>
      </c>
      <c r="B28" s="39" t="s">
        <v>335</v>
      </c>
      <c r="C28" s="40" t="s">
        <v>336</v>
      </c>
      <c r="D28" s="41">
        <v>16.0</v>
      </c>
      <c r="E28" s="41">
        <v>9.0</v>
      </c>
      <c r="F28" s="39" t="s">
        <v>296</v>
      </c>
      <c r="G28" s="39" t="s">
        <v>297</v>
      </c>
      <c r="H28" s="42">
        <v>41000.0</v>
      </c>
      <c r="I28" s="39" t="s">
        <v>102</v>
      </c>
      <c r="J28" s="39" t="s">
        <v>103</v>
      </c>
      <c r="K28" s="39" t="s">
        <v>228</v>
      </c>
      <c r="L28" s="39" t="s">
        <v>105</v>
      </c>
      <c r="M28" s="42">
        <v>44652.0</v>
      </c>
      <c r="N28" s="39" t="s">
        <v>141</v>
      </c>
      <c r="O28" s="39" t="s">
        <v>229</v>
      </c>
      <c r="P28" s="43"/>
      <c r="Q28" s="39" t="s">
        <v>108</v>
      </c>
      <c r="R28" s="42">
        <v>45292.0</v>
      </c>
      <c r="S28" s="39" t="s">
        <v>143</v>
      </c>
      <c r="T28" s="44"/>
      <c r="U28" s="39" t="s">
        <v>144</v>
      </c>
      <c r="V28" s="39" t="s">
        <v>89</v>
      </c>
      <c r="W28" s="39" t="s">
        <v>337</v>
      </c>
      <c r="X28" s="39" t="s">
        <v>338</v>
      </c>
      <c r="Y28" s="39" t="s">
        <v>339</v>
      </c>
      <c r="Z28" s="39" t="s">
        <v>114</v>
      </c>
      <c r="AA28" s="45">
        <v>50776.0</v>
      </c>
      <c r="AB28" s="46"/>
      <c r="AC28" s="23">
        <v>22.0</v>
      </c>
      <c r="AD28" s="39" t="s">
        <v>66</v>
      </c>
      <c r="AE28" s="39" t="s">
        <v>67</v>
      </c>
      <c r="AF28" s="39" t="s">
        <v>92</v>
      </c>
      <c r="AG28" s="39" t="s">
        <v>68</v>
      </c>
      <c r="AH28" s="39" t="s">
        <v>246</v>
      </c>
      <c r="AI28" s="39">
        <v>8.1396108246E10</v>
      </c>
      <c r="AJ28" s="39" t="s">
        <v>340</v>
      </c>
      <c r="AK28" s="39" t="s">
        <v>341</v>
      </c>
      <c r="AL28" s="39" t="s">
        <v>342</v>
      </c>
      <c r="AM28" s="39" t="s">
        <v>96</v>
      </c>
      <c r="AN28" s="39" t="s">
        <v>150</v>
      </c>
      <c r="AO28" s="39" t="s">
        <v>151</v>
      </c>
      <c r="AP28" s="39" t="s">
        <v>343</v>
      </c>
      <c r="AQ28" s="43"/>
      <c r="AR28" s="43"/>
    </row>
    <row r="29">
      <c r="A29" s="21">
        <f t="shared" si="1"/>
        <v>23</v>
      </c>
      <c r="B29" s="39" t="s">
        <v>344</v>
      </c>
      <c r="C29" s="40" t="s">
        <v>345</v>
      </c>
      <c r="D29" s="41">
        <v>19.0</v>
      </c>
      <c r="E29" s="41">
        <v>11.0</v>
      </c>
      <c r="F29" s="39" t="s">
        <v>50</v>
      </c>
      <c r="G29" s="39" t="s">
        <v>51</v>
      </c>
      <c r="H29" s="42">
        <v>39448.0</v>
      </c>
      <c r="I29" s="39" t="s">
        <v>307</v>
      </c>
      <c r="J29" s="39" t="s">
        <v>308</v>
      </c>
      <c r="K29" s="39" t="s">
        <v>228</v>
      </c>
      <c r="L29" s="39" t="s">
        <v>105</v>
      </c>
      <c r="M29" s="42">
        <v>44652.0</v>
      </c>
      <c r="N29" s="39" t="s">
        <v>141</v>
      </c>
      <c r="O29" s="39" t="s">
        <v>229</v>
      </c>
      <c r="P29" s="43"/>
      <c r="Q29" s="39" t="s">
        <v>108</v>
      </c>
      <c r="R29" s="42">
        <v>45292.0</v>
      </c>
      <c r="S29" s="39" t="s">
        <v>143</v>
      </c>
      <c r="T29" s="44"/>
      <c r="U29" s="39" t="s">
        <v>144</v>
      </c>
      <c r="V29" s="39" t="s">
        <v>267</v>
      </c>
      <c r="W29" s="39" t="s">
        <v>346</v>
      </c>
      <c r="X29" s="39" t="s">
        <v>347</v>
      </c>
      <c r="Y29" s="39" t="s">
        <v>348</v>
      </c>
      <c r="Z29" s="39" t="s">
        <v>114</v>
      </c>
      <c r="AA29" s="45">
        <v>50412.0</v>
      </c>
      <c r="AB29" s="46"/>
      <c r="AC29" s="23">
        <v>23.0</v>
      </c>
      <c r="AD29" s="39" t="s">
        <v>66</v>
      </c>
      <c r="AE29" s="39" t="s">
        <v>67</v>
      </c>
      <c r="AF29" s="43"/>
      <c r="AG29" s="39" t="s">
        <v>130</v>
      </c>
      <c r="AH29" s="43"/>
      <c r="AI29" s="39">
        <v>8.2273279886E10</v>
      </c>
      <c r="AJ29" s="39" t="s">
        <v>349</v>
      </c>
      <c r="AK29" s="39" t="s">
        <v>350</v>
      </c>
      <c r="AL29" s="39" t="s">
        <v>351</v>
      </c>
      <c r="AM29" s="39" t="s">
        <v>96</v>
      </c>
      <c r="AN29" s="39" t="s">
        <v>97</v>
      </c>
      <c r="AO29" s="39" t="s">
        <v>236</v>
      </c>
      <c r="AP29" s="39" t="s">
        <v>237</v>
      </c>
      <c r="AQ29" s="43"/>
      <c r="AR29" s="43"/>
    </row>
    <row r="30">
      <c r="A30" s="21">
        <f t="shared" si="1"/>
        <v>24</v>
      </c>
      <c r="B30" s="39" t="s">
        <v>352</v>
      </c>
      <c r="C30" s="62" t="s">
        <v>353</v>
      </c>
      <c r="D30" s="39">
        <v>0.0</v>
      </c>
      <c r="E30" s="39">
        <v>0.0</v>
      </c>
      <c r="F30" s="39" t="s">
        <v>80</v>
      </c>
      <c r="G30" s="39" t="s">
        <v>81</v>
      </c>
      <c r="H30" s="63">
        <v>44774.0</v>
      </c>
      <c r="I30" s="39" t="s">
        <v>80</v>
      </c>
      <c r="J30" s="39" t="s">
        <v>81</v>
      </c>
      <c r="K30" s="39" t="s">
        <v>354</v>
      </c>
      <c r="L30" s="39" t="s">
        <v>355</v>
      </c>
      <c r="M30" s="63">
        <v>44774.0</v>
      </c>
      <c r="N30" s="39" t="s">
        <v>141</v>
      </c>
      <c r="O30" s="39" t="s">
        <v>173</v>
      </c>
      <c r="P30" s="64"/>
      <c r="Q30" s="39" t="s">
        <v>59</v>
      </c>
      <c r="R30" s="63">
        <v>46054.0</v>
      </c>
      <c r="S30" s="39" t="s">
        <v>356</v>
      </c>
      <c r="T30" s="64"/>
      <c r="U30" s="39" t="s">
        <v>105</v>
      </c>
      <c r="V30" s="39" t="s">
        <v>110</v>
      </c>
      <c r="W30" s="65"/>
      <c r="X30" s="39" t="s">
        <v>112</v>
      </c>
      <c r="Y30" s="39" t="s">
        <v>357</v>
      </c>
      <c r="Z30" s="39" t="s">
        <v>114</v>
      </c>
      <c r="AA30" s="63">
        <v>57355.0</v>
      </c>
      <c r="AB30" s="64"/>
      <c r="AC30" s="23">
        <v>24.0</v>
      </c>
      <c r="AD30" s="39" t="s">
        <v>66</v>
      </c>
      <c r="AE30" s="39" t="s">
        <v>67</v>
      </c>
      <c r="AF30" s="65"/>
      <c r="AG30" s="39" t="s">
        <v>130</v>
      </c>
      <c r="AH30" s="39" t="s">
        <v>246</v>
      </c>
      <c r="AI30" s="65"/>
      <c r="AJ30" s="65"/>
      <c r="AK30" s="39" t="s">
        <v>358</v>
      </c>
      <c r="AL30" s="39" t="s">
        <v>359</v>
      </c>
      <c r="AM30" s="39" t="s">
        <v>73</v>
      </c>
      <c r="AN30" s="39" t="s">
        <v>74</v>
      </c>
      <c r="AO30" s="39" t="s">
        <v>360</v>
      </c>
      <c r="AP30" s="39" t="s">
        <v>361</v>
      </c>
      <c r="AQ30" s="65"/>
      <c r="AR30" s="65"/>
    </row>
    <row r="31">
      <c r="A31" s="21">
        <f t="shared" si="1"/>
        <v>25</v>
      </c>
      <c r="B31" s="21" t="s">
        <v>362</v>
      </c>
      <c r="C31" s="38" t="s">
        <v>363</v>
      </c>
      <c r="D31" s="23">
        <v>18.0</v>
      </c>
      <c r="E31" s="23">
        <v>4.0</v>
      </c>
      <c r="F31" s="23" t="s">
        <v>80</v>
      </c>
      <c r="G31" s="23" t="s">
        <v>81</v>
      </c>
      <c r="H31" s="24">
        <v>37591.0</v>
      </c>
      <c r="I31" s="21" t="s">
        <v>254</v>
      </c>
      <c r="J31" s="21" t="s">
        <v>255</v>
      </c>
      <c r="K31" s="21" t="s">
        <v>364</v>
      </c>
      <c r="L31" s="21" t="s">
        <v>55</v>
      </c>
      <c r="M31" s="25">
        <v>44287.0</v>
      </c>
      <c r="N31" s="23" t="s">
        <v>56</v>
      </c>
      <c r="O31" s="21" t="s">
        <v>365</v>
      </c>
      <c r="P31" s="56"/>
      <c r="Q31" s="21" t="s">
        <v>59</v>
      </c>
      <c r="R31" s="24">
        <v>44568.0</v>
      </c>
      <c r="S31" s="23" t="s">
        <v>258</v>
      </c>
      <c r="T31" s="26"/>
      <c r="U31" s="23" t="s">
        <v>105</v>
      </c>
      <c r="V31" s="21" t="s">
        <v>159</v>
      </c>
      <c r="W31" s="21" t="s">
        <v>366</v>
      </c>
      <c r="X31" s="21" t="s">
        <v>367</v>
      </c>
      <c r="Y31" s="21" t="s">
        <v>368</v>
      </c>
      <c r="Z31" s="56"/>
      <c r="AA31" s="28">
        <v>48951.0</v>
      </c>
      <c r="AB31" s="29"/>
      <c r="AC31" s="23">
        <v>25.0</v>
      </c>
      <c r="AD31" s="21" t="s">
        <v>66</v>
      </c>
      <c r="AE31" s="21" t="s">
        <v>220</v>
      </c>
      <c r="AF31" s="21" t="s">
        <v>92</v>
      </c>
      <c r="AG31" s="21" t="s">
        <v>68</v>
      </c>
      <c r="AH31" s="21" t="s">
        <v>131</v>
      </c>
      <c r="AI31" s="21">
        <v>8.1269555245E10</v>
      </c>
      <c r="AJ31" s="21" t="s">
        <v>369</v>
      </c>
      <c r="AK31" s="21" t="s">
        <v>370</v>
      </c>
      <c r="AL31" s="21" t="s">
        <v>371</v>
      </c>
      <c r="AM31" s="21" t="s">
        <v>96</v>
      </c>
      <c r="AN31" s="21" t="s">
        <v>97</v>
      </c>
      <c r="AO31" s="21" t="s">
        <v>292</v>
      </c>
      <c r="AP31" s="21" t="s">
        <v>293</v>
      </c>
      <c r="AQ31" s="21">
        <v>0.0</v>
      </c>
      <c r="AR31" s="21">
        <v>0.0</v>
      </c>
    </row>
    <row r="32">
      <c r="A32" s="21">
        <f t="shared" si="1"/>
        <v>26</v>
      </c>
      <c r="B32" s="39" t="s">
        <v>372</v>
      </c>
      <c r="C32" s="40" t="s">
        <v>373</v>
      </c>
      <c r="D32" s="41">
        <v>12.0</v>
      </c>
      <c r="E32" s="41">
        <v>3.0</v>
      </c>
      <c r="F32" s="39" t="s">
        <v>80</v>
      </c>
      <c r="G32" s="39" t="s">
        <v>81</v>
      </c>
      <c r="H32" s="42">
        <v>40544.0</v>
      </c>
      <c r="I32" s="39" t="s">
        <v>82</v>
      </c>
      <c r="J32" s="39" t="s">
        <v>83</v>
      </c>
      <c r="K32" s="39" t="s">
        <v>104</v>
      </c>
      <c r="L32" s="39" t="s">
        <v>105</v>
      </c>
      <c r="M32" s="42">
        <v>45017.0</v>
      </c>
      <c r="N32" s="39" t="s">
        <v>141</v>
      </c>
      <c r="O32" s="39" t="s">
        <v>173</v>
      </c>
      <c r="P32" s="43"/>
      <c r="Q32" s="39" t="s">
        <v>86</v>
      </c>
      <c r="R32" s="42">
        <v>45292.0</v>
      </c>
      <c r="S32" s="39" t="s">
        <v>143</v>
      </c>
      <c r="T32" s="44"/>
      <c r="U32" s="39" t="s">
        <v>144</v>
      </c>
      <c r="V32" s="39" t="s">
        <v>159</v>
      </c>
      <c r="W32" s="39" t="s">
        <v>374</v>
      </c>
      <c r="X32" s="39" t="s">
        <v>231</v>
      </c>
      <c r="Y32" s="39" t="s">
        <v>375</v>
      </c>
      <c r="Z32" s="46"/>
      <c r="AA32" s="45">
        <v>51136.0</v>
      </c>
      <c r="AB32" s="46"/>
      <c r="AC32" s="23">
        <v>26.0</v>
      </c>
      <c r="AD32" s="39" t="s">
        <v>66</v>
      </c>
      <c r="AE32" s="39" t="s">
        <v>67</v>
      </c>
      <c r="AF32" s="39" t="s">
        <v>129</v>
      </c>
      <c r="AG32" s="39" t="s">
        <v>130</v>
      </c>
      <c r="AH32" s="39" t="s">
        <v>69</v>
      </c>
      <c r="AI32" s="39">
        <v>8.116284888E9</v>
      </c>
      <c r="AJ32" s="39" t="s">
        <v>376</v>
      </c>
      <c r="AK32" s="39" t="s">
        <v>377</v>
      </c>
      <c r="AL32" s="39" t="s">
        <v>378</v>
      </c>
      <c r="AM32" s="39" t="s">
        <v>96</v>
      </c>
      <c r="AN32" s="39" t="s">
        <v>97</v>
      </c>
      <c r="AO32" s="39" t="s">
        <v>379</v>
      </c>
      <c r="AP32" s="39" t="s">
        <v>380</v>
      </c>
      <c r="AQ32" s="43"/>
      <c r="AR32" s="43"/>
    </row>
    <row r="33">
      <c r="A33" s="21">
        <f t="shared" si="1"/>
        <v>27</v>
      </c>
      <c r="B33" s="39" t="s">
        <v>381</v>
      </c>
      <c r="C33" s="40" t="s">
        <v>382</v>
      </c>
      <c r="D33" s="41">
        <v>30.0</v>
      </c>
      <c r="E33" s="41">
        <v>0.0</v>
      </c>
      <c r="F33" s="39" t="s">
        <v>50</v>
      </c>
      <c r="G33" s="39" t="s">
        <v>51</v>
      </c>
      <c r="H33" s="66">
        <v>33664.0</v>
      </c>
      <c r="I33" s="39" t="s">
        <v>82</v>
      </c>
      <c r="J33" s="39" t="s">
        <v>83</v>
      </c>
      <c r="K33" s="39" t="s">
        <v>383</v>
      </c>
      <c r="L33" s="39" t="s">
        <v>105</v>
      </c>
      <c r="M33" s="42">
        <v>45931.0</v>
      </c>
      <c r="N33" s="39" t="s">
        <v>141</v>
      </c>
      <c r="O33" s="39" t="s">
        <v>173</v>
      </c>
      <c r="P33" s="43"/>
      <c r="Q33" s="39" t="s">
        <v>86</v>
      </c>
      <c r="R33" s="42">
        <v>45292.0</v>
      </c>
      <c r="S33" s="39" t="s">
        <v>143</v>
      </c>
      <c r="T33" s="44"/>
      <c r="U33" s="39" t="s">
        <v>144</v>
      </c>
      <c r="V33" s="39" t="s">
        <v>89</v>
      </c>
      <c r="W33" s="39" t="s">
        <v>218</v>
      </c>
      <c r="X33" s="39" t="s">
        <v>384</v>
      </c>
      <c r="Y33" s="39" t="s">
        <v>385</v>
      </c>
      <c r="Z33" s="39" t="s">
        <v>114</v>
      </c>
      <c r="AA33" s="45">
        <v>46397.0</v>
      </c>
      <c r="AB33" s="46"/>
      <c r="AC33" s="23">
        <v>27.0</v>
      </c>
      <c r="AD33" s="39" t="s">
        <v>66</v>
      </c>
      <c r="AE33" s="39" t="s">
        <v>67</v>
      </c>
      <c r="AF33" s="43"/>
      <c r="AG33" s="39" t="s">
        <v>130</v>
      </c>
      <c r="AH33" s="43"/>
      <c r="AI33" s="39">
        <v>8.2273172146E10</v>
      </c>
      <c r="AJ33" s="39" t="s">
        <v>386</v>
      </c>
      <c r="AK33" s="39" t="s">
        <v>387</v>
      </c>
      <c r="AL33" s="39" t="s">
        <v>388</v>
      </c>
      <c r="AM33" s="39" t="s">
        <v>96</v>
      </c>
      <c r="AN33" s="39" t="s">
        <v>74</v>
      </c>
      <c r="AO33" s="39" t="s">
        <v>379</v>
      </c>
      <c r="AP33" s="39" t="s">
        <v>389</v>
      </c>
      <c r="AQ33" s="43"/>
      <c r="AR33" s="43"/>
    </row>
    <row r="34">
      <c r="A34" s="21">
        <f t="shared" si="1"/>
        <v>28</v>
      </c>
      <c r="B34" s="39" t="s">
        <v>390</v>
      </c>
      <c r="C34" s="40" t="s">
        <v>391</v>
      </c>
      <c r="D34" s="41">
        <v>12.0</v>
      </c>
      <c r="E34" s="41">
        <v>3.0</v>
      </c>
      <c r="F34" s="39" t="s">
        <v>80</v>
      </c>
      <c r="G34" s="39" t="s">
        <v>81</v>
      </c>
      <c r="H34" s="42">
        <v>40817.0</v>
      </c>
      <c r="I34" s="39" t="s">
        <v>82</v>
      </c>
      <c r="J34" s="39" t="s">
        <v>83</v>
      </c>
      <c r="K34" s="39" t="s">
        <v>228</v>
      </c>
      <c r="L34" s="39" t="s">
        <v>105</v>
      </c>
      <c r="M34" s="42">
        <v>44652.0</v>
      </c>
      <c r="N34" s="39" t="s">
        <v>141</v>
      </c>
      <c r="O34" s="39" t="s">
        <v>173</v>
      </c>
      <c r="P34" s="43"/>
      <c r="Q34" s="39" t="s">
        <v>86</v>
      </c>
      <c r="R34" s="42">
        <v>45292.0</v>
      </c>
      <c r="S34" s="39" t="s">
        <v>143</v>
      </c>
      <c r="T34" s="44"/>
      <c r="U34" s="39" t="s">
        <v>144</v>
      </c>
      <c r="V34" s="39" t="s">
        <v>89</v>
      </c>
      <c r="W34" s="39" t="s">
        <v>230</v>
      </c>
      <c r="X34" s="39" t="s">
        <v>260</v>
      </c>
      <c r="Y34" s="39" t="s">
        <v>392</v>
      </c>
      <c r="Z34" s="39" t="s">
        <v>114</v>
      </c>
      <c r="AA34" s="45">
        <v>52238.0</v>
      </c>
      <c r="AB34" s="46"/>
      <c r="AC34" s="23">
        <v>28.0</v>
      </c>
      <c r="AD34" s="39" t="s">
        <v>66</v>
      </c>
      <c r="AE34" s="39" t="s">
        <v>67</v>
      </c>
      <c r="AF34" s="39" t="s">
        <v>92</v>
      </c>
      <c r="AG34" s="39" t="s">
        <v>130</v>
      </c>
      <c r="AH34" s="39" t="s">
        <v>69</v>
      </c>
      <c r="AI34" s="39">
        <v>8.5372943434E10</v>
      </c>
      <c r="AJ34" s="39" t="s">
        <v>393</v>
      </c>
      <c r="AK34" s="39" t="s">
        <v>394</v>
      </c>
      <c r="AL34" s="39" t="s">
        <v>395</v>
      </c>
      <c r="AM34" s="39" t="s">
        <v>96</v>
      </c>
      <c r="AN34" s="39" t="s">
        <v>97</v>
      </c>
      <c r="AO34" s="39" t="s">
        <v>379</v>
      </c>
      <c r="AP34" s="39" t="s">
        <v>396</v>
      </c>
      <c r="AQ34" s="43"/>
      <c r="AR34" s="43"/>
    </row>
    <row r="35">
      <c r="A35" s="21">
        <f t="shared" si="1"/>
        <v>29</v>
      </c>
      <c r="B35" s="39" t="s">
        <v>397</v>
      </c>
      <c r="C35" s="40" t="s">
        <v>398</v>
      </c>
      <c r="D35" s="41">
        <v>17.0</v>
      </c>
      <c r="E35" s="41">
        <v>1.0</v>
      </c>
      <c r="F35" s="39" t="s">
        <v>50</v>
      </c>
      <c r="G35" s="39" t="s">
        <v>51</v>
      </c>
      <c r="H35" s="42">
        <v>39873.0</v>
      </c>
      <c r="I35" s="39" t="s">
        <v>307</v>
      </c>
      <c r="J35" s="39" t="s">
        <v>308</v>
      </c>
      <c r="K35" s="39" t="s">
        <v>228</v>
      </c>
      <c r="L35" s="39" t="s">
        <v>105</v>
      </c>
      <c r="M35" s="42">
        <v>44652.0</v>
      </c>
      <c r="N35" s="39" t="s">
        <v>141</v>
      </c>
      <c r="O35" s="39" t="s">
        <v>229</v>
      </c>
      <c r="P35" s="43"/>
      <c r="Q35" s="39" t="s">
        <v>108</v>
      </c>
      <c r="R35" s="42">
        <v>45292.0</v>
      </c>
      <c r="S35" s="39" t="s">
        <v>143</v>
      </c>
      <c r="T35" s="44"/>
      <c r="U35" s="39" t="s">
        <v>144</v>
      </c>
      <c r="V35" s="39" t="s">
        <v>285</v>
      </c>
      <c r="W35" s="39" t="s">
        <v>399</v>
      </c>
      <c r="X35" s="39" t="s">
        <v>400</v>
      </c>
      <c r="Y35" s="39" t="s">
        <v>401</v>
      </c>
      <c r="Z35" s="39" t="s">
        <v>114</v>
      </c>
      <c r="AA35" s="45">
        <v>48587.0</v>
      </c>
      <c r="AB35" s="46"/>
      <c r="AC35" s="23">
        <v>29.0</v>
      </c>
      <c r="AD35" s="39" t="s">
        <v>66</v>
      </c>
      <c r="AE35" s="39" t="s">
        <v>67</v>
      </c>
      <c r="AF35" s="39" t="s">
        <v>92</v>
      </c>
      <c r="AG35" s="39" t="s">
        <v>68</v>
      </c>
      <c r="AH35" s="39" t="s">
        <v>69</v>
      </c>
      <c r="AI35" s="39">
        <v>8.137584608E10</v>
      </c>
      <c r="AJ35" s="39" t="s">
        <v>402</v>
      </c>
      <c r="AK35" s="39" t="s">
        <v>403</v>
      </c>
      <c r="AL35" s="39" t="s">
        <v>404</v>
      </c>
      <c r="AM35" s="39" t="s">
        <v>96</v>
      </c>
      <c r="AN35" s="39" t="s">
        <v>166</v>
      </c>
      <c r="AO35" s="39" t="s">
        <v>224</v>
      </c>
      <c r="AP35" s="39" t="s">
        <v>405</v>
      </c>
      <c r="AQ35" s="43"/>
      <c r="AR35" s="43"/>
    </row>
    <row r="36">
      <c r="A36" s="21">
        <f t="shared" si="1"/>
        <v>30</v>
      </c>
      <c r="B36" s="39" t="s">
        <v>406</v>
      </c>
      <c r="C36" s="40" t="s">
        <v>407</v>
      </c>
      <c r="D36" s="41">
        <v>16.0</v>
      </c>
      <c r="E36" s="41">
        <v>5.0</v>
      </c>
      <c r="F36" s="39" t="s">
        <v>80</v>
      </c>
      <c r="G36" s="39" t="s">
        <v>81</v>
      </c>
      <c r="H36" s="42">
        <v>39845.0</v>
      </c>
      <c r="I36" s="39" t="s">
        <v>82</v>
      </c>
      <c r="J36" s="39" t="s">
        <v>83</v>
      </c>
      <c r="K36" s="39" t="s">
        <v>408</v>
      </c>
      <c r="L36" s="39" t="s">
        <v>105</v>
      </c>
      <c r="M36" s="42">
        <v>44287.0</v>
      </c>
      <c r="N36" s="39" t="s">
        <v>141</v>
      </c>
      <c r="O36" s="39" t="s">
        <v>173</v>
      </c>
      <c r="P36" s="43"/>
      <c r="Q36" s="39" t="s">
        <v>86</v>
      </c>
      <c r="R36" s="42">
        <v>45292.0</v>
      </c>
      <c r="S36" s="39" t="s">
        <v>143</v>
      </c>
      <c r="T36" s="44"/>
      <c r="U36" s="39" t="s">
        <v>144</v>
      </c>
      <c r="V36" s="39" t="s">
        <v>89</v>
      </c>
      <c r="W36" s="39" t="s">
        <v>90</v>
      </c>
      <c r="X36" s="39" t="s">
        <v>409</v>
      </c>
      <c r="Y36" s="39" t="s">
        <v>410</v>
      </c>
      <c r="Z36" s="46"/>
      <c r="AA36" s="45">
        <v>48955.0</v>
      </c>
      <c r="AB36" s="46"/>
      <c r="AC36" s="23">
        <v>30.0</v>
      </c>
      <c r="AD36" s="39" t="s">
        <v>66</v>
      </c>
      <c r="AE36" s="39" t="s">
        <v>67</v>
      </c>
      <c r="AF36" s="39" t="s">
        <v>129</v>
      </c>
      <c r="AG36" s="39" t="s">
        <v>130</v>
      </c>
      <c r="AH36" s="39" t="s">
        <v>69</v>
      </c>
      <c r="AI36" s="39">
        <v>8.12647748E9</v>
      </c>
      <c r="AJ36" s="39" t="s">
        <v>411</v>
      </c>
      <c r="AK36" s="39" t="s">
        <v>412</v>
      </c>
      <c r="AL36" s="39" t="s">
        <v>413</v>
      </c>
      <c r="AM36" s="39" t="s">
        <v>96</v>
      </c>
      <c r="AN36" s="39" t="s">
        <v>414</v>
      </c>
      <c r="AO36" s="39" t="s">
        <v>236</v>
      </c>
      <c r="AP36" s="39" t="s">
        <v>237</v>
      </c>
      <c r="AQ36" s="43"/>
      <c r="AR36" s="43"/>
    </row>
    <row r="37">
      <c r="A37" s="21">
        <f t="shared" si="1"/>
        <v>31</v>
      </c>
      <c r="B37" s="39" t="s">
        <v>415</v>
      </c>
      <c r="C37" s="40" t="s">
        <v>416</v>
      </c>
      <c r="D37" s="41">
        <v>15.0</v>
      </c>
      <c r="E37" s="41">
        <v>7.0</v>
      </c>
      <c r="F37" s="39" t="s">
        <v>50</v>
      </c>
      <c r="G37" s="39" t="s">
        <v>51</v>
      </c>
      <c r="H37" s="42">
        <v>39845.0</v>
      </c>
      <c r="I37" s="39" t="s">
        <v>102</v>
      </c>
      <c r="J37" s="39" t="s">
        <v>103</v>
      </c>
      <c r="K37" s="39" t="s">
        <v>417</v>
      </c>
      <c r="L37" s="39" t="s">
        <v>105</v>
      </c>
      <c r="M37" s="42">
        <v>45566.0</v>
      </c>
      <c r="N37" s="39" t="s">
        <v>141</v>
      </c>
      <c r="O37" s="39" t="s">
        <v>173</v>
      </c>
      <c r="P37" s="43"/>
      <c r="Q37" s="39" t="s">
        <v>86</v>
      </c>
      <c r="R37" s="42">
        <v>45292.0</v>
      </c>
      <c r="S37" s="39" t="s">
        <v>143</v>
      </c>
      <c r="T37" s="44"/>
      <c r="U37" s="39" t="s">
        <v>144</v>
      </c>
      <c r="V37" s="39" t="s">
        <v>89</v>
      </c>
      <c r="W37" s="39" t="s">
        <v>418</v>
      </c>
      <c r="X37" s="39" t="s">
        <v>419</v>
      </c>
      <c r="Y37" s="39" t="s">
        <v>420</v>
      </c>
      <c r="Z37" s="46"/>
      <c r="AA37" s="45">
        <v>49685.0</v>
      </c>
      <c r="AB37" s="46"/>
      <c r="AC37" s="23">
        <v>31.0</v>
      </c>
      <c r="AD37" s="39" t="s">
        <v>66</v>
      </c>
      <c r="AE37" s="39" t="s">
        <v>67</v>
      </c>
      <c r="AF37" s="39" t="s">
        <v>421</v>
      </c>
      <c r="AG37" s="39" t="s">
        <v>130</v>
      </c>
      <c r="AH37" s="39" t="s">
        <v>131</v>
      </c>
      <c r="AI37" s="39">
        <v>8.1397113205E10</v>
      </c>
      <c r="AJ37" s="39" t="s">
        <v>422</v>
      </c>
      <c r="AK37" s="39" t="s">
        <v>423</v>
      </c>
      <c r="AL37" s="39" t="s">
        <v>424</v>
      </c>
      <c r="AM37" s="39" t="s">
        <v>96</v>
      </c>
      <c r="AN37" s="43"/>
      <c r="AO37" s="39" t="s">
        <v>425</v>
      </c>
      <c r="AP37" s="39" t="s">
        <v>426</v>
      </c>
      <c r="AQ37" s="39" t="s">
        <v>77</v>
      </c>
      <c r="AR37" s="39" t="s">
        <v>77</v>
      </c>
    </row>
    <row r="38">
      <c r="A38" s="21">
        <f t="shared" si="1"/>
        <v>32</v>
      </c>
      <c r="B38" s="39" t="s">
        <v>427</v>
      </c>
      <c r="C38" s="40" t="s">
        <v>428</v>
      </c>
      <c r="D38" s="41">
        <v>14.0</v>
      </c>
      <c r="E38" s="41">
        <v>7.0</v>
      </c>
      <c r="F38" s="39" t="s">
        <v>50</v>
      </c>
      <c r="G38" s="39" t="s">
        <v>51</v>
      </c>
      <c r="H38" s="42">
        <v>39873.0</v>
      </c>
      <c r="I38" s="39" t="s">
        <v>102</v>
      </c>
      <c r="J38" s="39" t="s">
        <v>103</v>
      </c>
      <c r="K38" s="39" t="s">
        <v>417</v>
      </c>
      <c r="L38" s="39" t="s">
        <v>105</v>
      </c>
      <c r="M38" s="42">
        <v>45566.0</v>
      </c>
      <c r="N38" s="39" t="s">
        <v>141</v>
      </c>
      <c r="O38" s="39" t="s">
        <v>173</v>
      </c>
      <c r="P38" s="43"/>
      <c r="Q38" s="39" t="s">
        <v>86</v>
      </c>
      <c r="R38" s="42">
        <v>45292.0</v>
      </c>
      <c r="S38" s="39" t="s">
        <v>143</v>
      </c>
      <c r="T38" s="44"/>
      <c r="U38" s="39" t="s">
        <v>144</v>
      </c>
      <c r="V38" s="39" t="s">
        <v>89</v>
      </c>
      <c r="W38" s="39" t="s">
        <v>429</v>
      </c>
      <c r="X38" s="39" t="s">
        <v>430</v>
      </c>
      <c r="Y38" s="39" t="s">
        <v>431</v>
      </c>
      <c r="Z38" s="46"/>
      <c r="AA38" s="45">
        <v>51137.0</v>
      </c>
      <c r="AB38" s="46"/>
      <c r="AC38" s="23">
        <v>32.0</v>
      </c>
      <c r="AD38" s="39" t="s">
        <v>66</v>
      </c>
      <c r="AE38" s="39" t="s">
        <v>67</v>
      </c>
      <c r="AF38" s="39" t="s">
        <v>92</v>
      </c>
      <c r="AG38" s="39" t="s">
        <v>68</v>
      </c>
      <c r="AH38" s="39" t="s">
        <v>69</v>
      </c>
      <c r="AI38" s="39">
        <v>8.5262645261E10</v>
      </c>
      <c r="AJ38" s="39" t="s">
        <v>432</v>
      </c>
      <c r="AK38" s="39" t="s">
        <v>433</v>
      </c>
      <c r="AL38" s="39" t="s">
        <v>434</v>
      </c>
      <c r="AM38" s="39" t="s">
        <v>96</v>
      </c>
      <c r="AN38" s="39" t="s">
        <v>97</v>
      </c>
      <c r="AO38" s="39" t="s">
        <v>435</v>
      </c>
      <c r="AP38" s="39" t="s">
        <v>436</v>
      </c>
      <c r="AQ38" s="39" t="s">
        <v>77</v>
      </c>
      <c r="AR38" s="39" t="s">
        <v>77</v>
      </c>
    </row>
    <row r="39">
      <c r="A39" s="21">
        <f t="shared" si="1"/>
        <v>33</v>
      </c>
      <c r="B39" s="39" t="s">
        <v>437</v>
      </c>
      <c r="C39" s="40" t="s">
        <v>438</v>
      </c>
      <c r="D39" s="41">
        <v>8.0</v>
      </c>
      <c r="E39" s="41">
        <v>0.0</v>
      </c>
      <c r="F39" s="39" t="s">
        <v>50</v>
      </c>
      <c r="G39" s="39" t="s">
        <v>51</v>
      </c>
      <c r="H39" s="42">
        <v>40544.0</v>
      </c>
      <c r="I39" s="39" t="s">
        <v>102</v>
      </c>
      <c r="J39" s="39" t="s">
        <v>103</v>
      </c>
      <c r="K39" s="39" t="s">
        <v>104</v>
      </c>
      <c r="L39" s="39" t="s">
        <v>105</v>
      </c>
      <c r="M39" s="42">
        <v>45017.0</v>
      </c>
      <c r="N39" s="39" t="s">
        <v>141</v>
      </c>
      <c r="O39" s="39" t="s">
        <v>173</v>
      </c>
      <c r="P39" s="43"/>
      <c r="Q39" s="39" t="s">
        <v>86</v>
      </c>
      <c r="R39" s="42">
        <v>45292.0</v>
      </c>
      <c r="S39" s="39" t="s">
        <v>143</v>
      </c>
      <c r="T39" s="44"/>
      <c r="U39" s="39" t="s">
        <v>144</v>
      </c>
      <c r="V39" s="39" t="s">
        <v>89</v>
      </c>
      <c r="W39" s="39" t="s">
        <v>439</v>
      </c>
      <c r="X39" s="39" t="s">
        <v>440</v>
      </c>
      <c r="Y39" s="39" t="s">
        <v>441</v>
      </c>
      <c r="Z39" s="46"/>
      <c r="AA39" s="45">
        <v>53696.0</v>
      </c>
      <c r="AB39" s="46"/>
      <c r="AC39" s="23">
        <v>33.0</v>
      </c>
      <c r="AD39" s="39" t="s">
        <v>66</v>
      </c>
      <c r="AE39" s="39" t="s">
        <v>67</v>
      </c>
      <c r="AF39" s="43"/>
      <c r="AG39" s="39" t="s">
        <v>68</v>
      </c>
      <c r="AH39" s="43"/>
      <c r="AI39" s="39">
        <v>8.5275575514E10</v>
      </c>
      <c r="AJ39" s="39" t="s">
        <v>442</v>
      </c>
      <c r="AK39" s="39" t="s">
        <v>443</v>
      </c>
      <c r="AL39" s="39" t="s">
        <v>444</v>
      </c>
      <c r="AM39" s="39" t="s">
        <v>96</v>
      </c>
      <c r="AN39" s="43"/>
      <c r="AO39" s="39" t="s">
        <v>445</v>
      </c>
      <c r="AP39" s="39" t="s">
        <v>446</v>
      </c>
      <c r="AQ39" s="43"/>
      <c r="AR39" s="43"/>
    </row>
    <row r="40">
      <c r="A40" s="21">
        <f t="shared" si="1"/>
        <v>34</v>
      </c>
      <c r="B40" s="39" t="s">
        <v>447</v>
      </c>
      <c r="C40" s="40" t="s">
        <v>448</v>
      </c>
      <c r="D40" s="41">
        <v>16.0</v>
      </c>
      <c r="E40" s="41">
        <v>5.0</v>
      </c>
      <c r="F40" s="39" t="s">
        <v>50</v>
      </c>
      <c r="G40" s="39" t="s">
        <v>51</v>
      </c>
      <c r="H40" s="42">
        <v>39845.0</v>
      </c>
      <c r="I40" s="39" t="s">
        <v>82</v>
      </c>
      <c r="J40" s="39" t="s">
        <v>83</v>
      </c>
      <c r="K40" s="39" t="s">
        <v>140</v>
      </c>
      <c r="L40" s="39" t="s">
        <v>105</v>
      </c>
      <c r="M40" s="42">
        <v>45809.0</v>
      </c>
      <c r="N40" s="39" t="s">
        <v>141</v>
      </c>
      <c r="O40" s="39" t="s">
        <v>173</v>
      </c>
      <c r="P40" s="43"/>
      <c r="Q40" s="39" t="s">
        <v>86</v>
      </c>
      <c r="R40" s="42">
        <v>45292.0</v>
      </c>
      <c r="S40" s="39" t="s">
        <v>143</v>
      </c>
      <c r="T40" s="44"/>
      <c r="U40" s="39" t="s">
        <v>144</v>
      </c>
      <c r="V40" s="39" t="s">
        <v>89</v>
      </c>
      <c r="W40" s="39" t="s">
        <v>90</v>
      </c>
      <c r="X40" s="39" t="s">
        <v>449</v>
      </c>
      <c r="Y40" s="39" t="s">
        <v>450</v>
      </c>
      <c r="Z40" s="39" t="s">
        <v>114</v>
      </c>
      <c r="AA40" s="45">
        <v>51505.0</v>
      </c>
      <c r="AB40" s="46"/>
      <c r="AC40" s="23">
        <v>34.0</v>
      </c>
      <c r="AD40" s="39" t="s">
        <v>66</v>
      </c>
      <c r="AE40" s="39" t="s">
        <v>67</v>
      </c>
      <c r="AF40" s="43"/>
      <c r="AG40" s="39" t="s">
        <v>68</v>
      </c>
      <c r="AH40" s="39" t="s">
        <v>69</v>
      </c>
      <c r="AI40" s="39">
        <v>8.1533300053E10</v>
      </c>
      <c r="AJ40" s="39" t="s">
        <v>451</v>
      </c>
      <c r="AK40" s="39" t="s">
        <v>452</v>
      </c>
      <c r="AL40" s="39" t="s">
        <v>453</v>
      </c>
      <c r="AM40" s="39" t="s">
        <v>96</v>
      </c>
      <c r="AN40" s="39" t="s">
        <v>74</v>
      </c>
      <c r="AO40" s="39" t="s">
        <v>454</v>
      </c>
      <c r="AP40" s="39" t="s">
        <v>455</v>
      </c>
      <c r="AQ40" s="43"/>
      <c r="AR40" s="43"/>
    </row>
    <row r="41">
      <c r="A41" s="21">
        <f t="shared" si="1"/>
        <v>35</v>
      </c>
      <c r="B41" s="39" t="s">
        <v>456</v>
      </c>
      <c r="C41" s="40" t="s">
        <v>457</v>
      </c>
      <c r="D41" s="41">
        <v>17.0</v>
      </c>
      <c r="E41" s="41">
        <v>11.0</v>
      </c>
      <c r="F41" s="39" t="s">
        <v>171</v>
      </c>
      <c r="G41" s="39" t="s">
        <v>172</v>
      </c>
      <c r="H41" s="42">
        <v>39448.0</v>
      </c>
      <c r="I41" s="39" t="s">
        <v>102</v>
      </c>
      <c r="J41" s="39" t="s">
        <v>103</v>
      </c>
      <c r="K41" s="39" t="s">
        <v>155</v>
      </c>
      <c r="L41" s="39" t="s">
        <v>88</v>
      </c>
      <c r="M41" s="42">
        <v>44652.0</v>
      </c>
      <c r="N41" s="39" t="s">
        <v>141</v>
      </c>
      <c r="O41" s="39" t="s">
        <v>173</v>
      </c>
      <c r="P41" s="43"/>
      <c r="Q41" s="39" t="s">
        <v>86</v>
      </c>
      <c r="R41" s="42">
        <v>45292.0</v>
      </c>
      <c r="S41" s="39" t="s">
        <v>143</v>
      </c>
      <c r="T41" s="44"/>
      <c r="U41" s="39" t="s">
        <v>144</v>
      </c>
      <c r="V41" s="39" t="s">
        <v>89</v>
      </c>
      <c r="W41" s="39" t="s">
        <v>458</v>
      </c>
      <c r="X41" s="39" t="s">
        <v>459</v>
      </c>
      <c r="Y41" s="67">
        <v>41519.0</v>
      </c>
      <c r="Z41" s="46"/>
      <c r="AA41" s="45">
        <v>50050.0</v>
      </c>
      <c r="AB41" s="46"/>
      <c r="AC41" s="23">
        <v>35.0</v>
      </c>
      <c r="AD41" s="39" t="s">
        <v>66</v>
      </c>
      <c r="AE41" s="39" t="s">
        <v>67</v>
      </c>
      <c r="AF41" s="43"/>
      <c r="AG41" s="39" t="s">
        <v>130</v>
      </c>
      <c r="AH41" s="39" t="s">
        <v>131</v>
      </c>
      <c r="AI41" s="39">
        <v>8.13617687E10</v>
      </c>
      <c r="AJ41" s="39" t="s">
        <v>460</v>
      </c>
      <c r="AK41" s="39" t="s">
        <v>461</v>
      </c>
      <c r="AL41" s="39" t="s">
        <v>462</v>
      </c>
      <c r="AM41" s="39" t="s">
        <v>96</v>
      </c>
      <c r="AN41" s="43"/>
      <c r="AO41" s="39" t="s">
        <v>463</v>
      </c>
      <c r="AP41" s="39" t="s">
        <v>464</v>
      </c>
      <c r="AQ41" s="43"/>
      <c r="AR41" s="43"/>
    </row>
    <row r="42">
      <c r="A42" s="21">
        <f t="shared" si="1"/>
        <v>36</v>
      </c>
      <c r="B42" s="39" t="s">
        <v>465</v>
      </c>
      <c r="C42" s="40" t="s">
        <v>466</v>
      </c>
      <c r="D42" s="41">
        <v>17.0</v>
      </c>
      <c r="E42" s="41">
        <v>3.0</v>
      </c>
      <c r="F42" s="39" t="s">
        <v>80</v>
      </c>
      <c r="G42" s="39" t="s">
        <v>81</v>
      </c>
      <c r="H42" s="42">
        <v>40179.0</v>
      </c>
      <c r="I42" s="39" t="s">
        <v>82</v>
      </c>
      <c r="J42" s="39" t="s">
        <v>83</v>
      </c>
      <c r="K42" s="39" t="s">
        <v>228</v>
      </c>
      <c r="L42" s="39" t="s">
        <v>105</v>
      </c>
      <c r="M42" s="42">
        <v>44652.0</v>
      </c>
      <c r="N42" s="39" t="s">
        <v>141</v>
      </c>
      <c r="O42" s="39" t="s">
        <v>173</v>
      </c>
      <c r="P42" s="43"/>
      <c r="Q42" s="39" t="s">
        <v>86</v>
      </c>
      <c r="R42" s="42">
        <v>45292.0</v>
      </c>
      <c r="S42" s="39" t="s">
        <v>143</v>
      </c>
      <c r="T42" s="44"/>
      <c r="U42" s="39" t="s">
        <v>144</v>
      </c>
      <c r="V42" s="39" t="s">
        <v>89</v>
      </c>
      <c r="W42" s="39" t="s">
        <v>467</v>
      </c>
      <c r="X42" s="39" t="s">
        <v>198</v>
      </c>
      <c r="Y42" s="39" t="s">
        <v>468</v>
      </c>
      <c r="Z42" s="39" t="s">
        <v>114</v>
      </c>
      <c r="AA42" s="45">
        <v>50406.0</v>
      </c>
      <c r="AB42" s="46"/>
      <c r="AC42" s="23">
        <v>36.0</v>
      </c>
      <c r="AD42" s="39" t="s">
        <v>66</v>
      </c>
      <c r="AE42" s="39" t="s">
        <v>67</v>
      </c>
      <c r="AF42" s="39" t="s">
        <v>92</v>
      </c>
      <c r="AG42" s="39" t="s">
        <v>130</v>
      </c>
      <c r="AH42" s="39" t="s">
        <v>69</v>
      </c>
      <c r="AI42" s="39">
        <v>8.116380033E9</v>
      </c>
      <c r="AJ42" s="39" t="s">
        <v>469</v>
      </c>
      <c r="AK42" s="39" t="s">
        <v>470</v>
      </c>
      <c r="AL42" s="39" t="s">
        <v>471</v>
      </c>
      <c r="AM42" s="39" t="s">
        <v>96</v>
      </c>
      <c r="AN42" s="39" t="s">
        <v>150</v>
      </c>
      <c r="AO42" s="39" t="s">
        <v>151</v>
      </c>
      <c r="AP42" s="39" t="s">
        <v>472</v>
      </c>
      <c r="AQ42" s="43"/>
      <c r="AR42" s="43"/>
    </row>
    <row r="43">
      <c r="A43" s="21">
        <f t="shared" si="1"/>
        <v>37</v>
      </c>
      <c r="B43" s="39" t="s">
        <v>473</v>
      </c>
      <c r="C43" s="40" t="s">
        <v>474</v>
      </c>
      <c r="D43" s="41">
        <v>27.0</v>
      </c>
      <c r="E43" s="41">
        <v>1.0</v>
      </c>
      <c r="F43" s="39" t="s">
        <v>50</v>
      </c>
      <c r="G43" s="39" t="s">
        <v>51</v>
      </c>
      <c r="H43" s="42">
        <v>39083.0</v>
      </c>
      <c r="I43" s="39" t="s">
        <v>80</v>
      </c>
      <c r="J43" s="39" t="s">
        <v>81</v>
      </c>
      <c r="K43" s="39" t="s">
        <v>104</v>
      </c>
      <c r="L43" s="39" t="s">
        <v>105</v>
      </c>
      <c r="M43" s="42">
        <v>45017.0</v>
      </c>
      <c r="N43" s="39" t="s">
        <v>141</v>
      </c>
      <c r="O43" s="39" t="s">
        <v>173</v>
      </c>
      <c r="P43" s="43"/>
      <c r="Q43" s="39" t="s">
        <v>86</v>
      </c>
      <c r="R43" s="42">
        <v>44256.0</v>
      </c>
      <c r="S43" s="39" t="s">
        <v>475</v>
      </c>
      <c r="T43" s="44"/>
      <c r="U43" s="39" t="s">
        <v>144</v>
      </c>
      <c r="V43" s="39" t="s">
        <v>285</v>
      </c>
      <c r="W43" s="43"/>
      <c r="X43" s="39" t="s">
        <v>476</v>
      </c>
      <c r="Y43" s="39" t="s">
        <v>477</v>
      </c>
      <c r="Z43" s="46"/>
      <c r="AA43" s="45">
        <v>47484.0</v>
      </c>
      <c r="AB43" s="46"/>
      <c r="AC43" s="23">
        <v>37.0</v>
      </c>
      <c r="AD43" s="39" t="s">
        <v>66</v>
      </c>
      <c r="AE43" s="39" t="s">
        <v>67</v>
      </c>
      <c r="AF43" s="43"/>
      <c r="AG43" s="39" t="s">
        <v>68</v>
      </c>
      <c r="AH43" s="39" t="s">
        <v>69</v>
      </c>
      <c r="AI43" s="39">
        <v>8.2167862508E10</v>
      </c>
      <c r="AJ43" s="39" t="s">
        <v>478</v>
      </c>
      <c r="AK43" s="39" t="s">
        <v>479</v>
      </c>
      <c r="AL43" s="39" t="s">
        <v>480</v>
      </c>
      <c r="AM43" s="39" t="s">
        <v>96</v>
      </c>
      <c r="AN43" s="39" t="s">
        <v>481</v>
      </c>
      <c r="AO43" s="39" t="s">
        <v>178</v>
      </c>
      <c r="AP43" s="39" t="s">
        <v>482</v>
      </c>
      <c r="AQ43" s="39" t="s">
        <v>483</v>
      </c>
      <c r="AR43" s="39" t="s">
        <v>483</v>
      </c>
    </row>
    <row r="44">
      <c r="A44" s="21">
        <f t="shared" si="1"/>
        <v>38</v>
      </c>
      <c r="B44" s="39" t="s">
        <v>484</v>
      </c>
      <c r="C44" s="40" t="s">
        <v>485</v>
      </c>
      <c r="D44" s="41">
        <v>15.0</v>
      </c>
      <c r="E44" s="41">
        <v>9.0</v>
      </c>
      <c r="F44" s="39" t="s">
        <v>50</v>
      </c>
      <c r="G44" s="39" t="s">
        <v>51</v>
      </c>
      <c r="H44" s="42">
        <v>39845.0</v>
      </c>
      <c r="I44" s="39" t="s">
        <v>80</v>
      </c>
      <c r="J44" s="39" t="s">
        <v>81</v>
      </c>
      <c r="K44" s="39" t="s">
        <v>104</v>
      </c>
      <c r="L44" s="39" t="s">
        <v>105</v>
      </c>
      <c r="M44" s="42">
        <v>45017.0</v>
      </c>
      <c r="N44" s="39" t="s">
        <v>141</v>
      </c>
      <c r="O44" s="39" t="s">
        <v>173</v>
      </c>
      <c r="P44" s="43"/>
      <c r="Q44" s="39" t="s">
        <v>59</v>
      </c>
      <c r="R44" s="42">
        <v>45292.0</v>
      </c>
      <c r="S44" s="39" t="s">
        <v>143</v>
      </c>
      <c r="T44" s="44"/>
      <c r="U44" s="39" t="s">
        <v>144</v>
      </c>
      <c r="V44" s="39" t="s">
        <v>285</v>
      </c>
      <c r="W44" s="43"/>
      <c r="X44" s="39" t="s">
        <v>486</v>
      </c>
      <c r="Y44" s="39" t="s">
        <v>487</v>
      </c>
      <c r="Z44" s="39" t="s">
        <v>114</v>
      </c>
      <c r="AA44" s="45">
        <v>50409.0</v>
      </c>
      <c r="AB44" s="46"/>
      <c r="AC44" s="23">
        <v>38.0</v>
      </c>
      <c r="AD44" s="39" t="s">
        <v>66</v>
      </c>
      <c r="AE44" s="39" t="s">
        <v>67</v>
      </c>
      <c r="AF44" s="43"/>
      <c r="AG44" s="39" t="s">
        <v>130</v>
      </c>
      <c r="AH44" s="39" t="s">
        <v>288</v>
      </c>
      <c r="AI44" s="39">
        <v>8.7869412309E10</v>
      </c>
      <c r="AJ44" s="39" t="s">
        <v>488</v>
      </c>
      <c r="AK44" s="39" t="s">
        <v>489</v>
      </c>
      <c r="AL44" s="39" t="s">
        <v>490</v>
      </c>
      <c r="AM44" s="39" t="s">
        <v>96</v>
      </c>
      <c r="AN44" s="39" t="s">
        <v>97</v>
      </c>
      <c r="AO44" s="39" t="s">
        <v>454</v>
      </c>
      <c r="AP44" s="39" t="s">
        <v>491</v>
      </c>
      <c r="AQ44" s="39" t="s">
        <v>77</v>
      </c>
      <c r="AR44" s="39" t="s">
        <v>77</v>
      </c>
    </row>
    <row r="45">
      <c r="A45" s="21">
        <f t="shared" si="1"/>
        <v>39</v>
      </c>
      <c r="B45" s="21" t="s">
        <v>492</v>
      </c>
      <c r="C45" s="22" t="s">
        <v>493</v>
      </c>
      <c r="D45" s="21">
        <v>21.0</v>
      </c>
      <c r="E45" s="21">
        <v>11.0</v>
      </c>
      <c r="F45" s="21" t="s">
        <v>80</v>
      </c>
      <c r="G45" s="21" t="s">
        <v>81</v>
      </c>
      <c r="H45" s="25">
        <v>39448.0</v>
      </c>
      <c r="I45" s="21" t="s">
        <v>254</v>
      </c>
      <c r="J45" s="21" t="s">
        <v>255</v>
      </c>
      <c r="K45" s="21" t="s">
        <v>494</v>
      </c>
      <c r="L45" s="21" t="s">
        <v>495</v>
      </c>
      <c r="M45" s="25">
        <v>45383.0</v>
      </c>
      <c r="N45" s="21" t="s">
        <v>141</v>
      </c>
      <c r="O45" s="21" t="s">
        <v>173</v>
      </c>
      <c r="P45" s="30"/>
      <c r="Q45" s="21" t="s">
        <v>59</v>
      </c>
      <c r="R45" s="25">
        <v>45292.0</v>
      </c>
      <c r="S45" s="21" t="s">
        <v>143</v>
      </c>
      <c r="T45" s="68"/>
      <c r="U45" s="21" t="s">
        <v>144</v>
      </c>
      <c r="V45" s="21" t="s">
        <v>159</v>
      </c>
      <c r="W45" s="21" t="s">
        <v>259</v>
      </c>
      <c r="X45" s="21" t="s">
        <v>198</v>
      </c>
      <c r="Y45" s="27">
        <v>42333.0</v>
      </c>
      <c r="Z45" s="68"/>
      <c r="AA45" s="69">
        <v>48947.0</v>
      </c>
      <c r="AB45" s="30"/>
      <c r="AC45" s="23">
        <v>39.0</v>
      </c>
      <c r="AD45" s="21" t="s">
        <v>66</v>
      </c>
      <c r="AE45" s="21" t="s">
        <v>67</v>
      </c>
      <c r="AF45" s="21" t="s">
        <v>92</v>
      </c>
      <c r="AG45" s="21" t="s">
        <v>130</v>
      </c>
      <c r="AH45" s="21" t="s">
        <v>246</v>
      </c>
      <c r="AI45" s="21">
        <v>8.116369606E9</v>
      </c>
      <c r="AJ45" s="21" t="s">
        <v>496</v>
      </c>
      <c r="AK45" s="21" t="s">
        <v>497</v>
      </c>
      <c r="AL45" s="21" t="s">
        <v>498</v>
      </c>
      <c r="AM45" s="21" t="s">
        <v>96</v>
      </c>
      <c r="AN45" s="21" t="s">
        <v>135</v>
      </c>
      <c r="AO45" s="21" t="s">
        <v>499</v>
      </c>
      <c r="AP45" s="21" t="s">
        <v>500</v>
      </c>
      <c r="AQ45" s="30"/>
      <c r="AR45" s="30"/>
    </row>
    <row r="46">
      <c r="A46" s="21">
        <f t="shared" si="1"/>
        <v>40</v>
      </c>
      <c r="B46" s="39" t="s">
        <v>501</v>
      </c>
      <c r="C46" s="40" t="s">
        <v>502</v>
      </c>
      <c r="D46" s="41">
        <v>18.0</v>
      </c>
      <c r="E46" s="41">
        <v>0.0</v>
      </c>
      <c r="F46" s="39" t="s">
        <v>50</v>
      </c>
      <c r="G46" s="39" t="s">
        <v>51</v>
      </c>
      <c r="H46" s="42">
        <v>39448.0</v>
      </c>
      <c r="I46" s="39" t="s">
        <v>82</v>
      </c>
      <c r="J46" s="39" t="s">
        <v>83</v>
      </c>
      <c r="K46" s="39" t="s">
        <v>217</v>
      </c>
      <c r="L46" s="39" t="s">
        <v>61</v>
      </c>
      <c r="M46" s="42">
        <v>45383.0</v>
      </c>
      <c r="N46" s="39" t="s">
        <v>141</v>
      </c>
      <c r="O46" s="39" t="s">
        <v>142</v>
      </c>
      <c r="P46" s="43"/>
      <c r="Q46" s="39" t="s">
        <v>59</v>
      </c>
      <c r="R46" s="42">
        <v>45292.0</v>
      </c>
      <c r="S46" s="39" t="s">
        <v>143</v>
      </c>
      <c r="T46" s="44"/>
      <c r="U46" s="39" t="s">
        <v>144</v>
      </c>
      <c r="V46" s="39" t="s">
        <v>159</v>
      </c>
      <c r="W46" s="39" t="s">
        <v>503</v>
      </c>
      <c r="X46" s="39" t="s">
        <v>260</v>
      </c>
      <c r="Y46" s="47">
        <v>42333.0</v>
      </c>
      <c r="Z46" s="39" t="s">
        <v>114</v>
      </c>
      <c r="AA46" s="45">
        <v>46388.0</v>
      </c>
      <c r="AB46" s="46"/>
      <c r="AC46" s="23">
        <v>40.0</v>
      </c>
      <c r="AD46" s="39" t="s">
        <v>66</v>
      </c>
      <c r="AE46" s="39" t="s">
        <v>67</v>
      </c>
      <c r="AF46" s="39" t="s">
        <v>92</v>
      </c>
      <c r="AG46" s="39" t="s">
        <v>130</v>
      </c>
      <c r="AH46" s="39" t="s">
        <v>131</v>
      </c>
      <c r="AI46" s="39">
        <v>8.1370311018E10</v>
      </c>
      <c r="AJ46" s="39" t="s">
        <v>504</v>
      </c>
      <c r="AK46" s="39" t="s">
        <v>505</v>
      </c>
      <c r="AL46" s="39" t="s">
        <v>506</v>
      </c>
      <c r="AM46" s="39" t="s">
        <v>96</v>
      </c>
      <c r="AN46" s="39" t="s">
        <v>97</v>
      </c>
      <c r="AO46" s="39" t="s">
        <v>379</v>
      </c>
      <c r="AP46" s="39" t="s">
        <v>389</v>
      </c>
      <c r="AQ46" s="43"/>
      <c r="AR46" s="43"/>
    </row>
    <row r="47">
      <c r="A47" s="21">
        <f t="shared" si="1"/>
        <v>41</v>
      </c>
      <c r="B47" s="39" t="s">
        <v>507</v>
      </c>
      <c r="C47" s="40" t="s">
        <v>508</v>
      </c>
      <c r="D47" s="41">
        <v>12.0</v>
      </c>
      <c r="E47" s="41">
        <v>3.0</v>
      </c>
      <c r="F47" s="41" t="s">
        <v>80</v>
      </c>
      <c r="G47" s="41" t="s">
        <v>81</v>
      </c>
      <c r="H47" s="58">
        <v>40179.0</v>
      </c>
      <c r="I47" s="39" t="s">
        <v>82</v>
      </c>
      <c r="J47" s="39" t="s">
        <v>83</v>
      </c>
      <c r="K47" s="39" t="s">
        <v>155</v>
      </c>
      <c r="L47" s="39" t="s">
        <v>88</v>
      </c>
      <c r="M47" s="42">
        <v>44652.0</v>
      </c>
      <c r="N47" s="41" t="s">
        <v>141</v>
      </c>
      <c r="O47" s="39" t="s">
        <v>229</v>
      </c>
      <c r="P47" s="59"/>
      <c r="Q47" s="39" t="s">
        <v>59</v>
      </c>
      <c r="R47" s="58">
        <v>45292.0</v>
      </c>
      <c r="S47" s="41" t="s">
        <v>143</v>
      </c>
      <c r="T47" s="60"/>
      <c r="U47" s="41" t="s">
        <v>144</v>
      </c>
      <c r="V47" s="39" t="s">
        <v>159</v>
      </c>
      <c r="W47" s="39" t="s">
        <v>503</v>
      </c>
      <c r="X47" s="39" t="s">
        <v>509</v>
      </c>
      <c r="Y47" s="39" t="s">
        <v>510</v>
      </c>
      <c r="Z47" s="70"/>
      <c r="AA47" s="61">
        <v>52602.0</v>
      </c>
      <c r="AB47" s="59"/>
      <c r="AC47" s="23">
        <v>41.0</v>
      </c>
      <c r="AD47" s="39" t="s">
        <v>66</v>
      </c>
      <c r="AE47" s="39" t="s">
        <v>67</v>
      </c>
      <c r="AF47" s="39" t="s">
        <v>92</v>
      </c>
      <c r="AG47" s="39" t="s">
        <v>130</v>
      </c>
      <c r="AH47" s="39" t="s">
        <v>246</v>
      </c>
      <c r="AI47" s="39">
        <v>8.1262176596E10</v>
      </c>
      <c r="AJ47" s="39" t="s">
        <v>511</v>
      </c>
      <c r="AK47" s="39" t="s">
        <v>512</v>
      </c>
      <c r="AL47" s="39" t="s">
        <v>513</v>
      </c>
      <c r="AM47" s="39" t="s">
        <v>96</v>
      </c>
      <c r="AN47" s="39" t="s">
        <v>514</v>
      </c>
      <c r="AO47" s="39" t="s">
        <v>236</v>
      </c>
      <c r="AP47" s="39" t="s">
        <v>152</v>
      </c>
      <c r="AQ47" s="39">
        <v>0.0</v>
      </c>
      <c r="AR47" s="39">
        <v>0.0</v>
      </c>
    </row>
    <row r="48">
      <c r="A48" s="21"/>
      <c r="B48" s="253" t="s">
        <v>1292</v>
      </c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23">
        <v>42.0</v>
      </c>
      <c r="AD48" s="103"/>
      <c r="AE48" s="103"/>
      <c r="AF48" s="103"/>
      <c r="AG48" s="103"/>
      <c r="AH48" s="103"/>
      <c r="AI48" s="103"/>
      <c r="AJ48" s="103"/>
      <c r="AK48" s="103"/>
      <c r="AL48" s="103"/>
      <c r="AM48" s="103"/>
      <c r="AN48" s="103"/>
      <c r="AO48" s="103"/>
      <c r="AP48" s="103"/>
      <c r="AQ48" s="103"/>
      <c r="AR48" s="103"/>
    </row>
    <row r="49">
      <c r="A49" s="21">
        <f>SUM(A47+1)</f>
        <v>42</v>
      </c>
      <c r="B49" s="21" t="s">
        <v>1293</v>
      </c>
      <c r="C49" s="105" t="s">
        <v>1294</v>
      </c>
      <c r="D49" s="21">
        <v>15.0</v>
      </c>
      <c r="E49" s="21">
        <v>7.0</v>
      </c>
      <c r="F49" s="21" t="s">
        <v>50</v>
      </c>
      <c r="G49" s="21" t="s">
        <v>51</v>
      </c>
      <c r="H49" s="33">
        <v>40483.0</v>
      </c>
      <c r="I49" s="21" t="s">
        <v>82</v>
      </c>
      <c r="J49" s="21" t="s">
        <v>83</v>
      </c>
      <c r="K49" s="21" t="s">
        <v>104</v>
      </c>
      <c r="L49" s="21" t="s">
        <v>105</v>
      </c>
      <c r="M49" s="33">
        <v>45017.0</v>
      </c>
      <c r="N49" s="21" t="s">
        <v>56</v>
      </c>
      <c r="O49" s="21" t="s">
        <v>1295</v>
      </c>
      <c r="P49" s="21" t="s">
        <v>1296</v>
      </c>
      <c r="Q49" s="21" t="s">
        <v>1297</v>
      </c>
      <c r="R49" s="106">
        <v>46076.0</v>
      </c>
      <c r="S49" s="21" t="s">
        <v>87</v>
      </c>
      <c r="T49" s="37"/>
      <c r="U49" s="21" t="s">
        <v>88</v>
      </c>
      <c r="V49" s="21" t="s">
        <v>159</v>
      </c>
      <c r="W49" s="21" t="s">
        <v>218</v>
      </c>
      <c r="X49" s="21" t="s">
        <v>260</v>
      </c>
      <c r="Y49" s="36">
        <v>42854.0</v>
      </c>
      <c r="Z49" s="21" t="s">
        <v>65</v>
      </c>
      <c r="AA49" s="33">
        <v>51503.0</v>
      </c>
      <c r="AB49" s="37"/>
      <c r="AC49" s="23">
        <v>43.0</v>
      </c>
      <c r="AD49" s="21" t="s">
        <v>66</v>
      </c>
      <c r="AE49" s="21" t="s">
        <v>67</v>
      </c>
      <c r="AF49" s="21" t="s">
        <v>92</v>
      </c>
      <c r="AG49" s="21" t="s">
        <v>68</v>
      </c>
      <c r="AH49" s="21" t="s">
        <v>246</v>
      </c>
      <c r="AI49" s="21">
        <v>8.1265440006E10</v>
      </c>
      <c r="AJ49" s="21" t="s">
        <v>1298</v>
      </c>
      <c r="AK49" s="21" t="s">
        <v>1299</v>
      </c>
      <c r="AL49" s="21" t="s">
        <v>1300</v>
      </c>
      <c r="AM49" s="21" t="s">
        <v>73</v>
      </c>
      <c r="AN49" s="21" t="s">
        <v>74</v>
      </c>
      <c r="AO49" s="21" t="s">
        <v>774</v>
      </c>
      <c r="AP49" s="21" t="s">
        <v>942</v>
      </c>
      <c r="AQ49" s="21" t="s">
        <v>77</v>
      </c>
      <c r="AR49" s="21" t="s">
        <v>77</v>
      </c>
    </row>
    <row r="50">
      <c r="A50" s="21">
        <f t="shared" ref="A50:A97" si="2">SUM(A49+1)</f>
        <v>43</v>
      </c>
      <c r="B50" s="21" t="s">
        <v>1301</v>
      </c>
      <c r="C50" s="31" t="s">
        <v>1302</v>
      </c>
      <c r="D50" s="23">
        <v>7.0</v>
      </c>
      <c r="E50" s="23">
        <v>9.0</v>
      </c>
      <c r="F50" s="23" t="s">
        <v>80</v>
      </c>
      <c r="G50" s="23" t="s">
        <v>81</v>
      </c>
      <c r="H50" s="32">
        <v>42186.0</v>
      </c>
      <c r="I50" s="21" t="s">
        <v>102</v>
      </c>
      <c r="J50" s="21" t="s">
        <v>103</v>
      </c>
      <c r="K50" s="21" t="s">
        <v>104</v>
      </c>
      <c r="L50" s="21" t="s">
        <v>105</v>
      </c>
      <c r="M50" s="33">
        <v>45017.0</v>
      </c>
      <c r="N50" s="23" t="s">
        <v>56</v>
      </c>
      <c r="O50" s="21" t="s">
        <v>1303</v>
      </c>
      <c r="P50" s="23" t="s">
        <v>107</v>
      </c>
      <c r="Q50" s="21" t="s">
        <v>1304</v>
      </c>
      <c r="R50" s="34">
        <v>46076.0</v>
      </c>
      <c r="S50" s="23" t="s">
        <v>87</v>
      </c>
      <c r="T50" s="35"/>
      <c r="U50" s="23" t="s">
        <v>105</v>
      </c>
      <c r="V50" s="21" t="s">
        <v>110</v>
      </c>
      <c r="W50" s="21" t="s">
        <v>1305</v>
      </c>
      <c r="X50" s="21" t="s">
        <v>112</v>
      </c>
      <c r="Y50" s="21" t="s">
        <v>1306</v>
      </c>
      <c r="Z50" s="21" t="s">
        <v>65</v>
      </c>
      <c r="AA50" s="32">
        <v>55519.0</v>
      </c>
      <c r="AB50" s="35"/>
      <c r="AC50" s="23">
        <v>44.0</v>
      </c>
      <c r="AD50" s="21" t="s">
        <v>66</v>
      </c>
      <c r="AE50" s="21" t="s">
        <v>67</v>
      </c>
      <c r="AF50" s="21" t="s">
        <v>92</v>
      </c>
      <c r="AG50" s="21" t="s">
        <v>68</v>
      </c>
      <c r="AH50" s="21" t="s">
        <v>69</v>
      </c>
      <c r="AI50" s="21">
        <v>8.2164055785E10</v>
      </c>
      <c r="AJ50" s="21" t="s">
        <v>1307</v>
      </c>
      <c r="AK50" s="21" t="s">
        <v>1308</v>
      </c>
      <c r="AL50" s="21" t="s">
        <v>1309</v>
      </c>
      <c r="AM50" s="21" t="s">
        <v>96</v>
      </c>
      <c r="AN50" s="21" t="s">
        <v>74</v>
      </c>
      <c r="AO50" s="21" t="s">
        <v>774</v>
      </c>
      <c r="AP50" s="21" t="s">
        <v>1310</v>
      </c>
      <c r="AQ50" s="37"/>
      <c r="AR50" s="37"/>
    </row>
    <row r="51">
      <c r="A51" s="21">
        <f t="shared" si="2"/>
        <v>44</v>
      </c>
      <c r="B51" s="21" t="s">
        <v>1311</v>
      </c>
      <c r="C51" s="38" t="s">
        <v>1312</v>
      </c>
      <c r="D51" s="23">
        <v>12.0</v>
      </c>
      <c r="E51" s="23">
        <v>1.0</v>
      </c>
      <c r="F51" s="23" t="s">
        <v>80</v>
      </c>
      <c r="G51" s="23" t="s">
        <v>81</v>
      </c>
      <c r="H51" s="24">
        <v>35490.0</v>
      </c>
      <c r="I51" s="21" t="s">
        <v>82</v>
      </c>
      <c r="J51" s="21" t="s">
        <v>83</v>
      </c>
      <c r="K51" s="21" t="s">
        <v>1313</v>
      </c>
      <c r="L51" s="21" t="s">
        <v>1314</v>
      </c>
      <c r="M51" s="25">
        <v>39904.0</v>
      </c>
      <c r="N51" s="23" t="s">
        <v>141</v>
      </c>
      <c r="O51" s="21" t="s">
        <v>1315</v>
      </c>
      <c r="P51" s="56"/>
      <c r="Q51" s="21" t="s">
        <v>1316</v>
      </c>
      <c r="R51" s="24">
        <v>46082.0</v>
      </c>
      <c r="S51" s="23" t="s">
        <v>1317</v>
      </c>
      <c r="T51" s="26"/>
      <c r="U51" s="23" t="s">
        <v>105</v>
      </c>
      <c r="V51" s="21" t="s">
        <v>89</v>
      </c>
      <c r="W51" s="21" t="s">
        <v>1318</v>
      </c>
      <c r="X51" s="21" t="s">
        <v>1319</v>
      </c>
      <c r="Y51" s="27">
        <v>34303.0</v>
      </c>
      <c r="Z51" s="56"/>
      <c r="AA51" s="28">
        <v>46025.0</v>
      </c>
      <c r="AB51" s="29"/>
      <c r="AC51" s="23">
        <v>45.0</v>
      </c>
      <c r="AD51" s="21" t="s">
        <v>66</v>
      </c>
      <c r="AE51" s="21" t="s">
        <v>220</v>
      </c>
      <c r="AF51" s="21" t="s">
        <v>92</v>
      </c>
      <c r="AG51" s="21" t="s">
        <v>68</v>
      </c>
      <c r="AH51" s="30"/>
      <c r="AI51" s="21">
        <v>8.1396213232E10</v>
      </c>
      <c r="AJ51" s="21" t="s">
        <v>1320</v>
      </c>
      <c r="AK51" s="21" t="s">
        <v>1321</v>
      </c>
      <c r="AL51" s="21" t="s">
        <v>1322</v>
      </c>
      <c r="AM51" s="21" t="s">
        <v>96</v>
      </c>
      <c r="AN51" s="21" t="s">
        <v>74</v>
      </c>
      <c r="AO51" s="21" t="s">
        <v>75</v>
      </c>
      <c r="AP51" s="21" t="s">
        <v>315</v>
      </c>
      <c r="AQ51" s="30"/>
      <c r="AR51" s="30"/>
    </row>
    <row r="52">
      <c r="A52" s="21">
        <f t="shared" si="2"/>
        <v>45</v>
      </c>
      <c r="B52" s="39" t="s">
        <v>1323</v>
      </c>
      <c r="C52" s="57" t="s">
        <v>1324</v>
      </c>
      <c r="D52" s="39">
        <v>17.0</v>
      </c>
      <c r="E52" s="39">
        <v>1.0</v>
      </c>
      <c r="F52" s="39" t="s">
        <v>50</v>
      </c>
      <c r="G52" s="39" t="s">
        <v>51</v>
      </c>
      <c r="H52" s="42">
        <v>33909.0</v>
      </c>
      <c r="I52" s="39" t="s">
        <v>254</v>
      </c>
      <c r="J52" s="39" t="s">
        <v>255</v>
      </c>
      <c r="K52" s="39" t="s">
        <v>1325</v>
      </c>
      <c r="L52" s="39" t="s">
        <v>1326</v>
      </c>
      <c r="M52" s="42">
        <v>41365.0</v>
      </c>
      <c r="N52" s="39" t="s">
        <v>141</v>
      </c>
      <c r="O52" s="39" t="s">
        <v>173</v>
      </c>
      <c r="P52" s="43"/>
      <c r="Q52" s="39" t="s">
        <v>1304</v>
      </c>
      <c r="R52" s="42">
        <v>43831.0</v>
      </c>
      <c r="S52" s="39" t="s">
        <v>1327</v>
      </c>
      <c r="T52" s="44"/>
      <c r="U52" s="39" t="s">
        <v>105</v>
      </c>
      <c r="V52" s="39" t="s">
        <v>159</v>
      </c>
      <c r="W52" s="39" t="s">
        <v>1328</v>
      </c>
      <c r="X52" s="39" t="s">
        <v>1329</v>
      </c>
      <c r="Y52" s="39" t="s">
        <v>1330</v>
      </c>
      <c r="Z52" s="46"/>
      <c r="AA52" s="45">
        <v>46030.0</v>
      </c>
      <c r="AB52" s="46"/>
      <c r="AC52" s="23">
        <v>46.0</v>
      </c>
      <c r="AD52" s="39" t="s">
        <v>66</v>
      </c>
      <c r="AE52" s="39" t="s">
        <v>67</v>
      </c>
      <c r="AF52" s="39" t="s">
        <v>92</v>
      </c>
      <c r="AG52" s="39" t="s">
        <v>68</v>
      </c>
      <c r="AH52" s="39" t="s">
        <v>131</v>
      </c>
      <c r="AI52" s="39">
        <v>8.2369686565E10</v>
      </c>
      <c r="AJ52" s="39" t="s">
        <v>1331</v>
      </c>
      <c r="AK52" s="39" t="s">
        <v>1332</v>
      </c>
      <c r="AL52" s="39" t="s">
        <v>1333</v>
      </c>
      <c r="AM52" s="39" t="s">
        <v>73</v>
      </c>
      <c r="AN52" s="39" t="s">
        <v>74</v>
      </c>
      <c r="AO52" s="39" t="s">
        <v>360</v>
      </c>
      <c r="AP52" s="39" t="s">
        <v>893</v>
      </c>
      <c r="AQ52" s="43"/>
      <c r="AR52" s="43"/>
    </row>
    <row r="53">
      <c r="A53" s="21">
        <f t="shared" si="2"/>
        <v>46</v>
      </c>
      <c r="B53" s="39" t="s">
        <v>1334</v>
      </c>
      <c r="C53" s="57" t="s">
        <v>1335</v>
      </c>
      <c r="D53" s="39">
        <v>21.0</v>
      </c>
      <c r="E53" s="39">
        <v>1.0</v>
      </c>
      <c r="F53" s="39" t="s">
        <v>50</v>
      </c>
      <c r="G53" s="39" t="s">
        <v>51</v>
      </c>
      <c r="H53" s="42">
        <v>32568.0</v>
      </c>
      <c r="I53" s="39" t="s">
        <v>254</v>
      </c>
      <c r="J53" s="39" t="s">
        <v>255</v>
      </c>
      <c r="K53" s="39" t="s">
        <v>1336</v>
      </c>
      <c r="L53" s="39" t="s">
        <v>55</v>
      </c>
      <c r="M53" s="42">
        <v>42095.0</v>
      </c>
      <c r="N53" s="39" t="s">
        <v>141</v>
      </c>
      <c r="O53" s="39" t="s">
        <v>173</v>
      </c>
      <c r="P53" s="43"/>
      <c r="Q53" s="39" t="s">
        <v>1304</v>
      </c>
      <c r="R53" s="42">
        <v>45292.0</v>
      </c>
      <c r="S53" s="39" t="s">
        <v>143</v>
      </c>
      <c r="T53" s="44"/>
      <c r="U53" s="39" t="s">
        <v>144</v>
      </c>
      <c r="V53" s="39" t="s">
        <v>159</v>
      </c>
      <c r="W53" s="39" t="s">
        <v>503</v>
      </c>
      <c r="X53" s="39" t="s">
        <v>1337</v>
      </c>
      <c r="Y53" s="47">
        <v>39557.0</v>
      </c>
      <c r="Z53" s="39" t="s">
        <v>65</v>
      </c>
      <c r="AA53" s="45">
        <v>46391.0</v>
      </c>
      <c r="AB53" s="46"/>
      <c r="AC53" s="23">
        <v>47.0</v>
      </c>
      <c r="AD53" s="39" t="s">
        <v>66</v>
      </c>
      <c r="AE53" s="39" t="s">
        <v>67</v>
      </c>
      <c r="AF53" s="39" t="s">
        <v>92</v>
      </c>
      <c r="AG53" s="39" t="s">
        <v>130</v>
      </c>
      <c r="AH53" s="39" t="s">
        <v>69</v>
      </c>
      <c r="AI53" s="39">
        <v>8.116251003E9</v>
      </c>
      <c r="AJ53" s="39" t="s">
        <v>1338</v>
      </c>
      <c r="AK53" s="39" t="s">
        <v>1339</v>
      </c>
      <c r="AL53" s="39" t="s">
        <v>1340</v>
      </c>
      <c r="AM53" s="39" t="s">
        <v>73</v>
      </c>
      <c r="AN53" s="39" t="s">
        <v>481</v>
      </c>
      <c r="AO53" s="39" t="s">
        <v>360</v>
      </c>
      <c r="AP53" s="39" t="s">
        <v>666</v>
      </c>
      <c r="AQ53" s="39" t="s">
        <v>77</v>
      </c>
      <c r="AR53" s="39" t="s">
        <v>77</v>
      </c>
    </row>
    <row r="54">
      <c r="A54" s="21">
        <f t="shared" si="2"/>
        <v>47</v>
      </c>
      <c r="B54" s="39" t="s">
        <v>1341</v>
      </c>
      <c r="C54" s="57" t="s">
        <v>1342</v>
      </c>
      <c r="D54" s="39">
        <v>21.0</v>
      </c>
      <c r="E54" s="39">
        <v>3.0</v>
      </c>
      <c r="F54" s="39" t="s">
        <v>50</v>
      </c>
      <c r="G54" s="39" t="s">
        <v>51</v>
      </c>
      <c r="H54" s="42">
        <v>33878.0</v>
      </c>
      <c r="I54" s="39" t="s">
        <v>254</v>
      </c>
      <c r="J54" s="39" t="s">
        <v>255</v>
      </c>
      <c r="K54" s="39" t="s">
        <v>1343</v>
      </c>
      <c r="L54" s="39" t="s">
        <v>55</v>
      </c>
      <c r="M54" s="42">
        <v>42644.0</v>
      </c>
      <c r="N54" s="39" t="s">
        <v>141</v>
      </c>
      <c r="O54" s="39" t="s">
        <v>229</v>
      </c>
      <c r="P54" s="43"/>
      <c r="Q54" s="39" t="s">
        <v>1316</v>
      </c>
      <c r="R54" s="42">
        <v>43831.0</v>
      </c>
      <c r="S54" s="39" t="s">
        <v>1344</v>
      </c>
      <c r="T54" s="44"/>
      <c r="U54" s="39" t="s">
        <v>1345</v>
      </c>
      <c r="V54" s="39" t="s">
        <v>159</v>
      </c>
      <c r="W54" s="39" t="s">
        <v>1346</v>
      </c>
      <c r="X54" s="39" t="s">
        <v>1329</v>
      </c>
      <c r="Y54" s="39" t="s">
        <v>1347</v>
      </c>
      <c r="Z54" s="39" t="s">
        <v>114</v>
      </c>
      <c r="AA54" s="45">
        <v>46034.0</v>
      </c>
      <c r="AB54" s="46"/>
      <c r="AC54" s="23">
        <v>48.0</v>
      </c>
      <c r="AD54" s="39" t="s">
        <v>66</v>
      </c>
      <c r="AE54" s="39" t="s">
        <v>67</v>
      </c>
      <c r="AF54" s="39" t="s">
        <v>92</v>
      </c>
      <c r="AG54" s="39" t="s">
        <v>68</v>
      </c>
      <c r="AH54" s="43"/>
      <c r="AI54" s="39">
        <v>8.2285901259E10</v>
      </c>
      <c r="AJ54" s="39" t="s">
        <v>1348</v>
      </c>
      <c r="AK54" s="39" t="s">
        <v>1349</v>
      </c>
      <c r="AL54" s="39" t="s">
        <v>1350</v>
      </c>
      <c r="AM54" s="39" t="s">
        <v>96</v>
      </c>
      <c r="AN54" s="39" t="s">
        <v>135</v>
      </c>
      <c r="AO54" s="39" t="s">
        <v>236</v>
      </c>
      <c r="AP54" s="39" t="s">
        <v>852</v>
      </c>
      <c r="AQ54" s="43"/>
      <c r="AR54" s="43"/>
    </row>
    <row r="55">
      <c r="A55" s="21">
        <f t="shared" si="2"/>
        <v>48</v>
      </c>
      <c r="B55" s="39" t="s">
        <v>1351</v>
      </c>
      <c r="C55" s="57" t="s">
        <v>1352</v>
      </c>
      <c r="D55" s="39">
        <v>24.0</v>
      </c>
      <c r="E55" s="39">
        <v>7.0</v>
      </c>
      <c r="F55" s="39" t="s">
        <v>50</v>
      </c>
      <c r="G55" s="39" t="s">
        <v>51</v>
      </c>
      <c r="H55" s="42">
        <v>32568.0</v>
      </c>
      <c r="I55" s="39" t="s">
        <v>254</v>
      </c>
      <c r="J55" s="39" t="s">
        <v>255</v>
      </c>
      <c r="K55" s="39" t="s">
        <v>1353</v>
      </c>
      <c r="L55" s="39" t="s">
        <v>55</v>
      </c>
      <c r="M55" s="42">
        <v>43374.0</v>
      </c>
      <c r="N55" s="39" t="s">
        <v>141</v>
      </c>
      <c r="O55" s="39" t="s">
        <v>229</v>
      </c>
      <c r="P55" s="43"/>
      <c r="Q55" s="39" t="s">
        <v>1316</v>
      </c>
      <c r="R55" s="42">
        <v>45292.0</v>
      </c>
      <c r="S55" s="39" t="s">
        <v>143</v>
      </c>
      <c r="T55" s="44"/>
      <c r="U55" s="39" t="s">
        <v>144</v>
      </c>
      <c r="V55" s="39" t="s">
        <v>159</v>
      </c>
      <c r="W55" s="39" t="s">
        <v>1354</v>
      </c>
      <c r="X55" s="39" t="s">
        <v>260</v>
      </c>
      <c r="Y55" s="47">
        <v>42854.0</v>
      </c>
      <c r="Z55" s="39" t="s">
        <v>65</v>
      </c>
      <c r="AA55" s="45">
        <v>46031.0</v>
      </c>
      <c r="AB55" s="46"/>
      <c r="AC55" s="23">
        <v>49.0</v>
      </c>
      <c r="AD55" s="39" t="s">
        <v>66</v>
      </c>
      <c r="AE55" s="39" t="s">
        <v>67</v>
      </c>
      <c r="AF55" s="43"/>
      <c r="AG55" s="39" t="s">
        <v>68</v>
      </c>
      <c r="AH55" s="39" t="s">
        <v>69</v>
      </c>
      <c r="AI55" s="39">
        <v>8.5261914838E10</v>
      </c>
      <c r="AJ55" s="39" t="s">
        <v>1355</v>
      </c>
      <c r="AK55" s="39" t="s">
        <v>1356</v>
      </c>
      <c r="AL55" s="39" t="s">
        <v>1357</v>
      </c>
      <c r="AM55" s="39" t="s">
        <v>96</v>
      </c>
      <c r="AN55" s="39" t="s">
        <v>135</v>
      </c>
      <c r="AO55" s="39" t="s">
        <v>499</v>
      </c>
      <c r="AP55" s="39" t="s">
        <v>1358</v>
      </c>
      <c r="AQ55" s="43"/>
      <c r="AR55" s="43"/>
    </row>
    <row r="56">
      <c r="A56" s="21">
        <f t="shared" si="2"/>
        <v>49</v>
      </c>
      <c r="B56" s="39" t="s">
        <v>1359</v>
      </c>
      <c r="C56" s="40" t="s">
        <v>1360</v>
      </c>
      <c r="D56" s="41">
        <v>23.0</v>
      </c>
      <c r="E56" s="41">
        <v>9.0</v>
      </c>
      <c r="F56" s="41" t="s">
        <v>50</v>
      </c>
      <c r="G56" s="41" t="s">
        <v>51</v>
      </c>
      <c r="H56" s="58">
        <v>33664.0</v>
      </c>
      <c r="I56" s="39" t="s">
        <v>254</v>
      </c>
      <c r="J56" s="39" t="s">
        <v>255</v>
      </c>
      <c r="K56" s="39" t="s">
        <v>1361</v>
      </c>
      <c r="L56" s="39" t="s">
        <v>55</v>
      </c>
      <c r="M56" s="42">
        <v>43556.0</v>
      </c>
      <c r="N56" s="41" t="s">
        <v>141</v>
      </c>
      <c r="O56" s="39" t="s">
        <v>173</v>
      </c>
      <c r="P56" s="59"/>
      <c r="Q56" s="39" t="s">
        <v>59</v>
      </c>
      <c r="R56" s="58">
        <v>45468.0</v>
      </c>
      <c r="S56" s="41" t="s">
        <v>1362</v>
      </c>
      <c r="T56" s="60"/>
      <c r="U56" s="41" t="s">
        <v>144</v>
      </c>
      <c r="V56" s="39" t="s">
        <v>159</v>
      </c>
      <c r="W56" s="39" t="s">
        <v>259</v>
      </c>
      <c r="X56" s="39" t="s">
        <v>260</v>
      </c>
      <c r="Y56" s="47">
        <v>43069.0</v>
      </c>
      <c r="Z56" s="59"/>
      <c r="AA56" s="61">
        <v>46028.0</v>
      </c>
      <c r="AB56" s="59"/>
      <c r="AC56" s="23">
        <v>50.0</v>
      </c>
      <c r="AD56" s="39" t="s">
        <v>66</v>
      </c>
      <c r="AE56" s="39" t="s">
        <v>67</v>
      </c>
      <c r="AF56" s="43"/>
      <c r="AG56" s="39" t="s">
        <v>68</v>
      </c>
      <c r="AH56" s="39" t="s">
        <v>131</v>
      </c>
      <c r="AI56" s="39">
        <v>8.2161203143E10</v>
      </c>
      <c r="AJ56" s="39" t="s">
        <v>1363</v>
      </c>
      <c r="AK56" s="39" t="s">
        <v>1364</v>
      </c>
      <c r="AL56" s="39" t="s">
        <v>1365</v>
      </c>
      <c r="AM56" s="39" t="s">
        <v>96</v>
      </c>
      <c r="AN56" s="39" t="s">
        <v>97</v>
      </c>
      <c r="AO56" s="39" t="s">
        <v>213</v>
      </c>
      <c r="AP56" s="39" t="s">
        <v>1366</v>
      </c>
      <c r="AQ56" s="43"/>
      <c r="AR56" s="43"/>
    </row>
    <row r="57">
      <c r="A57" s="21">
        <f t="shared" si="2"/>
        <v>50</v>
      </c>
      <c r="B57" s="39" t="s">
        <v>1367</v>
      </c>
      <c r="C57" s="57" t="s">
        <v>1368</v>
      </c>
      <c r="D57" s="39">
        <v>8.0</v>
      </c>
      <c r="E57" s="39">
        <v>6.0</v>
      </c>
      <c r="F57" s="39" t="s">
        <v>50</v>
      </c>
      <c r="G57" s="39" t="s">
        <v>51</v>
      </c>
      <c r="H57" s="42">
        <v>37591.0</v>
      </c>
      <c r="I57" s="39" t="s">
        <v>82</v>
      </c>
      <c r="J57" s="39" t="s">
        <v>83</v>
      </c>
      <c r="K57" s="39" t="s">
        <v>1369</v>
      </c>
      <c r="L57" s="39" t="s">
        <v>1314</v>
      </c>
      <c r="M57" s="42">
        <v>42095.0</v>
      </c>
      <c r="N57" s="39" t="s">
        <v>141</v>
      </c>
      <c r="O57" s="39" t="s">
        <v>173</v>
      </c>
      <c r="P57" s="43"/>
      <c r="Q57" s="39" t="s">
        <v>1304</v>
      </c>
      <c r="R57" s="42">
        <v>45292.0</v>
      </c>
      <c r="S57" s="39" t="s">
        <v>143</v>
      </c>
      <c r="T57" s="44"/>
      <c r="U57" s="39" t="s">
        <v>144</v>
      </c>
      <c r="V57" s="39" t="s">
        <v>110</v>
      </c>
      <c r="W57" s="39" t="s">
        <v>1370</v>
      </c>
      <c r="X57" s="39" t="s">
        <v>1371</v>
      </c>
      <c r="Y57" s="39" t="s">
        <v>1372</v>
      </c>
      <c r="Z57" s="39" t="s">
        <v>65</v>
      </c>
      <c r="AA57" s="45">
        <v>51871.0</v>
      </c>
      <c r="AB57" s="46"/>
      <c r="AC57" s="23">
        <v>51.0</v>
      </c>
      <c r="AD57" s="39" t="s">
        <v>66</v>
      </c>
      <c r="AE57" s="39" t="s">
        <v>67</v>
      </c>
      <c r="AF57" s="39" t="s">
        <v>92</v>
      </c>
      <c r="AG57" s="39" t="s">
        <v>130</v>
      </c>
      <c r="AH57" s="39" t="s">
        <v>131</v>
      </c>
      <c r="AI57" s="39">
        <v>8.116401004E9</v>
      </c>
      <c r="AJ57" s="39" t="s">
        <v>1373</v>
      </c>
      <c r="AK57" s="39" t="s">
        <v>1374</v>
      </c>
      <c r="AL57" s="39" t="s">
        <v>1375</v>
      </c>
      <c r="AM57" s="39" t="s">
        <v>96</v>
      </c>
      <c r="AN57" s="39" t="s">
        <v>97</v>
      </c>
      <c r="AO57" s="39" t="s">
        <v>98</v>
      </c>
      <c r="AP57" s="39" t="s">
        <v>1376</v>
      </c>
      <c r="AQ57" s="43"/>
      <c r="AR57" s="43"/>
    </row>
    <row r="58">
      <c r="A58" s="21">
        <f t="shared" si="2"/>
        <v>51</v>
      </c>
      <c r="B58" s="39" t="s">
        <v>1377</v>
      </c>
      <c r="C58" s="57" t="s">
        <v>1378</v>
      </c>
      <c r="D58" s="39">
        <v>12.0</v>
      </c>
      <c r="E58" s="39">
        <v>3.0</v>
      </c>
      <c r="F58" s="39" t="s">
        <v>80</v>
      </c>
      <c r="G58" s="39" t="s">
        <v>81</v>
      </c>
      <c r="H58" s="42">
        <v>40179.0</v>
      </c>
      <c r="I58" s="39" t="s">
        <v>82</v>
      </c>
      <c r="J58" s="39" t="s">
        <v>83</v>
      </c>
      <c r="K58" s="39" t="s">
        <v>228</v>
      </c>
      <c r="L58" s="39" t="s">
        <v>105</v>
      </c>
      <c r="M58" s="42">
        <v>44652.0</v>
      </c>
      <c r="N58" s="39" t="s">
        <v>141</v>
      </c>
      <c r="O58" s="39" t="s">
        <v>173</v>
      </c>
      <c r="P58" s="43"/>
      <c r="Q58" s="39" t="s">
        <v>1304</v>
      </c>
      <c r="R58" s="42">
        <v>45292.0</v>
      </c>
      <c r="S58" s="39" t="s">
        <v>143</v>
      </c>
      <c r="T58" s="44"/>
      <c r="U58" s="39" t="s">
        <v>144</v>
      </c>
      <c r="V58" s="39" t="s">
        <v>159</v>
      </c>
      <c r="W58" s="39" t="s">
        <v>218</v>
      </c>
      <c r="X58" s="39" t="s">
        <v>745</v>
      </c>
      <c r="Y58" s="47">
        <v>43008.0</v>
      </c>
      <c r="Z58" s="39" t="s">
        <v>114</v>
      </c>
      <c r="AA58" s="45">
        <v>50778.0</v>
      </c>
      <c r="AB58" s="46"/>
      <c r="AC58" s="23">
        <v>52.0</v>
      </c>
      <c r="AD58" s="39" t="s">
        <v>66</v>
      </c>
      <c r="AE58" s="39" t="s">
        <v>67</v>
      </c>
      <c r="AF58" s="39" t="s">
        <v>92</v>
      </c>
      <c r="AG58" s="39" t="s">
        <v>68</v>
      </c>
      <c r="AH58" s="39" t="s">
        <v>69</v>
      </c>
      <c r="AI58" s="39">
        <v>8.126446224E9</v>
      </c>
      <c r="AJ58" s="39" t="s">
        <v>1379</v>
      </c>
      <c r="AK58" s="39" t="s">
        <v>1380</v>
      </c>
      <c r="AL58" s="39" t="s">
        <v>1381</v>
      </c>
      <c r="AM58" s="39" t="s">
        <v>96</v>
      </c>
      <c r="AN58" s="39" t="s">
        <v>481</v>
      </c>
      <c r="AO58" s="39" t="s">
        <v>191</v>
      </c>
      <c r="AP58" s="39" t="s">
        <v>1382</v>
      </c>
      <c r="AQ58" s="39" t="s">
        <v>77</v>
      </c>
      <c r="AR58" s="39" t="s">
        <v>77</v>
      </c>
    </row>
    <row r="59">
      <c r="A59" s="21">
        <f t="shared" si="2"/>
        <v>52</v>
      </c>
      <c r="B59" s="39" t="s">
        <v>1383</v>
      </c>
      <c r="C59" s="57" t="s">
        <v>1384</v>
      </c>
      <c r="D59" s="39">
        <v>12.0</v>
      </c>
      <c r="E59" s="39">
        <v>3.0</v>
      </c>
      <c r="F59" s="39" t="s">
        <v>80</v>
      </c>
      <c r="G59" s="39" t="s">
        <v>81</v>
      </c>
      <c r="H59" s="42">
        <v>40179.0</v>
      </c>
      <c r="I59" s="39" t="s">
        <v>82</v>
      </c>
      <c r="J59" s="39" t="s">
        <v>83</v>
      </c>
      <c r="K59" s="39" t="s">
        <v>155</v>
      </c>
      <c r="L59" s="39" t="s">
        <v>105</v>
      </c>
      <c r="M59" s="42">
        <v>44652.0</v>
      </c>
      <c r="N59" s="39" t="s">
        <v>141</v>
      </c>
      <c r="O59" s="39" t="s">
        <v>173</v>
      </c>
      <c r="P59" s="43"/>
      <c r="Q59" s="39" t="s">
        <v>1304</v>
      </c>
      <c r="R59" s="42">
        <v>45292.0</v>
      </c>
      <c r="S59" s="39" t="s">
        <v>143</v>
      </c>
      <c r="T59" s="44"/>
      <c r="U59" s="39" t="s">
        <v>144</v>
      </c>
      <c r="V59" s="39" t="s">
        <v>89</v>
      </c>
      <c r="W59" s="39" t="s">
        <v>218</v>
      </c>
      <c r="X59" s="39" t="s">
        <v>1385</v>
      </c>
      <c r="Y59" s="39" t="s">
        <v>1386</v>
      </c>
      <c r="Z59" s="39" t="s">
        <v>114</v>
      </c>
      <c r="AA59" s="45">
        <v>50415.0</v>
      </c>
      <c r="AB59" s="46"/>
      <c r="AC59" s="23">
        <v>53.0</v>
      </c>
      <c r="AD59" s="39" t="s">
        <v>66</v>
      </c>
      <c r="AE59" s="39" t="s">
        <v>67</v>
      </c>
      <c r="AF59" s="39" t="s">
        <v>129</v>
      </c>
      <c r="AG59" s="39" t="s">
        <v>68</v>
      </c>
      <c r="AH59" s="39" t="s">
        <v>246</v>
      </c>
      <c r="AI59" s="39">
        <v>8.1262266206E10</v>
      </c>
      <c r="AJ59" s="39" t="s">
        <v>1387</v>
      </c>
      <c r="AK59" s="39" t="s">
        <v>1388</v>
      </c>
      <c r="AL59" s="39" t="s">
        <v>1389</v>
      </c>
      <c r="AM59" s="39" t="s">
        <v>73</v>
      </c>
      <c r="AN59" s="39" t="s">
        <v>481</v>
      </c>
      <c r="AO59" s="39" t="s">
        <v>75</v>
      </c>
      <c r="AP59" s="39" t="s">
        <v>76</v>
      </c>
      <c r="AQ59" s="39" t="s">
        <v>77</v>
      </c>
      <c r="AR59" s="39" t="s">
        <v>77</v>
      </c>
    </row>
    <row r="60">
      <c r="A60" s="21">
        <f t="shared" si="2"/>
        <v>53</v>
      </c>
      <c r="B60" s="39" t="s">
        <v>1390</v>
      </c>
      <c r="C60" s="57" t="s">
        <v>1391</v>
      </c>
      <c r="D60" s="39">
        <v>17.0</v>
      </c>
      <c r="E60" s="39">
        <v>0.0</v>
      </c>
      <c r="F60" s="39" t="s">
        <v>50</v>
      </c>
      <c r="G60" s="39" t="s">
        <v>51</v>
      </c>
      <c r="H60" s="42">
        <v>39448.0</v>
      </c>
      <c r="I60" s="39" t="s">
        <v>82</v>
      </c>
      <c r="J60" s="39" t="s">
        <v>83</v>
      </c>
      <c r="K60" s="39" t="s">
        <v>217</v>
      </c>
      <c r="L60" s="39" t="s">
        <v>61</v>
      </c>
      <c r="M60" s="42">
        <v>45383.0</v>
      </c>
      <c r="N60" s="39" t="s">
        <v>141</v>
      </c>
      <c r="O60" s="39" t="s">
        <v>173</v>
      </c>
      <c r="P60" s="43"/>
      <c r="Q60" s="39" t="s">
        <v>1304</v>
      </c>
      <c r="R60" s="42">
        <v>45292.0</v>
      </c>
      <c r="S60" s="39" t="s">
        <v>143</v>
      </c>
      <c r="T60" s="44"/>
      <c r="U60" s="39" t="s">
        <v>144</v>
      </c>
      <c r="V60" s="39" t="s">
        <v>89</v>
      </c>
      <c r="W60" s="39" t="s">
        <v>218</v>
      </c>
      <c r="X60" s="39" t="s">
        <v>745</v>
      </c>
      <c r="Y60" s="39" t="s">
        <v>1392</v>
      </c>
      <c r="Z60" s="46"/>
      <c r="AA60" s="45">
        <v>49685.0</v>
      </c>
      <c r="AB60" s="46"/>
      <c r="AC60" s="23">
        <v>54.0</v>
      </c>
      <c r="AD60" s="39" t="s">
        <v>66</v>
      </c>
      <c r="AE60" s="39" t="s">
        <v>67</v>
      </c>
      <c r="AF60" s="39" t="s">
        <v>92</v>
      </c>
      <c r="AG60" s="39" t="s">
        <v>68</v>
      </c>
      <c r="AH60" s="43"/>
      <c r="AI60" s="39">
        <v>8.1375450908E10</v>
      </c>
      <c r="AJ60" s="39" t="s">
        <v>1393</v>
      </c>
      <c r="AK60" s="39" t="s">
        <v>1394</v>
      </c>
      <c r="AL60" s="39" t="s">
        <v>1395</v>
      </c>
      <c r="AM60" s="39" t="s">
        <v>96</v>
      </c>
      <c r="AN60" s="39" t="s">
        <v>97</v>
      </c>
      <c r="AO60" s="39" t="s">
        <v>499</v>
      </c>
      <c r="AP60" s="39" t="s">
        <v>1396</v>
      </c>
      <c r="AQ60" s="43"/>
      <c r="AR60" s="43"/>
    </row>
    <row r="61">
      <c r="A61" s="21">
        <f t="shared" si="2"/>
        <v>54</v>
      </c>
      <c r="B61" s="39" t="s">
        <v>1397</v>
      </c>
      <c r="C61" s="57" t="s">
        <v>1398</v>
      </c>
      <c r="D61" s="39">
        <v>16.0</v>
      </c>
      <c r="E61" s="39">
        <v>3.0</v>
      </c>
      <c r="F61" s="39" t="s">
        <v>171</v>
      </c>
      <c r="G61" s="39" t="s">
        <v>172</v>
      </c>
      <c r="H61" s="42">
        <v>39845.0</v>
      </c>
      <c r="I61" s="39" t="s">
        <v>82</v>
      </c>
      <c r="J61" s="39" t="s">
        <v>83</v>
      </c>
      <c r="K61" s="39" t="s">
        <v>1399</v>
      </c>
      <c r="L61" s="39" t="s">
        <v>105</v>
      </c>
      <c r="M61" s="42">
        <v>44835.0</v>
      </c>
      <c r="N61" s="39" t="s">
        <v>141</v>
      </c>
      <c r="O61" s="39" t="s">
        <v>173</v>
      </c>
      <c r="P61" s="43"/>
      <c r="Q61" s="39" t="s">
        <v>1304</v>
      </c>
      <c r="R61" s="42">
        <v>45292.0</v>
      </c>
      <c r="S61" s="39" t="s">
        <v>143</v>
      </c>
      <c r="T61" s="44"/>
      <c r="U61" s="39" t="s">
        <v>144</v>
      </c>
      <c r="V61" s="39" t="s">
        <v>89</v>
      </c>
      <c r="W61" s="39" t="s">
        <v>90</v>
      </c>
      <c r="X61" s="39" t="s">
        <v>244</v>
      </c>
      <c r="Y61" s="39" t="s">
        <v>1400</v>
      </c>
      <c r="Z61" s="39" t="s">
        <v>65</v>
      </c>
      <c r="AA61" s="45">
        <v>50782.0</v>
      </c>
      <c r="AB61" s="46"/>
      <c r="AC61" s="23">
        <v>55.0</v>
      </c>
      <c r="AD61" s="39" t="s">
        <v>66</v>
      </c>
      <c r="AE61" s="39" t="s">
        <v>67</v>
      </c>
      <c r="AF61" s="39" t="s">
        <v>92</v>
      </c>
      <c r="AG61" s="39" t="s">
        <v>130</v>
      </c>
      <c r="AH61" s="39" t="s">
        <v>246</v>
      </c>
      <c r="AI61" s="39">
        <v>8.5260494182E10</v>
      </c>
      <c r="AJ61" s="39" t="s">
        <v>1401</v>
      </c>
      <c r="AK61" s="39" t="s">
        <v>1402</v>
      </c>
      <c r="AL61" s="39" t="s">
        <v>1403</v>
      </c>
      <c r="AM61" s="39" t="s">
        <v>96</v>
      </c>
      <c r="AN61" s="39" t="s">
        <v>97</v>
      </c>
      <c r="AO61" s="39" t="s">
        <v>136</v>
      </c>
      <c r="AP61" s="39" t="s">
        <v>1404</v>
      </c>
      <c r="AQ61" s="39" t="s">
        <v>1405</v>
      </c>
      <c r="AR61" s="43"/>
    </row>
    <row r="62">
      <c r="A62" s="21">
        <f t="shared" si="2"/>
        <v>55</v>
      </c>
      <c r="B62" s="39" t="s">
        <v>1406</v>
      </c>
      <c r="C62" s="57" t="s">
        <v>1407</v>
      </c>
      <c r="D62" s="39">
        <v>12.0</v>
      </c>
      <c r="E62" s="39">
        <v>9.0</v>
      </c>
      <c r="F62" s="39" t="s">
        <v>80</v>
      </c>
      <c r="G62" s="39" t="s">
        <v>81</v>
      </c>
      <c r="H62" s="42">
        <v>40179.0</v>
      </c>
      <c r="I62" s="39" t="s">
        <v>82</v>
      </c>
      <c r="J62" s="39" t="s">
        <v>83</v>
      </c>
      <c r="K62" s="39" t="s">
        <v>195</v>
      </c>
      <c r="L62" s="39" t="s">
        <v>105</v>
      </c>
      <c r="M62" s="42">
        <v>44835.0</v>
      </c>
      <c r="N62" s="39" t="s">
        <v>141</v>
      </c>
      <c r="O62" s="39" t="s">
        <v>173</v>
      </c>
      <c r="P62" s="43"/>
      <c r="Q62" s="39" t="s">
        <v>1304</v>
      </c>
      <c r="R62" s="42">
        <v>45292.0</v>
      </c>
      <c r="S62" s="39" t="s">
        <v>143</v>
      </c>
      <c r="T62" s="44"/>
      <c r="U62" s="39" t="s">
        <v>144</v>
      </c>
      <c r="V62" s="39" t="s">
        <v>89</v>
      </c>
      <c r="W62" s="43"/>
      <c r="X62" s="39" t="s">
        <v>745</v>
      </c>
      <c r="Y62" s="39" t="s">
        <v>1408</v>
      </c>
      <c r="Z62" s="39" t="s">
        <v>114</v>
      </c>
      <c r="AA62" s="45">
        <v>48946.0</v>
      </c>
      <c r="AB62" s="46"/>
      <c r="AC62" s="23">
        <v>56.0</v>
      </c>
      <c r="AD62" s="39" t="s">
        <v>66</v>
      </c>
      <c r="AE62" s="39" t="s">
        <v>67</v>
      </c>
      <c r="AF62" s="39" t="s">
        <v>92</v>
      </c>
      <c r="AG62" s="39" t="s">
        <v>68</v>
      </c>
      <c r="AH62" s="39" t="s">
        <v>131</v>
      </c>
      <c r="AI62" s="39">
        <v>8.1262339009E10</v>
      </c>
      <c r="AJ62" s="39" t="s">
        <v>1409</v>
      </c>
      <c r="AK62" s="39" t="s">
        <v>1410</v>
      </c>
      <c r="AL62" s="39" t="s">
        <v>1411</v>
      </c>
      <c r="AM62" s="39" t="s">
        <v>96</v>
      </c>
      <c r="AN62" s="39" t="s">
        <v>97</v>
      </c>
      <c r="AO62" s="39" t="s">
        <v>272</v>
      </c>
      <c r="AP62" s="39" t="s">
        <v>1412</v>
      </c>
      <c r="AQ62" s="43"/>
      <c r="AR62" s="43"/>
    </row>
    <row r="63">
      <c r="A63" s="21">
        <f t="shared" si="2"/>
        <v>56</v>
      </c>
      <c r="B63" s="39" t="s">
        <v>1413</v>
      </c>
      <c r="C63" s="57" t="s">
        <v>1414</v>
      </c>
      <c r="D63" s="39">
        <v>21.0</v>
      </c>
      <c r="E63" s="39">
        <v>9.0</v>
      </c>
      <c r="F63" s="39" t="s">
        <v>50</v>
      </c>
      <c r="G63" s="39" t="s">
        <v>51</v>
      </c>
      <c r="H63" s="42">
        <v>39448.0</v>
      </c>
      <c r="I63" s="39" t="s">
        <v>82</v>
      </c>
      <c r="J63" s="39" t="s">
        <v>83</v>
      </c>
      <c r="K63" s="39" t="s">
        <v>1415</v>
      </c>
      <c r="L63" s="39" t="s">
        <v>105</v>
      </c>
      <c r="M63" s="42">
        <v>45200.0</v>
      </c>
      <c r="N63" s="39" t="s">
        <v>141</v>
      </c>
      <c r="O63" s="39" t="s">
        <v>173</v>
      </c>
      <c r="P63" s="43"/>
      <c r="Q63" s="39" t="s">
        <v>1304</v>
      </c>
      <c r="R63" s="42">
        <v>45292.0</v>
      </c>
      <c r="S63" s="39" t="s">
        <v>143</v>
      </c>
      <c r="T63" s="44"/>
      <c r="U63" s="39" t="s">
        <v>144</v>
      </c>
      <c r="V63" s="39" t="s">
        <v>89</v>
      </c>
      <c r="W63" s="39" t="s">
        <v>1416</v>
      </c>
      <c r="X63" s="39" t="s">
        <v>1417</v>
      </c>
      <c r="Y63" s="39" t="s">
        <v>1418</v>
      </c>
      <c r="Z63" s="39" t="s">
        <v>114</v>
      </c>
      <c r="AA63" s="45">
        <v>48953.0</v>
      </c>
      <c r="AB63" s="46"/>
      <c r="AC63" s="23">
        <v>57.0</v>
      </c>
      <c r="AD63" s="39" t="s">
        <v>66</v>
      </c>
      <c r="AE63" s="39" t="s">
        <v>67</v>
      </c>
      <c r="AF63" s="39" t="s">
        <v>92</v>
      </c>
      <c r="AG63" s="39" t="s">
        <v>68</v>
      </c>
      <c r="AH63" s="43"/>
      <c r="AI63" s="39">
        <v>8.1370889354E10</v>
      </c>
      <c r="AJ63" s="39" t="s">
        <v>1419</v>
      </c>
      <c r="AK63" s="39" t="s">
        <v>1420</v>
      </c>
      <c r="AL63" s="39" t="s">
        <v>1421</v>
      </c>
      <c r="AM63" s="39" t="s">
        <v>96</v>
      </c>
      <c r="AN63" s="39" t="s">
        <v>97</v>
      </c>
      <c r="AO63" s="39" t="s">
        <v>1422</v>
      </c>
      <c r="AP63" s="39" t="s">
        <v>1423</v>
      </c>
      <c r="AQ63" s="43"/>
      <c r="AR63" s="43"/>
    </row>
    <row r="64">
      <c r="A64" s="21">
        <f t="shared" si="2"/>
        <v>57</v>
      </c>
      <c r="B64" s="39" t="s">
        <v>1424</v>
      </c>
      <c r="C64" s="57" t="s">
        <v>1425</v>
      </c>
      <c r="D64" s="39">
        <v>12.0</v>
      </c>
      <c r="E64" s="39">
        <v>9.0</v>
      </c>
      <c r="F64" s="39" t="s">
        <v>80</v>
      </c>
      <c r="G64" s="39" t="s">
        <v>81</v>
      </c>
      <c r="H64" s="42">
        <v>40179.0</v>
      </c>
      <c r="I64" s="39" t="s">
        <v>82</v>
      </c>
      <c r="J64" s="39" t="s">
        <v>83</v>
      </c>
      <c r="K64" s="39" t="s">
        <v>195</v>
      </c>
      <c r="L64" s="39" t="s">
        <v>105</v>
      </c>
      <c r="M64" s="42">
        <v>44835.0</v>
      </c>
      <c r="N64" s="39" t="s">
        <v>141</v>
      </c>
      <c r="O64" s="39" t="s">
        <v>173</v>
      </c>
      <c r="P64" s="43"/>
      <c r="Q64" s="39" t="s">
        <v>1304</v>
      </c>
      <c r="R64" s="42">
        <v>45292.0</v>
      </c>
      <c r="S64" s="39" t="s">
        <v>143</v>
      </c>
      <c r="T64" s="44"/>
      <c r="U64" s="39" t="s">
        <v>144</v>
      </c>
      <c r="V64" s="39" t="s">
        <v>89</v>
      </c>
      <c r="W64" s="39" t="s">
        <v>160</v>
      </c>
      <c r="X64" s="39" t="s">
        <v>745</v>
      </c>
      <c r="Y64" s="39" t="s">
        <v>392</v>
      </c>
      <c r="Z64" s="39" t="s">
        <v>114</v>
      </c>
      <c r="AA64" s="45">
        <v>52237.0</v>
      </c>
      <c r="AB64" s="46"/>
      <c r="AC64" s="23">
        <v>58.0</v>
      </c>
      <c r="AD64" s="39" t="s">
        <v>66</v>
      </c>
      <c r="AE64" s="39" t="s">
        <v>67</v>
      </c>
      <c r="AF64" s="39" t="s">
        <v>92</v>
      </c>
      <c r="AG64" s="39" t="s">
        <v>68</v>
      </c>
      <c r="AH64" s="39" t="s">
        <v>131</v>
      </c>
      <c r="AI64" s="39">
        <v>8.11612305E9</v>
      </c>
      <c r="AJ64" s="39" t="s">
        <v>1426</v>
      </c>
      <c r="AK64" s="39" t="s">
        <v>1427</v>
      </c>
      <c r="AL64" s="39" t="s">
        <v>1428</v>
      </c>
      <c r="AM64" s="39" t="s">
        <v>96</v>
      </c>
      <c r="AN64" s="39" t="s">
        <v>97</v>
      </c>
      <c r="AO64" s="39" t="s">
        <v>1429</v>
      </c>
      <c r="AP64" s="39" t="s">
        <v>1430</v>
      </c>
      <c r="AQ64" s="43"/>
      <c r="AR64" s="43"/>
    </row>
    <row r="65">
      <c r="A65" s="21">
        <f t="shared" si="2"/>
        <v>58</v>
      </c>
      <c r="B65" s="39" t="s">
        <v>1431</v>
      </c>
      <c r="C65" s="57" t="s">
        <v>1432</v>
      </c>
      <c r="D65" s="39">
        <v>12.0</v>
      </c>
      <c r="E65" s="39">
        <v>9.0</v>
      </c>
      <c r="F65" s="39" t="s">
        <v>80</v>
      </c>
      <c r="G65" s="39" t="s">
        <v>81</v>
      </c>
      <c r="H65" s="42">
        <v>40544.0</v>
      </c>
      <c r="I65" s="39" t="s">
        <v>82</v>
      </c>
      <c r="J65" s="39" t="s">
        <v>83</v>
      </c>
      <c r="K65" s="39" t="s">
        <v>1415</v>
      </c>
      <c r="L65" s="39" t="s">
        <v>105</v>
      </c>
      <c r="M65" s="42">
        <v>45200.0</v>
      </c>
      <c r="N65" s="39" t="s">
        <v>141</v>
      </c>
      <c r="O65" s="39" t="s">
        <v>173</v>
      </c>
      <c r="P65" s="43"/>
      <c r="Q65" s="39" t="s">
        <v>1304</v>
      </c>
      <c r="R65" s="42">
        <v>45292.0</v>
      </c>
      <c r="S65" s="39" t="s">
        <v>143</v>
      </c>
      <c r="T65" s="44"/>
      <c r="U65" s="39" t="s">
        <v>144</v>
      </c>
      <c r="V65" s="39" t="s">
        <v>89</v>
      </c>
      <c r="W65" s="39" t="s">
        <v>418</v>
      </c>
      <c r="X65" s="39" t="s">
        <v>260</v>
      </c>
      <c r="Y65" s="39" t="s">
        <v>1433</v>
      </c>
      <c r="Z65" s="46"/>
      <c r="AA65" s="45">
        <v>52606.0</v>
      </c>
      <c r="AB65" s="46"/>
      <c r="AC65" s="23">
        <v>59.0</v>
      </c>
      <c r="AD65" s="39" t="s">
        <v>66</v>
      </c>
      <c r="AE65" s="39" t="s">
        <v>67</v>
      </c>
      <c r="AF65" s="43"/>
      <c r="AG65" s="39" t="s">
        <v>68</v>
      </c>
      <c r="AH65" s="43"/>
      <c r="AI65" s="39">
        <v>8.1263888373E10</v>
      </c>
      <c r="AJ65" s="39" t="s">
        <v>1434</v>
      </c>
      <c r="AK65" s="39" t="s">
        <v>1435</v>
      </c>
      <c r="AL65" s="39" t="s">
        <v>1436</v>
      </c>
      <c r="AM65" s="39" t="s">
        <v>96</v>
      </c>
      <c r="AN65" s="39" t="s">
        <v>74</v>
      </c>
      <c r="AO65" s="39" t="s">
        <v>989</v>
      </c>
      <c r="AP65" s="39" t="s">
        <v>1437</v>
      </c>
      <c r="AQ65" s="43"/>
      <c r="AR65" s="43"/>
    </row>
    <row r="66">
      <c r="A66" s="21">
        <f t="shared" si="2"/>
        <v>59</v>
      </c>
      <c r="B66" s="39" t="s">
        <v>1438</v>
      </c>
      <c r="C66" s="57" t="s">
        <v>1439</v>
      </c>
      <c r="D66" s="39">
        <v>11.0</v>
      </c>
      <c r="E66" s="39">
        <v>0.0</v>
      </c>
      <c r="F66" s="39" t="s">
        <v>80</v>
      </c>
      <c r="G66" s="39" t="s">
        <v>81</v>
      </c>
      <c r="H66" s="42">
        <v>38808.0</v>
      </c>
      <c r="I66" s="39" t="s">
        <v>82</v>
      </c>
      <c r="J66" s="39" t="s">
        <v>83</v>
      </c>
      <c r="K66" s="39" t="s">
        <v>1440</v>
      </c>
      <c r="L66" s="39" t="s">
        <v>1314</v>
      </c>
      <c r="M66" s="42">
        <v>42826.0</v>
      </c>
      <c r="N66" s="39" t="s">
        <v>141</v>
      </c>
      <c r="O66" s="39" t="s">
        <v>173</v>
      </c>
      <c r="P66" s="43"/>
      <c r="Q66" s="39" t="s">
        <v>1304</v>
      </c>
      <c r="R66" s="42">
        <v>45292.0</v>
      </c>
      <c r="S66" s="39" t="s">
        <v>143</v>
      </c>
      <c r="T66" s="44"/>
      <c r="U66" s="39" t="s">
        <v>144</v>
      </c>
      <c r="V66" s="39" t="s">
        <v>89</v>
      </c>
      <c r="W66" s="39" t="s">
        <v>1441</v>
      </c>
      <c r="X66" s="39" t="s">
        <v>1442</v>
      </c>
      <c r="Y66" s="47">
        <v>37888.0</v>
      </c>
      <c r="Z66" s="39" t="s">
        <v>114</v>
      </c>
      <c r="AA66" s="45">
        <v>50411.0</v>
      </c>
      <c r="AB66" s="46"/>
      <c r="AC66" s="23">
        <v>60.0</v>
      </c>
      <c r="AD66" s="39" t="s">
        <v>66</v>
      </c>
      <c r="AE66" s="39" t="s">
        <v>220</v>
      </c>
      <c r="AF66" s="39" t="s">
        <v>92</v>
      </c>
      <c r="AG66" s="39" t="s">
        <v>130</v>
      </c>
      <c r="AH66" s="39" t="s">
        <v>131</v>
      </c>
      <c r="AI66" s="39">
        <v>8.5276301016E10</v>
      </c>
      <c r="AJ66" s="39" t="s">
        <v>1443</v>
      </c>
      <c r="AK66" s="39" t="s">
        <v>1444</v>
      </c>
      <c r="AL66" s="39" t="s">
        <v>1445</v>
      </c>
      <c r="AM66" s="39" t="s">
        <v>73</v>
      </c>
      <c r="AN66" s="39" t="s">
        <v>74</v>
      </c>
      <c r="AO66" s="39" t="s">
        <v>1446</v>
      </c>
      <c r="AP66" s="39" t="s">
        <v>315</v>
      </c>
      <c r="AQ66" s="39" t="s">
        <v>77</v>
      </c>
      <c r="AR66" s="39" t="s">
        <v>77</v>
      </c>
    </row>
    <row r="67">
      <c r="A67" s="21">
        <f t="shared" si="2"/>
        <v>60</v>
      </c>
      <c r="B67" s="39" t="s">
        <v>1447</v>
      </c>
      <c r="C67" s="57" t="s">
        <v>1448</v>
      </c>
      <c r="D67" s="39">
        <v>16.0</v>
      </c>
      <c r="E67" s="39">
        <v>3.0</v>
      </c>
      <c r="F67" s="39" t="s">
        <v>80</v>
      </c>
      <c r="G67" s="39" t="s">
        <v>81</v>
      </c>
      <c r="H67" s="42">
        <v>39873.0</v>
      </c>
      <c r="I67" s="39" t="s">
        <v>82</v>
      </c>
      <c r="J67" s="39" t="s">
        <v>83</v>
      </c>
      <c r="K67" s="39" t="s">
        <v>408</v>
      </c>
      <c r="L67" s="39" t="s">
        <v>88</v>
      </c>
      <c r="M67" s="42">
        <v>44287.0</v>
      </c>
      <c r="N67" s="39" t="s">
        <v>141</v>
      </c>
      <c r="O67" s="39" t="s">
        <v>173</v>
      </c>
      <c r="P67" s="43"/>
      <c r="Q67" s="39" t="s">
        <v>1297</v>
      </c>
      <c r="R67" s="42">
        <v>45292.0</v>
      </c>
      <c r="S67" s="39" t="s">
        <v>143</v>
      </c>
      <c r="T67" s="44"/>
      <c r="U67" s="39" t="s">
        <v>144</v>
      </c>
      <c r="V67" s="39" t="s">
        <v>89</v>
      </c>
      <c r="W67" s="39" t="s">
        <v>1449</v>
      </c>
      <c r="X67" s="39" t="s">
        <v>1450</v>
      </c>
      <c r="Y67" s="39" t="s">
        <v>1451</v>
      </c>
      <c r="Z67" s="39" t="s">
        <v>114</v>
      </c>
      <c r="AA67" s="45">
        <v>47849.0</v>
      </c>
      <c r="AB67" s="46"/>
      <c r="AC67" s="23">
        <v>61.0</v>
      </c>
      <c r="AD67" s="39" t="s">
        <v>66</v>
      </c>
      <c r="AE67" s="39" t="s">
        <v>67</v>
      </c>
      <c r="AF67" s="39" t="s">
        <v>92</v>
      </c>
      <c r="AG67" s="39" t="s">
        <v>68</v>
      </c>
      <c r="AH67" s="39" t="s">
        <v>69</v>
      </c>
      <c r="AI67" s="39">
        <v>8.1263352023E10</v>
      </c>
      <c r="AJ67" s="39" t="s">
        <v>1452</v>
      </c>
      <c r="AK67" s="39" t="s">
        <v>1453</v>
      </c>
      <c r="AL67" s="39" t="s">
        <v>1454</v>
      </c>
      <c r="AM67" s="39" t="s">
        <v>96</v>
      </c>
      <c r="AN67" s="39" t="s">
        <v>481</v>
      </c>
      <c r="AO67" s="39" t="s">
        <v>213</v>
      </c>
      <c r="AP67" s="39" t="s">
        <v>1366</v>
      </c>
      <c r="AQ67" s="43"/>
      <c r="AR67" s="43"/>
    </row>
    <row r="68">
      <c r="A68" s="21">
        <f t="shared" si="2"/>
        <v>61</v>
      </c>
      <c r="B68" s="39" t="s">
        <v>1455</v>
      </c>
      <c r="C68" s="57" t="s">
        <v>1456</v>
      </c>
      <c r="D68" s="39">
        <v>16.0</v>
      </c>
      <c r="E68" s="39">
        <v>4.0</v>
      </c>
      <c r="F68" s="39" t="s">
        <v>50</v>
      </c>
      <c r="G68" s="39" t="s">
        <v>51</v>
      </c>
      <c r="H68" s="42">
        <v>39845.0</v>
      </c>
      <c r="I68" s="39" t="s">
        <v>82</v>
      </c>
      <c r="J68" s="39" t="s">
        <v>83</v>
      </c>
      <c r="K68" s="39" t="s">
        <v>217</v>
      </c>
      <c r="L68" s="39" t="s">
        <v>61</v>
      </c>
      <c r="M68" s="42">
        <v>45383.0</v>
      </c>
      <c r="N68" s="39" t="s">
        <v>141</v>
      </c>
      <c r="O68" s="39" t="s">
        <v>173</v>
      </c>
      <c r="P68" s="43"/>
      <c r="Q68" s="39" t="s">
        <v>1304</v>
      </c>
      <c r="R68" s="42">
        <v>45292.0</v>
      </c>
      <c r="S68" s="39" t="s">
        <v>143</v>
      </c>
      <c r="T68" s="44"/>
      <c r="U68" s="39" t="s">
        <v>144</v>
      </c>
      <c r="V68" s="39" t="s">
        <v>89</v>
      </c>
      <c r="W68" s="39" t="s">
        <v>90</v>
      </c>
      <c r="X68" s="39" t="s">
        <v>1457</v>
      </c>
      <c r="Y68" s="47">
        <v>38976.0</v>
      </c>
      <c r="Z68" s="39" t="s">
        <v>114</v>
      </c>
      <c r="AA68" s="45">
        <v>49675.0</v>
      </c>
      <c r="AB68" s="46"/>
      <c r="AC68" s="23">
        <v>62.0</v>
      </c>
      <c r="AD68" s="39" t="s">
        <v>66</v>
      </c>
      <c r="AE68" s="39" t="s">
        <v>67</v>
      </c>
      <c r="AF68" s="39" t="s">
        <v>92</v>
      </c>
      <c r="AG68" s="39" t="s">
        <v>130</v>
      </c>
      <c r="AH68" s="39" t="s">
        <v>246</v>
      </c>
      <c r="AI68" s="39">
        <v>8.5262331418E10</v>
      </c>
      <c r="AJ68" s="39" t="s">
        <v>1458</v>
      </c>
      <c r="AK68" s="39" t="s">
        <v>1459</v>
      </c>
      <c r="AL68" s="39" t="s">
        <v>1460</v>
      </c>
      <c r="AM68" s="39" t="s">
        <v>96</v>
      </c>
      <c r="AN68" s="39" t="s">
        <v>481</v>
      </c>
      <c r="AO68" s="39" t="s">
        <v>454</v>
      </c>
      <c r="AP68" s="39" t="s">
        <v>491</v>
      </c>
      <c r="AQ68" s="43"/>
      <c r="AR68" s="43"/>
    </row>
    <row r="69">
      <c r="A69" s="21">
        <f t="shared" si="2"/>
        <v>62</v>
      </c>
      <c r="B69" s="39" t="s">
        <v>1461</v>
      </c>
      <c r="C69" s="57" t="s">
        <v>1462</v>
      </c>
      <c r="D69" s="39">
        <v>10.0</v>
      </c>
      <c r="E69" s="39">
        <v>6.0</v>
      </c>
      <c r="F69" s="39" t="s">
        <v>50</v>
      </c>
      <c r="G69" s="39" t="s">
        <v>51</v>
      </c>
      <c r="H69" s="42">
        <v>40544.0</v>
      </c>
      <c r="I69" s="39" t="s">
        <v>82</v>
      </c>
      <c r="J69" s="39" t="s">
        <v>83</v>
      </c>
      <c r="K69" s="39" t="s">
        <v>217</v>
      </c>
      <c r="L69" s="39" t="s">
        <v>61</v>
      </c>
      <c r="M69" s="42">
        <v>45383.0</v>
      </c>
      <c r="N69" s="39" t="s">
        <v>141</v>
      </c>
      <c r="O69" s="39" t="s">
        <v>173</v>
      </c>
      <c r="P69" s="43"/>
      <c r="Q69" s="39" t="s">
        <v>59</v>
      </c>
      <c r="R69" s="42">
        <v>45505.0</v>
      </c>
      <c r="S69" s="39" t="s">
        <v>1463</v>
      </c>
      <c r="T69" s="44"/>
      <c r="U69" s="39" t="s">
        <v>144</v>
      </c>
      <c r="V69" s="39" t="s">
        <v>159</v>
      </c>
      <c r="W69" s="39" t="s">
        <v>1464</v>
      </c>
      <c r="X69" s="39" t="s">
        <v>671</v>
      </c>
      <c r="Y69" s="47">
        <v>41956.0</v>
      </c>
      <c r="Z69" s="39" t="s">
        <v>114</v>
      </c>
      <c r="AA69" s="45">
        <v>52233.0</v>
      </c>
      <c r="AB69" s="46"/>
      <c r="AC69" s="23">
        <v>63.0</v>
      </c>
      <c r="AD69" s="39" t="s">
        <v>66</v>
      </c>
      <c r="AE69" s="39" t="s">
        <v>67</v>
      </c>
      <c r="AF69" s="43"/>
      <c r="AG69" s="39" t="s">
        <v>68</v>
      </c>
      <c r="AH69" s="39" t="s">
        <v>131</v>
      </c>
      <c r="AI69" s="39">
        <v>8.1397118555E10</v>
      </c>
      <c r="AJ69" s="39" t="s">
        <v>1465</v>
      </c>
      <c r="AK69" s="39" t="s">
        <v>1466</v>
      </c>
      <c r="AL69" s="39" t="s">
        <v>1467</v>
      </c>
      <c r="AM69" s="39" t="s">
        <v>96</v>
      </c>
      <c r="AN69" s="39" t="s">
        <v>135</v>
      </c>
      <c r="AO69" s="39" t="s">
        <v>213</v>
      </c>
      <c r="AP69" s="39" t="s">
        <v>556</v>
      </c>
      <c r="AQ69" s="43"/>
      <c r="AR69" s="43"/>
    </row>
    <row r="70">
      <c r="A70" s="21">
        <f t="shared" si="2"/>
        <v>63</v>
      </c>
      <c r="B70" s="39" t="s">
        <v>1468</v>
      </c>
      <c r="C70" s="57" t="s">
        <v>1469</v>
      </c>
      <c r="D70" s="39">
        <v>13.0</v>
      </c>
      <c r="E70" s="39">
        <v>2.0</v>
      </c>
      <c r="F70" s="39" t="s">
        <v>50</v>
      </c>
      <c r="G70" s="39" t="s">
        <v>51</v>
      </c>
      <c r="H70" s="42">
        <v>38899.0</v>
      </c>
      <c r="I70" s="39" t="s">
        <v>82</v>
      </c>
      <c r="J70" s="39" t="s">
        <v>83</v>
      </c>
      <c r="K70" s="39" t="s">
        <v>104</v>
      </c>
      <c r="L70" s="39" t="s">
        <v>105</v>
      </c>
      <c r="M70" s="42">
        <v>45017.0</v>
      </c>
      <c r="N70" s="39" t="s">
        <v>141</v>
      </c>
      <c r="O70" s="39" t="s">
        <v>173</v>
      </c>
      <c r="P70" s="43"/>
      <c r="Q70" s="39" t="s">
        <v>1316</v>
      </c>
      <c r="R70" s="42">
        <v>45292.0</v>
      </c>
      <c r="S70" s="39" t="s">
        <v>143</v>
      </c>
      <c r="T70" s="44"/>
      <c r="U70" s="39" t="s">
        <v>144</v>
      </c>
      <c r="V70" s="39" t="s">
        <v>89</v>
      </c>
      <c r="W70" s="39" t="s">
        <v>218</v>
      </c>
      <c r="X70" s="39" t="s">
        <v>1329</v>
      </c>
      <c r="Y70" s="39" t="s">
        <v>1470</v>
      </c>
      <c r="Z70" s="39" t="s">
        <v>114</v>
      </c>
      <c r="AA70" s="45">
        <v>50047.0</v>
      </c>
      <c r="AB70" s="46"/>
      <c r="AC70" s="23">
        <v>64.0</v>
      </c>
      <c r="AD70" s="39" t="s">
        <v>66</v>
      </c>
      <c r="AE70" s="39" t="s">
        <v>67</v>
      </c>
      <c r="AF70" s="39" t="s">
        <v>92</v>
      </c>
      <c r="AG70" s="39" t="s">
        <v>130</v>
      </c>
      <c r="AH70" s="39" t="s">
        <v>69</v>
      </c>
      <c r="AI70" s="39">
        <v>8.1362813999E10</v>
      </c>
      <c r="AJ70" s="39" t="s">
        <v>1471</v>
      </c>
      <c r="AK70" s="39" t="s">
        <v>1472</v>
      </c>
      <c r="AL70" s="39" t="s">
        <v>1473</v>
      </c>
      <c r="AM70" s="39" t="s">
        <v>96</v>
      </c>
      <c r="AN70" s="39" t="s">
        <v>135</v>
      </c>
      <c r="AO70" s="39" t="s">
        <v>360</v>
      </c>
      <c r="AP70" s="39" t="s">
        <v>566</v>
      </c>
      <c r="AQ70" s="39">
        <v>0.0</v>
      </c>
      <c r="AR70" s="39">
        <v>0.0</v>
      </c>
    </row>
    <row r="71">
      <c r="A71" s="21">
        <f t="shared" si="2"/>
        <v>64</v>
      </c>
      <c r="B71" s="39" t="s">
        <v>1474</v>
      </c>
      <c r="C71" s="57" t="s">
        <v>1475</v>
      </c>
      <c r="D71" s="39">
        <v>12.0</v>
      </c>
      <c r="E71" s="39">
        <v>3.0</v>
      </c>
      <c r="F71" s="39" t="s">
        <v>80</v>
      </c>
      <c r="G71" s="39" t="s">
        <v>81</v>
      </c>
      <c r="H71" s="42">
        <v>40544.0</v>
      </c>
      <c r="I71" s="39" t="s">
        <v>82</v>
      </c>
      <c r="J71" s="39" t="s">
        <v>83</v>
      </c>
      <c r="K71" s="39" t="s">
        <v>104</v>
      </c>
      <c r="L71" s="39" t="s">
        <v>105</v>
      </c>
      <c r="M71" s="42">
        <v>45017.0</v>
      </c>
      <c r="N71" s="39" t="s">
        <v>141</v>
      </c>
      <c r="O71" s="39" t="s">
        <v>173</v>
      </c>
      <c r="P71" s="43"/>
      <c r="Q71" s="39" t="s">
        <v>1316</v>
      </c>
      <c r="R71" s="42">
        <v>45292.0</v>
      </c>
      <c r="S71" s="39" t="s">
        <v>143</v>
      </c>
      <c r="T71" s="44"/>
      <c r="U71" s="39" t="s">
        <v>144</v>
      </c>
      <c r="V71" s="39" t="s">
        <v>89</v>
      </c>
      <c r="W71" s="39" t="s">
        <v>374</v>
      </c>
      <c r="X71" s="39" t="s">
        <v>1215</v>
      </c>
      <c r="Y71" s="47">
        <v>39412.0</v>
      </c>
      <c r="Z71" s="39" t="s">
        <v>114</v>
      </c>
      <c r="AA71" s="45">
        <v>51868.0</v>
      </c>
      <c r="AB71" s="46"/>
      <c r="AC71" s="23">
        <v>65.0</v>
      </c>
      <c r="AD71" s="39" t="s">
        <v>66</v>
      </c>
      <c r="AE71" s="39" t="s">
        <v>67</v>
      </c>
      <c r="AF71" s="39" t="s">
        <v>129</v>
      </c>
      <c r="AG71" s="39" t="s">
        <v>130</v>
      </c>
      <c r="AH71" s="39" t="s">
        <v>246</v>
      </c>
      <c r="AI71" s="39">
        <v>8.1264403589E10</v>
      </c>
      <c r="AJ71" s="39" t="s">
        <v>1476</v>
      </c>
      <c r="AK71" s="39" t="s">
        <v>1477</v>
      </c>
      <c r="AL71" s="39" t="s">
        <v>1478</v>
      </c>
      <c r="AM71" s="39" t="s">
        <v>96</v>
      </c>
      <c r="AN71" s="39" t="s">
        <v>135</v>
      </c>
      <c r="AO71" s="39" t="s">
        <v>499</v>
      </c>
      <c r="AP71" s="39" t="s">
        <v>1479</v>
      </c>
      <c r="AQ71" s="43"/>
      <c r="AR71" s="43"/>
    </row>
    <row r="72">
      <c r="A72" s="21">
        <f t="shared" si="2"/>
        <v>65</v>
      </c>
      <c r="B72" s="39" t="s">
        <v>1480</v>
      </c>
      <c r="C72" s="57" t="s">
        <v>1481</v>
      </c>
      <c r="D72" s="39">
        <v>22.0</v>
      </c>
      <c r="E72" s="39">
        <v>6.0</v>
      </c>
      <c r="F72" s="39" t="s">
        <v>50</v>
      </c>
      <c r="G72" s="39" t="s">
        <v>51</v>
      </c>
      <c r="H72" s="42">
        <v>40360.0</v>
      </c>
      <c r="I72" s="39" t="s">
        <v>82</v>
      </c>
      <c r="J72" s="39" t="s">
        <v>83</v>
      </c>
      <c r="K72" s="39" t="s">
        <v>217</v>
      </c>
      <c r="L72" s="39" t="s">
        <v>61</v>
      </c>
      <c r="M72" s="42">
        <v>45383.0</v>
      </c>
      <c r="N72" s="39" t="s">
        <v>141</v>
      </c>
      <c r="O72" s="39" t="s">
        <v>173</v>
      </c>
      <c r="P72" s="43"/>
      <c r="Q72" s="39" t="s">
        <v>1316</v>
      </c>
      <c r="R72" s="42">
        <v>45292.0</v>
      </c>
      <c r="S72" s="39" t="s">
        <v>143</v>
      </c>
      <c r="T72" s="44"/>
      <c r="U72" s="39" t="s">
        <v>144</v>
      </c>
      <c r="V72" s="39" t="s">
        <v>159</v>
      </c>
      <c r="W72" s="39" t="s">
        <v>218</v>
      </c>
      <c r="X72" s="39" t="s">
        <v>745</v>
      </c>
      <c r="Y72" s="39" t="s">
        <v>1482</v>
      </c>
      <c r="Z72" s="39" t="s">
        <v>114</v>
      </c>
      <c r="AA72" s="45">
        <v>47123.0</v>
      </c>
      <c r="AB72" s="46"/>
      <c r="AC72" s="23">
        <v>66.0</v>
      </c>
      <c r="AD72" s="39" t="s">
        <v>66</v>
      </c>
      <c r="AE72" s="39" t="s">
        <v>67</v>
      </c>
      <c r="AF72" s="39" t="s">
        <v>92</v>
      </c>
      <c r="AG72" s="39" t="s">
        <v>130</v>
      </c>
      <c r="AH72" s="39" t="s">
        <v>131</v>
      </c>
      <c r="AI72" s="39">
        <v>8.1370363429E10</v>
      </c>
      <c r="AJ72" s="39" t="s">
        <v>1483</v>
      </c>
      <c r="AK72" s="39" t="s">
        <v>1484</v>
      </c>
      <c r="AL72" s="39" t="s">
        <v>1485</v>
      </c>
      <c r="AM72" s="39" t="s">
        <v>96</v>
      </c>
      <c r="AN72" s="39" t="s">
        <v>150</v>
      </c>
      <c r="AO72" s="39" t="s">
        <v>627</v>
      </c>
      <c r="AP72" s="39" t="s">
        <v>1486</v>
      </c>
      <c r="AQ72" s="43"/>
      <c r="AR72" s="43"/>
    </row>
    <row r="73">
      <c r="A73" s="21">
        <f t="shared" si="2"/>
        <v>66</v>
      </c>
      <c r="B73" s="39" t="s">
        <v>1487</v>
      </c>
      <c r="C73" s="57" t="s">
        <v>1488</v>
      </c>
      <c r="D73" s="39">
        <v>24.0</v>
      </c>
      <c r="E73" s="39">
        <v>4.0</v>
      </c>
      <c r="F73" s="39" t="s">
        <v>50</v>
      </c>
      <c r="G73" s="39" t="s">
        <v>51</v>
      </c>
      <c r="H73" s="42">
        <v>34304.0</v>
      </c>
      <c r="I73" s="39" t="s">
        <v>82</v>
      </c>
      <c r="J73" s="39" t="s">
        <v>83</v>
      </c>
      <c r="K73" s="39" t="s">
        <v>104</v>
      </c>
      <c r="L73" s="39" t="s">
        <v>105</v>
      </c>
      <c r="M73" s="42">
        <v>45017.0</v>
      </c>
      <c r="N73" s="39" t="s">
        <v>141</v>
      </c>
      <c r="O73" s="39" t="s">
        <v>173</v>
      </c>
      <c r="P73" s="43"/>
      <c r="Q73" s="39" t="s">
        <v>1316</v>
      </c>
      <c r="R73" s="42">
        <v>46082.0</v>
      </c>
      <c r="S73" s="39" t="s">
        <v>1489</v>
      </c>
      <c r="T73" s="44"/>
      <c r="U73" s="39" t="s">
        <v>105</v>
      </c>
      <c r="V73" s="39" t="s">
        <v>89</v>
      </c>
      <c r="W73" s="43"/>
      <c r="X73" s="39" t="s">
        <v>1490</v>
      </c>
      <c r="Y73" s="67">
        <v>41890.0</v>
      </c>
      <c r="Z73" s="46"/>
      <c r="AA73" s="45">
        <v>46025.0</v>
      </c>
      <c r="AB73" s="46"/>
      <c r="AC73" s="23">
        <v>67.0</v>
      </c>
      <c r="AD73" s="39" t="s">
        <v>66</v>
      </c>
      <c r="AE73" s="39" t="s">
        <v>67</v>
      </c>
      <c r="AF73" s="39" t="s">
        <v>92</v>
      </c>
      <c r="AG73" s="39" t="s">
        <v>130</v>
      </c>
      <c r="AH73" s="39" t="s">
        <v>69</v>
      </c>
      <c r="AI73" s="39">
        <v>8.216884315E10</v>
      </c>
      <c r="AJ73" s="39" t="s">
        <v>1491</v>
      </c>
      <c r="AK73" s="39" t="s">
        <v>1492</v>
      </c>
      <c r="AL73" s="39" t="s">
        <v>1493</v>
      </c>
      <c r="AM73" s="39" t="s">
        <v>96</v>
      </c>
      <c r="AN73" s="39" t="s">
        <v>481</v>
      </c>
      <c r="AO73" s="39" t="s">
        <v>454</v>
      </c>
      <c r="AP73" s="39" t="s">
        <v>491</v>
      </c>
      <c r="AQ73" s="43"/>
      <c r="AR73" s="43"/>
    </row>
    <row r="74">
      <c r="A74" s="21">
        <f t="shared" si="2"/>
        <v>67</v>
      </c>
      <c r="B74" s="39" t="s">
        <v>1494</v>
      </c>
      <c r="C74" s="57" t="s">
        <v>1495</v>
      </c>
      <c r="D74" s="39">
        <v>19.0</v>
      </c>
      <c r="E74" s="39">
        <v>2.0</v>
      </c>
      <c r="F74" s="39" t="s">
        <v>50</v>
      </c>
      <c r="G74" s="39" t="s">
        <v>51</v>
      </c>
      <c r="H74" s="42">
        <v>39448.0</v>
      </c>
      <c r="I74" s="39" t="s">
        <v>82</v>
      </c>
      <c r="J74" s="39" t="s">
        <v>83</v>
      </c>
      <c r="K74" s="39" t="s">
        <v>140</v>
      </c>
      <c r="L74" s="39" t="s">
        <v>105</v>
      </c>
      <c r="M74" s="42">
        <v>45809.0</v>
      </c>
      <c r="N74" s="39" t="s">
        <v>141</v>
      </c>
      <c r="O74" s="39" t="s">
        <v>173</v>
      </c>
      <c r="P74" s="43"/>
      <c r="Q74" s="39" t="s">
        <v>1304</v>
      </c>
      <c r="R74" s="42">
        <v>45292.0</v>
      </c>
      <c r="S74" s="39" t="s">
        <v>143</v>
      </c>
      <c r="T74" s="44"/>
      <c r="U74" s="39" t="s">
        <v>144</v>
      </c>
      <c r="V74" s="39" t="s">
        <v>89</v>
      </c>
      <c r="W74" s="39" t="s">
        <v>218</v>
      </c>
      <c r="X74" s="39" t="s">
        <v>1496</v>
      </c>
      <c r="Y74" s="39" t="s">
        <v>1497</v>
      </c>
      <c r="Z74" s="43"/>
      <c r="AA74" s="45">
        <v>50051.0</v>
      </c>
      <c r="AB74" s="46"/>
      <c r="AC74" s="23">
        <v>68.0</v>
      </c>
      <c r="AD74" s="39" t="s">
        <v>66</v>
      </c>
      <c r="AE74" s="39" t="s">
        <v>311</v>
      </c>
      <c r="AF74" s="39" t="s">
        <v>92</v>
      </c>
      <c r="AG74" s="39" t="s">
        <v>130</v>
      </c>
      <c r="AH74" s="39" t="s">
        <v>131</v>
      </c>
      <c r="AI74" s="39">
        <v>8.13700254E10</v>
      </c>
      <c r="AJ74" s="39" t="s">
        <v>1498</v>
      </c>
      <c r="AK74" s="39" t="s">
        <v>1499</v>
      </c>
      <c r="AL74" s="39" t="s">
        <v>1500</v>
      </c>
      <c r="AM74" s="39" t="s">
        <v>96</v>
      </c>
      <c r="AN74" s="39" t="s">
        <v>97</v>
      </c>
      <c r="AO74" s="39" t="s">
        <v>1501</v>
      </c>
      <c r="AP74" s="39" t="s">
        <v>1502</v>
      </c>
      <c r="AQ74" s="43"/>
      <c r="AR74" s="43"/>
    </row>
    <row r="75">
      <c r="A75" s="21">
        <f t="shared" si="2"/>
        <v>68</v>
      </c>
      <c r="B75" s="39" t="s">
        <v>1503</v>
      </c>
      <c r="C75" s="57" t="s">
        <v>1504</v>
      </c>
      <c r="D75" s="39">
        <v>11.0</v>
      </c>
      <c r="E75" s="39">
        <v>5.0</v>
      </c>
      <c r="F75" s="39" t="s">
        <v>50</v>
      </c>
      <c r="G75" s="39" t="s">
        <v>51</v>
      </c>
      <c r="H75" s="42">
        <v>40179.0</v>
      </c>
      <c r="I75" s="39" t="s">
        <v>102</v>
      </c>
      <c r="J75" s="39" t="s">
        <v>103</v>
      </c>
      <c r="K75" s="39" t="s">
        <v>1505</v>
      </c>
      <c r="L75" s="39" t="s">
        <v>88</v>
      </c>
      <c r="M75" s="42">
        <v>44287.0</v>
      </c>
      <c r="N75" s="39" t="s">
        <v>141</v>
      </c>
      <c r="O75" s="39" t="s">
        <v>173</v>
      </c>
      <c r="P75" s="43"/>
      <c r="Q75" s="39" t="s">
        <v>1304</v>
      </c>
      <c r="R75" s="42">
        <v>45292.0</v>
      </c>
      <c r="S75" s="39" t="s">
        <v>143</v>
      </c>
      <c r="T75" s="44"/>
      <c r="U75" s="39" t="s">
        <v>144</v>
      </c>
      <c r="V75" s="39" t="s">
        <v>89</v>
      </c>
      <c r="W75" s="39" t="s">
        <v>90</v>
      </c>
      <c r="X75" s="39" t="s">
        <v>1506</v>
      </c>
      <c r="Y75" s="67">
        <v>39023.0</v>
      </c>
      <c r="Z75" s="46"/>
      <c r="AA75" s="45">
        <v>51507.0</v>
      </c>
      <c r="AB75" s="46"/>
      <c r="AC75" s="23">
        <v>69.0</v>
      </c>
      <c r="AD75" s="39" t="s">
        <v>66</v>
      </c>
      <c r="AE75" s="39" t="s">
        <v>67</v>
      </c>
      <c r="AF75" s="39" t="s">
        <v>92</v>
      </c>
      <c r="AG75" s="39" t="s">
        <v>68</v>
      </c>
      <c r="AH75" s="39" t="s">
        <v>131</v>
      </c>
      <c r="AI75" s="39">
        <v>8.536116228E10</v>
      </c>
      <c r="AJ75" s="39" t="s">
        <v>1507</v>
      </c>
      <c r="AK75" s="39" t="s">
        <v>1508</v>
      </c>
      <c r="AL75" s="39" t="s">
        <v>1509</v>
      </c>
      <c r="AM75" s="39" t="s">
        <v>96</v>
      </c>
      <c r="AN75" s="39" t="s">
        <v>1510</v>
      </c>
      <c r="AO75" s="39" t="s">
        <v>1511</v>
      </c>
      <c r="AP75" s="39" t="s">
        <v>1145</v>
      </c>
      <c r="AQ75" s="43"/>
      <c r="AR75" s="43"/>
    </row>
    <row r="76">
      <c r="A76" s="21">
        <f t="shared" si="2"/>
        <v>69</v>
      </c>
      <c r="B76" s="39" t="s">
        <v>1512</v>
      </c>
      <c r="C76" s="57" t="s">
        <v>1513</v>
      </c>
      <c r="D76" s="39">
        <v>19.0</v>
      </c>
      <c r="E76" s="39">
        <v>10.0</v>
      </c>
      <c r="F76" s="39" t="s">
        <v>50</v>
      </c>
      <c r="G76" s="39" t="s">
        <v>51</v>
      </c>
      <c r="H76" s="42">
        <v>39448.0</v>
      </c>
      <c r="I76" s="39" t="s">
        <v>82</v>
      </c>
      <c r="J76" s="39" t="s">
        <v>83</v>
      </c>
      <c r="K76" s="39" t="s">
        <v>140</v>
      </c>
      <c r="L76" s="39" t="s">
        <v>105</v>
      </c>
      <c r="M76" s="42">
        <v>45809.0</v>
      </c>
      <c r="N76" s="39" t="s">
        <v>141</v>
      </c>
      <c r="O76" s="39" t="s">
        <v>173</v>
      </c>
      <c r="P76" s="43"/>
      <c r="Q76" s="39" t="s">
        <v>1304</v>
      </c>
      <c r="R76" s="42">
        <v>45292.0</v>
      </c>
      <c r="S76" s="39" t="s">
        <v>143</v>
      </c>
      <c r="T76" s="44"/>
      <c r="U76" s="39" t="s">
        <v>144</v>
      </c>
      <c r="V76" s="39" t="s">
        <v>89</v>
      </c>
      <c r="W76" s="43"/>
      <c r="X76" s="39" t="s">
        <v>1514</v>
      </c>
      <c r="Y76" s="47">
        <v>41174.0</v>
      </c>
      <c r="Z76" s="39" t="s">
        <v>114</v>
      </c>
      <c r="AA76" s="45">
        <v>50407.0</v>
      </c>
      <c r="AB76" s="46"/>
      <c r="AC76" s="23">
        <v>70.0</v>
      </c>
      <c r="AD76" s="39" t="s">
        <v>66</v>
      </c>
      <c r="AE76" s="39" t="s">
        <v>67</v>
      </c>
      <c r="AF76" s="39" t="s">
        <v>92</v>
      </c>
      <c r="AG76" s="39" t="s">
        <v>130</v>
      </c>
      <c r="AH76" s="39" t="s">
        <v>131</v>
      </c>
      <c r="AI76" s="39">
        <v>8.139733198E10</v>
      </c>
      <c r="AJ76" s="43"/>
      <c r="AK76" s="39" t="s">
        <v>1515</v>
      </c>
      <c r="AL76" s="39" t="s">
        <v>1516</v>
      </c>
      <c r="AM76" s="39" t="s">
        <v>96</v>
      </c>
      <c r="AN76" s="39" t="s">
        <v>97</v>
      </c>
      <c r="AO76" s="39" t="s">
        <v>379</v>
      </c>
      <c r="AP76" s="39" t="s">
        <v>1517</v>
      </c>
      <c r="AQ76" s="43"/>
      <c r="AR76" s="43"/>
    </row>
    <row r="77">
      <c r="A77" s="21">
        <f t="shared" si="2"/>
        <v>70</v>
      </c>
      <c r="B77" s="39" t="s">
        <v>1518</v>
      </c>
      <c r="C77" s="57" t="s">
        <v>1519</v>
      </c>
      <c r="D77" s="39">
        <v>18.0</v>
      </c>
      <c r="E77" s="39">
        <v>5.0</v>
      </c>
      <c r="F77" s="39" t="s">
        <v>171</v>
      </c>
      <c r="G77" s="39" t="s">
        <v>172</v>
      </c>
      <c r="H77" s="42">
        <v>40179.0</v>
      </c>
      <c r="I77" s="39" t="s">
        <v>82</v>
      </c>
      <c r="J77" s="39" t="s">
        <v>83</v>
      </c>
      <c r="K77" s="39" t="s">
        <v>140</v>
      </c>
      <c r="L77" s="39" t="s">
        <v>105</v>
      </c>
      <c r="M77" s="42">
        <v>45809.0</v>
      </c>
      <c r="N77" s="39" t="s">
        <v>141</v>
      </c>
      <c r="O77" s="39" t="s">
        <v>173</v>
      </c>
      <c r="P77" s="43"/>
      <c r="Q77" s="39" t="s">
        <v>1304</v>
      </c>
      <c r="R77" s="42">
        <v>45292.0</v>
      </c>
      <c r="S77" s="39" t="s">
        <v>143</v>
      </c>
      <c r="T77" s="44"/>
      <c r="U77" s="39" t="s">
        <v>144</v>
      </c>
      <c r="V77" s="39" t="s">
        <v>89</v>
      </c>
      <c r="W77" s="39" t="s">
        <v>1520</v>
      </c>
      <c r="X77" s="39" t="s">
        <v>1521</v>
      </c>
      <c r="Y77" s="39" t="s">
        <v>1522</v>
      </c>
      <c r="Z77" s="39" t="s">
        <v>114</v>
      </c>
      <c r="AA77" s="45">
        <v>50771.0</v>
      </c>
      <c r="AB77" s="46"/>
      <c r="AC77" s="23">
        <v>71.0</v>
      </c>
      <c r="AD77" s="39" t="s">
        <v>66</v>
      </c>
      <c r="AE77" s="39" t="s">
        <v>220</v>
      </c>
      <c r="AF77" s="39" t="s">
        <v>92</v>
      </c>
      <c r="AG77" s="39" t="s">
        <v>68</v>
      </c>
      <c r="AH77" s="39" t="s">
        <v>131</v>
      </c>
      <c r="AI77" s="39">
        <v>8.2162464946E10</v>
      </c>
      <c r="AJ77" s="39" t="s">
        <v>1523</v>
      </c>
      <c r="AK77" s="39" t="s">
        <v>1524</v>
      </c>
      <c r="AL77" s="39" t="s">
        <v>1525</v>
      </c>
      <c r="AM77" s="39" t="s">
        <v>96</v>
      </c>
      <c r="AN77" s="39" t="s">
        <v>74</v>
      </c>
      <c r="AO77" s="39" t="s">
        <v>75</v>
      </c>
      <c r="AP77" s="39" t="s">
        <v>315</v>
      </c>
      <c r="AQ77" s="43"/>
      <c r="AR77" s="43"/>
    </row>
    <row r="78">
      <c r="A78" s="21">
        <f t="shared" si="2"/>
        <v>71</v>
      </c>
      <c r="B78" s="39" t="s">
        <v>1526</v>
      </c>
      <c r="C78" s="57" t="s">
        <v>1527</v>
      </c>
      <c r="D78" s="39">
        <v>18.0</v>
      </c>
      <c r="E78" s="39">
        <v>3.0</v>
      </c>
      <c r="F78" s="39" t="s">
        <v>50</v>
      </c>
      <c r="G78" s="39" t="s">
        <v>51</v>
      </c>
      <c r="H78" s="42">
        <v>40179.0</v>
      </c>
      <c r="I78" s="39" t="s">
        <v>102</v>
      </c>
      <c r="J78" s="39" t="s">
        <v>103</v>
      </c>
      <c r="K78" s="39" t="s">
        <v>228</v>
      </c>
      <c r="L78" s="39" t="s">
        <v>105</v>
      </c>
      <c r="M78" s="42">
        <v>44652.0</v>
      </c>
      <c r="N78" s="39" t="s">
        <v>141</v>
      </c>
      <c r="O78" s="39" t="s">
        <v>173</v>
      </c>
      <c r="P78" s="43"/>
      <c r="Q78" s="39" t="s">
        <v>1304</v>
      </c>
      <c r="R78" s="42">
        <v>45292.0</v>
      </c>
      <c r="S78" s="39" t="s">
        <v>143</v>
      </c>
      <c r="T78" s="44"/>
      <c r="U78" s="39" t="s">
        <v>144</v>
      </c>
      <c r="V78" s="39" t="s">
        <v>89</v>
      </c>
      <c r="W78" s="43"/>
      <c r="X78" s="39" t="s">
        <v>1528</v>
      </c>
      <c r="Y78" s="39" t="s">
        <v>1529</v>
      </c>
      <c r="Z78" s="46"/>
      <c r="AA78" s="45">
        <v>51503.0</v>
      </c>
      <c r="AB78" s="46"/>
      <c r="AC78" s="23">
        <v>72.0</v>
      </c>
      <c r="AD78" s="39" t="s">
        <v>66</v>
      </c>
      <c r="AE78" s="39" t="s">
        <v>67</v>
      </c>
      <c r="AF78" s="39" t="s">
        <v>92</v>
      </c>
      <c r="AG78" s="39" t="s">
        <v>68</v>
      </c>
      <c r="AH78" s="39" t="s">
        <v>69</v>
      </c>
      <c r="AI78" s="39">
        <v>8.116482002E9</v>
      </c>
      <c r="AJ78" s="39" t="s">
        <v>1530</v>
      </c>
      <c r="AK78" s="39" t="s">
        <v>1531</v>
      </c>
      <c r="AL78" s="39" t="s">
        <v>1532</v>
      </c>
      <c r="AM78" s="39" t="s">
        <v>96</v>
      </c>
      <c r="AN78" s="39" t="s">
        <v>97</v>
      </c>
      <c r="AO78" s="39" t="s">
        <v>425</v>
      </c>
      <c r="AP78" s="39" t="s">
        <v>1533</v>
      </c>
      <c r="AQ78" s="43"/>
      <c r="AR78" s="43"/>
    </row>
    <row r="79">
      <c r="A79" s="21">
        <f t="shared" si="2"/>
        <v>72</v>
      </c>
      <c r="B79" s="39" t="s">
        <v>1534</v>
      </c>
      <c r="C79" s="57" t="s">
        <v>1535</v>
      </c>
      <c r="D79" s="39">
        <v>18.0</v>
      </c>
      <c r="E79" s="39">
        <v>10.0</v>
      </c>
      <c r="F79" s="39" t="s">
        <v>50</v>
      </c>
      <c r="G79" s="39" t="s">
        <v>51</v>
      </c>
      <c r="H79" s="42">
        <v>38808.0</v>
      </c>
      <c r="I79" s="39" t="s">
        <v>102</v>
      </c>
      <c r="J79" s="39" t="s">
        <v>103</v>
      </c>
      <c r="K79" s="39" t="s">
        <v>104</v>
      </c>
      <c r="L79" s="39" t="s">
        <v>105</v>
      </c>
      <c r="M79" s="42">
        <v>45017.0</v>
      </c>
      <c r="N79" s="39" t="s">
        <v>141</v>
      </c>
      <c r="O79" s="39" t="s">
        <v>173</v>
      </c>
      <c r="P79" s="43"/>
      <c r="Q79" s="39" t="s">
        <v>1304</v>
      </c>
      <c r="R79" s="42">
        <v>45292.0</v>
      </c>
      <c r="S79" s="39" t="s">
        <v>143</v>
      </c>
      <c r="T79" s="44"/>
      <c r="U79" s="39" t="s">
        <v>144</v>
      </c>
      <c r="V79" s="39" t="s">
        <v>159</v>
      </c>
      <c r="W79" s="39" t="s">
        <v>259</v>
      </c>
      <c r="X79" s="39" t="s">
        <v>745</v>
      </c>
      <c r="Y79" s="47">
        <v>43008.0</v>
      </c>
      <c r="Z79" s="39" t="s">
        <v>114</v>
      </c>
      <c r="AA79" s="45">
        <v>47855.0</v>
      </c>
      <c r="AB79" s="46"/>
      <c r="AC79" s="23">
        <v>73.0</v>
      </c>
      <c r="AD79" s="39" t="s">
        <v>66</v>
      </c>
      <c r="AE79" s="39" t="s">
        <v>67</v>
      </c>
      <c r="AF79" s="39" t="s">
        <v>92</v>
      </c>
      <c r="AG79" s="39" t="s">
        <v>68</v>
      </c>
      <c r="AH79" s="39" t="s">
        <v>246</v>
      </c>
      <c r="AI79" s="39">
        <v>8.5358808803E10</v>
      </c>
      <c r="AJ79" s="39" t="s">
        <v>1536</v>
      </c>
      <c r="AK79" s="39" t="s">
        <v>1537</v>
      </c>
      <c r="AL79" s="39" t="s">
        <v>1538</v>
      </c>
      <c r="AM79" s="39" t="s">
        <v>96</v>
      </c>
      <c r="AN79" s="39" t="s">
        <v>150</v>
      </c>
      <c r="AO79" s="39" t="s">
        <v>281</v>
      </c>
      <c r="AP79" s="39" t="s">
        <v>1539</v>
      </c>
      <c r="AQ79" s="39">
        <v>5.0</v>
      </c>
      <c r="AR79" s="39">
        <v>3.0</v>
      </c>
    </row>
    <row r="80">
      <c r="A80" s="21">
        <f t="shared" si="2"/>
        <v>73</v>
      </c>
      <c r="B80" s="39" t="s">
        <v>1540</v>
      </c>
      <c r="C80" s="57" t="s">
        <v>1541</v>
      </c>
      <c r="D80" s="39">
        <v>13.0</v>
      </c>
      <c r="E80" s="39">
        <v>0.0</v>
      </c>
      <c r="F80" s="39" t="s">
        <v>171</v>
      </c>
      <c r="G80" s="39" t="s">
        <v>172</v>
      </c>
      <c r="H80" s="42">
        <v>41091.0</v>
      </c>
      <c r="I80" s="39" t="s">
        <v>102</v>
      </c>
      <c r="J80" s="39" t="s">
        <v>103</v>
      </c>
      <c r="K80" s="39" t="s">
        <v>195</v>
      </c>
      <c r="L80" s="39" t="s">
        <v>105</v>
      </c>
      <c r="M80" s="42">
        <v>44835.0</v>
      </c>
      <c r="N80" s="39" t="s">
        <v>141</v>
      </c>
      <c r="O80" s="39" t="s">
        <v>173</v>
      </c>
      <c r="P80" s="43"/>
      <c r="Q80" s="39" t="s">
        <v>1304</v>
      </c>
      <c r="R80" s="42">
        <v>45292.0</v>
      </c>
      <c r="S80" s="39" t="s">
        <v>143</v>
      </c>
      <c r="T80" s="44"/>
      <c r="U80" s="39" t="s">
        <v>144</v>
      </c>
      <c r="V80" s="39" t="s">
        <v>159</v>
      </c>
      <c r="W80" s="39" t="s">
        <v>230</v>
      </c>
      <c r="X80" s="39" t="s">
        <v>231</v>
      </c>
      <c r="Y80" s="47">
        <v>43054.0</v>
      </c>
      <c r="Z80" s="46"/>
      <c r="AA80" s="45">
        <v>50782.0</v>
      </c>
      <c r="AB80" s="46"/>
      <c r="AC80" s="23">
        <v>74.0</v>
      </c>
      <c r="AD80" s="39" t="s">
        <v>66</v>
      </c>
      <c r="AE80" s="39" t="s">
        <v>67</v>
      </c>
      <c r="AF80" s="39" t="s">
        <v>421</v>
      </c>
      <c r="AG80" s="39" t="s">
        <v>130</v>
      </c>
      <c r="AH80" s="39" t="s">
        <v>131</v>
      </c>
      <c r="AI80" s="39">
        <v>8.2162924404E10</v>
      </c>
      <c r="AJ80" s="39" t="s">
        <v>1542</v>
      </c>
      <c r="AK80" s="39" t="s">
        <v>1543</v>
      </c>
      <c r="AL80" s="39" t="s">
        <v>1544</v>
      </c>
      <c r="AM80" s="39" t="s">
        <v>96</v>
      </c>
      <c r="AN80" s="43"/>
      <c r="AO80" s="39" t="s">
        <v>1511</v>
      </c>
      <c r="AP80" s="39" t="s">
        <v>1145</v>
      </c>
      <c r="AQ80" s="43"/>
      <c r="AR80" s="43"/>
    </row>
    <row r="81">
      <c r="A81" s="21">
        <f t="shared" si="2"/>
        <v>74</v>
      </c>
      <c r="B81" s="39" t="s">
        <v>1545</v>
      </c>
      <c r="C81" s="57" t="s">
        <v>1546</v>
      </c>
      <c r="D81" s="39">
        <v>18.0</v>
      </c>
      <c r="E81" s="39">
        <v>7.0</v>
      </c>
      <c r="F81" s="39" t="s">
        <v>171</v>
      </c>
      <c r="G81" s="39" t="s">
        <v>172</v>
      </c>
      <c r="H81" s="42">
        <v>40179.0</v>
      </c>
      <c r="I81" s="39" t="s">
        <v>82</v>
      </c>
      <c r="J81" s="39" t="s">
        <v>83</v>
      </c>
      <c r="K81" s="39" t="s">
        <v>140</v>
      </c>
      <c r="L81" s="39" t="s">
        <v>105</v>
      </c>
      <c r="M81" s="42">
        <v>45809.0</v>
      </c>
      <c r="N81" s="39" t="s">
        <v>141</v>
      </c>
      <c r="O81" s="39" t="s">
        <v>173</v>
      </c>
      <c r="P81" s="43"/>
      <c r="Q81" s="39" t="s">
        <v>1297</v>
      </c>
      <c r="R81" s="42">
        <v>45292.0</v>
      </c>
      <c r="S81" s="39" t="s">
        <v>143</v>
      </c>
      <c r="T81" s="44"/>
      <c r="U81" s="39" t="s">
        <v>144</v>
      </c>
      <c r="V81" s="39" t="s">
        <v>89</v>
      </c>
      <c r="W81" s="39" t="s">
        <v>90</v>
      </c>
      <c r="X81" s="39" t="s">
        <v>1329</v>
      </c>
      <c r="Y81" s="39" t="s">
        <v>1547</v>
      </c>
      <c r="Z81" s="39" t="s">
        <v>114</v>
      </c>
      <c r="AA81" s="45">
        <v>50411.0</v>
      </c>
      <c r="AB81" s="46"/>
      <c r="AC81" s="23">
        <v>75.0</v>
      </c>
      <c r="AD81" s="39" t="s">
        <v>66</v>
      </c>
      <c r="AE81" s="39" t="s">
        <v>67</v>
      </c>
      <c r="AF81" s="39" t="s">
        <v>92</v>
      </c>
      <c r="AG81" s="39" t="s">
        <v>130</v>
      </c>
      <c r="AH81" s="39" t="s">
        <v>246</v>
      </c>
      <c r="AI81" s="39">
        <v>8.116000359E9</v>
      </c>
      <c r="AJ81" s="39" t="s">
        <v>1548</v>
      </c>
      <c r="AK81" s="39" t="s">
        <v>1549</v>
      </c>
      <c r="AL81" s="39" t="s">
        <v>1550</v>
      </c>
      <c r="AM81" s="39" t="s">
        <v>96</v>
      </c>
      <c r="AN81" s="39" t="s">
        <v>135</v>
      </c>
      <c r="AO81" s="39" t="s">
        <v>236</v>
      </c>
      <c r="AP81" s="39" t="s">
        <v>237</v>
      </c>
      <c r="AQ81" s="43"/>
      <c r="AR81" s="43"/>
    </row>
    <row r="82">
      <c r="A82" s="21">
        <f t="shared" si="2"/>
        <v>75</v>
      </c>
      <c r="B82" s="39" t="s">
        <v>1551</v>
      </c>
      <c r="C82" s="57" t="s">
        <v>1552</v>
      </c>
      <c r="D82" s="39">
        <v>10.0</v>
      </c>
      <c r="E82" s="39">
        <v>3.0</v>
      </c>
      <c r="F82" s="39" t="s">
        <v>171</v>
      </c>
      <c r="G82" s="39" t="s">
        <v>172</v>
      </c>
      <c r="H82" s="42">
        <v>40179.0</v>
      </c>
      <c r="I82" s="39" t="s">
        <v>102</v>
      </c>
      <c r="J82" s="39" t="s">
        <v>103</v>
      </c>
      <c r="K82" s="39" t="s">
        <v>228</v>
      </c>
      <c r="L82" s="39" t="s">
        <v>105</v>
      </c>
      <c r="M82" s="42">
        <v>44652.0</v>
      </c>
      <c r="N82" s="39" t="s">
        <v>141</v>
      </c>
      <c r="O82" s="39" t="s">
        <v>173</v>
      </c>
      <c r="P82" s="43"/>
      <c r="Q82" s="39" t="s">
        <v>1297</v>
      </c>
      <c r="R82" s="42">
        <v>45292.0</v>
      </c>
      <c r="S82" s="39" t="s">
        <v>143</v>
      </c>
      <c r="T82" s="44"/>
      <c r="U82" s="39" t="s">
        <v>144</v>
      </c>
      <c r="V82" s="39" t="s">
        <v>89</v>
      </c>
      <c r="W82" s="39" t="s">
        <v>218</v>
      </c>
      <c r="X82" s="39" t="s">
        <v>1553</v>
      </c>
      <c r="Y82" s="39" t="s">
        <v>1554</v>
      </c>
      <c r="Z82" s="39" t="s">
        <v>114</v>
      </c>
      <c r="AA82" s="45">
        <v>52607.0</v>
      </c>
      <c r="AB82" s="46"/>
      <c r="AC82" s="23">
        <v>76.0</v>
      </c>
      <c r="AD82" s="39" t="s">
        <v>66</v>
      </c>
      <c r="AE82" s="39" t="s">
        <v>67</v>
      </c>
      <c r="AF82" s="39" t="s">
        <v>92</v>
      </c>
      <c r="AG82" s="39" t="s">
        <v>130</v>
      </c>
      <c r="AH82" s="39" t="s">
        <v>131</v>
      </c>
      <c r="AI82" s="39">
        <v>8.116299007E9</v>
      </c>
      <c r="AJ82" s="39" t="s">
        <v>1555</v>
      </c>
      <c r="AK82" s="39" t="s">
        <v>1556</v>
      </c>
      <c r="AL82" s="39" t="s">
        <v>1557</v>
      </c>
      <c r="AM82" s="39" t="s">
        <v>73</v>
      </c>
      <c r="AN82" s="39" t="s">
        <v>74</v>
      </c>
      <c r="AO82" s="39" t="s">
        <v>191</v>
      </c>
      <c r="AP82" s="39" t="s">
        <v>1558</v>
      </c>
      <c r="AQ82" s="43"/>
      <c r="AR82" s="43"/>
    </row>
    <row r="83">
      <c r="A83" s="21">
        <f t="shared" si="2"/>
        <v>76</v>
      </c>
      <c r="B83" s="39" t="s">
        <v>1559</v>
      </c>
      <c r="C83" s="57" t="s">
        <v>1560</v>
      </c>
      <c r="D83" s="39">
        <v>8.0</v>
      </c>
      <c r="E83" s="39">
        <v>9.0</v>
      </c>
      <c r="F83" s="39" t="s">
        <v>50</v>
      </c>
      <c r="G83" s="39" t="s">
        <v>51</v>
      </c>
      <c r="H83" s="42">
        <v>40179.0</v>
      </c>
      <c r="I83" s="39" t="s">
        <v>102</v>
      </c>
      <c r="J83" s="39" t="s">
        <v>103</v>
      </c>
      <c r="K83" s="39" t="s">
        <v>1561</v>
      </c>
      <c r="L83" s="39" t="s">
        <v>105</v>
      </c>
      <c r="M83" s="42">
        <v>45200.0</v>
      </c>
      <c r="N83" s="39" t="s">
        <v>141</v>
      </c>
      <c r="O83" s="39" t="s">
        <v>173</v>
      </c>
      <c r="P83" s="43"/>
      <c r="Q83" s="39" t="s">
        <v>1316</v>
      </c>
      <c r="R83" s="42">
        <v>45292.0</v>
      </c>
      <c r="S83" s="39" t="s">
        <v>143</v>
      </c>
      <c r="T83" s="44"/>
      <c r="U83" s="39" t="s">
        <v>144</v>
      </c>
      <c r="V83" s="39" t="s">
        <v>89</v>
      </c>
      <c r="W83" s="39" t="s">
        <v>1562</v>
      </c>
      <c r="X83" s="39" t="s">
        <v>1329</v>
      </c>
      <c r="Y83" s="39" t="s">
        <v>1563</v>
      </c>
      <c r="Z83" s="39" t="s">
        <v>114</v>
      </c>
      <c r="AA83" s="45">
        <v>53701.0</v>
      </c>
      <c r="AB83" s="46"/>
      <c r="AC83" s="23">
        <v>77.0</v>
      </c>
      <c r="AD83" s="39" t="s">
        <v>66</v>
      </c>
      <c r="AE83" s="39" t="s">
        <v>67</v>
      </c>
      <c r="AF83" s="43"/>
      <c r="AG83" s="39" t="s">
        <v>130</v>
      </c>
      <c r="AH83" s="39" t="s">
        <v>69</v>
      </c>
      <c r="AI83" s="39">
        <v>8.126353734E10</v>
      </c>
      <c r="AJ83" s="39" t="s">
        <v>1564</v>
      </c>
      <c r="AK83" s="39" t="s">
        <v>1565</v>
      </c>
      <c r="AL83" s="39" t="s">
        <v>1566</v>
      </c>
      <c r="AM83" s="39" t="s">
        <v>96</v>
      </c>
      <c r="AN83" s="39" t="s">
        <v>74</v>
      </c>
      <c r="AO83" s="39" t="s">
        <v>454</v>
      </c>
      <c r="AP83" s="39" t="s">
        <v>1567</v>
      </c>
      <c r="AQ83" s="43"/>
      <c r="AR83" s="43"/>
    </row>
    <row r="84">
      <c r="A84" s="21">
        <f t="shared" si="2"/>
        <v>77</v>
      </c>
      <c r="B84" s="39" t="s">
        <v>1568</v>
      </c>
      <c r="C84" s="57" t="s">
        <v>1569</v>
      </c>
      <c r="D84" s="39">
        <v>15.0</v>
      </c>
      <c r="E84" s="39">
        <v>1.0</v>
      </c>
      <c r="F84" s="39" t="s">
        <v>50</v>
      </c>
      <c r="G84" s="39" t="s">
        <v>51</v>
      </c>
      <c r="H84" s="42">
        <v>32933.0</v>
      </c>
      <c r="I84" s="39" t="s">
        <v>182</v>
      </c>
      <c r="J84" s="39" t="s">
        <v>183</v>
      </c>
      <c r="K84" s="39" t="s">
        <v>318</v>
      </c>
      <c r="L84" s="39" t="s">
        <v>1314</v>
      </c>
      <c r="M84" s="42">
        <v>40269.0</v>
      </c>
      <c r="N84" s="39" t="s">
        <v>141</v>
      </c>
      <c r="O84" s="39" t="s">
        <v>196</v>
      </c>
      <c r="P84" s="43"/>
      <c r="Q84" s="39" t="s">
        <v>1304</v>
      </c>
      <c r="R84" s="42">
        <v>45292.0</v>
      </c>
      <c r="S84" s="39" t="s">
        <v>143</v>
      </c>
      <c r="T84" s="44"/>
      <c r="U84" s="39" t="s">
        <v>144</v>
      </c>
      <c r="V84" s="39" t="s">
        <v>285</v>
      </c>
      <c r="W84" s="39" t="s">
        <v>1570</v>
      </c>
      <c r="X84" s="39" t="s">
        <v>1571</v>
      </c>
      <c r="Y84" s="39" t="s">
        <v>1572</v>
      </c>
      <c r="Z84" s="46"/>
      <c r="AA84" s="45">
        <v>46757.0</v>
      </c>
      <c r="AB84" s="46"/>
      <c r="AC84" s="23">
        <v>78.0</v>
      </c>
      <c r="AD84" s="39" t="s">
        <v>66</v>
      </c>
      <c r="AE84" s="39" t="s">
        <v>67</v>
      </c>
      <c r="AF84" s="39" t="s">
        <v>92</v>
      </c>
      <c r="AG84" s="39" t="s">
        <v>130</v>
      </c>
      <c r="AH84" s="39" t="s">
        <v>69</v>
      </c>
      <c r="AI84" s="39">
        <v>8.126373401E9</v>
      </c>
      <c r="AJ84" s="39" t="s">
        <v>1573</v>
      </c>
      <c r="AK84" s="39" t="s">
        <v>1574</v>
      </c>
      <c r="AL84" s="39" t="s">
        <v>1575</v>
      </c>
      <c r="AM84" s="39" t="s">
        <v>96</v>
      </c>
      <c r="AN84" s="43"/>
      <c r="AO84" s="39" t="s">
        <v>1576</v>
      </c>
      <c r="AP84" s="39" t="s">
        <v>1577</v>
      </c>
      <c r="AQ84" s="43"/>
      <c r="AR84" s="43"/>
    </row>
    <row r="85">
      <c r="A85" s="21">
        <f t="shared" si="2"/>
        <v>78</v>
      </c>
      <c r="B85" s="39" t="s">
        <v>1578</v>
      </c>
      <c r="C85" s="57" t="s">
        <v>1579</v>
      </c>
      <c r="D85" s="39">
        <v>16.0</v>
      </c>
      <c r="E85" s="39">
        <v>1.0</v>
      </c>
      <c r="F85" s="39" t="s">
        <v>50</v>
      </c>
      <c r="G85" s="39" t="s">
        <v>51</v>
      </c>
      <c r="H85" s="42">
        <v>33664.0</v>
      </c>
      <c r="I85" s="39" t="s">
        <v>182</v>
      </c>
      <c r="J85" s="39" t="s">
        <v>183</v>
      </c>
      <c r="K85" s="39" t="s">
        <v>1580</v>
      </c>
      <c r="L85" s="39" t="s">
        <v>1314</v>
      </c>
      <c r="M85" s="42">
        <v>41365.0</v>
      </c>
      <c r="N85" s="39" t="s">
        <v>141</v>
      </c>
      <c r="O85" s="39" t="s">
        <v>196</v>
      </c>
      <c r="P85" s="43"/>
      <c r="Q85" s="39" t="s">
        <v>1304</v>
      </c>
      <c r="R85" s="42">
        <v>45292.0</v>
      </c>
      <c r="S85" s="39" t="s">
        <v>143</v>
      </c>
      <c r="T85" s="44"/>
      <c r="U85" s="39" t="s">
        <v>144</v>
      </c>
      <c r="V85" s="39" t="s">
        <v>285</v>
      </c>
      <c r="W85" s="43"/>
      <c r="X85" s="39" t="s">
        <v>1581</v>
      </c>
      <c r="Y85" s="39" t="s">
        <v>477</v>
      </c>
      <c r="Z85" s="39" t="s">
        <v>114</v>
      </c>
      <c r="AA85" s="45">
        <v>46763.0</v>
      </c>
      <c r="AB85" s="46"/>
      <c r="AC85" s="23">
        <v>79.0</v>
      </c>
      <c r="AD85" s="39" t="s">
        <v>66</v>
      </c>
      <c r="AE85" s="39" t="s">
        <v>67</v>
      </c>
      <c r="AF85" s="43"/>
      <c r="AG85" s="39" t="s">
        <v>130</v>
      </c>
      <c r="AH85" s="43"/>
      <c r="AI85" s="39">
        <v>8.1269908722E10</v>
      </c>
      <c r="AJ85" s="39" t="s">
        <v>1582</v>
      </c>
      <c r="AK85" s="39" t="s">
        <v>1583</v>
      </c>
      <c r="AL85" s="39" t="s">
        <v>1584</v>
      </c>
      <c r="AM85" s="39" t="s">
        <v>96</v>
      </c>
      <c r="AN85" s="39" t="s">
        <v>481</v>
      </c>
      <c r="AO85" s="39" t="s">
        <v>989</v>
      </c>
      <c r="AP85" s="39" t="s">
        <v>1585</v>
      </c>
      <c r="AQ85" s="39" t="s">
        <v>77</v>
      </c>
      <c r="AR85" s="39" t="s">
        <v>77</v>
      </c>
    </row>
    <row r="86">
      <c r="A86" s="21">
        <f t="shared" si="2"/>
        <v>79</v>
      </c>
      <c r="B86" s="39" t="s">
        <v>1586</v>
      </c>
      <c r="C86" s="57" t="s">
        <v>1587</v>
      </c>
      <c r="D86" s="39">
        <v>15.0</v>
      </c>
      <c r="E86" s="39">
        <v>1.0</v>
      </c>
      <c r="F86" s="39" t="s">
        <v>50</v>
      </c>
      <c r="G86" s="39" t="s">
        <v>51</v>
      </c>
      <c r="H86" s="42">
        <v>35855.0</v>
      </c>
      <c r="I86" s="39" t="s">
        <v>182</v>
      </c>
      <c r="J86" s="39" t="s">
        <v>183</v>
      </c>
      <c r="K86" s="39" t="s">
        <v>1588</v>
      </c>
      <c r="L86" s="39" t="s">
        <v>61</v>
      </c>
      <c r="M86" s="42">
        <v>43191.0</v>
      </c>
      <c r="N86" s="39" t="s">
        <v>141</v>
      </c>
      <c r="O86" s="39" t="s">
        <v>196</v>
      </c>
      <c r="P86" s="43"/>
      <c r="Q86" s="39" t="s">
        <v>1304</v>
      </c>
      <c r="R86" s="42">
        <v>45292.0</v>
      </c>
      <c r="S86" s="39" t="s">
        <v>143</v>
      </c>
      <c r="T86" s="44"/>
      <c r="U86" s="39" t="s">
        <v>144</v>
      </c>
      <c r="V86" s="39" t="s">
        <v>285</v>
      </c>
      <c r="W86" s="43"/>
      <c r="X86" s="39" t="s">
        <v>1589</v>
      </c>
      <c r="Y86" s="39" t="s">
        <v>1590</v>
      </c>
      <c r="Z86" s="39" t="s">
        <v>114</v>
      </c>
      <c r="AA86" s="45">
        <v>49678.0</v>
      </c>
      <c r="AB86" s="46"/>
      <c r="AC86" s="23">
        <v>80.0</v>
      </c>
      <c r="AD86" s="39" t="s">
        <v>66</v>
      </c>
      <c r="AE86" s="39" t="s">
        <v>67</v>
      </c>
      <c r="AF86" s="39" t="s">
        <v>92</v>
      </c>
      <c r="AG86" s="39" t="s">
        <v>130</v>
      </c>
      <c r="AH86" s="39" t="s">
        <v>69</v>
      </c>
      <c r="AI86" s="39">
        <v>8.126026046E9</v>
      </c>
      <c r="AJ86" s="39" t="s">
        <v>1591</v>
      </c>
      <c r="AK86" s="39" t="s">
        <v>1592</v>
      </c>
      <c r="AL86" s="39" t="s">
        <v>1593</v>
      </c>
      <c r="AM86" s="39" t="s">
        <v>96</v>
      </c>
      <c r="AN86" s="39" t="s">
        <v>74</v>
      </c>
      <c r="AO86" s="39" t="s">
        <v>203</v>
      </c>
      <c r="AP86" s="39" t="s">
        <v>204</v>
      </c>
      <c r="AQ86" s="39">
        <v>10.0</v>
      </c>
      <c r="AR86" s="39">
        <v>4.0</v>
      </c>
    </row>
    <row r="87">
      <c r="A87" s="21">
        <f t="shared" si="2"/>
        <v>80</v>
      </c>
      <c r="B87" s="39" t="s">
        <v>1594</v>
      </c>
      <c r="C87" s="57" t="s">
        <v>1595</v>
      </c>
      <c r="D87" s="39">
        <v>17.0</v>
      </c>
      <c r="E87" s="39">
        <v>1.0</v>
      </c>
      <c r="F87" s="39" t="s">
        <v>50</v>
      </c>
      <c r="G87" s="39" t="s">
        <v>51</v>
      </c>
      <c r="H87" s="42">
        <v>37135.0</v>
      </c>
      <c r="I87" s="39" t="s">
        <v>182</v>
      </c>
      <c r="J87" s="39" t="s">
        <v>183</v>
      </c>
      <c r="K87" s="39" t="s">
        <v>155</v>
      </c>
      <c r="L87" s="39" t="s">
        <v>88</v>
      </c>
      <c r="M87" s="42">
        <v>44652.0</v>
      </c>
      <c r="N87" s="39" t="s">
        <v>141</v>
      </c>
      <c r="O87" s="39" t="s">
        <v>196</v>
      </c>
      <c r="P87" s="43"/>
      <c r="Q87" s="39" t="s">
        <v>1304</v>
      </c>
      <c r="R87" s="42">
        <v>45292.0</v>
      </c>
      <c r="S87" s="39" t="s">
        <v>143</v>
      </c>
      <c r="T87" s="44"/>
      <c r="U87" s="39" t="s">
        <v>144</v>
      </c>
      <c r="V87" s="39" t="s">
        <v>285</v>
      </c>
      <c r="W87" s="39" t="s">
        <v>1596</v>
      </c>
      <c r="X87" s="39" t="s">
        <v>1597</v>
      </c>
      <c r="Y87" s="39" t="s">
        <v>1598</v>
      </c>
      <c r="Z87" s="46"/>
      <c r="AA87" s="45">
        <v>48948.0</v>
      </c>
      <c r="AB87" s="46"/>
      <c r="AC87" s="23">
        <v>81.0</v>
      </c>
      <c r="AD87" s="39" t="s">
        <v>66</v>
      </c>
      <c r="AE87" s="39" t="s">
        <v>67</v>
      </c>
      <c r="AF87" s="39" t="s">
        <v>92</v>
      </c>
      <c r="AG87" s="39" t="s">
        <v>130</v>
      </c>
      <c r="AH87" s="39" t="s">
        <v>69</v>
      </c>
      <c r="AI87" s="39">
        <v>8.2164636463E10</v>
      </c>
      <c r="AJ87" s="39" t="s">
        <v>1599</v>
      </c>
      <c r="AK87" s="39" t="s">
        <v>1600</v>
      </c>
      <c r="AL87" s="39" t="s">
        <v>1601</v>
      </c>
      <c r="AM87" s="39" t="s">
        <v>73</v>
      </c>
      <c r="AN87" s="39" t="s">
        <v>74</v>
      </c>
      <c r="AO87" s="39" t="s">
        <v>1082</v>
      </c>
      <c r="AP87" s="39" t="s">
        <v>1602</v>
      </c>
      <c r="AQ87" s="43"/>
      <c r="AR87" s="43"/>
    </row>
    <row r="88">
      <c r="A88" s="21">
        <f t="shared" si="2"/>
        <v>81</v>
      </c>
      <c r="B88" s="39" t="s">
        <v>1603</v>
      </c>
      <c r="C88" s="57" t="s">
        <v>1604</v>
      </c>
      <c r="D88" s="39">
        <v>16.0</v>
      </c>
      <c r="E88" s="39">
        <v>4.0</v>
      </c>
      <c r="F88" s="39" t="s">
        <v>50</v>
      </c>
      <c r="G88" s="39" t="s">
        <v>51</v>
      </c>
      <c r="H88" s="42">
        <v>37591.0</v>
      </c>
      <c r="I88" s="39" t="s">
        <v>182</v>
      </c>
      <c r="J88" s="39" t="s">
        <v>183</v>
      </c>
      <c r="K88" s="39" t="s">
        <v>217</v>
      </c>
      <c r="L88" s="39" t="s">
        <v>105</v>
      </c>
      <c r="M88" s="42">
        <v>45383.0</v>
      </c>
      <c r="N88" s="39" t="s">
        <v>141</v>
      </c>
      <c r="O88" s="39" t="s">
        <v>196</v>
      </c>
      <c r="P88" s="43"/>
      <c r="Q88" s="39" t="s">
        <v>1304</v>
      </c>
      <c r="R88" s="42">
        <v>45292.0</v>
      </c>
      <c r="S88" s="39" t="s">
        <v>143</v>
      </c>
      <c r="T88" s="44"/>
      <c r="U88" s="39" t="s">
        <v>144</v>
      </c>
      <c r="V88" s="39" t="s">
        <v>285</v>
      </c>
      <c r="W88" s="39" t="s">
        <v>399</v>
      </c>
      <c r="X88" s="39" t="s">
        <v>1605</v>
      </c>
      <c r="Y88" s="39" t="s">
        <v>287</v>
      </c>
      <c r="Z88" s="46"/>
      <c r="AA88" s="45">
        <v>50415.0</v>
      </c>
      <c r="AB88" s="46"/>
      <c r="AC88" s="23">
        <v>82.0</v>
      </c>
      <c r="AD88" s="39" t="s">
        <v>66</v>
      </c>
      <c r="AE88" s="39" t="s">
        <v>67</v>
      </c>
      <c r="AF88" s="39" t="s">
        <v>92</v>
      </c>
      <c r="AG88" s="39" t="s">
        <v>68</v>
      </c>
      <c r="AH88" s="39" t="s">
        <v>131</v>
      </c>
      <c r="AI88" s="39">
        <v>8.126481989E9</v>
      </c>
      <c r="AJ88" s="39" t="s">
        <v>1606</v>
      </c>
      <c r="AK88" s="39" t="s">
        <v>1607</v>
      </c>
      <c r="AL88" s="39" t="s">
        <v>1608</v>
      </c>
      <c r="AM88" s="39" t="s">
        <v>96</v>
      </c>
      <c r="AN88" s="39" t="s">
        <v>97</v>
      </c>
      <c r="AO88" s="39" t="s">
        <v>213</v>
      </c>
      <c r="AP88" s="39" t="s">
        <v>1366</v>
      </c>
      <c r="AQ88" s="43"/>
      <c r="AR88" s="43"/>
    </row>
    <row r="89">
      <c r="A89" s="21">
        <f t="shared" si="2"/>
        <v>82</v>
      </c>
      <c r="B89" s="39" t="s">
        <v>1609</v>
      </c>
      <c r="C89" s="57" t="s">
        <v>1610</v>
      </c>
      <c r="D89" s="39">
        <v>12.0</v>
      </c>
      <c r="E89" s="39">
        <v>3.0</v>
      </c>
      <c r="F89" s="39" t="s">
        <v>171</v>
      </c>
      <c r="G89" s="39" t="s">
        <v>172</v>
      </c>
      <c r="H89" s="42">
        <v>40179.0</v>
      </c>
      <c r="I89" s="39" t="s">
        <v>182</v>
      </c>
      <c r="J89" s="39" t="s">
        <v>183</v>
      </c>
      <c r="K89" s="39" t="s">
        <v>217</v>
      </c>
      <c r="L89" s="39" t="s">
        <v>105</v>
      </c>
      <c r="M89" s="42">
        <v>45383.0</v>
      </c>
      <c r="N89" s="39" t="s">
        <v>141</v>
      </c>
      <c r="O89" s="39" t="s">
        <v>229</v>
      </c>
      <c r="P89" s="43"/>
      <c r="Q89" s="39" t="s">
        <v>1304</v>
      </c>
      <c r="R89" s="42">
        <v>45292.0</v>
      </c>
      <c r="S89" s="39" t="s">
        <v>143</v>
      </c>
      <c r="T89" s="44"/>
      <c r="U89" s="39" t="s">
        <v>144</v>
      </c>
      <c r="V89" s="39" t="s">
        <v>267</v>
      </c>
      <c r="W89" s="39" t="s">
        <v>1611</v>
      </c>
      <c r="X89" s="39" t="s">
        <v>509</v>
      </c>
      <c r="Y89" s="39" t="s">
        <v>1612</v>
      </c>
      <c r="Z89" s="39" t="s">
        <v>114</v>
      </c>
      <c r="AA89" s="45">
        <v>50782.0</v>
      </c>
      <c r="AB89" s="46"/>
      <c r="AC89" s="23">
        <v>83.0</v>
      </c>
      <c r="AD89" s="39" t="s">
        <v>66</v>
      </c>
      <c r="AE89" s="39" t="s">
        <v>67</v>
      </c>
      <c r="AF89" s="39" t="s">
        <v>92</v>
      </c>
      <c r="AG89" s="39" t="s">
        <v>130</v>
      </c>
      <c r="AH89" s="39" t="s">
        <v>69</v>
      </c>
      <c r="AI89" s="39">
        <v>8.2167143633E10</v>
      </c>
      <c r="AJ89" s="39" t="s">
        <v>1613</v>
      </c>
      <c r="AK89" s="39" t="s">
        <v>1614</v>
      </c>
      <c r="AL89" s="39" t="s">
        <v>1615</v>
      </c>
      <c r="AM89" s="39" t="s">
        <v>96</v>
      </c>
      <c r="AN89" s="39" t="s">
        <v>1616</v>
      </c>
      <c r="AO89" s="39" t="s">
        <v>1617</v>
      </c>
      <c r="AP89" s="39" t="s">
        <v>1618</v>
      </c>
      <c r="AQ89" s="39">
        <v>0.0</v>
      </c>
      <c r="AR89" s="39">
        <v>0.0</v>
      </c>
    </row>
    <row r="90">
      <c r="A90" s="21">
        <f t="shared" si="2"/>
        <v>83</v>
      </c>
      <c r="B90" s="39" t="s">
        <v>1619</v>
      </c>
      <c r="C90" s="57" t="s">
        <v>1620</v>
      </c>
      <c r="D90" s="39">
        <v>10.0</v>
      </c>
      <c r="E90" s="39">
        <v>9.0</v>
      </c>
      <c r="F90" s="39" t="s">
        <v>171</v>
      </c>
      <c r="G90" s="39" t="s">
        <v>172</v>
      </c>
      <c r="H90" s="42">
        <v>40179.0</v>
      </c>
      <c r="I90" s="39" t="s">
        <v>182</v>
      </c>
      <c r="J90" s="39" t="s">
        <v>183</v>
      </c>
      <c r="K90" s="39" t="s">
        <v>195</v>
      </c>
      <c r="L90" s="39" t="s">
        <v>105</v>
      </c>
      <c r="M90" s="42">
        <v>44835.0</v>
      </c>
      <c r="N90" s="39" t="s">
        <v>141</v>
      </c>
      <c r="O90" s="39" t="s">
        <v>173</v>
      </c>
      <c r="P90" s="43"/>
      <c r="Q90" s="39" t="s">
        <v>1297</v>
      </c>
      <c r="R90" s="42">
        <v>45292.0</v>
      </c>
      <c r="S90" s="39" t="s">
        <v>143</v>
      </c>
      <c r="T90" s="44"/>
      <c r="U90" s="39" t="s">
        <v>144</v>
      </c>
      <c r="V90" s="39" t="s">
        <v>89</v>
      </c>
      <c r="W90" s="39" t="s">
        <v>230</v>
      </c>
      <c r="X90" s="39" t="s">
        <v>745</v>
      </c>
      <c r="Y90" s="47">
        <v>44469.0</v>
      </c>
      <c r="Z90" s="46"/>
      <c r="AA90" s="45">
        <v>53331.0</v>
      </c>
      <c r="AB90" s="46"/>
      <c r="AC90" s="23">
        <v>84.0</v>
      </c>
      <c r="AD90" s="39" t="s">
        <v>66</v>
      </c>
      <c r="AE90" s="39" t="s">
        <v>67</v>
      </c>
      <c r="AF90" s="39" t="s">
        <v>92</v>
      </c>
      <c r="AG90" s="39" t="s">
        <v>68</v>
      </c>
      <c r="AH90" s="39" t="s">
        <v>69</v>
      </c>
      <c r="AI90" s="39">
        <v>8.52766052E10</v>
      </c>
      <c r="AJ90" s="39" t="s">
        <v>1621</v>
      </c>
      <c r="AK90" s="39" t="s">
        <v>1622</v>
      </c>
      <c r="AL90" s="39" t="s">
        <v>1623</v>
      </c>
      <c r="AM90" s="39" t="s">
        <v>96</v>
      </c>
      <c r="AN90" s="39" t="s">
        <v>97</v>
      </c>
      <c r="AO90" s="39" t="s">
        <v>272</v>
      </c>
      <c r="AP90" s="39" t="s">
        <v>334</v>
      </c>
      <c r="AQ90" s="43"/>
      <c r="AR90" s="43"/>
    </row>
    <row r="91">
      <c r="A91" s="21">
        <f t="shared" si="2"/>
        <v>84</v>
      </c>
      <c r="B91" s="39" t="s">
        <v>1624</v>
      </c>
      <c r="C91" s="57" t="s">
        <v>1625</v>
      </c>
      <c r="D91" s="39">
        <v>12.0</v>
      </c>
      <c r="E91" s="39">
        <v>7.0</v>
      </c>
      <c r="F91" s="39" t="s">
        <v>50</v>
      </c>
      <c r="G91" s="39" t="s">
        <v>51</v>
      </c>
      <c r="H91" s="42">
        <v>39965.0</v>
      </c>
      <c r="I91" s="39" t="s">
        <v>80</v>
      </c>
      <c r="J91" s="39" t="s">
        <v>81</v>
      </c>
      <c r="K91" s="39" t="s">
        <v>155</v>
      </c>
      <c r="L91" s="39" t="s">
        <v>105</v>
      </c>
      <c r="M91" s="42">
        <v>44652.0</v>
      </c>
      <c r="N91" s="39" t="s">
        <v>141</v>
      </c>
      <c r="O91" s="39" t="s">
        <v>173</v>
      </c>
      <c r="P91" s="43"/>
      <c r="Q91" s="39" t="s">
        <v>1304</v>
      </c>
      <c r="R91" s="42">
        <v>45292.0</v>
      </c>
      <c r="S91" s="39" t="s">
        <v>143</v>
      </c>
      <c r="T91" s="44"/>
      <c r="U91" s="39" t="s">
        <v>144</v>
      </c>
      <c r="V91" s="39" t="s">
        <v>89</v>
      </c>
      <c r="W91" s="39" t="s">
        <v>218</v>
      </c>
      <c r="X91" s="39" t="s">
        <v>244</v>
      </c>
      <c r="Y91" s="39" t="s">
        <v>1626</v>
      </c>
      <c r="Z91" s="46"/>
      <c r="AA91" s="45">
        <v>51876.0</v>
      </c>
      <c r="AB91" s="46"/>
      <c r="AC91" s="23">
        <v>85.0</v>
      </c>
      <c r="AD91" s="39" t="s">
        <v>66</v>
      </c>
      <c r="AE91" s="39" t="s">
        <v>67</v>
      </c>
      <c r="AF91" s="39" t="s">
        <v>92</v>
      </c>
      <c r="AG91" s="39" t="s">
        <v>68</v>
      </c>
      <c r="AH91" s="39" t="s">
        <v>69</v>
      </c>
      <c r="AI91" s="39">
        <v>8.12630545454E11</v>
      </c>
      <c r="AJ91" s="39" t="s">
        <v>1627</v>
      </c>
      <c r="AK91" s="39" t="s">
        <v>1628</v>
      </c>
      <c r="AL91" s="39" t="s">
        <v>1629</v>
      </c>
      <c r="AM91" s="39" t="s">
        <v>96</v>
      </c>
      <c r="AN91" s="43"/>
      <c r="AO91" s="39" t="s">
        <v>236</v>
      </c>
      <c r="AP91" s="39" t="s">
        <v>1630</v>
      </c>
      <c r="AQ91" s="43"/>
      <c r="AR91" s="43"/>
    </row>
    <row r="92">
      <c r="A92" s="21">
        <f t="shared" si="2"/>
        <v>85</v>
      </c>
      <c r="B92" s="39" t="s">
        <v>1631</v>
      </c>
      <c r="C92" s="57" t="s">
        <v>1632</v>
      </c>
      <c r="D92" s="39">
        <v>12.0</v>
      </c>
      <c r="E92" s="39">
        <v>2.0</v>
      </c>
      <c r="F92" s="39" t="s">
        <v>50</v>
      </c>
      <c r="G92" s="39" t="s">
        <v>51</v>
      </c>
      <c r="H92" s="42">
        <v>38384.0</v>
      </c>
      <c r="I92" s="39" t="s">
        <v>80</v>
      </c>
      <c r="J92" s="39" t="s">
        <v>81</v>
      </c>
      <c r="K92" s="39" t="s">
        <v>155</v>
      </c>
      <c r="L92" s="39" t="s">
        <v>88</v>
      </c>
      <c r="M92" s="42">
        <v>44652.0</v>
      </c>
      <c r="N92" s="39" t="s">
        <v>141</v>
      </c>
      <c r="O92" s="39" t="s">
        <v>173</v>
      </c>
      <c r="P92" s="43"/>
      <c r="Q92" s="39" t="s">
        <v>1297</v>
      </c>
      <c r="R92" s="42">
        <v>45292.0</v>
      </c>
      <c r="S92" s="39" t="s">
        <v>143</v>
      </c>
      <c r="T92" s="44"/>
      <c r="U92" s="39" t="s">
        <v>144</v>
      </c>
      <c r="V92" s="39" t="s">
        <v>89</v>
      </c>
      <c r="W92" s="39" t="s">
        <v>1633</v>
      </c>
      <c r="X92" s="39" t="s">
        <v>1010</v>
      </c>
      <c r="Y92" s="47">
        <v>43792.0</v>
      </c>
      <c r="Z92" s="46"/>
      <c r="AA92" s="45">
        <v>52602.0</v>
      </c>
      <c r="AB92" s="46"/>
      <c r="AC92" s="23">
        <v>86.0</v>
      </c>
      <c r="AD92" s="39" t="s">
        <v>66</v>
      </c>
      <c r="AE92" s="39" t="s">
        <v>67</v>
      </c>
      <c r="AF92" s="39" t="s">
        <v>92</v>
      </c>
      <c r="AG92" s="39" t="s">
        <v>68</v>
      </c>
      <c r="AH92" s="39" t="s">
        <v>131</v>
      </c>
      <c r="AI92" s="39">
        <v>8.2366544851E10</v>
      </c>
      <c r="AJ92" s="39" t="s">
        <v>1634</v>
      </c>
      <c r="AK92" s="39" t="s">
        <v>1635</v>
      </c>
      <c r="AL92" s="39" t="s">
        <v>1636</v>
      </c>
      <c r="AM92" s="39" t="s">
        <v>96</v>
      </c>
      <c r="AN92" s="39" t="s">
        <v>74</v>
      </c>
      <c r="AO92" s="39" t="s">
        <v>925</v>
      </c>
      <c r="AP92" s="39" t="s">
        <v>1637</v>
      </c>
      <c r="AQ92" s="43"/>
      <c r="AR92" s="43"/>
    </row>
    <row r="93">
      <c r="A93" s="21">
        <f t="shared" si="2"/>
        <v>86</v>
      </c>
      <c r="B93" s="39" t="s">
        <v>1638</v>
      </c>
      <c r="C93" s="57" t="s">
        <v>1639</v>
      </c>
      <c r="D93" s="39">
        <v>28.0</v>
      </c>
      <c r="E93" s="39">
        <v>8.0</v>
      </c>
      <c r="F93" s="39" t="s">
        <v>50</v>
      </c>
      <c r="G93" s="39" t="s">
        <v>51</v>
      </c>
      <c r="H93" s="42">
        <v>39083.0</v>
      </c>
      <c r="I93" s="39" t="s">
        <v>80</v>
      </c>
      <c r="J93" s="39" t="s">
        <v>81</v>
      </c>
      <c r="K93" s="39" t="s">
        <v>1640</v>
      </c>
      <c r="L93" s="39" t="s">
        <v>105</v>
      </c>
      <c r="M93" s="42">
        <v>45017.0</v>
      </c>
      <c r="N93" s="39" t="s">
        <v>141</v>
      </c>
      <c r="O93" s="39" t="s">
        <v>196</v>
      </c>
      <c r="P93" s="43"/>
      <c r="Q93" s="39" t="s">
        <v>1304</v>
      </c>
      <c r="R93" s="42">
        <v>45292.0</v>
      </c>
      <c r="S93" s="39" t="s">
        <v>143</v>
      </c>
      <c r="T93" s="44"/>
      <c r="U93" s="39" t="s">
        <v>144</v>
      </c>
      <c r="V93" s="39" t="s">
        <v>285</v>
      </c>
      <c r="W93" s="43"/>
      <c r="X93" s="39" t="s">
        <v>1641</v>
      </c>
      <c r="Y93" s="67">
        <v>34213.0</v>
      </c>
      <c r="Z93" s="39" t="s">
        <v>114</v>
      </c>
      <c r="AA93" s="45">
        <v>46389.0</v>
      </c>
      <c r="AB93" s="46"/>
      <c r="AC93" s="23">
        <v>87.0</v>
      </c>
      <c r="AD93" s="39" t="s">
        <v>66</v>
      </c>
      <c r="AE93" s="39" t="s">
        <v>67</v>
      </c>
      <c r="AF93" s="39" t="s">
        <v>92</v>
      </c>
      <c r="AG93" s="39" t="s">
        <v>68</v>
      </c>
      <c r="AH93" s="39" t="s">
        <v>69</v>
      </c>
      <c r="AI93" s="39">
        <v>8.1376469848E10</v>
      </c>
      <c r="AJ93" s="39" t="s">
        <v>1642</v>
      </c>
      <c r="AK93" s="39" t="s">
        <v>1643</v>
      </c>
      <c r="AL93" s="39" t="s">
        <v>1644</v>
      </c>
      <c r="AM93" s="39" t="s">
        <v>96</v>
      </c>
      <c r="AN93" s="39" t="s">
        <v>97</v>
      </c>
      <c r="AO93" s="39" t="s">
        <v>213</v>
      </c>
      <c r="AP93" s="39" t="s">
        <v>1645</v>
      </c>
      <c r="AQ93" s="39" t="s">
        <v>77</v>
      </c>
      <c r="AR93" s="39" t="s">
        <v>77</v>
      </c>
    </row>
    <row r="94">
      <c r="A94" s="21">
        <f t="shared" si="2"/>
        <v>87</v>
      </c>
      <c r="B94" s="39" t="s">
        <v>1646</v>
      </c>
      <c r="C94" s="57" t="s">
        <v>1647</v>
      </c>
      <c r="D94" s="39">
        <v>20.0</v>
      </c>
      <c r="E94" s="39">
        <v>2.0</v>
      </c>
      <c r="F94" s="39" t="s">
        <v>50</v>
      </c>
      <c r="G94" s="39" t="s">
        <v>51</v>
      </c>
      <c r="H94" s="42">
        <v>39448.0</v>
      </c>
      <c r="I94" s="39" t="s">
        <v>80</v>
      </c>
      <c r="J94" s="39" t="s">
        <v>81</v>
      </c>
      <c r="K94" s="39" t="s">
        <v>417</v>
      </c>
      <c r="L94" s="39" t="s">
        <v>105</v>
      </c>
      <c r="M94" s="42">
        <v>45566.0</v>
      </c>
      <c r="N94" s="39" t="s">
        <v>141</v>
      </c>
      <c r="O94" s="39" t="s">
        <v>196</v>
      </c>
      <c r="P94" s="43"/>
      <c r="Q94" s="39" t="s">
        <v>1304</v>
      </c>
      <c r="R94" s="42">
        <v>45292.0</v>
      </c>
      <c r="S94" s="39" t="s">
        <v>143</v>
      </c>
      <c r="T94" s="44"/>
      <c r="U94" s="39" t="s">
        <v>144</v>
      </c>
      <c r="V94" s="39" t="s">
        <v>285</v>
      </c>
      <c r="W94" s="43"/>
      <c r="X94" s="39" t="s">
        <v>1648</v>
      </c>
      <c r="Y94" s="39" t="s">
        <v>1572</v>
      </c>
      <c r="Z94" s="46"/>
      <c r="AA94" s="45">
        <v>46398.0</v>
      </c>
      <c r="AB94" s="46"/>
      <c r="AC94" s="23">
        <v>88.0</v>
      </c>
      <c r="AD94" s="39" t="s">
        <v>66</v>
      </c>
      <c r="AE94" s="39" t="s">
        <v>67</v>
      </c>
      <c r="AF94" s="39" t="s">
        <v>92</v>
      </c>
      <c r="AG94" s="39" t="s">
        <v>68</v>
      </c>
      <c r="AH94" s="43"/>
      <c r="AI94" s="39">
        <v>8.1262120269E10</v>
      </c>
      <c r="AJ94" s="39" t="s">
        <v>1649</v>
      </c>
      <c r="AK94" s="39" t="s">
        <v>1650</v>
      </c>
      <c r="AL94" s="39" t="s">
        <v>1651</v>
      </c>
      <c r="AM94" s="39" t="s">
        <v>96</v>
      </c>
      <c r="AN94" s="39" t="s">
        <v>74</v>
      </c>
      <c r="AO94" s="39" t="s">
        <v>213</v>
      </c>
      <c r="AP94" s="39" t="s">
        <v>214</v>
      </c>
      <c r="AQ94" s="43"/>
      <c r="AR94" s="43"/>
    </row>
    <row r="95">
      <c r="A95" s="21">
        <f t="shared" si="2"/>
        <v>88</v>
      </c>
      <c r="B95" s="39" t="s">
        <v>1652</v>
      </c>
      <c r="C95" s="57" t="s">
        <v>1653</v>
      </c>
      <c r="D95" s="39">
        <v>7.0</v>
      </c>
      <c r="E95" s="39">
        <v>0.0</v>
      </c>
      <c r="F95" s="39" t="s">
        <v>171</v>
      </c>
      <c r="G95" s="39" t="s">
        <v>172</v>
      </c>
      <c r="H95" s="42">
        <v>44166.0</v>
      </c>
      <c r="I95" s="39" t="s">
        <v>307</v>
      </c>
      <c r="J95" s="39" t="s">
        <v>308</v>
      </c>
      <c r="K95" s="39" t="s">
        <v>1654</v>
      </c>
      <c r="L95" s="39" t="s">
        <v>105</v>
      </c>
      <c r="M95" s="42">
        <v>45627.0</v>
      </c>
      <c r="N95" s="39" t="s">
        <v>141</v>
      </c>
      <c r="O95" s="39" t="s">
        <v>196</v>
      </c>
      <c r="P95" s="43"/>
      <c r="Q95" s="39" t="s">
        <v>1304</v>
      </c>
      <c r="R95" s="42">
        <v>45292.0</v>
      </c>
      <c r="S95" s="39" t="s">
        <v>143</v>
      </c>
      <c r="T95" s="44"/>
      <c r="U95" s="39" t="s">
        <v>144</v>
      </c>
      <c r="V95" s="39" t="s">
        <v>267</v>
      </c>
      <c r="W95" s="39" t="s">
        <v>1655</v>
      </c>
      <c r="X95" s="39" t="s">
        <v>268</v>
      </c>
      <c r="Y95" s="47">
        <v>41543.0</v>
      </c>
      <c r="Z95" s="39" t="s">
        <v>114</v>
      </c>
      <c r="AA95" s="45">
        <v>54795.0</v>
      </c>
      <c r="AB95" s="46"/>
      <c r="AC95" s="23">
        <v>89.0</v>
      </c>
      <c r="AD95" s="39" t="s">
        <v>66</v>
      </c>
      <c r="AE95" s="39" t="s">
        <v>220</v>
      </c>
      <c r="AF95" s="39" t="s">
        <v>129</v>
      </c>
      <c r="AG95" s="39" t="s">
        <v>130</v>
      </c>
      <c r="AH95" s="39" t="s">
        <v>131</v>
      </c>
      <c r="AI95" s="39">
        <v>8.5361339126E10</v>
      </c>
      <c r="AJ95" s="39" t="s">
        <v>1656</v>
      </c>
      <c r="AK95" s="39" t="s">
        <v>1657</v>
      </c>
      <c r="AL95" s="39" t="s">
        <v>1658</v>
      </c>
      <c r="AM95" s="39" t="s">
        <v>96</v>
      </c>
      <c r="AN95" s="39" t="s">
        <v>1659</v>
      </c>
      <c r="AO95" s="39" t="s">
        <v>774</v>
      </c>
      <c r="AP95" s="39" t="s">
        <v>799</v>
      </c>
      <c r="AQ95" s="39">
        <v>0.0</v>
      </c>
      <c r="AR95" s="39">
        <v>0.0</v>
      </c>
    </row>
    <row r="96">
      <c r="A96" s="21">
        <f t="shared" si="2"/>
        <v>89</v>
      </c>
      <c r="B96" s="39" t="s">
        <v>1660</v>
      </c>
      <c r="C96" s="40" t="s">
        <v>1661</v>
      </c>
      <c r="D96" s="41">
        <v>12.0</v>
      </c>
      <c r="E96" s="41">
        <v>3.0</v>
      </c>
      <c r="F96" s="41" t="s">
        <v>80</v>
      </c>
      <c r="G96" s="41" t="s">
        <v>81</v>
      </c>
      <c r="H96" s="58">
        <v>40695.0</v>
      </c>
      <c r="I96" s="39" t="s">
        <v>82</v>
      </c>
      <c r="J96" s="39" t="s">
        <v>83</v>
      </c>
      <c r="K96" s="39" t="s">
        <v>1662</v>
      </c>
      <c r="L96" s="41" t="s">
        <v>105</v>
      </c>
      <c r="M96" s="42">
        <v>44652.0</v>
      </c>
      <c r="N96" s="41" t="s">
        <v>141</v>
      </c>
      <c r="O96" s="39" t="s">
        <v>173</v>
      </c>
      <c r="P96" s="59"/>
      <c r="Q96" s="39" t="s">
        <v>59</v>
      </c>
      <c r="R96" s="58">
        <v>45805.0</v>
      </c>
      <c r="S96" s="41" t="s">
        <v>1663</v>
      </c>
      <c r="T96" s="60"/>
      <c r="U96" s="41" t="s">
        <v>88</v>
      </c>
      <c r="V96" s="39" t="s">
        <v>89</v>
      </c>
      <c r="W96" s="39" t="s">
        <v>1416</v>
      </c>
      <c r="X96" s="39" t="s">
        <v>260</v>
      </c>
      <c r="Y96" s="39" t="s">
        <v>1664</v>
      </c>
      <c r="Z96" s="41" t="s">
        <v>65</v>
      </c>
      <c r="AA96" s="61">
        <v>52238.0</v>
      </c>
      <c r="AB96" s="70"/>
      <c r="AC96" s="23">
        <v>90.0</v>
      </c>
      <c r="AD96" s="41" t="s">
        <v>66</v>
      </c>
      <c r="AE96" s="39" t="s">
        <v>67</v>
      </c>
      <c r="AF96" s="39" t="s">
        <v>92</v>
      </c>
      <c r="AG96" s="39" t="s">
        <v>68</v>
      </c>
      <c r="AH96" s="41" t="s">
        <v>69</v>
      </c>
      <c r="AI96" s="39">
        <v>8.136113803E10</v>
      </c>
      <c r="AJ96" s="41" t="s">
        <v>1665</v>
      </c>
      <c r="AK96" s="41" t="s">
        <v>1666</v>
      </c>
      <c r="AL96" s="39" t="s">
        <v>1667</v>
      </c>
      <c r="AM96" s="41" t="s">
        <v>73</v>
      </c>
      <c r="AN96" s="41" t="s">
        <v>74</v>
      </c>
      <c r="AO96" s="41" t="s">
        <v>178</v>
      </c>
      <c r="AP96" s="41" t="s">
        <v>179</v>
      </c>
      <c r="AQ96" s="41" t="s">
        <v>77</v>
      </c>
      <c r="AR96" s="41" t="s">
        <v>77</v>
      </c>
    </row>
    <row r="97">
      <c r="A97" s="21">
        <f t="shared" si="2"/>
        <v>90</v>
      </c>
      <c r="B97" s="49" t="s">
        <v>1668</v>
      </c>
      <c r="C97" s="50" t="s">
        <v>1669</v>
      </c>
      <c r="D97" s="49">
        <v>0.0</v>
      </c>
      <c r="E97" s="49">
        <v>0.0</v>
      </c>
      <c r="F97" s="49" t="s">
        <v>80</v>
      </c>
      <c r="G97" s="49" t="s">
        <v>81</v>
      </c>
      <c r="H97" s="51">
        <v>45778.0</v>
      </c>
      <c r="I97" s="49" t="s">
        <v>80</v>
      </c>
      <c r="J97" s="49" t="s">
        <v>81</v>
      </c>
      <c r="K97" s="49" t="s">
        <v>240</v>
      </c>
      <c r="L97" s="49" t="s">
        <v>105</v>
      </c>
      <c r="M97" s="51">
        <v>45778.0</v>
      </c>
      <c r="N97" s="49" t="s">
        <v>141</v>
      </c>
      <c r="O97" s="49" t="s">
        <v>1670</v>
      </c>
      <c r="P97" s="52"/>
      <c r="Q97" s="49" t="s">
        <v>59</v>
      </c>
      <c r="R97" s="51">
        <v>45778.0</v>
      </c>
      <c r="S97" s="49" t="s">
        <v>242</v>
      </c>
      <c r="T97" s="53"/>
      <c r="U97" s="49" t="s">
        <v>105</v>
      </c>
      <c r="V97" s="49" t="s">
        <v>89</v>
      </c>
      <c r="W97" s="49" t="s">
        <v>230</v>
      </c>
      <c r="X97" s="49" t="s">
        <v>1671</v>
      </c>
      <c r="Y97" s="49" t="s">
        <v>1672</v>
      </c>
      <c r="Z97" s="52"/>
      <c r="AA97" s="54">
        <v>56989.0</v>
      </c>
      <c r="AB97" s="55"/>
      <c r="AC97" s="23">
        <v>91.0</v>
      </c>
      <c r="AD97" s="49" t="s">
        <v>5</v>
      </c>
      <c r="AE97" s="49" t="s">
        <v>220</v>
      </c>
      <c r="AF97" s="49" t="s">
        <v>129</v>
      </c>
      <c r="AG97" s="49" t="s">
        <v>68</v>
      </c>
      <c r="AH97" s="49" t="s">
        <v>131</v>
      </c>
      <c r="AI97" s="49">
        <v>8.2124193311E10</v>
      </c>
      <c r="AJ97" s="49" t="s">
        <v>1673</v>
      </c>
      <c r="AK97" s="49" t="s">
        <v>1674</v>
      </c>
      <c r="AL97" s="49" t="s">
        <v>1675</v>
      </c>
      <c r="AM97" s="49" t="s">
        <v>1676</v>
      </c>
      <c r="AN97" s="49" t="s">
        <v>1677</v>
      </c>
      <c r="AO97" s="49" t="s">
        <v>1678</v>
      </c>
      <c r="AP97" s="49" t="s">
        <v>1679</v>
      </c>
      <c r="AQ97" s="49">
        <v>10.0</v>
      </c>
      <c r="AR97" s="49">
        <v>3.0</v>
      </c>
    </row>
    <row r="98">
      <c r="A98" s="21"/>
      <c r="B98" s="248" t="s">
        <v>1918</v>
      </c>
      <c r="C98" s="254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23">
        <v>92.0</v>
      </c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  <c r="AP98" s="119"/>
      <c r="AQ98" s="119"/>
      <c r="AR98" s="119"/>
    </row>
    <row r="99">
      <c r="A99" s="21">
        <f>SUM(A97+1)</f>
        <v>91</v>
      </c>
      <c r="B99" s="21" t="s">
        <v>1919</v>
      </c>
      <c r="C99" s="38" t="s">
        <v>1920</v>
      </c>
      <c r="D99" s="23">
        <v>14.0</v>
      </c>
      <c r="E99" s="23">
        <v>9.0</v>
      </c>
      <c r="F99" s="23" t="s">
        <v>50</v>
      </c>
      <c r="G99" s="23" t="s">
        <v>51</v>
      </c>
      <c r="H99" s="24">
        <v>39873.0</v>
      </c>
      <c r="I99" s="21" t="s">
        <v>82</v>
      </c>
      <c r="J99" s="21" t="s">
        <v>83</v>
      </c>
      <c r="K99" s="21" t="s">
        <v>417</v>
      </c>
      <c r="L99" s="21" t="s">
        <v>105</v>
      </c>
      <c r="M99" s="25">
        <v>45566.0</v>
      </c>
      <c r="N99" s="23" t="s">
        <v>56</v>
      </c>
      <c r="O99" s="21" t="s">
        <v>1921</v>
      </c>
      <c r="P99" s="23" t="s">
        <v>1296</v>
      </c>
      <c r="Q99" s="21" t="s">
        <v>59</v>
      </c>
      <c r="R99" s="24">
        <v>46076.0</v>
      </c>
      <c r="S99" s="23" t="s">
        <v>87</v>
      </c>
      <c r="T99" s="29"/>
      <c r="U99" s="23" t="s">
        <v>88</v>
      </c>
      <c r="V99" s="21" t="s">
        <v>159</v>
      </c>
      <c r="W99" s="21" t="s">
        <v>647</v>
      </c>
      <c r="X99" s="21" t="s">
        <v>745</v>
      </c>
      <c r="Y99" s="21" t="s">
        <v>1482</v>
      </c>
      <c r="Z99" s="23" t="s">
        <v>114</v>
      </c>
      <c r="AA99" s="28">
        <v>51870.0</v>
      </c>
      <c r="AB99" s="29"/>
      <c r="AC99" s="23">
        <v>93.0</v>
      </c>
      <c r="AD99" s="21" t="s">
        <v>66</v>
      </c>
      <c r="AE99" s="21" t="s">
        <v>67</v>
      </c>
      <c r="AF99" s="21" t="s">
        <v>92</v>
      </c>
      <c r="AG99" s="21" t="s">
        <v>68</v>
      </c>
      <c r="AH99" s="21" t="s">
        <v>69</v>
      </c>
      <c r="AI99" s="21">
        <v>8.2133338304E10</v>
      </c>
      <c r="AJ99" s="21" t="s">
        <v>1922</v>
      </c>
      <c r="AK99" s="21" t="s">
        <v>1923</v>
      </c>
      <c r="AL99" s="21" t="s">
        <v>1924</v>
      </c>
      <c r="AM99" s="21" t="s">
        <v>96</v>
      </c>
      <c r="AN99" s="21" t="s">
        <v>74</v>
      </c>
      <c r="AO99" s="21" t="s">
        <v>454</v>
      </c>
      <c r="AP99" s="21" t="s">
        <v>1753</v>
      </c>
      <c r="AQ99" s="30"/>
      <c r="AR99" s="30"/>
    </row>
    <row r="100">
      <c r="A100" s="21">
        <f t="shared" ref="A100:A138" si="3">SUM(A99+1)</f>
        <v>92</v>
      </c>
      <c r="B100" s="21" t="s">
        <v>1925</v>
      </c>
      <c r="C100" s="38" t="s">
        <v>1926</v>
      </c>
      <c r="D100" s="23">
        <v>23.0</v>
      </c>
      <c r="E100" s="23">
        <v>10.0</v>
      </c>
      <c r="F100" s="23" t="s">
        <v>50</v>
      </c>
      <c r="G100" s="23" t="s">
        <v>51</v>
      </c>
      <c r="H100" s="24">
        <v>39083.0</v>
      </c>
      <c r="I100" s="21" t="s">
        <v>82</v>
      </c>
      <c r="J100" s="21" t="s">
        <v>83</v>
      </c>
      <c r="K100" s="21" t="s">
        <v>217</v>
      </c>
      <c r="L100" s="21" t="s">
        <v>61</v>
      </c>
      <c r="M100" s="25">
        <v>45383.0</v>
      </c>
      <c r="N100" s="23" t="s">
        <v>56</v>
      </c>
      <c r="O100" s="21" t="s">
        <v>1927</v>
      </c>
      <c r="P100" s="23" t="s">
        <v>107</v>
      </c>
      <c r="Q100" s="21" t="s">
        <v>1928</v>
      </c>
      <c r="R100" s="24">
        <v>46076.0</v>
      </c>
      <c r="S100" s="23" t="s">
        <v>87</v>
      </c>
      <c r="T100" s="29"/>
      <c r="U100" s="23" t="s">
        <v>105</v>
      </c>
      <c r="V100" s="21" t="s">
        <v>89</v>
      </c>
      <c r="W100" s="21" t="s">
        <v>1214</v>
      </c>
      <c r="X100" s="21" t="s">
        <v>1929</v>
      </c>
      <c r="Y100" s="21" t="s">
        <v>1930</v>
      </c>
      <c r="Z100" s="30"/>
      <c r="AA100" s="28">
        <v>46758.0</v>
      </c>
      <c r="AB100" s="29"/>
      <c r="AC100" s="23">
        <v>94.0</v>
      </c>
      <c r="AD100" s="21" t="s">
        <v>66</v>
      </c>
      <c r="AE100" s="21" t="s">
        <v>67</v>
      </c>
      <c r="AF100" s="21" t="s">
        <v>92</v>
      </c>
      <c r="AG100" s="21" t="s">
        <v>68</v>
      </c>
      <c r="AH100" s="21" t="s">
        <v>288</v>
      </c>
      <c r="AI100" s="21">
        <v>8.116070525E9</v>
      </c>
      <c r="AJ100" s="21" t="s">
        <v>1931</v>
      </c>
      <c r="AK100" s="21" t="s">
        <v>1932</v>
      </c>
      <c r="AL100" s="21" t="s">
        <v>1933</v>
      </c>
      <c r="AM100" s="21" t="s">
        <v>96</v>
      </c>
      <c r="AN100" s="21" t="s">
        <v>481</v>
      </c>
      <c r="AO100" s="21" t="s">
        <v>1291</v>
      </c>
      <c r="AP100" s="21" t="s">
        <v>167</v>
      </c>
      <c r="AQ100" s="30"/>
      <c r="AR100" s="30"/>
    </row>
    <row r="101">
      <c r="A101" s="21">
        <f t="shared" si="3"/>
        <v>93</v>
      </c>
      <c r="B101" s="21" t="s">
        <v>1934</v>
      </c>
      <c r="C101" s="38" t="s">
        <v>1935</v>
      </c>
      <c r="D101" s="23">
        <v>15.0</v>
      </c>
      <c r="E101" s="23">
        <v>7.0</v>
      </c>
      <c r="F101" s="23" t="s">
        <v>50</v>
      </c>
      <c r="G101" s="23" t="s">
        <v>51</v>
      </c>
      <c r="H101" s="24">
        <v>40179.0</v>
      </c>
      <c r="I101" s="21" t="s">
        <v>82</v>
      </c>
      <c r="J101" s="21" t="s">
        <v>83</v>
      </c>
      <c r="K101" s="21" t="s">
        <v>184</v>
      </c>
      <c r="L101" s="21" t="s">
        <v>105</v>
      </c>
      <c r="M101" s="25">
        <v>45870.0</v>
      </c>
      <c r="N101" s="23" t="s">
        <v>56</v>
      </c>
      <c r="O101" s="21" t="s">
        <v>1936</v>
      </c>
      <c r="P101" s="23" t="s">
        <v>107</v>
      </c>
      <c r="Q101" s="21" t="s">
        <v>1937</v>
      </c>
      <c r="R101" s="24">
        <v>46076.0</v>
      </c>
      <c r="S101" s="23" t="s">
        <v>87</v>
      </c>
      <c r="T101" s="29"/>
      <c r="U101" s="23" t="s">
        <v>105</v>
      </c>
      <c r="V101" s="21" t="s">
        <v>159</v>
      </c>
      <c r="W101" s="21" t="s">
        <v>218</v>
      </c>
      <c r="X101" s="21" t="s">
        <v>198</v>
      </c>
      <c r="Y101" s="27">
        <v>43008.0</v>
      </c>
      <c r="Z101" s="56"/>
      <c r="AA101" s="28">
        <v>50412.0</v>
      </c>
      <c r="AB101" s="29"/>
      <c r="AC101" s="23">
        <v>95.0</v>
      </c>
      <c r="AD101" s="21" t="s">
        <v>66</v>
      </c>
      <c r="AE101" s="21" t="s">
        <v>67</v>
      </c>
      <c r="AF101" s="21" t="s">
        <v>92</v>
      </c>
      <c r="AG101" s="21" t="s">
        <v>68</v>
      </c>
      <c r="AH101" s="21" t="s">
        <v>69</v>
      </c>
      <c r="AI101" s="21">
        <v>8.5358990306E10</v>
      </c>
      <c r="AJ101" s="21" t="s">
        <v>1938</v>
      </c>
      <c r="AK101" s="21" t="s">
        <v>1939</v>
      </c>
      <c r="AL101" s="21" t="s">
        <v>1940</v>
      </c>
      <c r="AM101" s="21" t="s">
        <v>96</v>
      </c>
      <c r="AN101" s="21" t="s">
        <v>97</v>
      </c>
      <c r="AO101" s="21" t="s">
        <v>1941</v>
      </c>
      <c r="AP101" s="21" t="s">
        <v>1942</v>
      </c>
      <c r="AQ101" s="30"/>
      <c r="AR101" s="30"/>
    </row>
    <row r="102">
      <c r="A102" s="21">
        <f t="shared" si="3"/>
        <v>94</v>
      </c>
      <c r="B102" s="39" t="s">
        <v>1943</v>
      </c>
      <c r="C102" s="57" t="s">
        <v>1944</v>
      </c>
      <c r="D102" s="39">
        <v>17.0</v>
      </c>
      <c r="E102" s="39">
        <v>4.0</v>
      </c>
      <c r="F102" s="39" t="s">
        <v>80</v>
      </c>
      <c r="G102" s="39" t="s">
        <v>81</v>
      </c>
      <c r="H102" s="42">
        <v>37653.0</v>
      </c>
      <c r="I102" s="39" t="s">
        <v>254</v>
      </c>
      <c r="J102" s="39" t="s">
        <v>255</v>
      </c>
      <c r="K102" s="39" t="s">
        <v>1945</v>
      </c>
      <c r="L102" s="39" t="s">
        <v>55</v>
      </c>
      <c r="M102" s="42">
        <v>43556.0</v>
      </c>
      <c r="N102" s="39" t="s">
        <v>141</v>
      </c>
      <c r="O102" s="39" t="s">
        <v>229</v>
      </c>
      <c r="P102" s="43"/>
      <c r="Q102" s="39" t="s">
        <v>1937</v>
      </c>
      <c r="R102" s="42">
        <v>45292.0</v>
      </c>
      <c r="S102" s="39" t="s">
        <v>143</v>
      </c>
      <c r="T102" s="46"/>
      <c r="U102" s="39" t="s">
        <v>144</v>
      </c>
      <c r="V102" s="39" t="s">
        <v>159</v>
      </c>
      <c r="W102" s="39" t="s">
        <v>259</v>
      </c>
      <c r="X102" s="39" t="s">
        <v>198</v>
      </c>
      <c r="Y102" s="47">
        <v>42333.0</v>
      </c>
      <c r="Z102" s="39" t="s">
        <v>114</v>
      </c>
      <c r="AA102" s="45">
        <v>48218.0</v>
      </c>
      <c r="AB102" s="46"/>
      <c r="AC102" s="23">
        <v>96.0</v>
      </c>
      <c r="AD102" s="39" t="s">
        <v>66</v>
      </c>
      <c r="AE102" s="39" t="s">
        <v>67</v>
      </c>
      <c r="AF102" s="39" t="s">
        <v>92</v>
      </c>
      <c r="AG102" s="39" t="s">
        <v>68</v>
      </c>
      <c r="AH102" s="39" t="s">
        <v>69</v>
      </c>
      <c r="AI102" s="39">
        <v>8.12644094E9</v>
      </c>
      <c r="AJ102" s="39" t="s">
        <v>1946</v>
      </c>
      <c r="AK102" s="39" t="s">
        <v>1947</v>
      </c>
      <c r="AL102" s="39" t="s">
        <v>1948</v>
      </c>
      <c r="AM102" s="39" t="s">
        <v>96</v>
      </c>
      <c r="AN102" s="39" t="s">
        <v>74</v>
      </c>
      <c r="AO102" s="39" t="s">
        <v>360</v>
      </c>
      <c r="AP102" s="39">
        <v>20134.0</v>
      </c>
      <c r="AQ102" s="43"/>
      <c r="AR102" s="43"/>
    </row>
    <row r="103">
      <c r="A103" s="21">
        <f t="shared" si="3"/>
        <v>95</v>
      </c>
      <c r="B103" s="39" t="s">
        <v>1949</v>
      </c>
      <c r="C103" s="57" t="s">
        <v>1950</v>
      </c>
      <c r="D103" s="39">
        <v>20.0</v>
      </c>
      <c r="E103" s="39">
        <v>7.0</v>
      </c>
      <c r="F103" s="39" t="s">
        <v>80</v>
      </c>
      <c r="G103" s="39" t="s">
        <v>81</v>
      </c>
      <c r="H103" s="42">
        <v>37530.0</v>
      </c>
      <c r="I103" s="39" t="s">
        <v>254</v>
      </c>
      <c r="J103" s="39" t="s">
        <v>255</v>
      </c>
      <c r="K103" s="39" t="s">
        <v>1951</v>
      </c>
      <c r="L103" s="39" t="s">
        <v>55</v>
      </c>
      <c r="M103" s="42">
        <v>44835.0</v>
      </c>
      <c r="N103" s="39" t="s">
        <v>56</v>
      </c>
      <c r="O103" s="39" t="s">
        <v>173</v>
      </c>
      <c r="P103" s="43"/>
      <c r="Q103" s="39" t="s">
        <v>1952</v>
      </c>
      <c r="R103" s="42">
        <v>45665.0</v>
      </c>
      <c r="S103" s="120" t="s">
        <v>1953</v>
      </c>
      <c r="T103" s="46"/>
      <c r="U103" s="39" t="s">
        <v>1954</v>
      </c>
      <c r="V103" s="39" t="s">
        <v>159</v>
      </c>
      <c r="W103" s="39" t="s">
        <v>503</v>
      </c>
      <c r="X103" s="39" t="s">
        <v>1955</v>
      </c>
      <c r="Y103" s="39" t="s">
        <v>1956</v>
      </c>
      <c r="Z103" s="39" t="s">
        <v>65</v>
      </c>
      <c r="AA103" s="45">
        <v>48224.0</v>
      </c>
      <c r="AB103" s="46"/>
      <c r="AC103" s="23">
        <v>97.0</v>
      </c>
      <c r="AD103" s="39" t="s">
        <v>66</v>
      </c>
      <c r="AE103" s="39" t="s">
        <v>220</v>
      </c>
      <c r="AF103" s="39" t="s">
        <v>92</v>
      </c>
      <c r="AG103" s="39" t="s">
        <v>130</v>
      </c>
      <c r="AH103" s="39" t="s">
        <v>69</v>
      </c>
      <c r="AI103" s="39">
        <v>8.116507709E9</v>
      </c>
      <c r="AJ103" s="39" t="s">
        <v>1957</v>
      </c>
      <c r="AK103" s="39" t="s">
        <v>1958</v>
      </c>
      <c r="AL103" s="39" t="s">
        <v>1959</v>
      </c>
      <c r="AM103" s="39" t="s">
        <v>96</v>
      </c>
      <c r="AN103" s="43"/>
      <c r="AO103" s="39" t="s">
        <v>1429</v>
      </c>
      <c r="AP103" s="39" t="s">
        <v>1960</v>
      </c>
      <c r="AQ103" s="43"/>
      <c r="AR103" s="43"/>
    </row>
    <row r="104">
      <c r="A104" s="21">
        <f t="shared" si="3"/>
        <v>96</v>
      </c>
      <c r="B104" s="39" t="s">
        <v>1961</v>
      </c>
      <c r="C104" s="57" t="s">
        <v>1962</v>
      </c>
      <c r="D104" s="39">
        <v>16.0</v>
      </c>
      <c r="E104" s="39">
        <v>1.0</v>
      </c>
      <c r="F104" s="39" t="s">
        <v>50</v>
      </c>
      <c r="G104" s="39" t="s">
        <v>51</v>
      </c>
      <c r="H104" s="42">
        <v>35034.0</v>
      </c>
      <c r="I104" s="39" t="s">
        <v>82</v>
      </c>
      <c r="J104" s="39" t="s">
        <v>83</v>
      </c>
      <c r="K104" s="39" t="s">
        <v>1963</v>
      </c>
      <c r="L104" s="39" t="s">
        <v>61</v>
      </c>
      <c r="M104" s="42">
        <v>42095.0</v>
      </c>
      <c r="N104" s="39" t="s">
        <v>141</v>
      </c>
      <c r="O104" s="39" t="s">
        <v>229</v>
      </c>
      <c r="P104" s="43"/>
      <c r="Q104" s="39" t="s">
        <v>1937</v>
      </c>
      <c r="R104" s="42">
        <v>45292.0</v>
      </c>
      <c r="S104" s="39" t="s">
        <v>143</v>
      </c>
      <c r="T104" s="46"/>
      <c r="U104" s="39" t="s">
        <v>144</v>
      </c>
      <c r="V104" s="39" t="s">
        <v>89</v>
      </c>
      <c r="W104" s="39" t="s">
        <v>1214</v>
      </c>
      <c r="X104" s="39" t="s">
        <v>1964</v>
      </c>
      <c r="Y104" s="39" t="s">
        <v>1965</v>
      </c>
      <c r="Z104" s="39" t="s">
        <v>65</v>
      </c>
      <c r="AA104" s="45">
        <v>48222.0</v>
      </c>
      <c r="AB104" s="46"/>
      <c r="AC104" s="23">
        <v>98.0</v>
      </c>
      <c r="AD104" s="39" t="s">
        <v>66</v>
      </c>
      <c r="AE104" s="39" t="s">
        <v>67</v>
      </c>
      <c r="AF104" s="39" t="s">
        <v>92</v>
      </c>
      <c r="AG104" s="39" t="s">
        <v>130</v>
      </c>
      <c r="AH104" s="39" t="s">
        <v>69</v>
      </c>
      <c r="AI104" s="39">
        <v>8.1164082E9</v>
      </c>
      <c r="AJ104" s="39" t="s">
        <v>1966</v>
      </c>
      <c r="AK104" s="39" t="s">
        <v>1967</v>
      </c>
      <c r="AL104" s="39" t="s">
        <v>1968</v>
      </c>
      <c r="AM104" s="39" t="s">
        <v>96</v>
      </c>
      <c r="AN104" s="39" t="s">
        <v>97</v>
      </c>
      <c r="AO104" s="39" t="s">
        <v>292</v>
      </c>
      <c r="AP104" s="39" t="s">
        <v>1969</v>
      </c>
      <c r="AQ104" s="43"/>
      <c r="AR104" s="43"/>
    </row>
    <row r="105">
      <c r="A105" s="21">
        <f t="shared" si="3"/>
        <v>97</v>
      </c>
      <c r="B105" s="39" t="s">
        <v>1970</v>
      </c>
      <c r="C105" s="57" t="s">
        <v>1971</v>
      </c>
      <c r="D105" s="39">
        <v>22.0</v>
      </c>
      <c r="E105" s="39">
        <v>1.0</v>
      </c>
      <c r="F105" s="39" t="s">
        <v>50</v>
      </c>
      <c r="G105" s="39" t="s">
        <v>51</v>
      </c>
      <c r="H105" s="42">
        <v>33664.0</v>
      </c>
      <c r="I105" s="39" t="s">
        <v>82</v>
      </c>
      <c r="J105" s="39" t="s">
        <v>83</v>
      </c>
      <c r="K105" s="39" t="s">
        <v>1972</v>
      </c>
      <c r="L105" s="39" t="s">
        <v>1314</v>
      </c>
      <c r="M105" s="42">
        <v>43556.0</v>
      </c>
      <c r="N105" s="39" t="s">
        <v>141</v>
      </c>
      <c r="O105" s="39" t="s">
        <v>229</v>
      </c>
      <c r="P105" s="43"/>
      <c r="Q105" s="39" t="s">
        <v>1937</v>
      </c>
      <c r="R105" s="42">
        <v>45292.0</v>
      </c>
      <c r="S105" s="39" t="s">
        <v>143</v>
      </c>
      <c r="T105" s="46"/>
      <c r="U105" s="39" t="s">
        <v>144</v>
      </c>
      <c r="V105" s="39" t="s">
        <v>89</v>
      </c>
      <c r="W105" s="39" t="s">
        <v>218</v>
      </c>
      <c r="X105" s="39" t="s">
        <v>1973</v>
      </c>
      <c r="Y105" s="39" t="s">
        <v>1974</v>
      </c>
      <c r="Z105" s="39" t="s">
        <v>114</v>
      </c>
      <c r="AA105" s="45">
        <v>46393.0</v>
      </c>
      <c r="AB105" s="46"/>
      <c r="AC105" s="23">
        <v>99.0</v>
      </c>
      <c r="AD105" s="39" t="s">
        <v>66</v>
      </c>
      <c r="AE105" s="39" t="s">
        <v>67</v>
      </c>
      <c r="AF105" s="39" t="s">
        <v>92</v>
      </c>
      <c r="AG105" s="39" t="s">
        <v>130</v>
      </c>
      <c r="AH105" s="39" t="s">
        <v>288</v>
      </c>
      <c r="AI105" s="39">
        <v>8.1376277269E10</v>
      </c>
      <c r="AJ105" s="39" t="s">
        <v>1975</v>
      </c>
      <c r="AK105" s="39" t="s">
        <v>1976</v>
      </c>
      <c r="AL105" s="39" t="s">
        <v>1977</v>
      </c>
      <c r="AM105" s="39" t="s">
        <v>96</v>
      </c>
      <c r="AN105" s="39" t="s">
        <v>481</v>
      </c>
      <c r="AO105" s="39" t="s">
        <v>236</v>
      </c>
      <c r="AP105" s="39" t="s">
        <v>712</v>
      </c>
      <c r="AQ105" s="43"/>
      <c r="AR105" s="43"/>
    </row>
    <row r="106">
      <c r="A106" s="21">
        <f t="shared" si="3"/>
        <v>98</v>
      </c>
      <c r="B106" s="39" t="s">
        <v>1978</v>
      </c>
      <c r="C106" s="57" t="s">
        <v>1979</v>
      </c>
      <c r="D106" s="39">
        <v>20.0</v>
      </c>
      <c r="E106" s="39">
        <v>7.0</v>
      </c>
      <c r="F106" s="39" t="s">
        <v>80</v>
      </c>
      <c r="G106" s="39" t="s">
        <v>81</v>
      </c>
      <c r="H106" s="42">
        <v>39873.0</v>
      </c>
      <c r="I106" s="39" t="s">
        <v>254</v>
      </c>
      <c r="J106" s="39" t="s">
        <v>255</v>
      </c>
      <c r="K106" s="39" t="s">
        <v>1980</v>
      </c>
      <c r="L106" s="39" t="s">
        <v>55</v>
      </c>
      <c r="M106" s="42">
        <v>45870.0</v>
      </c>
      <c r="N106" s="39" t="s">
        <v>141</v>
      </c>
      <c r="O106" s="39" t="s">
        <v>229</v>
      </c>
      <c r="P106" s="43"/>
      <c r="Q106" s="39" t="s">
        <v>1937</v>
      </c>
      <c r="R106" s="42">
        <v>45292.0</v>
      </c>
      <c r="S106" s="39" t="s">
        <v>143</v>
      </c>
      <c r="T106" s="46"/>
      <c r="U106" s="39" t="s">
        <v>144</v>
      </c>
      <c r="V106" s="39" t="s">
        <v>159</v>
      </c>
      <c r="W106" s="39" t="s">
        <v>259</v>
      </c>
      <c r="X106" s="39" t="s">
        <v>260</v>
      </c>
      <c r="Y106" s="39" t="s">
        <v>1981</v>
      </c>
      <c r="Z106" s="39" t="s">
        <v>114</v>
      </c>
      <c r="AA106" s="45">
        <v>47130.0</v>
      </c>
      <c r="AB106" s="46"/>
      <c r="AC106" s="23">
        <v>100.0</v>
      </c>
      <c r="AD106" s="39" t="s">
        <v>66</v>
      </c>
      <c r="AE106" s="39" t="s">
        <v>67</v>
      </c>
      <c r="AF106" s="39" t="s">
        <v>92</v>
      </c>
      <c r="AG106" s="39" t="s">
        <v>68</v>
      </c>
      <c r="AH106" s="39" t="s">
        <v>131</v>
      </c>
      <c r="AI106" s="39">
        <v>8.1362458805E10</v>
      </c>
      <c r="AJ106" s="39" t="s">
        <v>1982</v>
      </c>
      <c r="AK106" s="39" t="s">
        <v>1983</v>
      </c>
      <c r="AL106" s="39" t="s">
        <v>1984</v>
      </c>
      <c r="AM106" s="39" t="s">
        <v>96</v>
      </c>
      <c r="AN106" s="39" t="s">
        <v>481</v>
      </c>
      <c r="AO106" s="39" t="s">
        <v>360</v>
      </c>
      <c r="AP106" s="39" t="s">
        <v>1985</v>
      </c>
      <c r="AQ106" s="43"/>
      <c r="AR106" s="43"/>
    </row>
    <row r="107">
      <c r="A107" s="21">
        <f t="shared" si="3"/>
        <v>99</v>
      </c>
      <c r="B107" s="39" t="s">
        <v>1986</v>
      </c>
      <c r="C107" s="57" t="s">
        <v>1987</v>
      </c>
      <c r="D107" s="39">
        <v>12.0</v>
      </c>
      <c r="E107" s="39">
        <v>3.0</v>
      </c>
      <c r="F107" s="39" t="s">
        <v>80</v>
      </c>
      <c r="G107" s="39" t="s">
        <v>81</v>
      </c>
      <c r="H107" s="42">
        <v>40179.0</v>
      </c>
      <c r="I107" s="39" t="s">
        <v>82</v>
      </c>
      <c r="J107" s="39" t="s">
        <v>83</v>
      </c>
      <c r="K107" s="39" t="s">
        <v>228</v>
      </c>
      <c r="L107" s="39" t="s">
        <v>105</v>
      </c>
      <c r="M107" s="42">
        <v>44652.0</v>
      </c>
      <c r="N107" s="39" t="s">
        <v>141</v>
      </c>
      <c r="O107" s="39" t="s">
        <v>229</v>
      </c>
      <c r="P107" s="43"/>
      <c r="Q107" s="39" t="s">
        <v>1937</v>
      </c>
      <c r="R107" s="42">
        <v>45292.0</v>
      </c>
      <c r="S107" s="39" t="s">
        <v>143</v>
      </c>
      <c r="T107" s="46"/>
      <c r="U107" s="39" t="s">
        <v>144</v>
      </c>
      <c r="V107" s="39" t="s">
        <v>89</v>
      </c>
      <c r="W107" s="39" t="s">
        <v>218</v>
      </c>
      <c r="X107" s="39" t="s">
        <v>1457</v>
      </c>
      <c r="Y107" s="39" t="s">
        <v>1988</v>
      </c>
      <c r="Z107" s="43"/>
      <c r="AA107" s="45">
        <v>49320.0</v>
      </c>
      <c r="AB107" s="46"/>
      <c r="AC107" s="23">
        <v>101.0</v>
      </c>
      <c r="AD107" s="39" t="s">
        <v>66</v>
      </c>
      <c r="AE107" s="39" t="s">
        <v>67</v>
      </c>
      <c r="AF107" s="39" t="s">
        <v>129</v>
      </c>
      <c r="AG107" s="39" t="s">
        <v>68</v>
      </c>
      <c r="AH107" s="39" t="s">
        <v>69</v>
      </c>
      <c r="AI107" s="39">
        <v>8.11616631E8</v>
      </c>
      <c r="AJ107" s="39" t="s">
        <v>1989</v>
      </c>
      <c r="AK107" s="39" t="s">
        <v>1990</v>
      </c>
      <c r="AL107" s="39" t="s">
        <v>1991</v>
      </c>
      <c r="AM107" s="39" t="s">
        <v>96</v>
      </c>
      <c r="AN107" s="43"/>
      <c r="AO107" s="39" t="s">
        <v>1802</v>
      </c>
      <c r="AP107" s="39" t="s">
        <v>1992</v>
      </c>
      <c r="AQ107" s="43"/>
      <c r="AR107" s="43"/>
    </row>
    <row r="108">
      <c r="A108" s="21">
        <f t="shared" si="3"/>
        <v>100</v>
      </c>
      <c r="B108" s="39" t="s">
        <v>1993</v>
      </c>
      <c r="C108" s="57" t="s">
        <v>1994</v>
      </c>
      <c r="D108" s="39">
        <v>16.0</v>
      </c>
      <c r="E108" s="39">
        <v>3.0</v>
      </c>
      <c r="F108" s="39" t="s">
        <v>80</v>
      </c>
      <c r="G108" s="39" t="s">
        <v>81</v>
      </c>
      <c r="H108" s="42">
        <v>40452.0</v>
      </c>
      <c r="I108" s="39" t="s">
        <v>82</v>
      </c>
      <c r="J108" s="39" t="s">
        <v>83</v>
      </c>
      <c r="K108" s="39" t="s">
        <v>1995</v>
      </c>
      <c r="L108" s="39" t="s">
        <v>88</v>
      </c>
      <c r="M108" s="42">
        <v>43922.0</v>
      </c>
      <c r="N108" s="39" t="s">
        <v>141</v>
      </c>
      <c r="O108" s="39" t="s">
        <v>229</v>
      </c>
      <c r="P108" s="43"/>
      <c r="Q108" s="39" t="s">
        <v>1937</v>
      </c>
      <c r="R108" s="42">
        <v>45292.0</v>
      </c>
      <c r="S108" s="39" t="s">
        <v>143</v>
      </c>
      <c r="T108" s="46"/>
      <c r="U108" s="39" t="s">
        <v>144</v>
      </c>
      <c r="V108" s="39" t="s">
        <v>89</v>
      </c>
      <c r="W108" s="43"/>
      <c r="X108" s="39" t="s">
        <v>1996</v>
      </c>
      <c r="Y108" s="39" t="s">
        <v>1997</v>
      </c>
      <c r="Z108" s="39" t="s">
        <v>114</v>
      </c>
      <c r="AA108" s="45">
        <v>47856.0</v>
      </c>
      <c r="AB108" s="46"/>
      <c r="AC108" s="23">
        <v>102.0</v>
      </c>
      <c r="AD108" s="39" t="s">
        <v>66</v>
      </c>
      <c r="AE108" s="39" t="s">
        <v>67</v>
      </c>
      <c r="AF108" s="39" t="s">
        <v>92</v>
      </c>
      <c r="AG108" s="39" t="s">
        <v>68</v>
      </c>
      <c r="AH108" s="39" t="s">
        <v>288</v>
      </c>
      <c r="AI108" s="39">
        <v>8.126520974E9</v>
      </c>
      <c r="AJ108" s="39" t="s">
        <v>1998</v>
      </c>
      <c r="AK108" s="39" t="s">
        <v>1999</v>
      </c>
      <c r="AL108" s="39" t="s">
        <v>2000</v>
      </c>
      <c r="AM108" s="39" t="s">
        <v>96</v>
      </c>
      <c r="AN108" s="39" t="s">
        <v>97</v>
      </c>
      <c r="AO108" s="39" t="s">
        <v>546</v>
      </c>
      <c r="AP108" s="39" t="s">
        <v>2001</v>
      </c>
      <c r="AQ108" s="43"/>
      <c r="AR108" s="43"/>
    </row>
    <row r="109">
      <c r="A109" s="21">
        <f t="shared" si="3"/>
        <v>101</v>
      </c>
      <c r="B109" s="39" t="s">
        <v>2002</v>
      </c>
      <c r="C109" s="57" t="s">
        <v>2003</v>
      </c>
      <c r="D109" s="39">
        <v>22.0</v>
      </c>
      <c r="E109" s="39">
        <v>7.0</v>
      </c>
      <c r="F109" s="39" t="s">
        <v>50</v>
      </c>
      <c r="G109" s="39" t="s">
        <v>51</v>
      </c>
      <c r="H109" s="42">
        <v>34029.0</v>
      </c>
      <c r="I109" s="39" t="s">
        <v>82</v>
      </c>
      <c r="J109" s="39" t="s">
        <v>83</v>
      </c>
      <c r="K109" s="39" t="s">
        <v>2004</v>
      </c>
      <c r="L109" s="39" t="s">
        <v>61</v>
      </c>
      <c r="M109" s="42">
        <v>44105.0</v>
      </c>
      <c r="N109" s="39" t="s">
        <v>141</v>
      </c>
      <c r="O109" s="39" t="s">
        <v>229</v>
      </c>
      <c r="P109" s="43"/>
      <c r="Q109" s="39" t="s">
        <v>1937</v>
      </c>
      <c r="R109" s="42">
        <v>45292.0</v>
      </c>
      <c r="S109" s="39" t="s">
        <v>143</v>
      </c>
      <c r="T109" s="46"/>
      <c r="U109" s="39" t="s">
        <v>144</v>
      </c>
      <c r="V109" s="39" t="s">
        <v>89</v>
      </c>
      <c r="W109" s="39" t="s">
        <v>218</v>
      </c>
      <c r="X109" s="39" t="s">
        <v>2005</v>
      </c>
      <c r="Y109" s="39" t="s">
        <v>2006</v>
      </c>
      <c r="Z109" s="39" t="s">
        <v>114</v>
      </c>
      <c r="AA109" s="45">
        <v>47493.0</v>
      </c>
      <c r="AB109" s="46"/>
      <c r="AC109" s="23">
        <v>103.0</v>
      </c>
      <c r="AD109" s="39" t="s">
        <v>66</v>
      </c>
      <c r="AE109" s="39" t="s">
        <v>67</v>
      </c>
      <c r="AF109" s="39" t="s">
        <v>92</v>
      </c>
      <c r="AG109" s="39" t="s">
        <v>130</v>
      </c>
      <c r="AH109" s="39" t="s">
        <v>131</v>
      </c>
      <c r="AI109" s="39">
        <v>8.116500768E9</v>
      </c>
      <c r="AJ109" s="39" t="s">
        <v>2007</v>
      </c>
      <c r="AK109" s="39" t="s">
        <v>2008</v>
      </c>
      <c r="AL109" s="39" t="s">
        <v>2009</v>
      </c>
      <c r="AM109" s="39" t="s">
        <v>96</v>
      </c>
      <c r="AN109" s="39" t="s">
        <v>135</v>
      </c>
      <c r="AO109" s="39" t="s">
        <v>292</v>
      </c>
      <c r="AP109" s="39" t="s">
        <v>2010</v>
      </c>
      <c r="AQ109" s="43"/>
      <c r="AR109" s="43"/>
    </row>
    <row r="110">
      <c r="A110" s="21">
        <f t="shared" si="3"/>
        <v>102</v>
      </c>
      <c r="B110" s="39" t="s">
        <v>2011</v>
      </c>
      <c r="C110" s="57" t="s">
        <v>2012</v>
      </c>
      <c r="D110" s="39">
        <v>12.0</v>
      </c>
      <c r="E110" s="39">
        <v>3.0</v>
      </c>
      <c r="F110" s="39" t="s">
        <v>80</v>
      </c>
      <c r="G110" s="39" t="s">
        <v>81</v>
      </c>
      <c r="H110" s="42">
        <v>39508.0</v>
      </c>
      <c r="I110" s="39" t="s">
        <v>82</v>
      </c>
      <c r="J110" s="39" t="s">
        <v>83</v>
      </c>
      <c r="K110" s="39" t="s">
        <v>2013</v>
      </c>
      <c r="L110" s="39" t="s">
        <v>61</v>
      </c>
      <c r="M110" s="42">
        <v>42644.0</v>
      </c>
      <c r="N110" s="39" t="s">
        <v>141</v>
      </c>
      <c r="O110" s="39" t="s">
        <v>229</v>
      </c>
      <c r="P110" s="43"/>
      <c r="Q110" s="39" t="s">
        <v>1937</v>
      </c>
      <c r="R110" s="42">
        <v>44986.0</v>
      </c>
      <c r="S110" s="39" t="s">
        <v>2014</v>
      </c>
      <c r="T110" s="46"/>
      <c r="U110" s="39" t="s">
        <v>2015</v>
      </c>
      <c r="V110" s="39" t="s">
        <v>89</v>
      </c>
      <c r="W110" s="39" t="s">
        <v>2016</v>
      </c>
      <c r="X110" s="39" t="s">
        <v>2017</v>
      </c>
      <c r="Y110" s="39" t="s">
        <v>2018</v>
      </c>
      <c r="Z110" s="39" t="s">
        <v>114</v>
      </c>
      <c r="AA110" s="45">
        <v>48219.0</v>
      </c>
      <c r="AB110" s="46"/>
      <c r="AC110" s="23">
        <v>104.0</v>
      </c>
      <c r="AD110" s="39" t="s">
        <v>66</v>
      </c>
      <c r="AE110" s="39" t="s">
        <v>67</v>
      </c>
      <c r="AF110" s="39" t="s">
        <v>92</v>
      </c>
      <c r="AG110" s="39" t="s">
        <v>68</v>
      </c>
      <c r="AH110" s="39" t="s">
        <v>246</v>
      </c>
      <c r="AI110" s="39">
        <v>8.126578066E9</v>
      </c>
      <c r="AJ110" s="39" t="s">
        <v>2019</v>
      </c>
      <c r="AK110" s="39" t="s">
        <v>2020</v>
      </c>
      <c r="AL110" s="39" t="s">
        <v>2021</v>
      </c>
      <c r="AM110" s="39" t="s">
        <v>73</v>
      </c>
      <c r="AN110" s="39" t="s">
        <v>74</v>
      </c>
      <c r="AO110" s="39" t="s">
        <v>360</v>
      </c>
      <c r="AP110" s="39" t="s">
        <v>566</v>
      </c>
      <c r="AQ110" s="39" t="s">
        <v>77</v>
      </c>
      <c r="AR110" s="39" t="s">
        <v>77</v>
      </c>
    </row>
    <row r="111">
      <c r="A111" s="21">
        <f t="shared" si="3"/>
        <v>103</v>
      </c>
      <c r="B111" s="39" t="s">
        <v>2022</v>
      </c>
      <c r="C111" s="57" t="s">
        <v>2023</v>
      </c>
      <c r="D111" s="39">
        <v>14.0</v>
      </c>
      <c r="E111" s="39">
        <v>1.0</v>
      </c>
      <c r="F111" s="39" t="s">
        <v>50</v>
      </c>
      <c r="G111" s="39" t="s">
        <v>51</v>
      </c>
      <c r="H111" s="42">
        <v>39873.0</v>
      </c>
      <c r="I111" s="39" t="s">
        <v>82</v>
      </c>
      <c r="J111" s="39" t="s">
        <v>83</v>
      </c>
      <c r="K111" s="39" t="s">
        <v>217</v>
      </c>
      <c r="L111" s="39" t="s">
        <v>61</v>
      </c>
      <c r="M111" s="42">
        <v>45383.0</v>
      </c>
      <c r="N111" s="39" t="s">
        <v>141</v>
      </c>
      <c r="O111" s="39" t="s">
        <v>173</v>
      </c>
      <c r="P111" s="43"/>
      <c r="Q111" s="39" t="s">
        <v>1937</v>
      </c>
      <c r="R111" s="42">
        <v>45292.0</v>
      </c>
      <c r="S111" s="39" t="s">
        <v>143</v>
      </c>
      <c r="T111" s="46"/>
      <c r="U111" s="39" t="s">
        <v>144</v>
      </c>
      <c r="V111" s="39" t="s">
        <v>89</v>
      </c>
      <c r="W111" s="39" t="s">
        <v>197</v>
      </c>
      <c r="X111" s="39" t="s">
        <v>2024</v>
      </c>
      <c r="Y111" s="39" t="s">
        <v>1930</v>
      </c>
      <c r="Z111" s="39" t="s">
        <v>114</v>
      </c>
      <c r="AA111" s="45">
        <v>51139.0</v>
      </c>
      <c r="AB111" s="46"/>
      <c r="AC111" s="23">
        <v>105.0</v>
      </c>
      <c r="AD111" s="39" t="s">
        <v>66</v>
      </c>
      <c r="AE111" s="39" t="s">
        <v>67</v>
      </c>
      <c r="AF111" s="39" t="s">
        <v>92</v>
      </c>
      <c r="AG111" s="39" t="s">
        <v>68</v>
      </c>
      <c r="AH111" s="39" t="s">
        <v>288</v>
      </c>
      <c r="AI111" s="39">
        <v>8.1265207876E10</v>
      </c>
      <c r="AJ111" s="39" t="s">
        <v>2025</v>
      </c>
      <c r="AK111" s="39" t="s">
        <v>2026</v>
      </c>
      <c r="AL111" s="39" t="s">
        <v>2027</v>
      </c>
      <c r="AM111" s="39" t="s">
        <v>96</v>
      </c>
      <c r="AN111" s="39" t="s">
        <v>481</v>
      </c>
      <c r="AO111" s="39" t="s">
        <v>1082</v>
      </c>
      <c r="AP111" s="39" t="s">
        <v>1083</v>
      </c>
      <c r="AQ111" s="43"/>
      <c r="AR111" s="43"/>
    </row>
    <row r="112">
      <c r="A112" s="21">
        <f t="shared" si="3"/>
        <v>104</v>
      </c>
      <c r="B112" s="39" t="s">
        <v>2028</v>
      </c>
      <c r="C112" s="57" t="s">
        <v>2029</v>
      </c>
      <c r="D112" s="39">
        <v>15.0</v>
      </c>
      <c r="E112" s="39">
        <v>3.0</v>
      </c>
      <c r="F112" s="39" t="s">
        <v>80</v>
      </c>
      <c r="G112" s="39" t="s">
        <v>81</v>
      </c>
      <c r="H112" s="42">
        <v>41183.0</v>
      </c>
      <c r="I112" s="39" t="s">
        <v>82</v>
      </c>
      <c r="J112" s="39" t="s">
        <v>83</v>
      </c>
      <c r="K112" s="39" t="s">
        <v>417</v>
      </c>
      <c r="L112" s="39" t="s">
        <v>105</v>
      </c>
      <c r="M112" s="42">
        <v>45566.0</v>
      </c>
      <c r="N112" s="39" t="s">
        <v>141</v>
      </c>
      <c r="O112" s="39" t="s">
        <v>229</v>
      </c>
      <c r="P112" s="43"/>
      <c r="Q112" s="39" t="s">
        <v>1937</v>
      </c>
      <c r="R112" s="42">
        <v>45292.0</v>
      </c>
      <c r="S112" s="39" t="s">
        <v>143</v>
      </c>
      <c r="T112" s="46"/>
      <c r="U112" s="39" t="s">
        <v>144</v>
      </c>
      <c r="V112" s="39" t="s">
        <v>89</v>
      </c>
      <c r="W112" s="39" t="s">
        <v>2030</v>
      </c>
      <c r="X112" s="39" t="s">
        <v>2031</v>
      </c>
      <c r="Y112" s="39" t="s">
        <v>2032</v>
      </c>
      <c r="Z112" s="39" t="s">
        <v>114</v>
      </c>
      <c r="AA112" s="45">
        <v>52236.0</v>
      </c>
      <c r="AB112" s="46"/>
      <c r="AC112" s="23">
        <v>106.0</v>
      </c>
      <c r="AD112" s="39" t="s">
        <v>66</v>
      </c>
      <c r="AE112" s="39" t="s">
        <v>67</v>
      </c>
      <c r="AF112" s="39" t="s">
        <v>92</v>
      </c>
      <c r="AG112" s="39" t="s">
        <v>68</v>
      </c>
      <c r="AH112" s="39" t="s">
        <v>69</v>
      </c>
      <c r="AI112" s="39">
        <v>8.2367694755E10</v>
      </c>
      <c r="AJ112" s="39" t="s">
        <v>2033</v>
      </c>
      <c r="AK112" s="39" t="s">
        <v>2034</v>
      </c>
      <c r="AL112" s="39" t="s">
        <v>2035</v>
      </c>
      <c r="AM112" s="39" t="s">
        <v>96</v>
      </c>
      <c r="AN112" s="39" t="s">
        <v>135</v>
      </c>
      <c r="AO112" s="39" t="s">
        <v>379</v>
      </c>
      <c r="AP112" s="39" t="s">
        <v>2036</v>
      </c>
      <c r="AQ112" s="39">
        <v>0.0</v>
      </c>
      <c r="AR112" s="39">
        <v>0.0</v>
      </c>
    </row>
    <row r="113">
      <c r="A113" s="21">
        <f t="shared" si="3"/>
        <v>105</v>
      </c>
      <c r="B113" s="39" t="s">
        <v>2037</v>
      </c>
      <c r="C113" s="57" t="s">
        <v>2038</v>
      </c>
      <c r="D113" s="39">
        <v>14.0</v>
      </c>
      <c r="E113" s="39">
        <v>7.0</v>
      </c>
      <c r="F113" s="39" t="s">
        <v>50</v>
      </c>
      <c r="G113" s="39" t="s">
        <v>51</v>
      </c>
      <c r="H113" s="42">
        <v>39873.0</v>
      </c>
      <c r="I113" s="39" t="s">
        <v>82</v>
      </c>
      <c r="J113" s="39" t="s">
        <v>83</v>
      </c>
      <c r="K113" s="39" t="s">
        <v>417</v>
      </c>
      <c r="L113" s="39" t="s">
        <v>105</v>
      </c>
      <c r="M113" s="42">
        <v>45566.0</v>
      </c>
      <c r="N113" s="39" t="s">
        <v>141</v>
      </c>
      <c r="O113" s="39" t="s">
        <v>229</v>
      </c>
      <c r="P113" s="43"/>
      <c r="Q113" s="39" t="s">
        <v>1937</v>
      </c>
      <c r="R113" s="42">
        <v>45292.0</v>
      </c>
      <c r="S113" s="39" t="s">
        <v>143</v>
      </c>
      <c r="T113" s="46"/>
      <c r="U113" s="39" t="s">
        <v>144</v>
      </c>
      <c r="V113" s="39" t="s">
        <v>89</v>
      </c>
      <c r="W113" s="39" t="s">
        <v>218</v>
      </c>
      <c r="X113" s="39" t="s">
        <v>1864</v>
      </c>
      <c r="Y113" s="47">
        <v>40864.0</v>
      </c>
      <c r="Z113" s="39" t="s">
        <v>114</v>
      </c>
      <c r="AA113" s="45">
        <v>51875.0</v>
      </c>
      <c r="AB113" s="46"/>
      <c r="AC113" s="23">
        <v>107.0</v>
      </c>
      <c r="AD113" s="39" t="s">
        <v>66</v>
      </c>
      <c r="AE113" s="39" t="s">
        <v>67</v>
      </c>
      <c r="AF113" s="39" t="s">
        <v>92</v>
      </c>
      <c r="AG113" s="39" t="s">
        <v>68</v>
      </c>
      <c r="AH113" s="39" t="s">
        <v>288</v>
      </c>
      <c r="AI113" s="39">
        <v>8.1260020255E10</v>
      </c>
      <c r="AJ113" s="39" t="s">
        <v>2039</v>
      </c>
      <c r="AK113" s="39" t="s">
        <v>2040</v>
      </c>
      <c r="AL113" s="39" t="s">
        <v>2041</v>
      </c>
      <c r="AM113" s="39" t="s">
        <v>96</v>
      </c>
      <c r="AN113" s="39" t="s">
        <v>2042</v>
      </c>
      <c r="AO113" s="39" t="s">
        <v>2043</v>
      </c>
      <c r="AP113" s="39" t="s">
        <v>2001</v>
      </c>
      <c r="AQ113" s="43"/>
      <c r="AR113" s="43"/>
    </row>
    <row r="114">
      <c r="A114" s="21">
        <f t="shared" si="3"/>
        <v>106</v>
      </c>
      <c r="B114" s="39" t="s">
        <v>2044</v>
      </c>
      <c r="C114" s="57" t="s">
        <v>2045</v>
      </c>
      <c r="D114" s="39">
        <v>27.0</v>
      </c>
      <c r="E114" s="39">
        <v>8.0</v>
      </c>
      <c r="F114" s="39" t="s">
        <v>50</v>
      </c>
      <c r="G114" s="39" t="s">
        <v>51</v>
      </c>
      <c r="H114" s="42">
        <v>39083.0</v>
      </c>
      <c r="I114" s="39" t="s">
        <v>82</v>
      </c>
      <c r="J114" s="39" t="s">
        <v>83</v>
      </c>
      <c r="K114" s="39" t="s">
        <v>417</v>
      </c>
      <c r="L114" s="39" t="s">
        <v>105</v>
      </c>
      <c r="M114" s="42">
        <v>45566.0</v>
      </c>
      <c r="N114" s="39" t="s">
        <v>141</v>
      </c>
      <c r="O114" s="39" t="s">
        <v>229</v>
      </c>
      <c r="P114" s="43"/>
      <c r="Q114" s="39" t="s">
        <v>1937</v>
      </c>
      <c r="R114" s="42">
        <v>45292.0</v>
      </c>
      <c r="S114" s="39" t="s">
        <v>143</v>
      </c>
      <c r="T114" s="46"/>
      <c r="U114" s="39" t="s">
        <v>144</v>
      </c>
      <c r="V114" s="39" t="s">
        <v>159</v>
      </c>
      <c r="W114" s="39" t="s">
        <v>160</v>
      </c>
      <c r="X114" s="39" t="s">
        <v>161</v>
      </c>
      <c r="Y114" s="39" t="s">
        <v>2046</v>
      </c>
      <c r="Z114" s="43"/>
      <c r="AA114" s="45">
        <v>46393.0</v>
      </c>
      <c r="AB114" s="46"/>
      <c r="AC114" s="23">
        <v>108.0</v>
      </c>
      <c r="AD114" s="39" t="s">
        <v>66</v>
      </c>
      <c r="AE114" s="39" t="s">
        <v>67</v>
      </c>
      <c r="AF114" s="39" t="s">
        <v>92</v>
      </c>
      <c r="AG114" s="39" t="s">
        <v>68</v>
      </c>
      <c r="AH114" s="39" t="s">
        <v>69</v>
      </c>
      <c r="AI114" s="39">
        <v>8.1361553442E10</v>
      </c>
      <c r="AJ114" s="39" t="s">
        <v>2047</v>
      </c>
      <c r="AK114" s="39" t="s">
        <v>2048</v>
      </c>
      <c r="AL114" s="39" t="s">
        <v>2049</v>
      </c>
      <c r="AM114" s="39" t="s">
        <v>96</v>
      </c>
      <c r="AN114" s="39" t="s">
        <v>135</v>
      </c>
      <c r="AO114" s="39" t="s">
        <v>292</v>
      </c>
      <c r="AP114" s="39" t="s">
        <v>2050</v>
      </c>
      <c r="AQ114" s="39" t="s">
        <v>77</v>
      </c>
      <c r="AR114" s="39" t="s">
        <v>77</v>
      </c>
    </row>
    <row r="115">
      <c r="A115" s="21">
        <f t="shared" si="3"/>
        <v>107</v>
      </c>
      <c r="B115" s="39" t="s">
        <v>2051</v>
      </c>
      <c r="C115" s="57" t="s">
        <v>2052</v>
      </c>
      <c r="D115" s="39">
        <v>24.0</v>
      </c>
      <c r="E115" s="39">
        <v>4.0</v>
      </c>
      <c r="F115" s="39" t="s">
        <v>50</v>
      </c>
      <c r="G115" s="39" t="s">
        <v>51</v>
      </c>
      <c r="H115" s="39" t="s">
        <v>2053</v>
      </c>
      <c r="I115" s="39" t="s">
        <v>82</v>
      </c>
      <c r="J115" s="39" t="s">
        <v>83</v>
      </c>
      <c r="K115" s="39" t="s">
        <v>217</v>
      </c>
      <c r="L115" s="39" t="s">
        <v>61</v>
      </c>
      <c r="M115" s="42">
        <v>45383.0</v>
      </c>
      <c r="N115" s="39" t="s">
        <v>141</v>
      </c>
      <c r="O115" s="39" t="s">
        <v>173</v>
      </c>
      <c r="P115" s="43"/>
      <c r="Q115" s="39" t="s">
        <v>1952</v>
      </c>
      <c r="R115" s="42">
        <v>45292.0</v>
      </c>
      <c r="S115" s="39" t="s">
        <v>143</v>
      </c>
      <c r="T115" s="46"/>
      <c r="U115" s="39" t="s">
        <v>144</v>
      </c>
      <c r="V115" s="39" t="s">
        <v>89</v>
      </c>
      <c r="W115" s="39" t="s">
        <v>218</v>
      </c>
      <c r="X115" s="39" t="s">
        <v>2054</v>
      </c>
      <c r="Y115" s="39" t="s">
        <v>2055</v>
      </c>
      <c r="Z115" s="43"/>
      <c r="AA115" s="45">
        <v>47859.0</v>
      </c>
      <c r="AB115" s="46"/>
      <c r="AC115" s="23">
        <v>109.0</v>
      </c>
      <c r="AD115" s="39" t="s">
        <v>66</v>
      </c>
      <c r="AE115" s="39" t="s">
        <v>67</v>
      </c>
      <c r="AF115" s="39" t="s">
        <v>92</v>
      </c>
      <c r="AG115" s="39" t="s">
        <v>130</v>
      </c>
      <c r="AH115" s="39" t="s">
        <v>246</v>
      </c>
      <c r="AI115" s="39">
        <v>8.5261902566E10</v>
      </c>
      <c r="AJ115" s="39" t="s">
        <v>2056</v>
      </c>
      <c r="AK115" s="39" t="s">
        <v>2057</v>
      </c>
      <c r="AL115" s="39" t="s">
        <v>2058</v>
      </c>
      <c r="AM115" s="39" t="s">
        <v>96</v>
      </c>
      <c r="AN115" s="39" t="s">
        <v>514</v>
      </c>
      <c r="AO115" s="39" t="s">
        <v>2059</v>
      </c>
      <c r="AP115" s="39" t="s">
        <v>2060</v>
      </c>
      <c r="AQ115" s="43"/>
      <c r="AR115" s="43"/>
    </row>
    <row r="116">
      <c r="A116" s="21">
        <f t="shared" si="3"/>
        <v>108</v>
      </c>
      <c r="B116" s="39" t="s">
        <v>2061</v>
      </c>
      <c r="C116" s="57" t="s">
        <v>2062</v>
      </c>
      <c r="D116" s="39">
        <v>13.0</v>
      </c>
      <c r="E116" s="39">
        <v>9.0</v>
      </c>
      <c r="F116" s="39" t="s">
        <v>80</v>
      </c>
      <c r="G116" s="39" t="s">
        <v>81</v>
      </c>
      <c r="H116" s="42">
        <v>40756.0</v>
      </c>
      <c r="I116" s="39" t="s">
        <v>82</v>
      </c>
      <c r="J116" s="39" t="s">
        <v>83</v>
      </c>
      <c r="K116" s="39" t="s">
        <v>1561</v>
      </c>
      <c r="L116" s="39" t="s">
        <v>105</v>
      </c>
      <c r="M116" s="42">
        <v>45200.0</v>
      </c>
      <c r="N116" s="39" t="s">
        <v>141</v>
      </c>
      <c r="O116" s="39" t="s">
        <v>229</v>
      </c>
      <c r="P116" s="43"/>
      <c r="Q116" s="39" t="s">
        <v>1937</v>
      </c>
      <c r="R116" s="42">
        <v>45292.0</v>
      </c>
      <c r="S116" s="39" t="s">
        <v>143</v>
      </c>
      <c r="T116" s="46"/>
      <c r="U116" s="39" t="s">
        <v>144</v>
      </c>
      <c r="V116" s="39" t="s">
        <v>89</v>
      </c>
      <c r="W116" s="39" t="s">
        <v>2063</v>
      </c>
      <c r="X116" s="39" t="s">
        <v>2064</v>
      </c>
      <c r="Y116" s="39" t="s">
        <v>2065</v>
      </c>
      <c r="Z116" s="39" t="s">
        <v>114</v>
      </c>
      <c r="AA116" s="45">
        <v>50781.0</v>
      </c>
      <c r="AB116" s="46"/>
      <c r="AC116" s="23">
        <v>110.0</v>
      </c>
      <c r="AD116" s="39" t="s">
        <v>66</v>
      </c>
      <c r="AE116" s="39" t="s">
        <v>67</v>
      </c>
      <c r="AF116" s="39" t="s">
        <v>92</v>
      </c>
      <c r="AG116" s="39" t="s">
        <v>68</v>
      </c>
      <c r="AH116" s="39" t="s">
        <v>69</v>
      </c>
      <c r="AI116" s="39">
        <v>8.1370831181E10</v>
      </c>
      <c r="AJ116" s="39" t="s">
        <v>2066</v>
      </c>
      <c r="AK116" s="39" t="s">
        <v>2067</v>
      </c>
      <c r="AL116" s="39" t="s">
        <v>2068</v>
      </c>
      <c r="AM116" s="39" t="s">
        <v>96</v>
      </c>
      <c r="AN116" s="39" t="s">
        <v>2069</v>
      </c>
      <c r="AO116" s="39" t="s">
        <v>2070</v>
      </c>
      <c r="AP116" s="39" t="s">
        <v>2071</v>
      </c>
      <c r="AQ116" s="39">
        <v>5.0</v>
      </c>
      <c r="AR116" s="39">
        <v>1.0</v>
      </c>
    </row>
    <row r="117">
      <c r="A117" s="21">
        <f t="shared" si="3"/>
        <v>109</v>
      </c>
      <c r="B117" s="39" t="s">
        <v>2072</v>
      </c>
      <c r="C117" s="57" t="s">
        <v>2073</v>
      </c>
      <c r="D117" s="39">
        <v>12.0</v>
      </c>
      <c r="E117" s="39">
        <v>3.0</v>
      </c>
      <c r="F117" s="39" t="s">
        <v>80</v>
      </c>
      <c r="G117" s="39" t="s">
        <v>81</v>
      </c>
      <c r="H117" s="42">
        <v>40544.0</v>
      </c>
      <c r="I117" s="39" t="s">
        <v>82</v>
      </c>
      <c r="J117" s="39" t="s">
        <v>83</v>
      </c>
      <c r="K117" s="39" t="s">
        <v>2074</v>
      </c>
      <c r="L117" s="39" t="s">
        <v>105</v>
      </c>
      <c r="M117" s="42">
        <v>45017.0</v>
      </c>
      <c r="N117" s="39" t="s">
        <v>141</v>
      </c>
      <c r="O117" s="39" t="s">
        <v>229</v>
      </c>
      <c r="P117" s="43"/>
      <c r="Q117" s="39" t="s">
        <v>1937</v>
      </c>
      <c r="R117" s="42">
        <v>45292.0</v>
      </c>
      <c r="S117" s="39" t="s">
        <v>143</v>
      </c>
      <c r="T117" s="46"/>
      <c r="U117" s="39" t="s">
        <v>144</v>
      </c>
      <c r="V117" s="39" t="s">
        <v>89</v>
      </c>
      <c r="W117" s="39" t="s">
        <v>647</v>
      </c>
      <c r="X117" s="39" t="s">
        <v>244</v>
      </c>
      <c r="Y117" s="39" t="s">
        <v>2075</v>
      </c>
      <c r="Z117" s="43"/>
      <c r="AA117" s="45">
        <v>51873.0</v>
      </c>
      <c r="AB117" s="46"/>
      <c r="AC117" s="23">
        <v>111.0</v>
      </c>
      <c r="AD117" s="39" t="s">
        <v>66</v>
      </c>
      <c r="AE117" s="39" t="s">
        <v>67</v>
      </c>
      <c r="AF117" s="43"/>
      <c r="AG117" s="39" t="s">
        <v>68</v>
      </c>
      <c r="AH117" s="39" t="s">
        <v>69</v>
      </c>
      <c r="AI117" s="39">
        <v>8.1265070111E10</v>
      </c>
      <c r="AJ117" s="39" t="s">
        <v>2076</v>
      </c>
      <c r="AK117" s="39" t="s">
        <v>2077</v>
      </c>
      <c r="AL117" s="39" t="s">
        <v>2078</v>
      </c>
      <c r="AM117" s="39" t="s">
        <v>96</v>
      </c>
      <c r="AN117" s="39" t="s">
        <v>166</v>
      </c>
      <c r="AO117" s="39" t="s">
        <v>167</v>
      </c>
      <c r="AP117" s="39" t="s">
        <v>2079</v>
      </c>
      <c r="AQ117" s="43"/>
      <c r="AR117" s="43"/>
    </row>
    <row r="118">
      <c r="A118" s="21">
        <f t="shared" si="3"/>
        <v>110</v>
      </c>
      <c r="B118" s="39" t="s">
        <v>2080</v>
      </c>
      <c r="C118" s="57" t="s">
        <v>2081</v>
      </c>
      <c r="D118" s="39">
        <v>16.0</v>
      </c>
      <c r="E118" s="39">
        <v>5.0</v>
      </c>
      <c r="F118" s="39" t="s">
        <v>80</v>
      </c>
      <c r="G118" s="39" t="s">
        <v>81</v>
      </c>
      <c r="H118" s="42">
        <v>39873.0</v>
      </c>
      <c r="I118" s="39" t="s">
        <v>82</v>
      </c>
      <c r="J118" s="39" t="s">
        <v>83</v>
      </c>
      <c r="K118" s="39" t="s">
        <v>1505</v>
      </c>
      <c r="L118" s="39" t="s">
        <v>88</v>
      </c>
      <c r="M118" s="42">
        <v>44287.0</v>
      </c>
      <c r="N118" s="39" t="s">
        <v>141</v>
      </c>
      <c r="O118" s="39" t="s">
        <v>229</v>
      </c>
      <c r="P118" s="43"/>
      <c r="Q118" s="39" t="s">
        <v>59</v>
      </c>
      <c r="R118" s="42">
        <v>45474.0</v>
      </c>
      <c r="S118" s="39" t="s">
        <v>1362</v>
      </c>
      <c r="T118" s="46"/>
      <c r="U118" s="39" t="s">
        <v>144</v>
      </c>
      <c r="V118" s="39" t="s">
        <v>89</v>
      </c>
      <c r="W118" s="39" t="s">
        <v>1214</v>
      </c>
      <c r="X118" s="39" t="s">
        <v>2082</v>
      </c>
      <c r="Y118" s="47">
        <v>37585.0</v>
      </c>
      <c r="Z118" s="43"/>
      <c r="AA118" s="45">
        <v>49685.0</v>
      </c>
      <c r="AB118" s="46"/>
      <c r="AC118" s="23">
        <v>112.0</v>
      </c>
      <c r="AD118" s="39" t="s">
        <v>66</v>
      </c>
      <c r="AE118" s="39" t="s">
        <v>67</v>
      </c>
      <c r="AF118" s="43"/>
      <c r="AG118" s="39" t="s">
        <v>68</v>
      </c>
      <c r="AH118" s="43"/>
      <c r="AI118" s="39">
        <v>8.1360135187E10</v>
      </c>
      <c r="AJ118" s="39" t="s">
        <v>2083</v>
      </c>
      <c r="AK118" s="39" t="s">
        <v>2084</v>
      </c>
      <c r="AL118" s="39" t="s">
        <v>2085</v>
      </c>
      <c r="AM118" s="39" t="s">
        <v>96</v>
      </c>
      <c r="AN118" s="39" t="s">
        <v>97</v>
      </c>
      <c r="AO118" s="39" t="s">
        <v>1006</v>
      </c>
      <c r="AP118" s="39" t="s">
        <v>2086</v>
      </c>
      <c r="AQ118" s="43"/>
      <c r="AR118" s="43"/>
    </row>
    <row r="119">
      <c r="A119" s="21">
        <f t="shared" si="3"/>
        <v>111</v>
      </c>
      <c r="B119" s="39" t="s">
        <v>2087</v>
      </c>
      <c r="C119" s="57" t="s">
        <v>2088</v>
      </c>
      <c r="D119" s="39">
        <v>12.0</v>
      </c>
      <c r="E119" s="39">
        <v>3.0</v>
      </c>
      <c r="F119" s="39" t="s">
        <v>80</v>
      </c>
      <c r="G119" s="39" t="s">
        <v>81</v>
      </c>
      <c r="H119" s="42">
        <v>40544.0</v>
      </c>
      <c r="I119" s="39" t="s">
        <v>82</v>
      </c>
      <c r="J119" s="39" t="s">
        <v>83</v>
      </c>
      <c r="K119" s="39" t="s">
        <v>2074</v>
      </c>
      <c r="L119" s="39" t="s">
        <v>105</v>
      </c>
      <c r="M119" s="42">
        <v>45017.0</v>
      </c>
      <c r="N119" s="39" t="s">
        <v>141</v>
      </c>
      <c r="O119" s="39" t="s">
        <v>173</v>
      </c>
      <c r="P119" s="43"/>
      <c r="Q119" s="39" t="s">
        <v>1937</v>
      </c>
      <c r="R119" s="42">
        <v>45292.0</v>
      </c>
      <c r="S119" s="39" t="s">
        <v>143</v>
      </c>
      <c r="T119" s="46"/>
      <c r="U119" s="39" t="s">
        <v>144</v>
      </c>
      <c r="V119" s="39" t="s">
        <v>89</v>
      </c>
      <c r="W119" s="39" t="s">
        <v>90</v>
      </c>
      <c r="X119" s="39" t="s">
        <v>244</v>
      </c>
      <c r="Y119" s="39" t="s">
        <v>2089</v>
      </c>
      <c r="Z119" s="39" t="s">
        <v>114</v>
      </c>
      <c r="AA119" s="45">
        <v>51872.0</v>
      </c>
      <c r="AB119" s="46"/>
      <c r="AC119" s="23">
        <v>113.0</v>
      </c>
      <c r="AD119" s="39" t="s">
        <v>66</v>
      </c>
      <c r="AE119" s="39" t="s">
        <v>67</v>
      </c>
      <c r="AF119" s="39" t="s">
        <v>92</v>
      </c>
      <c r="AG119" s="39" t="s">
        <v>130</v>
      </c>
      <c r="AH119" s="39" t="s">
        <v>288</v>
      </c>
      <c r="AI119" s="39">
        <v>8.2273273449E10</v>
      </c>
      <c r="AJ119" s="39" t="s">
        <v>2090</v>
      </c>
      <c r="AK119" s="39" t="s">
        <v>2091</v>
      </c>
      <c r="AL119" s="39" t="s">
        <v>2092</v>
      </c>
      <c r="AM119" s="39" t="s">
        <v>73</v>
      </c>
      <c r="AN119" s="39" t="s">
        <v>74</v>
      </c>
      <c r="AO119" s="39" t="s">
        <v>75</v>
      </c>
      <c r="AP119" s="39" t="s">
        <v>1236</v>
      </c>
      <c r="AQ119" s="39" t="s">
        <v>77</v>
      </c>
      <c r="AR119" s="39" t="s">
        <v>77</v>
      </c>
    </row>
    <row r="120">
      <c r="A120" s="21">
        <f t="shared" si="3"/>
        <v>112</v>
      </c>
      <c r="B120" s="39" t="s">
        <v>2093</v>
      </c>
      <c r="C120" s="57" t="s">
        <v>2094</v>
      </c>
      <c r="D120" s="39">
        <v>17.0</v>
      </c>
      <c r="E120" s="39">
        <v>6.0</v>
      </c>
      <c r="F120" s="39" t="s">
        <v>50</v>
      </c>
      <c r="G120" s="39" t="s">
        <v>51</v>
      </c>
      <c r="H120" s="42">
        <v>40878.0</v>
      </c>
      <c r="I120" s="39" t="s">
        <v>82</v>
      </c>
      <c r="J120" s="39" t="s">
        <v>83</v>
      </c>
      <c r="K120" s="39" t="s">
        <v>2095</v>
      </c>
      <c r="L120" s="39" t="s">
        <v>105</v>
      </c>
      <c r="M120" s="42">
        <v>44470.0</v>
      </c>
      <c r="N120" s="39" t="s">
        <v>141</v>
      </c>
      <c r="O120" s="39" t="s">
        <v>229</v>
      </c>
      <c r="P120" s="43"/>
      <c r="Q120" s="39" t="s">
        <v>1937</v>
      </c>
      <c r="R120" s="42">
        <v>45292.0</v>
      </c>
      <c r="S120" s="39" t="s">
        <v>143</v>
      </c>
      <c r="T120" s="46"/>
      <c r="U120" s="39" t="s">
        <v>144</v>
      </c>
      <c r="V120" s="39" t="s">
        <v>159</v>
      </c>
      <c r="W120" s="39" t="s">
        <v>2096</v>
      </c>
      <c r="X120" s="39" t="s">
        <v>1329</v>
      </c>
      <c r="Y120" s="39" t="s">
        <v>2097</v>
      </c>
      <c r="Z120" s="39" t="s">
        <v>114</v>
      </c>
      <c r="AA120" s="45">
        <v>50048.0</v>
      </c>
      <c r="AB120" s="46"/>
      <c r="AC120" s="23">
        <v>114.0</v>
      </c>
      <c r="AD120" s="39" t="s">
        <v>66</v>
      </c>
      <c r="AE120" s="39" t="s">
        <v>67</v>
      </c>
      <c r="AF120" s="43"/>
      <c r="AG120" s="39" t="s">
        <v>68</v>
      </c>
      <c r="AH120" s="39" t="s">
        <v>246</v>
      </c>
      <c r="AI120" s="39">
        <v>8.5261174979E10</v>
      </c>
      <c r="AJ120" s="39" t="s">
        <v>2098</v>
      </c>
      <c r="AK120" s="39" t="s">
        <v>2099</v>
      </c>
      <c r="AL120" s="39" t="s">
        <v>2100</v>
      </c>
      <c r="AM120" s="39" t="s">
        <v>96</v>
      </c>
      <c r="AN120" s="43"/>
      <c r="AO120" s="43"/>
      <c r="AP120" s="43"/>
      <c r="AQ120" s="43"/>
      <c r="AR120" s="43"/>
    </row>
    <row r="121">
      <c r="A121" s="21">
        <f t="shared" si="3"/>
        <v>113</v>
      </c>
      <c r="B121" s="39" t="s">
        <v>2101</v>
      </c>
      <c r="C121" s="57" t="s">
        <v>2102</v>
      </c>
      <c r="D121" s="39">
        <v>14.0</v>
      </c>
      <c r="E121" s="39">
        <v>7.0</v>
      </c>
      <c r="F121" s="39" t="s">
        <v>50</v>
      </c>
      <c r="G121" s="39" t="s">
        <v>51</v>
      </c>
      <c r="H121" s="42">
        <v>39873.0</v>
      </c>
      <c r="I121" s="39" t="s">
        <v>82</v>
      </c>
      <c r="J121" s="39" t="s">
        <v>83</v>
      </c>
      <c r="K121" s="39" t="s">
        <v>417</v>
      </c>
      <c r="L121" s="39" t="s">
        <v>105</v>
      </c>
      <c r="M121" s="42">
        <v>45566.0</v>
      </c>
      <c r="N121" s="39" t="s">
        <v>141</v>
      </c>
      <c r="O121" s="39" t="s">
        <v>229</v>
      </c>
      <c r="P121" s="43"/>
      <c r="Q121" s="39" t="s">
        <v>1937</v>
      </c>
      <c r="R121" s="42">
        <v>45292.0</v>
      </c>
      <c r="S121" s="39" t="s">
        <v>143</v>
      </c>
      <c r="T121" s="46"/>
      <c r="U121" s="39" t="s">
        <v>144</v>
      </c>
      <c r="V121" s="39" t="s">
        <v>89</v>
      </c>
      <c r="W121" s="39" t="s">
        <v>90</v>
      </c>
      <c r="X121" s="39" t="s">
        <v>1521</v>
      </c>
      <c r="Y121" s="47">
        <v>40497.0</v>
      </c>
      <c r="Z121" s="43"/>
      <c r="AA121" s="45">
        <v>47852.0</v>
      </c>
      <c r="AB121" s="46"/>
      <c r="AC121" s="23">
        <v>115.0</v>
      </c>
      <c r="AD121" s="39" t="s">
        <v>66</v>
      </c>
      <c r="AE121" s="39" t="s">
        <v>67</v>
      </c>
      <c r="AF121" s="39" t="s">
        <v>92</v>
      </c>
      <c r="AG121" s="39" t="s">
        <v>68</v>
      </c>
      <c r="AH121" s="39" t="s">
        <v>69</v>
      </c>
      <c r="AI121" s="39">
        <v>8.5262375051E10</v>
      </c>
      <c r="AJ121" s="39" t="s">
        <v>2103</v>
      </c>
      <c r="AK121" s="39" t="s">
        <v>2104</v>
      </c>
      <c r="AL121" s="39" t="s">
        <v>2105</v>
      </c>
      <c r="AM121" s="39" t="s">
        <v>96</v>
      </c>
      <c r="AN121" s="43"/>
      <c r="AO121" s="39" t="s">
        <v>2106</v>
      </c>
      <c r="AP121" s="39" t="s">
        <v>2107</v>
      </c>
      <c r="AQ121" s="43"/>
      <c r="AR121" s="43"/>
    </row>
    <row r="122">
      <c r="A122" s="21">
        <f t="shared" si="3"/>
        <v>114</v>
      </c>
      <c r="B122" s="39" t="s">
        <v>2108</v>
      </c>
      <c r="C122" s="57" t="s">
        <v>2109</v>
      </c>
      <c r="D122" s="39">
        <v>14.0</v>
      </c>
      <c r="E122" s="39">
        <v>7.0</v>
      </c>
      <c r="F122" s="39" t="s">
        <v>50</v>
      </c>
      <c r="G122" s="39" t="s">
        <v>51</v>
      </c>
      <c r="H122" s="42">
        <v>39873.0</v>
      </c>
      <c r="I122" s="39" t="s">
        <v>82</v>
      </c>
      <c r="J122" s="39" t="s">
        <v>83</v>
      </c>
      <c r="K122" s="39" t="s">
        <v>417</v>
      </c>
      <c r="L122" s="39" t="s">
        <v>105</v>
      </c>
      <c r="M122" s="42">
        <v>45566.0</v>
      </c>
      <c r="N122" s="39" t="s">
        <v>141</v>
      </c>
      <c r="O122" s="39" t="s">
        <v>173</v>
      </c>
      <c r="P122" s="43"/>
      <c r="Q122" s="39" t="s">
        <v>1937</v>
      </c>
      <c r="R122" s="42">
        <v>45292.0</v>
      </c>
      <c r="S122" s="39" t="s">
        <v>143</v>
      </c>
      <c r="T122" s="46"/>
      <c r="U122" s="39" t="s">
        <v>144</v>
      </c>
      <c r="V122" s="39" t="s">
        <v>89</v>
      </c>
      <c r="W122" s="39" t="s">
        <v>374</v>
      </c>
      <c r="X122" s="39" t="s">
        <v>2024</v>
      </c>
      <c r="Y122" s="39" t="s">
        <v>1930</v>
      </c>
      <c r="Z122" s="39" t="s">
        <v>114</v>
      </c>
      <c r="AA122" s="45">
        <v>50782.0</v>
      </c>
      <c r="AB122" s="43"/>
      <c r="AC122" s="23">
        <v>116.0</v>
      </c>
      <c r="AD122" s="39" t="s">
        <v>66</v>
      </c>
      <c r="AE122" s="39" t="s">
        <v>67</v>
      </c>
      <c r="AF122" s="39" t="s">
        <v>92</v>
      </c>
      <c r="AG122" s="39" t="s">
        <v>130</v>
      </c>
      <c r="AH122" s="39" t="s">
        <v>69</v>
      </c>
      <c r="AI122" s="39">
        <v>8.116326126E9</v>
      </c>
      <c r="AJ122" s="39" t="s">
        <v>2110</v>
      </c>
      <c r="AK122" s="39" t="s">
        <v>2111</v>
      </c>
      <c r="AL122" s="39" t="s">
        <v>2112</v>
      </c>
      <c r="AM122" s="39" t="s">
        <v>96</v>
      </c>
      <c r="AN122" s="39" t="s">
        <v>97</v>
      </c>
      <c r="AO122" s="39" t="s">
        <v>454</v>
      </c>
      <c r="AP122" s="39" t="s">
        <v>605</v>
      </c>
      <c r="AQ122" s="43"/>
      <c r="AR122" s="43"/>
    </row>
    <row r="123">
      <c r="A123" s="21">
        <f t="shared" si="3"/>
        <v>115</v>
      </c>
      <c r="B123" s="39" t="s">
        <v>2113</v>
      </c>
      <c r="C123" s="40" t="s">
        <v>2114</v>
      </c>
      <c r="D123" s="41">
        <v>17.0</v>
      </c>
      <c r="E123" s="41">
        <v>3.0</v>
      </c>
      <c r="F123" s="41" t="s">
        <v>171</v>
      </c>
      <c r="G123" s="41" t="s">
        <v>172</v>
      </c>
      <c r="H123" s="58">
        <v>37347.0</v>
      </c>
      <c r="I123" s="39" t="s">
        <v>82</v>
      </c>
      <c r="J123" s="39" t="s">
        <v>83</v>
      </c>
      <c r="K123" s="39" t="s">
        <v>2115</v>
      </c>
      <c r="L123" s="39" t="s">
        <v>1314</v>
      </c>
      <c r="M123" s="42">
        <v>42826.0</v>
      </c>
      <c r="N123" s="41" t="s">
        <v>141</v>
      </c>
      <c r="O123" s="39" t="s">
        <v>173</v>
      </c>
      <c r="P123" s="59"/>
      <c r="Q123" s="39" t="s">
        <v>59</v>
      </c>
      <c r="R123" s="58">
        <v>45292.0</v>
      </c>
      <c r="S123" s="41" t="s">
        <v>143</v>
      </c>
      <c r="T123" s="70"/>
      <c r="U123" s="41" t="s">
        <v>144</v>
      </c>
      <c r="V123" s="39" t="s">
        <v>159</v>
      </c>
      <c r="W123" s="39" t="s">
        <v>218</v>
      </c>
      <c r="X123" s="39" t="s">
        <v>161</v>
      </c>
      <c r="Y123" s="39" t="s">
        <v>2116</v>
      </c>
      <c r="Z123" s="41" t="s">
        <v>114</v>
      </c>
      <c r="AA123" s="61">
        <v>47121.0</v>
      </c>
      <c r="AB123" s="59"/>
      <c r="AC123" s="23">
        <v>117.0</v>
      </c>
      <c r="AD123" s="39" t="s">
        <v>66</v>
      </c>
      <c r="AE123" s="39" t="s">
        <v>67</v>
      </c>
      <c r="AF123" s="39" t="s">
        <v>2117</v>
      </c>
      <c r="AG123" s="39" t="s">
        <v>130</v>
      </c>
      <c r="AH123" s="39" t="s">
        <v>288</v>
      </c>
      <c r="AI123" s="39">
        <v>8.7889889417E10</v>
      </c>
      <c r="AJ123" s="39" t="s">
        <v>2118</v>
      </c>
      <c r="AK123" s="39" t="s">
        <v>2119</v>
      </c>
      <c r="AL123" s="39" t="s">
        <v>2120</v>
      </c>
      <c r="AM123" s="39" t="s">
        <v>96</v>
      </c>
      <c r="AN123" s="39" t="s">
        <v>97</v>
      </c>
      <c r="AO123" s="39" t="s">
        <v>379</v>
      </c>
      <c r="AP123" s="39" t="s">
        <v>1517</v>
      </c>
      <c r="AQ123" s="43"/>
      <c r="AR123" s="43"/>
    </row>
    <row r="124">
      <c r="A124" s="21">
        <f t="shared" si="3"/>
        <v>116</v>
      </c>
      <c r="B124" s="39" t="s">
        <v>2121</v>
      </c>
      <c r="C124" s="40" t="s">
        <v>2122</v>
      </c>
      <c r="D124" s="41">
        <v>14.0</v>
      </c>
      <c r="E124" s="41">
        <v>2.0</v>
      </c>
      <c r="F124" s="41" t="s">
        <v>80</v>
      </c>
      <c r="G124" s="41" t="s">
        <v>81</v>
      </c>
      <c r="H124" s="58">
        <v>38384.0</v>
      </c>
      <c r="I124" s="39" t="s">
        <v>82</v>
      </c>
      <c r="J124" s="39" t="s">
        <v>83</v>
      </c>
      <c r="K124" s="39" t="s">
        <v>2123</v>
      </c>
      <c r="L124" s="39" t="s">
        <v>105</v>
      </c>
      <c r="M124" s="42">
        <v>43556.0</v>
      </c>
      <c r="N124" s="41" t="s">
        <v>141</v>
      </c>
      <c r="O124" s="39" t="s">
        <v>173</v>
      </c>
      <c r="P124" s="59"/>
      <c r="Q124" s="39" t="s">
        <v>59</v>
      </c>
      <c r="R124" s="58">
        <v>45292.0</v>
      </c>
      <c r="S124" s="41" t="s">
        <v>143</v>
      </c>
      <c r="T124" s="70"/>
      <c r="U124" s="41" t="s">
        <v>144</v>
      </c>
      <c r="V124" s="39" t="s">
        <v>89</v>
      </c>
      <c r="W124" s="39" t="s">
        <v>218</v>
      </c>
      <c r="X124" s="39" t="s">
        <v>2124</v>
      </c>
      <c r="Y124" s="39" t="s">
        <v>2125</v>
      </c>
      <c r="Z124" s="59"/>
      <c r="AA124" s="61">
        <v>48591.0</v>
      </c>
      <c r="AB124" s="59"/>
      <c r="AC124" s="23">
        <v>118.0</v>
      </c>
      <c r="AD124" s="39" t="s">
        <v>66</v>
      </c>
      <c r="AE124" s="39" t="s">
        <v>220</v>
      </c>
      <c r="AF124" s="39" t="s">
        <v>92</v>
      </c>
      <c r="AG124" s="39" t="s">
        <v>68</v>
      </c>
      <c r="AH124" s="39" t="s">
        <v>69</v>
      </c>
      <c r="AI124" s="39">
        <v>8.1370720262E10</v>
      </c>
      <c r="AJ124" s="43"/>
      <c r="AK124" s="39" t="s">
        <v>2126</v>
      </c>
      <c r="AL124" s="39" t="s">
        <v>2127</v>
      </c>
      <c r="AM124" s="39" t="s">
        <v>96</v>
      </c>
      <c r="AN124" s="39" t="s">
        <v>74</v>
      </c>
      <c r="AO124" s="39" t="s">
        <v>203</v>
      </c>
      <c r="AP124" s="39" t="s">
        <v>2128</v>
      </c>
      <c r="AQ124" s="43"/>
      <c r="AR124" s="43"/>
    </row>
    <row r="125">
      <c r="A125" s="21">
        <f t="shared" si="3"/>
        <v>117</v>
      </c>
      <c r="B125" s="39" t="s">
        <v>2129</v>
      </c>
      <c r="C125" s="40" t="s">
        <v>2130</v>
      </c>
      <c r="D125" s="41">
        <v>16.0</v>
      </c>
      <c r="E125" s="41">
        <v>1.0</v>
      </c>
      <c r="F125" s="41" t="s">
        <v>80</v>
      </c>
      <c r="G125" s="41" t="s">
        <v>81</v>
      </c>
      <c r="H125" s="58">
        <v>35855.0</v>
      </c>
      <c r="I125" s="39" t="s">
        <v>82</v>
      </c>
      <c r="J125" s="39" t="s">
        <v>83</v>
      </c>
      <c r="K125" s="39" t="s">
        <v>2131</v>
      </c>
      <c r="L125" s="39" t="s">
        <v>1314</v>
      </c>
      <c r="M125" s="42">
        <v>41730.0</v>
      </c>
      <c r="N125" s="41" t="s">
        <v>141</v>
      </c>
      <c r="O125" s="39" t="s">
        <v>173</v>
      </c>
      <c r="P125" s="59"/>
      <c r="Q125" s="39" t="s">
        <v>59</v>
      </c>
      <c r="R125" s="58">
        <v>45292.0</v>
      </c>
      <c r="S125" s="41" t="s">
        <v>143</v>
      </c>
      <c r="T125" s="70"/>
      <c r="U125" s="41" t="s">
        <v>144</v>
      </c>
      <c r="V125" s="39" t="s">
        <v>89</v>
      </c>
      <c r="W125" s="39" t="s">
        <v>2132</v>
      </c>
      <c r="X125" s="39" t="s">
        <v>2133</v>
      </c>
      <c r="Y125" s="47">
        <v>34652.0</v>
      </c>
      <c r="Z125" s="41" t="s">
        <v>114</v>
      </c>
      <c r="AA125" s="61">
        <v>47126.0</v>
      </c>
      <c r="AB125" s="70"/>
      <c r="AC125" s="23">
        <v>119.0</v>
      </c>
      <c r="AD125" s="39" t="s">
        <v>66</v>
      </c>
      <c r="AE125" s="39" t="s">
        <v>220</v>
      </c>
      <c r="AF125" s="39" t="s">
        <v>92</v>
      </c>
      <c r="AG125" s="39" t="s">
        <v>130</v>
      </c>
      <c r="AH125" s="39" t="s">
        <v>69</v>
      </c>
      <c r="AI125" s="39">
        <v>8.5106020308E10</v>
      </c>
      <c r="AJ125" s="39" t="s">
        <v>2134</v>
      </c>
      <c r="AK125" s="39" t="s">
        <v>2135</v>
      </c>
      <c r="AL125" s="39" t="s">
        <v>2136</v>
      </c>
      <c r="AM125" s="39" t="s">
        <v>96</v>
      </c>
      <c r="AN125" s="39" t="s">
        <v>481</v>
      </c>
      <c r="AO125" s="39" t="s">
        <v>774</v>
      </c>
      <c r="AP125" s="39" t="s">
        <v>775</v>
      </c>
      <c r="AQ125" s="43"/>
      <c r="AR125" s="43"/>
    </row>
    <row r="126">
      <c r="A126" s="21">
        <f t="shared" si="3"/>
        <v>118</v>
      </c>
      <c r="B126" s="39" t="s">
        <v>2137</v>
      </c>
      <c r="C126" s="57" t="s">
        <v>2138</v>
      </c>
      <c r="D126" s="39">
        <v>14.0</v>
      </c>
      <c r="E126" s="39">
        <v>7.0</v>
      </c>
      <c r="F126" s="39" t="s">
        <v>50</v>
      </c>
      <c r="G126" s="39" t="s">
        <v>51</v>
      </c>
      <c r="H126" s="42">
        <v>39873.0</v>
      </c>
      <c r="I126" s="39" t="s">
        <v>82</v>
      </c>
      <c r="J126" s="39" t="s">
        <v>83</v>
      </c>
      <c r="K126" s="39" t="s">
        <v>417</v>
      </c>
      <c r="L126" s="39" t="s">
        <v>105</v>
      </c>
      <c r="M126" s="42">
        <v>45566.0</v>
      </c>
      <c r="N126" s="39" t="s">
        <v>141</v>
      </c>
      <c r="O126" s="39" t="s">
        <v>229</v>
      </c>
      <c r="P126" s="43"/>
      <c r="Q126" s="39" t="s">
        <v>1937</v>
      </c>
      <c r="R126" s="42">
        <v>45292.0</v>
      </c>
      <c r="S126" s="39" t="s">
        <v>143</v>
      </c>
      <c r="T126" s="46"/>
      <c r="U126" s="39" t="s">
        <v>144</v>
      </c>
      <c r="V126" s="39" t="s">
        <v>89</v>
      </c>
      <c r="W126" s="39" t="s">
        <v>90</v>
      </c>
      <c r="X126" s="39" t="s">
        <v>2005</v>
      </c>
      <c r="Y126" s="39" t="s">
        <v>1418</v>
      </c>
      <c r="Z126" s="39" t="s">
        <v>114</v>
      </c>
      <c r="AA126" s="45">
        <v>50779.0</v>
      </c>
      <c r="AB126" s="46"/>
      <c r="AC126" s="23">
        <v>120.0</v>
      </c>
      <c r="AD126" s="39" t="s">
        <v>66</v>
      </c>
      <c r="AE126" s="39" t="s">
        <v>67</v>
      </c>
      <c r="AF126" s="39" t="s">
        <v>92</v>
      </c>
      <c r="AG126" s="39" t="s">
        <v>68</v>
      </c>
      <c r="AH126" s="39" t="s">
        <v>246</v>
      </c>
      <c r="AI126" s="39">
        <v>8.5230780626E10</v>
      </c>
      <c r="AJ126" s="39" t="s">
        <v>2139</v>
      </c>
      <c r="AK126" s="39" t="s">
        <v>2140</v>
      </c>
      <c r="AL126" s="39" t="s">
        <v>2141</v>
      </c>
      <c r="AM126" s="39" t="s">
        <v>73</v>
      </c>
      <c r="AN126" s="39" t="s">
        <v>166</v>
      </c>
      <c r="AO126" s="39" t="s">
        <v>635</v>
      </c>
      <c r="AP126" s="39" t="s">
        <v>2142</v>
      </c>
      <c r="AQ126" s="43"/>
      <c r="AR126" s="43"/>
    </row>
    <row r="127">
      <c r="A127" s="21">
        <f t="shared" si="3"/>
        <v>119</v>
      </c>
      <c r="B127" s="39" t="s">
        <v>2143</v>
      </c>
      <c r="C127" s="57" t="s">
        <v>2144</v>
      </c>
      <c r="D127" s="39">
        <v>12.0</v>
      </c>
      <c r="E127" s="39">
        <v>9.0</v>
      </c>
      <c r="F127" s="39" t="s">
        <v>171</v>
      </c>
      <c r="G127" s="39" t="s">
        <v>172</v>
      </c>
      <c r="H127" s="42">
        <v>40179.0</v>
      </c>
      <c r="I127" s="39" t="s">
        <v>82</v>
      </c>
      <c r="J127" s="39" t="s">
        <v>83</v>
      </c>
      <c r="K127" s="39" t="s">
        <v>417</v>
      </c>
      <c r="L127" s="39" t="s">
        <v>105</v>
      </c>
      <c r="M127" s="42">
        <v>45566.0</v>
      </c>
      <c r="N127" s="39" t="s">
        <v>141</v>
      </c>
      <c r="O127" s="39" t="s">
        <v>173</v>
      </c>
      <c r="P127" s="43"/>
      <c r="Q127" s="39" t="s">
        <v>1937</v>
      </c>
      <c r="R127" s="42">
        <v>45292.0</v>
      </c>
      <c r="S127" s="39" t="s">
        <v>143</v>
      </c>
      <c r="T127" s="46"/>
      <c r="U127" s="39" t="s">
        <v>144</v>
      </c>
      <c r="V127" s="39" t="s">
        <v>159</v>
      </c>
      <c r="W127" s="39" t="s">
        <v>218</v>
      </c>
      <c r="X127" s="39" t="s">
        <v>2145</v>
      </c>
      <c r="Y127" s="39" t="s">
        <v>2146</v>
      </c>
      <c r="Z127" s="43"/>
      <c r="AA127" s="45">
        <v>52237.0</v>
      </c>
      <c r="AB127" s="43"/>
      <c r="AC127" s="23">
        <v>121.0</v>
      </c>
      <c r="AD127" s="39" t="s">
        <v>66</v>
      </c>
      <c r="AE127" s="39" t="s">
        <v>67</v>
      </c>
      <c r="AF127" s="39" t="s">
        <v>92</v>
      </c>
      <c r="AG127" s="39" t="s">
        <v>130</v>
      </c>
      <c r="AH127" s="39" t="s">
        <v>69</v>
      </c>
      <c r="AI127" s="39">
        <v>8.5261051542E10</v>
      </c>
      <c r="AJ127" s="39" t="s">
        <v>2147</v>
      </c>
      <c r="AK127" s="39" t="s">
        <v>2148</v>
      </c>
      <c r="AL127" s="39" t="s">
        <v>2149</v>
      </c>
      <c r="AM127" s="39" t="s">
        <v>96</v>
      </c>
      <c r="AN127" s="39" t="s">
        <v>97</v>
      </c>
      <c r="AO127" s="39" t="s">
        <v>151</v>
      </c>
      <c r="AP127" s="39" t="s">
        <v>2150</v>
      </c>
      <c r="AQ127" s="43"/>
      <c r="AR127" s="43"/>
    </row>
    <row r="128">
      <c r="A128" s="21">
        <f t="shared" si="3"/>
        <v>120</v>
      </c>
      <c r="B128" s="39" t="s">
        <v>2151</v>
      </c>
      <c r="C128" s="40" t="s">
        <v>2152</v>
      </c>
      <c r="D128" s="41">
        <v>21.0</v>
      </c>
      <c r="E128" s="41">
        <v>1.0</v>
      </c>
      <c r="F128" s="41" t="s">
        <v>2153</v>
      </c>
      <c r="G128" s="41" t="s">
        <v>2154</v>
      </c>
      <c r="H128" s="58">
        <v>33086.0</v>
      </c>
      <c r="I128" s="39" t="s">
        <v>102</v>
      </c>
      <c r="J128" s="39" t="s">
        <v>103</v>
      </c>
      <c r="K128" s="39" t="s">
        <v>2155</v>
      </c>
      <c r="L128" s="39" t="s">
        <v>88</v>
      </c>
      <c r="M128" s="42">
        <v>43191.0</v>
      </c>
      <c r="N128" s="41" t="s">
        <v>141</v>
      </c>
      <c r="O128" s="39" t="s">
        <v>229</v>
      </c>
      <c r="P128" s="59"/>
      <c r="Q128" s="39" t="s">
        <v>59</v>
      </c>
      <c r="R128" s="58">
        <v>45292.0</v>
      </c>
      <c r="S128" s="41" t="s">
        <v>143</v>
      </c>
      <c r="T128" s="60"/>
      <c r="U128" s="41" t="s">
        <v>144</v>
      </c>
      <c r="V128" s="39" t="s">
        <v>267</v>
      </c>
      <c r="W128" s="39" t="s">
        <v>218</v>
      </c>
      <c r="X128" s="39" t="s">
        <v>2156</v>
      </c>
      <c r="Y128" s="39" t="s">
        <v>2157</v>
      </c>
      <c r="Z128" s="41" t="s">
        <v>114</v>
      </c>
      <c r="AA128" s="61">
        <v>46395.0</v>
      </c>
      <c r="AB128" s="70"/>
      <c r="AC128" s="23">
        <v>122.0</v>
      </c>
      <c r="AD128" s="39" t="s">
        <v>66</v>
      </c>
      <c r="AE128" s="39" t="s">
        <v>220</v>
      </c>
      <c r="AF128" s="39" t="s">
        <v>92</v>
      </c>
      <c r="AG128" s="39" t="s">
        <v>130</v>
      </c>
      <c r="AH128" s="39" t="s">
        <v>69</v>
      </c>
      <c r="AI128" s="39">
        <v>8.1361220669E10</v>
      </c>
      <c r="AJ128" s="39" t="s">
        <v>2158</v>
      </c>
      <c r="AK128" s="39" t="s">
        <v>2159</v>
      </c>
      <c r="AL128" s="39" t="s">
        <v>2160</v>
      </c>
      <c r="AM128" s="39" t="s">
        <v>96</v>
      </c>
      <c r="AN128" s="39" t="s">
        <v>135</v>
      </c>
      <c r="AO128" s="39" t="s">
        <v>213</v>
      </c>
      <c r="AP128" s="39" t="s">
        <v>556</v>
      </c>
      <c r="AQ128" s="43"/>
      <c r="AR128" s="43"/>
    </row>
    <row r="129">
      <c r="A129" s="21">
        <f t="shared" si="3"/>
        <v>121</v>
      </c>
      <c r="B129" s="39" t="s">
        <v>2161</v>
      </c>
      <c r="C129" s="40" t="s">
        <v>2162</v>
      </c>
      <c r="D129" s="41">
        <v>10.0</v>
      </c>
      <c r="E129" s="41">
        <v>9.0</v>
      </c>
      <c r="F129" s="41" t="s">
        <v>171</v>
      </c>
      <c r="G129" s="41" t="s">
        <v>172</v>
      </c>
      <c r="H129" s="58">
        <v>40179.0</v>
      </c>
      <c r="I129" s="39" t="s">
        <v>102</v>
      </c>
      <c r="J129" s="39" t="s">
        <v>103</v>
      </c>
      <c r="K129" s="39" t="s">
        <v>2163</v>
      </c>
      <c r="L129" s="39" t="s">
        <v>105</v>
      </c>
      <c r="M129" s="42">
        <v>44835.0</v>
      </c>
      <c r="N129" s="41" t="s">
        <v>141</v>
      </c>
      <c r="O129" s="39" t="s">
        <v>229</v>
      </c>
      <c r="P129" s="59"/>
      <c r="Q129" s="39" t="s">
        <v>59</v>
      </c>
      <c r="R129" s="58">
        <v>45677.0</v>
      </c>
      <c r="S129" s="41" t="s">
        <v>2164</v>
      </c>
      <c r="T129" s="70"/>
      <c r="U129" s="41" t="s">
        <v>144</v>
      </c>
      <c r="V129" s="39" t="s">
        <v>89</v>
      </c>
      <c r="W129" s="39" t="s">
        <v>2165</v>
      </c>
      <c r="X129" s="39" t="s">
        <v>2166</v>
      </c>
      <c r="Y129" s="67">
        <v>43795.0</v>
      </c>
      <c r="Z129" s="121"/>
      <c r="AA129" s="122">
        <v>52603.0</v>
      </c>
      <c r="AB129" s="70"/>
      <c r="AC129" s="23">
        <v>123.0</v>
      </c>
      <c r="AD129" s="39" t="s">
        <v>66</v>
      </c>
      <c r="AE129" s="39" t="s">
        <v>67</v>
      </c>
      <c r="AF129" s="43"/>
      <c r="AG129" s="39" t="s">
        <v>130</v>
      </c>
      <c r="AH129" s="39" t="s">
        <v>131</v>
      </c>
      <c r="AI129" s="39">
        <v>8.5263446181E10</v>
      </c>
      <c r="AJ129" s="39" t="s">
        <v>2167</v>
      </c>
      <c r="AK129" s="39" t="s">
        <v>2168</v>
      </c>
      <c r="AL129" s="39" t="s">
        <v>2169</v>
      </c>
      <c r="AM129" s="39" t="s">
        <v>96</v>
      </c>
      <c r="AN129" s="39" t="s">
        <v>166</v>
      </c>
      <c r="AO129" s="39" t="s">
        <v>596</v>
      </c>
      <c r="AP129" s="39" t="s">
        <v>2170</v>
      </c>
      <c r="AQ129" s="43"/>
      <c r="AR129" s="43"/>
    </row>
    <row r="130">
      <c r="A130" s="21">
        <f t="shared" si="3"/>
        <v>122</v>
      </c>
      <c r="B130" s="39" t="s">
        <v>2171</v>
      </c>
      <c r="C130" s="57" t="s">
        <v>2172</v>
      </c>
      <c r="D130" s="39">
        <v>11.0</v>
      </c>
      <c r="E130" s="39">
        <v>3.0</v>
      </c>
      <c r="F130" s="39" t="s">
        <v>171</v>
      </c>
      <c r="G130" s="39" t="s">
        <v>172</v>
      </c>
      <c r="H130" s="42">
        <v>40544.0</v>
      </c>
      <c r="I130" s="39" t="s">
        <v>182</v>
      </c>
      <c r="J130" s="39" t="s">
        <v>183</v>
      </c>
      <c r="K130" s="39" t="s">
        <v>217</v>
      </c>
      <c r="L130" s="39" t="s">
        <v>105</v>
      </c>
      <c r="M130" s="42">
        <v>45383.0</v>
      </c>
      <c r="N130" s="39" t="s">
        <v>141</v>
      </c>
      <c r="O130" s="39" t="s">
        <v>229</v>
      </c>
      <c r="P130" s="43"/>
      <c r="Q130" s="39" t="s">
        <v>1928</v>
      </c>
      <c r="R130" s="42">
        <v>45292.0</v>
      </c>
      <c r="S130" s="39" t="s">
        <v>143</v>
      </c>
      <c r="T130" s="46"/>
      <c r="U130" s="39" t="s">
        <v>144</v>
      </c>
      <c r="V130" s="39" t="s">
        <v>89</v>
      </c>
      <c r="W130" s="39" t="s">
        <v>218</v>
      </c>
      <c r="X130" s="39" t="s">
        <v>231</v>
      </c>
      <c r="Y130" s="39" t="s">
        <v>2173</v>
      </c>
      <c r="Z130" s="43"/>
      <c r="AA130" s="45">
        <v>52242.0</v>
      </c>
      <c r="AB130" s="46"/>
      <c r="AC130" s="23">
        <v>124.0</v>
      </c>
      <c r="AD130" s="39" t="s">
        <v>66</v>
      </c>
      <c r="AE130" s="39" t="s">
        <v>67</v>
      </c>
      <c r="AF130" s="39" t="s">
        <v>129</v>
      </c>
      <c r="AG130" s="39" t="s">
        <v>68</v>
      </c>
      <c r="AH130" s="39" t="s">
        <v>69</v>
      </c>
      <c r="AI130" s="39">
        <v>8.1375004604E10</v>
      </c>
      <c r="AJ130" s="39" t="s">
        <v>2174</v>
      </c>
      <c r="AK130" s="39" t="s">
        <v>2175</v>
      </c>
      <c r="AL130" s="39" t="s">
        <v>2176</v>
      </c>
      <c r="AM130" s="39" t="s">
        <v>96</v>
      </c>
      <c r="AN130" s="39" t="s">
        <v>97</v>
      </c>
      <c r="AO130" s="39" t="s">
        <v>272</v>
      </c>
      <c r="AP130" s="39" t="s">
        <v>334</v>
      </c>
      <c r="AQ130" s="43"/>
      <c r="AR130" s="43"/>
    </row>
    <row r="131">
      <c r="A131" s="21">
        <f t="shared" si="3"/>
        <v>123</v>
      </c>
      <c r="B131" s="39" t="s">
        <v>2177</v>
      </c>
      <c r="C131" s="57" t="s">
        <v>2178</v>
      </c>
      <c r="D131" s="39">
        <v>15.0</v>
      </c>
      <c r="E131" s="39">
        <v>6.0</v>
      </c>
      <c r="F131" s="39" t="s">
        <v>50</v>
      </c>
      <c r="G131" s="39" t="s">
        <v>51</v>
      </c>
      <c r="H131" s="42">
        <v>39845.0</v>
      </c>
      <c r="I131" s="39" t="s">
        <v>80</v>
      </c>
      <c r="J131" s="39" t="s">
        <v>81</v>
      </c>
      <c r="K131" s="39" t="s">
        <v>104</v>
      </c>
      <c r="L131" s="39" t="s">
        <v>105</v>
      </c>
      <c r="M131" s="42">
        <v>45017.0</v>
      </c>
      <c r="N131" s="39" t="s">
        <v>141</v>
      </c>
      <c r="O131" s="39" t="s">
        <v>229</v>
      </c>
      <c r="P131" s="43"/>
      <c r="Q131" s="39" t="s">
        <v>1937</v>
      </c>
      <c r="R131" s="42">
        <v>45292.0</v>
      </c>
      <c r="S131" s="39" t="s">
        <v>143</v>
      </c>
      <c r="T131" s="46"/>
      <c r="U131" s="39" t="s">
        <v>144</v>
      </c>
      <c r="V131" s="39" t="s">
        <v>285</v>
      </c>
      <c r="W131" s="43"/>
      <c r="X131" s="39" t="s">
        <v>2179</v>
      </c>
      <c r="Y131" s="39" t="s">
        <v>287</v>
      </c>
      <c r="Z131" s="39" t="s">
        <v>114</v>
      </c>
      <c r="AA131" s="45">
        <v>50776.0</v>
      </c>
      <c r="AB131" s="46"/>
      <c r="AC131" s="23">
        <v>125.0</v>
      </c>
      <c r="AD131" s="39" t="s">
        <v>66</v>
      </c>
      <c r="AE131" s="39" t="s">
        <v>67</v>
      </c>
      <c r="AF131" s="39" t="s">
        <v>92</v>
      </c>
      <c r="AG131" s="39" t="s">
        <v>130</v>
      </c>
      <c r="AH131" s="39" t="s">
        <v>288</v>
      </c>
      <c r="AI131" s="39">
        <v>8.116591005E9</v>
      </c>
      <c r="AJ131" s="39" t="s">
        <v>2180</v>
      </c>
      <c r="AK131" s="39" t="s">
        <v>2181</v>
      </c>
      <c r="AL131" s="39" t="s">
        <v>2182</v>
      </c>
      <c r="AM131" s="39" t="s">
        <v>96</v>
      </c>
      <c r="AN131" s="39" t="s">
        <v>97</v>
      </c>
      <c r="AO131" s="39" t="s">
        <v>98</v>
      </c>
      <c r="AP131" s="39" t="s">
        <v>1376</v>
      </c>
      <c r="AQ131" s="43"/>
      <c r="AR131" s="43"/>
    </row>
    <row r="132">
      <c r="A132" s="21">
        <f t="shared" si="3"/>
        <v>124</v>
      </c>
      <c r="B132" s="39" t="s">
        <v>2183</v>
      </c>
      <c r="C132" s="57" t="s">
        <v>2184</v>
      </c>
      <c r="D132" s="39">
        <v>10.0</v>
      </c>
      <c r="E132" s="39">
        <v>3.0</v>
      </c>
      <c r="F132" s="39" t="s">
        <v>171</v>
      </c>
      <c r="G132" s="39" t="s">
        <v>172</v>
      </c>
      <c r="H132" s="42">
        <v>40544.0</v>
      </c>
      <c r="I132" s="39" t="s">
        <v>80</v>
      </c>
      <c r="J132" s="39" t="s">
        <v>81</v>
      </c>
      <c r="K132" s="39" t="s">
        <v>104</v>
      </c>
      <c r="L132" s="39" t="s">
        <v>105</v>
      </c>
      <c r="M132" s="42">
        <v>45017.0</v>
      </c>
      <c r="N132" s="39" t="s">
        <v>141</v>
      </c>
      <c r="O132" s="39" t="s">
        <v>229</v>
      </c>
      <c r="P132" s="43"/>
      <c r="Q132" s="39" t="s">
        <v>1937</v>
      </c>
      <c r="R132" s="42">
        <v>45292.0</v>
      </c>
      <c r="S132" s="39" t="s">
        <v>143</v>
      </c>
      <c r="T132" s="46"/>
      <c r="U132" s="39" t="s">
        <v>144</v>
      </c>
      <c r="V132" s="39" t="s">
        <v>267</v>
      </c>
      <c r="W132" s="39" t="s">
        <v>2185</v>
      </c>
      <c r="X132" s="39" t="s">
        <v>2186</v>
      </c>
      <c r="Y132" s="39" t="s">
        <v>2187</v>
      </c>
      <c r="Z132" s="39" t="s">
        <v>114</v>
      </c>
      <c r="AA132" s="45">
        <v>53700.0</v>
      </c>
      <c r="AB132" s="46"/>
      <c r="AC132" s="23">
        <v>126.0</v>
      </c>
      <c r="AD132" s="39" t="s">
        <v>66</v>
      </c>
      <c r="AE132" s="39" t="s">
        <v>67</v>
      </c>
      <c r="AF132" s="39" t="s">
        <v>92</v>
      </c>
      <c r="AG132" s="39" t="s">
        <v>68</v>
      </c>
      <c r="AH132" s="39" t="s">
        <v>69</v>
      </c>
      <c r="AI132" s="39">
        <v>8.1262292298E10</v>
      </c>
      <c r="AJ132" s="39" t="s">
        <v>2188</v>
      </c>
      <c r="AK132" s="39" t="s">
        <v>2189</v>
      </c>
      <c r="AL132" s="39" t="s">
        <v>2190</v>
      </c>
      <c r="AM132" s="39" t="s">
        <v>96</v>
      </c>
      <c r="AN132" s="39" t="s">
        <v>97</v>
      </c>
      <c r="AO132" s="39" t="s">
        <v>379</v>
      </c>
      <c r="AP132" s="39" t="s">
        <v>2191</v>
      </c>
      <c r="AQ132" s="43"/>
      <c r="AR132" s="43"/>
    </row>
    <row r="133">
      <c r="A133" s="21">
        <f t="shared" si="3"/>
        <v>125</v>
      </c>
      <c r="B133" s="39" t="s">
        <v>2192</v>
      </c>
      <c r="C133" s="57" t="s">
        <v>2193</v>
      </c>
      <c r="D133" s="39">
        <v>20.0</v>
      </c>
      <c r="E133" s="39">
        <v>9.0</v>
      </c>
      <c r="F133" s="39" t="s">
        <v>50</v>
      </c>
      <c r="G133" s="39" t="s">
        <v>51</v>
      </c>
      <c r="H133" s="42">
        <v>40452.0</v>
      </c>
      <c r="I133" s="39" t="s">
        <v>80</v>
      </c>
      <c r="J133" s="39" t="s">
        <v>81</v>
      </c>
      <c r="K133" s="39" t="s">
        <v>417</v>
      </c>
      <c r="L133" s="39" t="s">
        <v>105</v>
      </c>
      <c r="M133" s="42">
        <v>45566.0</v>
      </c>
      <c r="N133" s="39" t="s">
        <v>141</v>
      </c>
      <c r="O133" s="39" t="s">
        <v>196</v>
      </c>
      <c r="P133" s="43"/>
      <c r="Q133" s="39" t="s">
        <v>59</v>
      </c>
      <c r="R133" s="42">
        <v>45537.0</v>
      </c>
      <c r="S133" s="39" t="s">
        <v>185</v>
      </c>
      <c r="T133" s="44"/>
      <c r="U133" s="39" t="s">
        <v>144</v>
      </c>
      <c r="V133" s="39" t="s">
        <v>285</v>
      </c>
      <c r="W133" s="43"/>
      <c r="X133" s="39" t="s">
        <v>2194</v>
      </c>
      <c r="Y133" s="39" t="s">
        <v>2195</v>
      </c>
      <c r="Z133" s="46"/>
      <c r="AA133" s="45">
        <v>50043.0</v>
      </c>
      <c r="AB133" s="43"/>
      <c r="AC133" s="23">
        <v>127.0</v>
      </c>
      <c r="AD133" s="39" t="s">
        <v>66</v>
      </c>
      <c r="AE133" s="39" t="s">
        <v>67</v>
      </c>
      <c r="AF133" s="39" t="s">
        <v>92</v>
      </c>
      <c r="AG133" s="39" t="s">
        <v>68</v>
      </c>
      <c r="AH133" s="39" t="s">
        <v>69</v>
      </c>
      <c r="AI133" s="39">
        <v>8.136109913E10</v>
      </c>
      <c r="AJ133" s="43"/>
      <c r="AK133" s="39" t="s">
        <v>2196</v>
      </c>
      <c r="AL133" s="39" t="s">
        <v>2197</v>
      </c>
      <c r="AM133" s="39" t="s">
        <v>73</v>
      </c>
      <c r="AN133" s="39" t="s">
        <v>74</v>
      </c>
      <c r="AO133" s="39" t="s">
        <v>989</v>
      </c>
      <c r="AP133" s="39" t="s">
        <v>2198</v>
      </c>
      <c r="AQ133" s="43"/>
      <c r="AR133" s="43"/>
    </row>
    <row r="134">
      <c r="A134" s="21">
        <f t="shared" si="3"/>
        <v>126</v>
      </c>
      <c r="B134" s="39" t="s">
        <v>2199</v>
      </c>
      <c r="C134" s="40" t="s">
        <v>2200</v>
      </c>
      <c r="D134" s="41">
        <v>20.0</v>
      </c>
      <c r="E134" s="41">
        <v>1.0</v>
      </c>
      <c r="F134" s="41" t="s">
        <v>50</v>
      </c>
      <c r="G134" s="41" t="s">
        <v>51</v>
      </c>
      <c r="H134" s="58">
        <v>39448.0</v>
      </c>
      <c r="I134" s="39" t="s">
        <v>80</v>
      </c>
      <c r="J134" s="39" t="s">
        <v>81</v>
      </c>
      <c r="K134" s="39" t="s">
        <v>1399</v>
      </c>
      <c r="L134" s="39" t="s">
        <v>105</v>
      </c>
      <c r="M134" s="42">
        <v>44835.0</v>
      </c>
      <c r="N134" s="41" t="s">
        <v>141</v>
      </c>
      <c r="O134" s="39" t="s">
        <v>196</v>
      </c>
      <c r="P134" s="59"/>
      <c r="Q134" s="39" t="s">
        <v>59</v>
      </c>
      <c r="R134" s="58">
        <v>45292.0</v>
      </c>
      <c r="S134" s="41" t="s">
        <v>143</v>
      </c>
      <c r="T134" s="60"/>
      <c r="U134" s="41" t="s">
        <v>144</v>
      </c>
      <c r="V134" s="39" t="s">
        <v>285</v>
      </c>
      <c r="W134" s="43"/>
      <c r="X134" s="39" t="s">
        <v>2201</v>
      </c>
      <c r="Y134" s="39" t="s">
        <v>2195</v>
      </c>
      <c r="Z134" s="59"/>
      <c r="AA134" s="61">
        <v>49678.0</v>
      </c>
      <c r="AB134" s="59"/>
      <c r="AC134" s="23">
        <v>128.0</v>
      </c>
      <c r="AD134" s="39" t="s">
        <v>66</v>
      </c>
      <c r="AE134" s="39" t="s">
        <v>220</v>
      </c>
      <c r="AF134" s="39" t="s">
        <v>92</v>
      </c>
      <c r="AG134" s="39" t="s">
        <v>68</v>
      </c>
      <c r="AH134" s="39" t="s">
        <v>69</v>
      </c>
      <c r="AI134" s="39">
        <v>8.2161646233E10</v>
      </c>
      <c r="AJ134" s="39" t="s">
        <v>2202</v>
      </c>
      <c r="AK134" s="39" t="s">
        <v>2203</v>
      </c>
      <c r="AL134" s="39" t="s">
        <v>2204</v>
      </c>
      <c r="AM134" s="39" t="s">
        <v>96</v>
      </c>
      <c r="AN134" s="39" t="s">
        <v>135</v>
      </c>
      <c r="AO134" s="39" t="s">
        <v>379</v>
      </c>
      <c r="AP134" s="39" t="s">
        <v>2205</v>
      </c>
      <c r="AQ134" s="43"/>
      <c r="AR134" s="43"/>
    </row>
    <row r="135">
      <c r="A135" s="21">
        <f t="shared" si="3"/>
        <v>127</v>
      </c>
      <c r="B135" s="39" t="s">
        <v>2206</v>
      </c>
      <c r="C135" s="40" t="s">
        <v>2207</v>
      </c>
      <c r="D135" s="41">
        <v>17.0</v>
      </c>
      <c r="E135" s="41">
        <v>11.0</v>
      </c>
      <c r="F135" s="41" t="s">
        <v>50</v>
      </c>
      <c r="G135" s="41" t="s">
        <v>51</v>
      </c>
      <c r="H135" s="58">
        <v>40179.0</v>
      </c>
      <c r="I135" s="39" t="s">
        <v>80</v>
      </c>
      <c r="J135" s="39" t="s">
        <v>81</v>
      </c>
      <c r="K135" s="39" t="s">
        <v>1399</v>
      </c>
      <c r="L135" s="39" t="s">
        <v>105</v>
      </c>
      <c r="M135" s="42">
        <v>44835.0</v>
      </c>
      <c r="N135" s="41" t="s">
        <v>141</v>
      </c>
      <c r="O135" s="39" t="s">
        <v>196</v>
      </c>
      <c r="P135" s="59"/>
      <c r="Q135" s="39" t="s">
        <v>59</v>
      </c>
      <c r="R135" s="58">
        <v>45292.0</v>
      </c>
      <c r="S135" s="41" t="s">
        <v>143</v>
      </c>
      <c r="T135" s="70"/>
      <c r="U135" s="41" t="s">
        <v>144</v>
      </c>
      <c r="V135" s="39" t="s">
        <v>285</v>
      </c>
      <c r="W135" s="43"/>
      <c r="X135" s="39" t="s">
        <v>2208</v>
      </c>
      <c r="Y135" s="39" t="s">
        <v>487</v>
      </c>
      <c r="Z135" s="41" t="s">
        <v>114</v>
      </c>
      <c r="AA135" s="61">
        <v>50416.0</v>
      </c>
      <c r="AB135" s="70"/>
      <c r="AC135" s="23">
        <v>129.0</v>
      </c>
      <c r="AD135" s="39" t="s">
        <v>66</v>
      </c>
      <c r="AE135" s="39" t="s">
        <v>67</v>
      </c>
      <c r="AF135" s="43"/>
      <c r="AG135" s="39" t="s">
        <v>68</v>
      </c>
      <c r="AH135" s="39" t="s">
        <v>69</v>
      </c>
      <c r="AI135" s="39">
        <v>8.1375113733E10</v>
      </c>
      <c r="AJ135" s="39" t="s">
        <v>2209</v>
      </c>
      <c r="AK135" s="39" t="s">
        <v>2210</v>
      </c>
      <c r="AL135" s="39" t="s">
        <v>2211</v>
      </c>
      <c r="AM135" s="39" t="s">
        <v>96</v>
      </c>
      <c r="AN135" s="39" t="s">
        <v>97</v>
      </c>
      <c r="AO135" s="39" t="s">
        <v>213</v>
      </c>
      <c r="AP135" s="39" t="s">
        <v>2212</v>
      </c>
      <c r="AQ135" s="43"/>
      <c r="AR135" s="43"/>
    </row>
    <row r="136">
      <c r="A136" s="21">
        <f t="shared" si="3"/>
        <v>128</v>
      </c>
      <c r="B136" s="39" t="s">
        <v>2213</v>
      </c>
      <c r="C136" s="57" t="s">
        <v>2214</v>
      </c>
      <c r="D136" s="39">
        <v>15.0</v>
      </c>
      <c r="E136" s="39">
        <v>1.0</v>
      </c>
      <c r="F136" s="39" t="s">
        <v>50</v>
      </c>
      <c r="G136" s="39" t="s">
        <v>51</v>
      </c>
      <c r="H136" s="42">
        <v>39873.0</v>
      </c>
      <c r="I136" s="39" t="s">
        <v>80</v>
      </c>
      <c r="J136" s="39" t="s">
        <v>81</v>
      </c>
      <c r="K136" s="39" t="s">
        <v>2215</v>
      </c>
      <c r="L136" s="39" t="s">
        <v>105</v>
      </c>
      <c r="M136" s="42">
        <v>45748.0</v>
      </c>
      <c r="N136" s="39" t="s">
        <v>141</v>
      </c>
      <c r="O136" s="39" t="s">
        <v>196</v>
      </c>
      <c r="P136" s="43"/>
      <c r="Q136" s="39" t="s">
        <v>1937</v>
      </c>
      <c r="R136" s="42">
        <v>45292.0</v>
      </c>
      <c r="S136" s="39" t="s">
        <v>143</v>
      </c>
      <c r="T136" s="46"/>
      <c r="U136" s="39" t="s">
        <v>144</v>
      </c>
      <c r="V136" s="39" t="s">
        <v>285</v>
      </c>
      <c r="W136" s="39" t="s">
        <v>399</v>
      </c>
      <c r="X136" s="39" t="s">
        <v>2216</v>
      </c>
      <c r="Y136" s="39" t="s">
        <v>2195</v>
      </c>
      <c r="Z136" s="43"/>
      <c r="AA136" s="45">
        <v>49311.0</v>
      </c>
      <c r="AB136" s="46"/>
      <c r="AC136" s="23">
        <v>130.0</v>
      </c>
      <c r="AD136" s="39" t="s">
        <v>66</v>
      </c>
      <c r="AE136" s="39" t="s">
        <v>67</v>
      </c>
      <c r="AF136" s="39" t="s">
        <v>92</v>
      </c>
      <c r="AG136" s="39" t="s">
        <v>68</v>
      </c>
      <c r="AH136" s="39" t="s">
        <v>131</v>
      </c>
      <c r="AI136" s="39">
        <v>8.1375385812E10</v>
      </c>
      <c r="AJ136" s="39" t="s">
        <v>2217</v>
      </c>
      <c r="AK136" s="39" t="s">
        <v>2218</v>
      </c>
      <c r="AL136" s="39" t="s">
        <v>2219</v>
      </c>
      <c r="AM136" s="39" t="s">
        <v>96</v>
      </c>
      <c r="AN136" s="39" t="s">
        <v>97</v>
      </c>
      <c r="AO136" s="39" t="s">
        <v>98</v>
      </c>
      <c r="AP136" s="39" t="s">
        <v>2220</v>
      </c>
      <c r="AQ136" s="43"/>
      <c r="AR136" s="43"/>
    </row>
    <row r="137">
      <c r="A137" s="21">
        <f t="shared" si="3"/>
        <v>129</v>
      </c>
      <c r="B137" s="39" t="s">
        <v>2221</v>
      </c>
      <c r="C137" s="57" t="s">
        <v>2222</v>
      </c>
      <c r="D137" s="39">
        <v>17.0</v>
      </c>
      <c r="E137" s="39">
        <v>9.0</v>
      </c>
      <c r="F137" s="39" t="s">
        <v>50</v>
      </c>
      <c r="G137" s="39" t="s">
        <v>51</v>
      </c>
      <c r="H137" s="42">
        <v>39845.0</v>
      </c>
      <c r="I137" s="39" t="s">
        <v>80</v>
      </c>
      <c r="J137" s="39" t="s">
        <v>81</v>
      </c>
      <c r="K137" s="39" t="s">
        <v>2223</v>
      </c>
      <c r="L137" s="39" t="s">
        <v>105</v>
      </c>
      <c r="M137" s="42">
        <v>45992.0</v>
      </c>
      <c r="N137" s="39" t="s">
        <v>141</v>
      </c>
      <c r="O137" s="39" t="s">
        <v>196</v>
      </c>
      <c r="P137" s="43"/>
      <c r="Q137" s="39" t="s">
        <v>1937</v>
      </c>
      <c r="R137" s="42">
        <v>45292.0</v>
      </c>
      <c r="S137" s="39" t="s">
        <v>143</v>
      </c>
      <c r="T137" s="46"/>
      <c r="U137" s="39" t="s">
        <v>144</v>
      </c>
      <c r="V137" s="39" t="s">
        <v>285</v>
      </c>
      <c r="W137" s="39" t="s">
        <v>2224</v>
      </c>
      <c r="X137" s="39" t="s">
        <v>2225</v>
      </c>
      <c r="Y137" s="39" t="s">
        <v>2226</v>
      </c>
      <c r="Z137" s="43"/>
      <c r="AA137" s="45">
        <v>51871.0</v>
      </c>
      <c r="AB137" s="46"/>
      <c r="AC137" s="23">
        <v>131.0</v>
      </c>
      <c r="AD137" s="39" t="s">
        <v>66</v>
      </c>
      <c r="AE137" s="39" t="s">
        <v>67</v>
      </c>
      <c r="AF137" s="39" t="s">
        <v>92</v>
      </c>
      <c r="AG137" s="39" t="s">
        <v>130</v>
      </c>
      <c r="AH137" s="39" t="s">
        <v>69</v>
      </c>
      <c r="AI137" s="39">
        <v>8.116053113E9</v>
      </c>
      <c r="AJ137" s="39" t="s">
        <v>2227</v>
      </c>
      <c r="AK137" s="39" t="s">
        <v>2228</v>
      </c>
      <c r="AL137" s="39" t="s">
        <v>2229</v>
      </c>
      <c r="AM137" s="39" t="s">
        <v>96</v>
      </c>
      <c r="AN137" s="43"/>
      <c r="AO137" s="39" t="s">
        <v>191</v>
      </c>
      <c r="AP137" s="39" t="s">
        <v>836</v>
      </c>
      <c r="AQ137" s="43"/>
      <c r="AR137" s="43"/>
    </row>
    <row r="138">
      <c r="A138" s="21">
        <f t="shared" si="3"/>
        <v>130</v>
      </c>
      <c r="B138" s="39" t="s">
        <v>2230</v>
      </c>
      <c r="C138" s="57" t="s">
        <v>2231</v>
      </c>
      <c r="D138" s="43"/>
      <c r="E138" s="43"/>
      <c r="F138" s="39" t="s">
        <v>50</v>
      </c>
      <c r="G138" s="39" t="s">
        <v>51</v>
      </c>
      <c r="H138" s="42">
        <v>39845.0</v>
      </c>
      <c r="I138" s="39" t="s">
        <v>296</v>
      </c>
      <c r="J138" s="39" t="s">
        <v>297</v>
      </c>
      <c r="K138" s="39" t="s">
        <v>2232</v>
      </c>
      <c r="L138" s="39" t="s">
        <v>1314</v>
      </c>
      <c r="M138" s="42">
        <v>41365.0</v>
      </c>
      <c r="N138" s="39" t="s">
        <v>141</v>
      </c>
      <c r="O138" s="39" t="s">
        <v>196</v>
      </c>
      <c r="P138" s="43"/>
      <c r="Q138" s="39" t="s">
        <v>1937</v>
      </c>
      <c r="R138" s="42">
        <v>45292.0</v>
      </c>
      <c r="S138" s="39" t="s">
        <v>2233</v>
      </c>
      <c r="T138" s="46"/>
      <c r="U138" s="39" t="s">
        <v>144</v>
      </c>
      <c r="V138" s="39" t="s">
        <v>285</v>
      </c>
      <c r="W138" s="43"/>
      <c r="X138" s="39" t="s">
        <v>2234</v>
      </c>
      <c r="Y138" s="39" t="s">
        <v>287</v>
      </c>
      <c r="Z138" s="43"/>
      <c r="AA138" s="45">
        <v>49683.0</v>
      </c>
      <c r="AB138" s="46"/>
      <c r="AC138" s="23">
        <v>132.0</v>
      </c>
      <c r="AD138" s="39" t="s">
        <v>66</v>
      </c>
      <c r="AE138" s="39" t="s">
        <v>67</v>
      </c>
      <c r="AF138" s="39" t="s">
        <v>92</v>
      </c>
      <c r="AG138" s="39" t="s">
        <v>68</v>
      </c>
      <c r="AH138" s="39" t="s">
        <v>246</v>
      </c>
      <c r="AI138" s="39">
        <v>8.5765913239E10</v>
      </c>
      <c r="AJ138" s="43"/>
      <c r="AK138" s="39" t="s">
        <v>2235</v>
      </c>
      <c r="AL138" s="39" t="s">
        <v>2236</v>
      </c>
      <c r="AM138" s="39" t="s">
        <v>96</v>
      </c>
      <c r="AN138" s="39" t="s">
        <v>74</v>
      </c>
      <c r="AO138" s="39" t="s">
        <v>360</v>
      </c>
      <c r="AP138" s="39" t="s">
        <v>1985</v>
      </c>
      <c r="AQ138" s="43"/>
      <c r="AR138" s="43"/>
    </row>
    <row r="139">
      <c r="A139" s="21"/>
      <c r="B139" s="248" t="s">
        <v>2558</v>
      </c>
      <c r="C139" s="254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  <c r="AB139" s="116"/>
      <c r="AC139" s="23">
        <v>133.0</v>
      </c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  <c r="AO139" s="119"/>
      <c r="AP139" s="119"/>
      <c r="AQ139" s="119"/>
      <c r="AR139" s="119"/>
    </row>
    <row r="140">
      <c r="A140" s="21">
        <f>SUM(A138+1)</f>
        <v>131</v>
      </c>
      <c r="B140" s="21" t="s">
        <v>2559</v>
      </c>
      <c r="C140" s="38" t="s">
        <v>2560</v>
      </c>
      <c r="D140" s="23">
        <v>8.0</v>
      </c>
      <c r="E140" s="23">
        <v>3.0</v>
      </c>
      <c r="F140" s="23" t="s">
        <v>80</v>
      </c>
      <c r="G140" s="23" t="s">
        <v>81</v>
      </c>
      <c r="H140" s="24">
        <v>42186.0</v>
      </c>
      <c r="I140" s="21" t="s">
        <v>102</v>
      </c>
      <c r="J140" s="21" t="s">
        <v>103</v>
      </c>
      <c r="K140" s="21" t="s">
        <v>1561</v>
      </c>
      <c r="L140" s="21" t="s">
        <v>105</v>
      </c>
      <c r="M140" s="25">
        <v>45200.0</v>
      </c>
      <c r="N140" s="23" t="s">
        <v>56</v>
      </c>
      <c r="O140" s="21" t="s">
        <v>2561</v>
      </c>
      <c r="P140" s="23" t="s">
        <v>1296</v>
      </c>
      <c r="Q140" s="21" t="s">
        <v>266</v>
      </c>
      <c r="R140" s="24">
        <v>46076.0</v>
      </c>
      <c r="S140" s="23" t="s">
        <v>87</v>
      </c>
      <c r="T140" s="29"/>
      <c r="U140" s="23" t="s">
        <v>88</v>
      </c>
      <c r="V140" s="21" t="s">
        <v>110</v>
      </c>
      <c r="W140" s="21" t="s">
        <v>111</v>
      </c>
      <c r="X140" s="21" t="s">
        <v>112</v>
      </c>
      <c r="Y140" s="21" t="s">
        <v>1306</v>
      </c>
      <c r="Z140" s="56"/>
      <c r="AA140" s="28">
        <v>55521.0</v>
      </c>
      <c r="AB140" s="29"/>
      <c r="AC140" s="23">
        <v>134.0</v>
      </c>
      <c r="AD140" s="21" t="s">
        <v>66</v>
      </c>
      <c r="AE140" s="21" t="s">
        <v>67</v>
      </c>
      <c r="AF140" s="30"/>
      <c r="AG140" s="21" t="s">
        <v>68</v>
      </c>
      <c r="AH140" s="21" t="s">
        <v>69</v>
      </c>
      <c r="AI140" s="21">
        <v>8.1260093256E10</v>
      </c>
      <c r="AJ140" s="21" t="s">
        <v>2562</v>
      </c>
      <c r="AK140" s="21" t="s">
        <v>2563</v>
      </c>
      <c r="AL140" s="21" t="s">
        <v>2564</v>
      </c>
      <c r="AM140" s="21" t="s">
        <v>96</v>
      </c>
      <c r="AN140" s="21" t="s">
        <v>74</v>
      </c>
      <c r="AO140" s="21" t="s">
        <v>1291</v>
      </c>
      <c r="AP140" s="21" t="s">
        <v>2565</v>
      </c>
      <c r="AQ140" s="30"/>
      <c r="AR140" s="30"/>
    </row>
    <row r="141">
      <c r="A141" s="21">
        <f t="shared" ref="A141:A189" si="4">SUM(A140+1)</f>
        <v>132</v>
      </c>
      <c r="B141" s="21" t="s">
        <v>2566</v>
      </c>
      <c r="C141" s="38" t="s">
        <v>2567</v>
      </c>
      <c r="D141" s="23">
        <v>9.0</v>
      </c>
      <c r="E141" s="23">
        <v>9.0</v>
      </c>
      <c r="F141" s="23" t="s">
        <v>171</v>
      </c>
      <c r="G141" s="23" t="s">
        <v>172</v>
      </c>
      <c r="H141" s="24">
        <v>40544.0</v>
      </c>
      <c r="I141" s="21" t="s">
        <v>102</v>
      </c>
      <c r="J141" s="21" t="s">
        <v>103</v>
      </c>
      <c r="K141" s="21" t="s">
        <v>2568</v>
      </c>
      <c r="L141" s="21" t="s">
        <v>88</v>
      </c>
      <c r="M141" s="25">
        <v>44835.0</v>
      </c>
      <c r="N141" s="23" t="s">
        <v>56</v>
      </c>
      <c r="O141" s="21" t="s">
        <v>2569</v>
      </c>
      <c r="P141" s="23" t="s">
        <v>107</v>
      </c>
      <c r="Q141" s="21" t="s">
        <v>2570</v>
      </c>
      <c r="R141" s="24">
        <v>45628.0</v>
      </c>
      <c r="S141" s="23" t="s">
        <v>2571</v>
      </c>
      <c r="T141" s="29"/>
      <c r="U141" s="23" t="s">
        <v>88</v>
      </c>
      <c r="V141" s="21" t="s">
        <v>159</v>
      </c>
      <c r="W141" s="21" t="s">
        <v>2572</v>
      </c>
      <c r="X141" s="21" t="s">
        <v>1010</v>
      </c>
      <c r="Y141" s="27">
        <v>43792.0</v>
      </c>
      <c r="Z141" s="23" t="s">
        <v>65</v>
      </c>
      <c r="AA141" s="28">
        <v>51137.0</v>
      </c>
      <c r="AB141" s="29"/>
      <c r="AC141" s="23">
        <v>135.0</v>
      </c>
      <c r="AD141" s="21" t="s">
        <v>66</v>
      </c>
      <c r="AE141" s="21" t="s">
        <v>67</v>
      </c>
      <c r="AF141" s="21" t="s">
        <v>129</v>
      </c>
      <c r="AG141" s="21" t="s">
        <v>68</v>
      </c>
      <c r="AH141" s="21" t="s">
        <v>288</v>
      </c>
      <c r="AI141" s="21">
        <v>8.139612412E10</v>
      </c>
      <c r="AJ141" s="21" t="s">
        <v>2573</v>
      </c>
      <c r="AK141" s="21" t="s">
        <v>2574</v>
      </c>
      <c r="AL141" s="21" t="s">
        <v>2575</v>
      </c>
      <c r="AM141" s="21" t="s">
        <v>96</v>
      </c>
      <c r="AN141" s="21" t="s">
        <v>74</v>
      </c>
      <c r="AO141" s="21" t="s">
        <v>454</v>
      </c>
      <c r="AP141" s="21" t="s">
        <v>1753</v>
      </c>
      <c r="AQ141" s="30"/>
      <c r="AR141" s="30"/>
    </row>
    <row r="142">
      <c r="A142" s="21">
        <f t="shared" si="4"/>
        <v>133</v>
      </c>
      <c r="B142" s="21" t="s">
        <v>2576</v>
      </c>
      <c r="C142" s="38" t="s">
        <v>2577</v>
      </c>
      <c r="D142" s="23">
        <v>21.0</v>
      </c>
      <c r="E142" s="23">
        <v>0.0</v>
      </c>
      <c r="F142" s="23" t="s">
        <v>50</v>
      </c>
      <c r="G142" s="23" t="s">
        <v>51</v>
      </c>
      <c r="H142" s="24">
        <v>33573.0</v>
      </c>
      <c r="I142" s="21" t="s">
        <v>52</v>
      </c>
      <c r="J142" s="21" t="s">
        <v>53</v>
      </c>
      <c r="K142" s="21" t="s">
        <v>2578</v>
      </c>
      <c r="L142" s="21" t="s">
        <v>55</v>
      </c>
      <c r="M142" s="25">
        <v>42095.0</v>
      </c>
      <c r="N142" s="23" t="s">
        <v>141</v>
      </c>
      <c r="O142" s="21" t="s">
        <v>2579</v>
      </c>
      <c r="P142" s="56"/>
      <c r="Q142" s="21" t="s">
        <v>2580</v>
      </c>
      <c r="R142" s="24">
        <v>44958.0</v>
      </c>
      <c r="S142" s="23" t="s">
        <v>2014</v>
      </c>
      <c r="T142" s="29"/>
      <c r="U142" s="23" t="s">
        <v>2015</v>
      </c>
      <c r="V142" s="21" t="s">
        <v>159</v>
      </c>
      <c r="W142" s="21" t="s">
        <v>1633</v>
      </c>
      <c r="X142" s="21" t="s">
        <v>648</v>
      </c>
      <c r="Y142" s="21" t="s">
        <v>2581</v>
      </c>
      <c r="Z142" s="23" t="s">
        <v>2582</v>
      </c>
      <c r="AA142" s="28">
        <v>46394.0</v>
      </c>
      <c r="AB142" s="29"/>
      <c r="AC142" s="23">
        <v>136.0</v>
      </c>
      <c r="AD142" s="21" t="s">
        <v>66</v>
      </c>
      <c r="AE142" s="21" t="s">
        <v>67</v>
      </c>
      <c r="AF142" s="21" t="s">
        <v>92</v>
      </c>
      <c r="AG142" s="21" t="s">
        <v>68</v>
      </c>
      <c r="AH142" s="21" t="s">
        <v>69</v>
      </c>
      <c r="AI142" s="21">
        <v>8.1263710177E10</v>
      </c>
      <c r="AJ142" s="21" t="s">
        <v>2583</v>
      </c>
      <c r="AK142" s="21" t="s">
        <v>2584</v>
      </c>
      <c r="AL142" s="21" t="s">
        <v>2585</v>
      </c>
      <c r="AM142" s="21" t="s">
        <v>96</v>
      </c>
      <c r="AN142" s="30"/>
      <c r="AO142" s="21" t="s">
        <v>236</v>
      </c>
      <c r="AP142" s="21" t="s">
        <v>152</v>
      </c>
      <c r="AQ142" s="30"/>
      <c r="AR142" s="30"/>
    </row>
    <row r="143">
      <c r="A143" s="21">
        <f t="shared" si="4"/>
        <v>134</v>
      </c>
      <c r="B143" s="39" t="s">
        <v>2586</v>
      </c>
      <c r="C143" s="57" t="s">
        <v>2587</v>
      </c>
      <c r="D143" s="39">
        <v>18.0</v>
      </c>
      <c r="E143" s="39">
        <v>8.0</v>
      </c>
      <c r="F143" s="39" t="s">
        <v>50</v>
      </c>
      <c r="G143" s="39" t="s">
        <v>51</v>
      </c>
      <c r="H143" s="42">
        <v>35462.0</v>
      </c>
      <c r="I143" s="39" t="s">
        <v>52</v>
      </c>
      <c r="J143" s="39" t="s">
        <v>53</v>
      </c>
      <c r="K143" s="39" t="s">
        <v>2588</v>
      </c>
      <c r="L143" s="39" t="s">
        <v>55</v>
      </c>
      <c r="M143" s="42">
        <v>43374.0</v>
      </c>
      <c r="N143" s="39" t="s">
        <v>56</v>
      </c>
      <c r="O143" s="39" t="s">
        <v>229</v>
      </c>
      <c r="P143" s="39" t="s">
        <v>58</v>
      </c>
      <c r="Q143" s="39" t="s">
        <v>2570</v>
      </c>
      <c r="R143" s="42">
        <v>42933.0</v>
      </c>
      <c r="S143" s="39" t="s">
        <v>2589</v>
      </c>
      <c r="T143" s="46"/>
      <c r="U143" s="39" t="s">
        <v>61</v>
      </c>
      <c r="V143" s="39" t="s">
        <v>89</v>
      </c>
      <c r="W143" s="39" t="s">
        <v>1464</v>
      </c>
      <c r="X143" s="39" t="s">
        <v>2590</v>
      </c>
      <c r="Y143" s="39" t="s">
        <v>1470</v>
      </c>
      <c r="Z143" s="39" t="s">
        <v>114</v>
      </c>
      <c r="AA143" s="45">
        <v>47856.0</v>
      </c>
      <c r="AB143" s="46"/>
      <c r="AC143" s="23">
        <v>137.0</v>
      </c>
      <c r="AD143" s="39" t="s">
        <v>66</v>
      </c>
      <c r="AE143" s="39" t="s">
        <v>67</v>
      </c>
      <c r="AF143" s="39" t="s">
        <v>92</v>
      </c>
      <c r="AG143" s="39" t="s">
        <v>68</v>
      </c>
      <c r="AH143" s="39" t="s">
        <v>246</v>
      </c>
      <c r="AI143" s="39">
        <v>8.126081102E9</v>
      </c>
      <c r="AJ143" s="39" t="s">
        <v>2591</v>
      </c>
      <c r="AK143" s="39" t="s">
        <v>2592</v>
      </c>
      <c r="AL143" s="39" t="s">
        <v>2593</v>
      </c>
      <c r="AM143" s="39" t="s">
        <v>73</v>
      </c>
      <c r="AN143" s="39" t="s">
        <v>74</v>
      </c>
      <c r="AO143" s="39" t="s">
        <v>360</v>
      </c>
      <c r="AP143" s="39" t="s">
        <v>566</v>
      </c>
      <c r="AQ143" s="43"/>
      <c r="AR143" s="43"/>
    </row>
    <row r="144">
      <c r="A144" s="21">
        <f t="shared" si="4"/>
        <v>135</v>
      </c>
      <c r="B144" s="39" t="s">
        <v>2594</v>
      </c>
      <c r="C144" s="57" t="s">
        <v>2595</v>
      </c>
      <c r="D144" s="39">
        <v>17.0</v>
      </c>
      <c r="E144" s="39">
        <v>8.0</v>
      </c>
      <c r="F144" s="39" t="s">
        <v>80</v>
      </c>
      <c r="G144" s="39" t="s">
        <v>81</v>
      </c>
      <c r="H144" s="42">
        <v>38384.0</v>
      </c>
      <c r="I144" s="39" t="s">
        <v>254</v>
      </c>
      <c r="J144" s="39" t="s">
        <v>255</v>
      </c>
      <c r="K144" s="39" t="s">
        <v>1951</v>
      </c>
      <c r="L144" s="39" t="s">
        <v>55</v>
      </c>
      <c r="M144" s="42">
        <v>44835.0</v>
      </c>
      <c r="N144" s="39" t="s">
        <v>141</v>
      </c>
      <c r="O144" s="39" t="s">
        <v>173</v>
      </c>
      <c r="P144" s="43"/>
      <c r="Q144" s="39" t="s">
        <v>59</v>
      </c>
      <c r="R144" s="42">
        <v>44958.0</v>
      </c>
      <c r="S144" s="39" t="s">
        <v>2014</v>
      </c>
      <c r="T144" s="46"/>
      <c r="U144" s="39" t="s">
        <v>2015</v>
      </c>
      <c r="V144" s="39" t="s">
        <v>159</v>
      </c>
      <c r="W144" s="39" t="s">
        <v>218</v>
      </c>
      <c r="X144" s="39" t="s">
        <v>745</v>
      </c>
      <c r="Y144" s="39" t="s">
        <v>2596</v>
      </c>
      <c r="Z144" s="39" t="s">
        <v>114</v>
      </c>
      <c r="AA144" s="45">
        <v>49679.0</v>
      </c>
      <c r="AB144" s="46"/>
      <c r="AC144" s="23">
        <v>138.0</v>
      </c>
      <c r="AD144" s="39" t="s">
        <v>66</v>
      </c>
      <c r="AE144" s="39" t="s">
        <v>67</v>
      </c>
      <c r="AF144" s="39" t="s">
        <v>92</v>
      </c>
      <c r="AG144" s="39" t="s">
        <v>68</v>
      </c>
      <c r="AH144" s="39" t="s">
        <v>246</v>
      </c>
      <c r="AI144" s="39">
        <v>8.2273086277E10</v>
      </c>
      <c r="AJ144" s="39" t="s">
        <v>2597</v>
      </c>
      <c r="AK144" s="39" t="s">
        <v>2598</v>
      </c>
      <c r="AL144" s="39" t="s">
        <v>2599</v>
      </c>
      <c r="AM144" s="39" t="s">
        <v>73</v>
      </c>
      <c r="AN144" s="39" t="s">
        <v>74</v>
      </c>
      <c r="AO144" s="39" t="s">
        <v>582</v>
      </c>
      <c r="AP144" s="39" t="s">
        <v>583</v>
      </c>
      <c r="AQ144" s="39">
        <v>22.0</v>
      </c>
      <c r="AR144" s="39">
        <v>9.0</v>
      </c>
    </row>
    <row r="145">
      <c r="A145" s="21">
        <f t="shared" si="4"/>
        <v>136</v>
      </c>
      <c r="B145" s="39" t="s">
        <v>2600</v>
      </c>
      <c r="C145" s="57" t="s">
        <v>2601</v>
      </c>
      <c r="D145" s="39">
        <v>23.0</v>
      </c>
      <c r="E145" s="39">
        <v>0.0</v>
      </c>
      <c r="F145" s="39" t="s">
        <v>80</v>
      </c>
      <c r="G145" s="39" t="s">
        <v>81</v>
      </c>
      <c r="H145" s="42">
        <v>40360.0</v>
      </c>
      <c r="I145" s="39" t="s">
        <v>254</v>
      </c>
      <c r="J145" s="39" t="s">
        <v>255</v>
      </c>
      <c r="K145" s="39" t="s">
        <v>494</v>
      </c>
      <c r="L145" s="39" t="s">
        <v>495</v>
      </c>
      <c r="M145" s="42">
        <v>45383.0</v>
      </c>
      <c r="N145" s="39" t="s">
        <v>141</v>
      </c>
      <c r="O145" s="39" t="s">
        <v>173</v>
      </c>
      <c r="P145" s="43"/>
      <c r="Q145" s="39" t="s">
        <v>59</v>
      </c>
      <c r="R145" s="42">
        <v>45292.0</v>
      </c>
      <c r="S145" s="39" t="s">
        <v>143</v>
      </c>
      <c r="T145" s="46"/>
      <c r="U145" s="39" t="s">
        <v>144</v>
      </c>
      <c r="V145" s="39" t="s">
        <v>159</v>
      </c>
      <c r="W145" s="39" t="s">
        <v>1354</v>
      </c>
      <c r="X145" s="39" t="s">
        <v>260</v>
      </c>
      <c r="Y145" s="132">
        <v>42333.0</v>
      </c>
      <c r="Z145" s="65"/>
      <c r="AA145" s="45">
        <v>47486.0</v>
      </c>
      <c r="AB145" s="46"/>
      <c r="AC145" s="23">
        <v>139.0</v>
      </c>
      <c r="AD145" s="39" t="s">
        <v>66</v>
      </c>
      <c r="AE145" s="39" t="s">
        <v>67</v>
      </c>
      <c r="AF145" s="39" t="s">
        <v>92</v>
      </c>
      <c r="AG145" s="39" t="s">
        <v>130</v>
      </c>
      <c r="AH145" s="39" t="s">
        <v>131</v>
      </c>
      <c r="AI145" s="39">
        <v>8.1375155884E10</v>
      </c>
      <c r="AJ145" s="39" t="s">
        <v>2602</v>
      </c>
      <c r="AK145" s="39" t="s">
        <v>2603</v>
      </c>
      <c r="AL145" s="39" t="s">
        <v>2604</v>
      </c>
      <c r="AM145" s="39" t="s">
        <v>96</v>
      </c>
      <c r="AN145" s="39" t="s">
        <v>74</v>
      </c>
      <c r="AO145" s="39" t="s">
        <v>774</v>
      </c>
      <c r="AP145" s="39" t="s">
        <v>942</v>
      </c>
      <c r="AQ145" s="43"/>
      <c r="AR145" s="43"/>
    </row>
    <row r="146">
      <c r="A146" s="21">
        <f t="shared" si="4"/>
        <v>137</v>
      </c>
      <c r="B146" s="39" t="s">
        <v>2605</v>
      </c>
      <c r="C146" s="57" t="s">
        <v>2606</v>
      </c>
      <c r="D146" s="39">
        <v>17.0</v>
      </c>
      <c r="E146" s="39">
        <v>7.0</v>
      </c>
      <c r="F146" s="39" t="s">
        <v>50</v>
      </c>
      <c r="G146" s="39" t="s">
        <v>51</v>
      </c>
      <c r="H146" s="42">
        <v>33664.0</v>
      </c>
      <c r="I146" s="39" t="s">
        <v>82</v>
      </c>
      <c r="J146" s="39" t="s">
        <v>83</v>
      </c>
      <c r="K146" s="39" t="s">
        <v>2607</v>
      </c>
      <c r="L146" s="39" t="s">
        <v>61</v>
      </c>
      <c r="M146" s="42">
        <v>41913.0</v>
      </c>
      <c r="N146" s="39" t="s">
        <v>141</v>
      </c>
      <c r="O146" s="39" t="s">
        <v>229</v>
      </c>
      <c r="P146" s="43"/>
      <c r="Q146" s="39" t="s">
        <v>2570</v>
      </c>
      <c r="R146" s="42">
        <v>45292.0</v>
      </c>
      <c r="S146" s="39" t="s">
        <v>143</v>
      </c>
      <c r="T146" s="46"/>
      <c r="U146" s="39" t="s">
        <v>144</v>
      </c>
      <c r="V146" s="39" t="s">
        <v>89</v>
      </c>
      <c r="W146" s="39" t="s">
        <v>2318</v>
      </c>
      <c r="X146" s="39" t="s">
        <v>198</v>
      </c>
      <c r="Y146" s="39" t="s">
        <v>2608</v>
      </c>
      <c r="Z146" s="39" t="s">
        <v>114</v>
      </c>
      <c r="AA146" s="45">
        <v>47488.0</v>
      </c>
      <c r="AB146" s="46"/>
      <c r="AC146" s="23">
        <v>140.0</v>
      </c>
      <c r="AD146" s="39" t="s">
        <v>66</v>
      </c>
      <c r="AE146" s="39" t="s">
        <v>67</v>
      </c>
      <c r="AF146" s="39" t="s">
        <v>92</v>
      </c>
      <c r="AG146" s="39" t="s">
        <v>130</v>
      </c>
      <c r="AH146" s="39" t="s">
        <v>246</v>
      </c>
      <c r="AI146" s="39">
        <v>8.1370795365E10</v>
      </c>
      <c r="AJ146" s="39" t="s">
        <v>2609</v>
      </c>
      <c r="AK146" s="39" t="s">
        <v>2610</v>
      </c>
      <c r="AL146" s="39" t="s">
        <v>2611</v>
      </c>
      <c r="AM146" s="39" t="s">
        <v>73</v>
      </c>
      <c r="AN146" s="39" t="s">
        <v>74</v>
      </c>
      <c r="AO146" s="39" t="s">
        <v>774</v>
      </c>
      <c r="AP146" s="39" t="s">
        <v>775</v>
      </c>
      <c r="AQ146" s="43"/>
      <c r="AR146" s="43"/>
    </row>
    <row r="147">
      <c r="A147" s="21">
        <f t="shared" si="4"/>
        <v>138</v>
      </c>
      <c r="B147" s="39" t="s">
        <v>2612</v>
      </c>
      <c r="C147" s="57" t="s">
        <v>2613</v>
      </c>
      <c r="D147" s="39">
        <v>17.0</v>
      </c>
      <c r="E147" s="39">
        <v>7.0</v>
      </c>
      <c r="F147" s="39" t="s">
        <v>50</v>
      </c>
      <c r="G147" s="39" t="s">
        <v>51</v>
      </c>
      <c r="H147" s="42">
        <v>33664.0</v>
      </c>
      <c r="I147" s="39" t="s">
        <v>82</v>
      </c>
      <c r="J147" s="39" t="s">
        <v>83</v>
      </c>
      <c r="K147" s="39" t="s">
        <v>2607</v>
      </c>
      <c r="L147" s="39" t="s">
        <v>61</v>
      </c>
      <c r="M147" s="42">
        <v>41913.0</v>
      </c>
      <c r="N147" s="39" t="s">
        <v>141</v>
      </c>
      <c r="O147" s="39" t="s">
        <v>229</v>
      </c>
      <c r="P147" s="43"/>
      <c r="Q147" s="39" t="s">
        <v>2570</v>
      </c>
      <c r="R147" s="42">
        <v>45292.0</v>
      </c>
      <c r="S147" s="39" t="s">
        <v>143</v>
      </c>
      <c r="T147" s="46"/>
      <c r="U147" s="39" t="s">
        <v>144</v>
      </c>
      <c r="V147" s="39" t="s">
        <v>89</v>
      </c>
      <c r="W147" s="39" t="s">
        <v>1520</v>
      </c>
      <c r="X147" s="39" t="s">
        <v>198</v>
      </c>
      <c r="Y147" s="39" t="s">
        <v>2614</v>
      </c>
      <c r="Z147" s="39" t="s">
        <v>114</v>
      </c>
      <c r="AA147" s="45">
        <v>46759.0</v>
      </c>
      <c r="AB147" s="46"/>
      <c r="AC147" s="23">
        <v>141.0</v>
      </c>
      <c r="AD147" s="39" t="s">
        <v>66</v>
      </c>
      <c r="AE147" s="39" t="s">
        <v>67</v>
      </c>
      <c r="AF147" s="39" t="s">
        <v>92</v>
      </c>
      <c r="AG147" s="39" t="s">
        <v>130</v>
      </c>
      <c r="AH147" s="39" t="s">
        <v>131</v>
      </c>
      <c r="AI147" s="39">
        <v>8.137001087E10</v>
      </c>
      <c r="AJ147" s="39" t="s">
        <v>2615</v>
      </c>
      <c r="AK147" s="39" t="s">
        <v>2616</v>
      </c>
      <c r="AL147" s="39" t="s">
        <v>2617</v>
      </c>
      <c r="AM147" s="39" t="s">
        <v>96</v>
      </c>
      <c r="AN147" s="39" t="s">
        <v>135</v>
      </c>
      <c r="AO147" s="39" t="s">
        <v>379</v>
      </c>
      <c r="AP147" s="39" t="s">
        <v>389</v>
      </c>
      <c r="AQ147" s="43"/>
      <c r="AR147" s="43"/>
    </row>
    <row r="148">
      <c r="A148" s="21">
        <f t="shared" si="4"/>
        <v>139</v>
      </c>
      <c r="B148" s="39" t="s">
        <v>2618</v>
      </c>
      <c r="C148" s="57" t="s">
        <v>2619</v>
      </c>
      <c r="D148" s="39">
        <v>13.0</v>
      </c>
      <c r="E148" s="39">
        <v>4.0</v>
      </c>
      <c r="F148" s="39" t="s">
        <v>80</v>
      </c>
      <c r="G148" s="39" t="s">
        <v>81</v>
      </c>
      <c r="H148" s="42">
        <v>37956.0</v>
      </c>
      <c r="I148" s="39" t="s">
        <v>82</v>
      </c>
      <c r="J148" s="39" t="s">
        <v>83</v>
      </c>
      <c r="K148" s="39" t="s">
        <v>2620</v>
      </c>
      <c r="L148" s="39" t="s">
        <v>2621</v>
      </c>
      <c r="M148" s="42">
        <v>42826.0</v>
      </c>
      <c r="N148" s="39" t="s">
        <v>141</v>
      </c>
      <c r="O148" s="39" t="s">
        <v>229</v>
      </c>
      <c r="P148" s="43"/>
      <c r="Q148" s="39" t="s">
        <v>2570</v>
      </c>
      <c r="R148" s="42">
        <v>45292.0</v>
      </c>
      <c r="S148" s="39" t="s">
        <v>143</v>
      </c>
      <c r="T148" s="46"/>
      <c r="U148" s="39" t="s">
        <v>144</v>
      </c>
      <c r="V148" s="39" t="s">
        <v>89</v>
      </c>
      <c r="W148" s="39" t="s">
        <v>1214</v>
      </c>
      <c r="X148" s="39" t="s">
        <v>2622</v>
      </c>
      <c r="Y148" s="47">
        <v>37572.0</v>
      </c>
      <c r="Z148" s="46"/>
      <c r="AA148" s="45">
        <v>48586.0</v>
      </c>
      <c r="AB148" s="46"/>
      <c r="AC148" s="23">
        <v>142.0</v>
      </c>
      <c r="AD148" s="39" t="s">
        <v>66</v>
      </c>
      <c r="AE148" s="39" t="s">
        <v>67</v>
      </c>
      <c r="AF148" s="39" t="s">
        <v>92</v>
      </c>
      <c r="AG148" s="39" t="s">
        <v>130</v>
      </c>
      <c r="AH148" s="39" t="s">
        <v>131</v>
      </c>
      <c r="AI148" s="39">
        <v>8.1261156118E10</v>
      </c>
      <c r="AJ148" s="39" t="s">
        <v>2623</v>
      </c>
      <c r="AK148" s="39" t="s">
        <v>2624</v>
      </c>
      <c r="AL148" s="39" t="s">
        <v>2625</v>
      </c>
      <c r="AM148" s="39" t="s">
        <v>96</v>
      </c>
      <c r="AN148" s="39" t="s">
        <v>166</v>
      </c>
      <c r="AO148" s="39" t="s">
        <v>178</v>
      </c>
      <c r="AP148" s="39" t="s">
        <v>304</v>
      </c>
      <c r="AQ148" s="43"/>
      <c r="AR148" s="43"/>
    </row>
    <row r="149">
      <c r="A149" s="21">
        <f t="shared" si="4"/>
        <v>140</v>
      </c>
      <c r="B149" s="39" t="s">
        <v>2626</v>
      </c>
      <c r="C149" s="57" t="s">
        <v>2627</v>
      </c>
      <c r="D149" s="39">
        <v>22.0</v>
      </c>
      <c r="E149" s="39">
        <v>1.0</v>
      </c>
      <c r="F149" s="39" t="s">
        <v>80</v>
      </c>
      <c r="G149" s="39" t="s">
        <v>81</v>
      </c>
      <c r="H149" s="42">
        <v>39448.0</v>
      </c>
      <c r="I149" s="39" t="s">
        <v>82</v>
      </c>
      <c r="J149" s="39" t="s">
        <v>83</v>
      </c>
      <c r="K149" s="39" t="s">
        <v>1995</v>
      </c>
      <c r="L149" s="39" t="s">
        <v>1314</v>
      </c>
      <c r="M149" s="42">
        <v>43922.0</v>
      </c>
      <c r="N149" s="39" t="s">
        <v>141</v>
      </c>
      <c r="O149" s="39" t="s">
        <v>229</v>
      </c>
      <c r="P149" s="43"/>
      <c r="Q149" s="39" t="s">
        <v>2570</v>
      </c>
      <c r="R149" s="42">
        <v>45292.0</v>
      </c>
      <c r="S149" s="39" t="s">
        <v>143</v>
      </c>
      <c r="T149" s="46"/>
      <c r="U149" s="39" t="s">
        <v>144</v>
      </c>
      <c r="V149" s="39" t="s">
        <v>89</v>
      </c>
      <c r="W149" s="39" t="s">
        <v>2628</v>
      </c>
      <c r="X149" s="39" t="s">
        <v>2629</v>
      </c>
      <c r="Y149" s="47">
        <v>35385.0</v>
      </c>
      <c r="Z149" s="39" t="s">
        <v>114</v>
      </c>
      <c r="AA149" s="45">
        <v>46753.0</v>
      </c>
      <c r="AB149" s="46"/>
      <c r="AC149" s="23">
        <v>143.0</v>
      </c>
      <c r="AD149" s="39" t="s">
        <v>66</v>
      </c>
      <c r="AE149" s="39" t="s">
        <v>67</v>
      </c>
      <c r="AF149" s="39" t="s">
        <v>92</v>
      </c>
      <c r="AG149" s="39" t="s">
        <v>68</v>
      </c>
      <c r="AH149" s="39" t="s">
        <v>69</v>
      </c>
      <c r="AI149" s="39">
        <v>8.5762266553E10</v>
      </c>
      <c r="AJ149" s="39" t="s">
        <v>2630</v>
      </c>
      <c r="AK149" s="39" t="s">
        <v>2631</v>
      </c>
      <c r="AL149" s="39" t="s">
        <v>2632</v>
      </c>
      <c r="AM149" s="39" t="s">
        <v>96</v>
      </c>
      <c r="AN149" s="39" t="s">
        <v>150</v>
      </c>
      <c r="AO149" s="39" t="s">
        <v>925</v>
      </c>
      <c r="AP149" s="39" t="s">
        <v>2633</v>
      </c>
      <c r="AQ149" s="43"/>
      <c r="AR149" s="43"/>
    </row>
    <row r="150">
      <c r="A150" s="21">
        <f t="shared" si="4"/>
        <v>141</v>
      </c>
      <c r="B150" s="39" t="s">
        <v>2634</v>
      </c>
      <c r="C150" s="57" t="s">
        <v>2635</v>
      </c>
      <c r="D150" s="39">
        <v>18.0</v>
      </c>
      <c r="E150" s="39">
        <v>4.0</v>
      </c>
      <c r="F150" s="39" t="s">
        <v>80</v>
      </c>
      <c r="G150" s="39" t="s">
        <v>81</v>
      </c>
      <c r="H150" s="42">
        <v>39448.0</v>
      </c>
      <c r="I150" s="39" t="s">
        <v>82</v>
      </c>
      <c r="J150" s="39" t="s">
        <v>83</v>
      </c>
      <c r="K150" s="39" t="s">
        <v>1995</v>
      </c>
      <c r="L150" s="39" t="s">
        <v>105</v>
      </c>
      <c r="M150" s="42">
        <v>43922.0</v>
      </c>
      <c r="N150" s="39" t="s">
        <v>141</v>
      </c>
      <c r="O150" s="39" t="s">
        <v>229</v>
      </c>
      <c r="P150" s="43"/>
      <c r="Q150" s="39" t="s">
        <v>266</v>
      </c>
      <c r="R150" s="42">
        <v>45292.0</v>
      </c>
      <c r="S150" s="39" t="s">
        <v>143</v>
      </c>
      <c r="T150" s="46"/>
      <c r="U150" s="39" t="s">
        <v>144</v>
      </c>
      <c r="V150" s="39" t="s">
        <v>89</v>
      </c>
      <c r="W150" s="39" t="s">
        <v>374</v>
      </c>
      <c r="X150" s="39" t="s">
        <v>2636</v>
      </c>
      <c r="Y150" s="39" t="s">
        <v>2637</v>
      </c>
      <c r="Z150" s="39" t="s">
        <v>114</v>
      </c>
      <c r="AA150" s="45">
        <v>48947.0</v>
      </c>
      <c r="AB150" s="46"/>
      <c r="AC150" s="23">
        <v>144.0</v>
      </c>
      <c r="AD150" s="39" t="s">
        <v>66</v>
      </c>
      <c r="AE150" s="39" t="s">
        <v>220</v>
      </c>
      <c r="AF150" s="39" t="s">
        <v>92</v>
      </c>
      <c r="AG150" s="39" t="s">
        <v>130</v>
      </c>
      <c r="AH150" s="39" t="s">
        <v>131</v>
      </c>
      <c r="AI150" s="39">
        <v>8.2165609713E10</v>
      </c>
      <c r="AJ150" s="39" t="s">
        <v>2638</v>
      </c>
      <c r="AK150" s="39" t="s">
        <v>2639</v>
      </c>
      <c r="AL150" s="39" t="s">
        <v>2640</v>
      </c>
      <c r="AM150" s="39" t="s">
        <v>96</v>
      </c>
      <c r="AN150" s="39" t="s">
        <v>481</v>
      </c>
      <c r="AO150" s="39" t="s">
        <v>75</v>
      </c>
      <c r="AP150" s="39" t="s">
        <v>76</v>
      </c>
      <c r="AQ150" s="43"/>
      <c r="AR150" s="43"/>
    </row>
    <row r="151">
      <c r="A151" s="21">
        <f t="shared" si="4"/>
        <v>142</v>
      </c>
      <c r="B151" s="39" t="s">
        <v>2641</v>
      </c>
      <c r="C151" s="57" t="s">
        <v>2642</v>
      </c>
      <c r="D151" s="39">
        <v>15.0</v>
      </c>
      <c r="E151" s="39">
        <v>9.0</v>
      </c>
      <c r="F151" s="39" t="s">
        <v>80</v>
      </c>
      <c r="G151" s="39" t="s">
        <v>81</v>
      </c>
      <c r="H151" s="42">
        <v>39873.0</v>
      </c>
      <c r="I151" s="39" t="s">
        <v>82</v>
      </c>
      <c r="J151" s="39" t="s">
        <v>83</v>
      </c>
      <c r="K151" s="39" t="s">
        <v>2643</v>
      </c>
      <c r="L151" s="39" t="s">
        <v>105</v>
      </c>
      <c r="M151" s="42">
        <v>44105.0</v>
      </c>
      <c r="N151" s="39" t="s">
        <v>141</v>
      </c>
      <c r="O151" s="39" t="s">
        <v>229</v>
      </c>
      <c r="P151" s="43"/>
      <c r="Q151" s="39" t="s">
        <v>2570</v>
      </c>
      <c r="R151" s="42">
        <v>44958.0</v>
      </c>
      <c r="S151" s="39" t="s">
        <v>2014</v>
      </c>
      <c r="T151" s="46"/>
      <c r="U151" s="39" t="s">
        <v>2015</v>
      </c>
      <c r="V151" s="39" t="s">
        <v>89</v>
      </c>
      <c r="W151" s="39" t="s">
        <v>2644</v>
      </c>
      <c r="X151" s="39" t="s">
        <v>1231</v>
      </c>
      <c r="Y151" s="39" t="s">
        <v>2645</v>
      </c>
      <c r="Z151" s="39" t="s">
        <v>114</v>
      </c>
      <c r="AA151" s="45">
        <v>48947.0</v>
      </c>
      <c r="AB151" s="46"/>
      <c r="AC151" s="23">
        <v>145.0</v>
      </c>
      <c r="AD151" s="39" t="s">
        <v>66</v>
      </c>
      <c r="AE151" s="39" t="s">
        <v>67</v>
      </c>
      <c r="AF151" s="43"/>
      <c r="AG151" s="39" t="s">
        <v>68</v>
      </c>
      <c r="AH151" s="39" t="s">
        <v>131</v>
      </c>
      <c r="AI151" s="39">
        <v>8.216884421E10</v>
      </c>
      <c r="AJ151" s="39" t="s">
        <v>2646</v>
      </c>
      <c r="AK151" s="39" t="s">
        <v>2647</v>
      </c>
      <c r="AL151" s="39" t="s">
        <v>2648</v>
      </c>
      <c r="AM151" s="39" t="s">
        <v>96</v>
      </c>
      <c r="AN151" s="39" t="s">
        <v>74</v>
      </c>
      <c r="AO151" s="39" t="s">
        <v>1030</v>
      </c>
      <c r="AP151" s="39" t="s">
        <v>2649</v>
      </c>
      <c r="AQ151" s="43"/>
      <c r="AR151" s="43"/>
    </row>
    <row r="152">
      <c r="A152" s="21">
        <f t="shared" si="4"/>
        <v>143</v>
      </c>
      <c r="B152" s="39" t="s">
        <v>2650</v>
      </c>
      <c r="C152" s="57" t="s">
        <v>2651</v>
      </c>
      <c r="D152" s="39">
        <v>15.0</v>
      </c>
      <c r="E152" s="39">
        <v>3.0</v>
      </c>
      <c r="F152" s="39" t="s">
        <v>80</v>
      </c>
      <c r="G152" s="39" t="s">
        <v>81</v>
      </c>
      <c r="H152" s="42">
        <v>39448.0</v>
      </c>
      <c r="I152" s="39" t="s">
        <v>82</v>
      </c>
      <c r="J152" s="39" t="s">
        <v>83</v>
      </c>
      <c r="K152" s="39" t="s">
        <v>1995</v>
      </c>
      <c r="L152" s="39" t="s">
        <v>105</v>
      </c>
      <c r="M152" s="42">
        <v>43922.0</v>
      </c>
      <c r="N152" s="39" t="s">
        <v>141</v>
      </c>
      <c r="O152" s="39" t="s">
        <v>173</v>
      </c>
      <c r="P152" s="43"/>
      <c r="Q152" s="39" t="s">
        <v>2570</v>
      </c>
      <c r="R152" s="42">
        <v>45292.0</v>
      </c>
      <c r="S152" s="39" t="s">
        <v>143</v>
      </c>
      <c r="T152" s="46"/>
      <c r="U152" s="39" t="s">
        <v>144</v>
      </c>
      <c r="V152" s="39" t="s">
        <v>89</v>
      </c>
      <c r="W152" s="39" t="s">
        <v>197</v>
      </c>
      <c r="X152" s="39" t="s">
        <v>198</v>
      </c>
      <c r="Y152" s="47">
        <v>35398.0</v>
      </c>
      <c r="Z152" s="46"/>
      <c r="AA152" s="45">
        <v>46763.0</v>
      </c>
      <c r="AB152" s="46"/>
      <c r="AC152" s="23">
        <v>146.0</v>
      </c>
      <c r="AD152" s="39" t="s">
        <v>66</v>
      </c>
      <c r="AE152" s="39" t="s">
        <v>67</v>
      </c>
      <c r="AF152" s="39" t="s">
        <v>92</v>
      </c>
      <c r="AG152" s="39" t="s">
        <v>130</v>
      </c>
      <c r="AH152" s="43"/>
      <c r="AI152" s="39">
        <v>8.13617807E10</v>
      </c>
      <c r="AJ152" s="39" t="s">
        <v>2652</v>
      </c>
      <c r="AK152" s="39" t="s">
        <v>2653</v>
      </c>
      <c r="AL152" s="39" t="s">
        <v>2654</v>
      </c>
      <c r="AM152" s="39" t="s">
        <v>96</v>
      </c>
      <c r="AN152" s="39" t="s">
        <v>481</v>
      </c>
      <c r="AO152" s="39" t="s">
        <v>360</v>
      </c>
      <c r="AP152" s="39" t="s">
        <v>566</v>
      </c>
      <c r="AQ152" s="43"/>
      <c r="AR152" s="43"/>
    </row>
    <row r="153">
      <c r="A153" s="21">
        <f t="shared" si="4"/>
        <v>144</v>
      </c>
      <c r="B153" s="39" t="s">
        <v>2655</v>
      </c>
      <c r="C153" s="57" t="s">
        <v>2656</v>
      </c>
      <c r="D153" s="39">
        <v>17.0</v>
      </c>
      <c r="E153" s="39">
        <v>11.0</v>
      </c>
      <c r="F153" s="39" t="s">
        <v>80</v>
      </c>
      <c r="G153" s="39" t="s">
        <v>81</v>
      </c>
      <c r="H153" s="42">
        <v>40179.0</v>
      </c>
      <c r="I153" s="39" t="s">
        <v>82</v>
      </c>
      <c r="J153" s="39" t="s">
        <v>83</v>
      </c>
      <c r="K153" s="39" t="s">
        <v>195</v>
      </c>
      <c r="L153" s="39" t="s">
        <v>105</v>
      </c>
      <c r="M153" s="42">
        <v>44835.0</v>
      </c>
      <c r="N153" s="39" t="s">
        <v>141</v>
      </c>
      <c r="O153" s="39" t="s">
        <v>173</v>
      </c>
      <c r="P153" s="43"/>
      <c r="Q153" s="39" t="s">
        <v>2570</v>
      </c>
      <c r="R153" s="42">
        <v>45292.0</v>
      </c>
      <c r="S153" s="39" t="s">
        <v>143</v>
      </c>
      <c r="T153" s="46"/>
      <c r="U153" s="39" t="s">
        <v>144</v>
      </c>
      <c r="V153" s="39" t="s">
        <v>89</v>
      </c>
      <c r="W153" s="39" t="s">
        <v>1520</v>
      </c>
      <c r="X153" s="39" t="s">
        <v>2657</v>
      </c>
      <c r="Y153" s="47">
        <v>38091.0</v>
      </c>
      <c r="Z153" s="46"/>
      <c r="AA153" s="45">
        <v>50772.0</v>
      </c>
      <c r="AB153" s="46"/>
      <c r="AC153" s="23">
        <v>147.0</v>
      </c>
      <c r="AD153" s="39" t="s">
        <v>66</v>
      </c>
      <c r="AE153" s="39" t="s">
        <v>220</v>
      </c>
      <c r="AF153" s="39" t="s">
        <v>92</v>
      </c>
      <c r="AG153" s="39" t="s">
        <v>130</v>
      </c>
      <c r="AH153" s="39" t="s">
        <v>69</v>
      </c>
      <c r="AI153" s="39">
        <v>8.5668167408E10</v>
      </c>
      <c r="AJ153" s="39" t="s">
        <v>2658</v>
      </c>
      <c r="AK153" s="39" t="s">
        <v>2659</v>
      </c>
      <c r="AL153" s="39" t="s">
        <v>2660</v>
      </c>
      <c r="AM153" s="39" t="s">
        <v>96</v>
      </c>
      <c r="AN153" s="39" t="s">
        <v>97</v>
      </c>
      <c r="AO153" s="39" t="s">
        <v>214</v>
      </c>
      <c r="AP153" s="39" t="s">
        <v>214</v>
      </c>
      <c r="AQ153" s="43"/>
      <c r="AR153" s="43"/>
    </row>
    <row r="154">
      <c r="A154" s="21">
        <f t="shared" si="4"/>
        <v>145</v>
      </c>
      <c r="B154" s="39" t="s">
        <v>2661</v>
      </c>
      <c r="C154" s="57" t="s">
        <v>2662</v>
      </c>
      <c r="D154" s="39">
        <v>12.0</v>
      </c>
      <c r="E154" s="39">
        <v>3.0</v>
      </c>
      <c r="F154" s="39" t="s">
        <v>80</v>
      </c>
      <c r="G154" s="39" t="s">
        <v>81</v>
      </c>
      <c r="H154" s="42">
        <v>40179.0</v>
      </c>
      <c r="I154" s="39" t="s">
        <v>82</v>
      </c>
      <c r="J154" s="39" t="s">
        <v>83</v>
      </c>
      <c r="K154" s="39" t="s">
        <v>228</v>
      </c>
      <c r="L154" s="39" t="s">
        <v>105</v>
      </c>
      <c r="M154" s="42">
        <v>44652.0</v>
      </c>
      <c r="N154" s="39" t="s">
        <v>141</v>
      </c>
      <c r="O154" s="39" t="s">
        <v>229</v>
      </c>
      <c r="P154" s="43"/>
      <c r="Q154" s="39" t="s">
        <v>2570</v>
      </c>
      <c r="R154" s="42">
        <v>45292.0</v>
      </c>
      <c r="S154" s="39" t="s">
        <v>143</v>
      </c>
      <c r="T154" s="46"/>
      <c r="U154" s="39" t="s">
        <v>144</v>
      </c>
      <c r="V154" s="39" t="s">
        <v>159</v>
      </c>
      <c r="W154" s="39" t="s">
        <v>2663</v>
      </c>
      <c r="X154" s="39" t="s">
        <v>244</v>
      </c>
      <c r="Y154" s="47">
        <v>39708.0</v>
      </c>
      <c r="Z154" s="46"/>
      <c r="AA154" s="45">
        <v>51137.0</v>
      </c>
      <c r="AB154" s="46"/>
      <c r="AC154" s="23">
        <v>148.0</v>
      </c>
      <c r="AD154" s="39" t="s">
        <v>66</v>
      </c>
      <c r="AE154" s="39" t="s">
        <v>67</v>
      </c>
      <c r="AF154" s="39" t="s">
        <v>92</v>
      </c>
      <c r="AG154" s="39" t="s">
        <v>130</v>
      </c>
      <c r="AH154" s="39" t="s">
        <v>246</v>
      </c>
      <c r="AI154" s="39">
        <v>8.1376151617E10</v>
      </c>
      <c r="AJ154" s="39" t="s">
        <v>2664</v>
      </c>
      <c r="AK154" s="39" t="s">
        <v>2665</v>
      </c>
      <c r="AL154" s="39" t="s">
        <v>2666</v>
      </c>
      <c r="AM154" s="39" t="s">
        <v>73</v>
      </c>
      <c r="AN154" s="43"/>
      <c r="AO154" s="39" t="s">
        <v>272</v>
      </c>
      <c r="AP154" s="39" t="s">
        <v>1236</v>
      </c>
      <c r="AQ154" s="43"/>
      <c r="AR154" s="43"/>
    </row>
    <row r="155">
      <c r="A155" s="21">
        <f t="shared" si="4"/>
        <v>146</v>
      </c>
      <c r="B155" s="39" t="s">
        <v>2667</v>
      </c>
      <c r="C155" s="57" t="s">
        <v>2668</v>
      </c>
      <c r="D155" s="39">
        <v>12.0</v>
      </c>
      <c r="E155" s="39">
        <v>3.0</v>
      </c>
      <c r="F155" s="39" t="s">
        <v>80</v>
      </c>
      <c r="G155" s="39" t="s">
        <v>81</v>
      </c>
      <c r="H155" s="42">
        <v>40301.0</v>
      </c>
      <c r="I155" s="39" t="s">
        <v>82</v>
      </c>
      <c r="J155" s="39" t="s">
        <v>83</v>
      </c>
      <c r="K155" s="39" t="s">
        <v>228</v>
      </c>
      <c r="L155" s="39" t="s">
        <v>105</v>
      </c>
      <c r="M155" s="42">
        <v>44652.0</v>
      </c>
      <c r="N155" s="39" t="s">
        <v>141</v>
      </c>
      <c r="O155" s="39" t="s">
        <v>229</v>
      </c>
      <c r="P155" s="43"/>
      <c r="Q155" s="39" t="s">
        <v>2570</v>
      </c>
      <c r="R155" s="42">
        <v>45292.0</v>
      </c>
      <c r="S155" s="39" t="s">
        <v>143</v>
      </c>
      <c r="T155" s="46"/>
      <c r="U155" s="39" t="s">
        <v>144</v>
      </c>
      <c r="V155" s="39" t="s">
        <v>159</v>
      </c>
      <c r="W155" s="39" t="s">
        <v>1633</v>
      </c>
      <c r="X155" s="39" t="s">
        <v>1010</v>
      </c>
      <c r="Y155" s="39" t="s">
        <v>2669</v>
      </c>
      <c r="Z155" s="39" t="s">
        <v>114</v>
      </c>
      <c r="AA155" s="45">
        <v>49315.0</v>
      </c>
      <c r="AB155" s="46"/>
      <c r="AC155" s="23">
        <v>149.0</v>
      </c>
      <c r="AD155" s="39" t="s">
        <v>66</v>
      </c>
      <c r="AE155" s="39" t="s">
        <v>220</v>
      </c>
      <c r="AF155" s="39" t="s">
        <v>2117</v>
      </c>
      <c r="AG155" s="39" t="s">
        <v>68</v>
      </c>
      <c r="AH155" s="39" t="s">
        <v>246</v>
      </c>
      <c r="AI155" s="39">
        <v>8.116401977E9</v>
      </c>
      <c r="AJ155" s="39" t="s">
        <v>2670</v>
      </c>
      <c r="AK155" s="39" t="s">
        <v>2671</v>
      </c>
      <c r="AL155" s="39" t="s">
        <v>2672</v>
      </c>
      <c r="AM155" s="39" t="s">
        <v>96</v>
      </c>
      <c r="AN155" s="39" t="s">
        <v>135</v>
      </c>
      <c r="AO155" s="39" t="s">
        <v>1802</v>
      </c>
      <c r="AP155" s="39" t="s">
        <v>2220</v>
      </c>
      <c r="AQ155" s="43"/>
      <c r="AR155" s="43"/>
    </row>
    <row r="156">
      <c r="A156" s="21">
        <f t="shared" si="4"/>
        <v>147</v>
      </c>
      <c r="B156" s="39" t="s">
        <v>2673</v>
      </c>
      <c r="C156" s="57" t="s">
        <v>2674</v>
      </c>
      <c r="D156" s="39">
        <v>29.0</v>
      </c>
      <c r="E156" s="39">
        <v>6.0</v>
      </c>
      <c r="F156" s="39" t="s">
        <v>50</v>
      </c>
      <c r="G156" s="39" t="s">
        <v>51</v>
      </c>
      <c r="H156" s="42">
        <v>39083.0</v>
      </c>
      <c r="I156" s="39" t="s">
        <v>82</v>
      </c>
      <c r="J156" s="39" t="s">
        <v>83</v>
      </c>
      <c r="K156" s="39" t="s">
        <v>195</v>
      </c>
      <c r="L156" s="39" t="s">
        <v>105</v>
      </c>
      <c r="M156" s="42">
        <v>44835.0</v>
      </c>
      <c r="N156" s="39" t="s">
        <v>141</v>
      </c>
      <c r="O156" s="39" t="s">
        <v>229</v>
      </c>
      <c r="P156" s="43"/>
      <c r="Q156" s="39" t="s">
        <v>2570</v>
      </c>
      <c r="R156" s="42">
        <v>45292.0</v>
      </c>
      <c r="S156" s="39" t="s">
        <v>143</v>
      </c>
      <c r="T156" s="46"/>
      <c r="U156" s="39" t="s">
        <v>144</v>
      </c>
      <c r="V156" s="39" t="s">
        <v>89</v>
      </c>
      <c r="W156" s="39" t="s">
        <v>207</v>
      </c>
      <c r="X156" s="39" t="s">
        <v>174</v>
      </c>
      <c r="Y156" s="39" t="s">
        <v>450</v>
      </c>
      <c r="Z156" s="39" t="s">
        <v>114</v>
      </c>
      <c r="AA156" s="45">
        <v>46390.0</v>
      </c>
      <c r="AB156" s="46"/>
      <c r="AC156" s="23">
        <v>150.0</v>
      </c>
      <c r="AD156" s="39" t="s">
        <v>66</v>
      </c>
      <c r="AE156" s="39" t="s">
        <v>67</v>
      </c>
      <c r="AF156" s="39" t="s">
        <v>92</v>
      </c>
      <c r="AG156" s="39" t="s">
        <v>68</v>
      </c>
      <c r="AH156" s="39" t="s">
        <v>69</v>
      </c>
      <c r="AI156" s="39">
        <v>8.1361313805E10</v>
      </c>
      <c r="AJ156" s="39" t="s">
        <v>2675</v>
      </c>
      <c r="AK156" s="39" t="s">
        <v>2676</v>
      </c>
      <c r="AL156" s="39" t="s">
        <v>2677</v>
      </c>
      <c r="AM156" s="39" t="s">
        <v>96</v>
      </c>
      <c r="AN156" s="39" t="s">
        <v>2403</v>
      </c>
      <c r="AO156" s="39" t="s">
        <v>2070</v>
      </c>
      <c r="AP156" s="39" t="s">
        <v>2678</v>
      </c>
      <c r="AQ156" s="43"/>
      <c r="AR156" s="43"/>
    </row>
    <row r="157">
      <c r="A157" s="21">
        <f t="shared" si="4"/>
        <v>148</v>
      </c>
      <c r="B157" s="39" t="s">
        <v>2679</v>
      </c>
      <c r="C157" s="57" t="s">
        <v>2680</v>
      </c>
      <c r="D157" s="39">
        <v>17.0</v>
      </c>
      <c r="E157" s="39">
        <v>5.0</v>
      </c>
      <c r="F157" s="39" t="s">
        <v>80</v>
      </c>
      <c r="G157" s="39" t="s">
        <v>81</v>
      </c>
      <c r="H157" s="42">
        <v>40179.0</v>
      </c>
      <c r="I157" s="39" t="s">
        <v>82</v>
      </c>
      <c r="J157" s="39" t="s">
        <v>83</v>
      </c>
      <c r="K157" s="39" t="s">
        <v>228</v>
      </c>
      <c r="L157" s="39" t="s">
        <v>105</v>
      </c>
      <c r="M157" s="42">
        <v>44652.0</v>
      </c>
      <c r="N157" s="39" t="s">
        <v>141</v>
      </c>
      <c r="O157" s="39" t="s">
        <v>173</v>
      </c>
      <c r="P157" s="43"/>
      <c r="Q157" s="39" t="s">
        <v>2570</v>
      </c>
      <c r="R157" s="42">
        <v>45292.0</v>
      </c>
      <c r="S157" s="39" t="s">
        <v>143</v>
      </c>
      <c r="T157" s="46"/>
      <c r="U157" s="39" t="s">
        <v>144</v>
      </c>
      <c r="V157" s="39" t="s">
        <v>159</v>
      </c>
      <c r="W157" s="39" t="s">
        <v>2681</v>
      </c>
      <c r="X157" s="39" t="s">
        <v>244</v>
      </c>
      <c r="Y157" s="39" t="s">
        <v>2682</v>
      </c>
      <c r="Z157" s="46"/>
      <c r="AA157" s="45">
        <v>50775.0</v>
      </c>
      <c r="AB157" s="46"/>
      <c r="AC157" s="23">
        <v>151.0</v>
      </c>
      <c r="AD157" s="39" t="s">
        <v>66</v>
      </c>
      <c r="AE157" s="39" t="s">
        <v>67</v>
      </c>
      <c r="AF157" s="39" t="s">
        <v>92</v>
      </c>
      <c r="AG157" s="39" t="s">
        <v>130</v>
      </c>
      <c r="AH157" s="39" t="s">
        <v>246</v>
      </c>
      <c r="AI157" s="39">
        <v>8.2168881771E10</v>
      </c>
      <c r="AJ157" s="39" t="s">
        <v>2683</v>
      </c>
      <c r="AK157" s="39" t="s">
        <v>2684</v>
      </c>
      <c r="AL157" s="39" t="s">
        <v>2685</v>
      </c>
      <c r="AM157" s="39" t="s">
        <v>96</v>
      </c>
      <c r="AN157" s="39" t="s">
        <v>481</v>
      </c>
      <c r="AO157" s="39" t="s">
        <v>546</v>
      </c>
      <c r="AP157" s="39" t="s">
        <v>2686</v>
      </c>
      <c r="AQ157" s="39">
        <v>0.0</v>
      </c>
      <c r="AR157" s="39">
        <v>0.0</v>
      </c>
    </row>
    <row r="158">
      <c r="A158" s="21">
        <f t="shared" si="4"/>
        <v>149</v>
      </c>
      <c r="B158" s="39" t="s">
        <v>2687</v>
      </c>
      <c r="C158" s="57" t="s">
        <v>2688</v>
      </c>
      <c r="D158" s="39">
        <v>12.0</v>
      </c>
      <c r="E158" s="39">
        <v>3.0</v>
      </c>
      <c r="F158" s="39" t="s">
        <v>80</v>
      </c>
      <c r="G158" s="39" t="s">
        <v>81</v>
      </c>
      <c r="H158" s="42">
        <v>40544.0</v>
      </c>
      <c r="I158" s="39" t="s">
        <v>82</v>
      </c>
      <c r="J158" s="39" t="s">
        <v>83</v>
      </c>
      <c r="K158" s="39" t="s">
        <v>104</v>
      </c>
      <c r="L158" s="39" t="s">
        <v>105</v>
      </c>
      <c r="M158" s="42">
        <v>45017.0</v>
      </c>
      <c r="N158" s="39" t="s">
        <v>141</v>
      </c>
      <c r="O158" s="39" t="s">
        <v>229</v>
      </c>
      <c r="P158" s="43"/>
      <c r="Q158" s="39" t="s">
        <v>2570</v>
      </c>
      <c r="R158" s="42">
        <v>45292.0</v>
      </c>
      <c r="S158" s="39" t="s">
        <v>143</v>
      </c>
      <c r="T158" s="46"/>
      <c r="U158" s="39" t="s">
        <v>144</v>
      </c>
      <c r="V158" s="39" t="s">
        <v>159</v>
      </c>
      <c r="W158" s="43"/>
      <c r="X158" s="39" t="s">
        <v>161</v>
      </c>
      <c r="Y158" s="39" t="s">
        <v>2689</v>
      </c>
      <c r="Z158" s="46"/>
      <c r="AA158" s="45">
        <v>52239.0</v>
      </c>
      <c r="AB158" s="46"/>
      <c r="AC158" s="23">
        <v>152.0</v>
      </c>
      <c r="AD158" s="39" t="s">
        <v>66</v>
      </c>
      <c r="AE158" s="39" t="s">
        <v>311</v>
      </c>
      <c r="AF158" s="39" t="s">
        <v>92</v>
      </c>
      <c r="AG158" s="39" t="s">
        <v>68</v>
      </c>
      <c r="AH158" s="43"/>
      <c r="AI158" s="39">
        <v>8.126330598E9</v>
      </c>
      <c r="AJ158" s="39" t="s">
        <v>2690</v>
      </c>
      <c r="AK158" s="39" t="s">
        <v>2691</v>
      </c>
      <c r="AL158" s="39" t="s">
        <v>2692</v>
      </c>
      <c r="AM158" s="39" t="s">
        <v>96</v>
      </c>
      <c r="AN158" s="39" t="s">
        <v>97</v>
      </c>
      <c r="AO158" s="39" t="s">
        <v>774</v>
      </c>
      <c r="AP158" s="39" t="s">
        <v>942</v>
      </c>
      <c r="AQ158" s="43"/>
      <c r="AR158" s="43"/>
    </row>
    <row r="159">
      <c r="A159" s="21">
        <f t="shared" si="4"/>
        <v>150</v>
      </c>
      <c r="B159" s="39" t="s">
        <v>2693</v>
      </c>
      <c r="C159" s="57" t="s">
        <v>2694</v>
      </c>
      <c r="D159" s="39">
        <v>20.0</v>
      </c>
      <c r="E159" s="39">
        <v>4.0</v>
      </c>
      <c r="F159" s="39" t="s">
        <v>171</v>
      </c>
      <c r="G159" s="39" t="s">
        <v>172</v>
      </c>
      <c r="H159" s="42">
        <v>39448.0</v>
      </c>
      <c r="I159" s="39" t="s">
        <v>82</v>
      </c>
      <c r="J159" s="39" t="s">
        <v>83</v>
      </c>
      <c r="K159" s="39" t="s">
        <v>217</v>
      </c>
      <c r="L159" s="39" t="s">
        <v>105</v>
      </c>
      <c r="M159" s="42">
        <v>45383.0</v>
      </c>
      <c r="N159" s="39" t="s">
        <v>141</v>
      </c>
      <c r="O159" s="39" t="s">
        <v>229</v>
      </c>
      <c r="P159" s="43"/>
      <c r="Q159" s="39" t="s">
        <v>2570</v>
      </c>
      <c r="R159" s="42">
        <v>45292.0</v>
      </c>
      <c r="S159" s="39" t="s">
        <v>143</v>
      </c>
      <c r="T159" s="46"/>
      <c r="U159" s="39" t="s">
        <v>144</v>
      </c>
      <c r="V159" s="39" t="s">
        <v>159</v>
      </c>
      <c r="W159" s="39" t="s">
        <v>1354</v>
      </c>
      <c r="X159" s="39" t="s">
        <v>260</v>
      </c>
      <c r="Y159" s="39" t="s">
        <v>2695</v>
      </c>
      <c r="Z159" s="39" t="s">
        <v>114</v>
      </c>
      <c r="AA159" s="45">
        <v>47860.0</v>
      </c>
      <c r="AB159" s="46"/>
      <c r="AC159" s="23">
        <v>153.0</v>
      </c>
      <c r="AD159" s="39" t="s">
        <v>66</v>
      </c>
      <c r="AE159" s="39" t="s">
        <v>67</v>
      </c>
      <c r="AF159" s="39" t="s">
        <v>92</v>
      </c>
      <c r="AG159" s="39" t="s">
        <v>68</v>
      </c>
      <c r="AH159" s="39" t="s">
        <v>246</v>
      </c>
      <c r="AI159" s="39">
        <v>8.5211336498E10</v>
      </c>
      <c r="AJ159" s="39" t="s">
        <v>2696</v>
      </c>
      <c r="AK159" s="39" t="s">
        <v>2697</v>
      </c>
      <c r="AL159" s="39" t="s">
        <v>2698</v>
      </c>
      <c r="AM159" s="39" t="s">
        <v>96</v>
      </c>
      <c r="AN159" s="39" t="s">
        <v>135</v>
      </c>
      <c r="AO159" s="39" t="s">
        <v>2699</v>
      </c>
      <c r="AP159" s="39" t="s">
        <v>2700</v>
      </c>
      <c r="AQ159" s="43"/>
      <c r="AR159" s="43"/>
    </row>
    <row r="160">
      <c r="A160" s="21">
        <f t="shared" si="4"/>
        <v>151</v>
      </c>
      <c r="B160" s="39" t="s">
        <v>2701</v>
      </c>
      <c r="C160" s="57" t="s">
        <v>2702</v>
      </c>
      <c r="D160" s="39">
        <v>21.0</v>
      </c>
      <c r="E160" s="39">
        <v>1.0</v>
      </c>
      <c r="F160" s="39" t="s">
        <v>50</v>
      </c>
      <c r="G160" s="39" t="s">
        <v>51</v>
      </c>
      <c r="H160" s="42">
        <v>35490.0</v>
      </c>
      <c r="I160" s="39" t="s">
        <v>82</v>
      </c>
      <c r="J160" s="39" t="s">
        <v>83</v>
      </c>
      <c r="K160" s="39" t="s">
        <v>104</v>
      </c>
      <c r="L160" s="39" t="s">
        <v>105</v>
      </c>
      <c r="M160" s="42">
        <v>45017.0</v>
      </c>
      <c r="N160" s="39" t="s">
        <v>141</v>
      </c>
      <c r="O160" s="39" t="s">
        <v>229</v>
      </c>
      <c r="P160" s="43"/>
      <c r="Q160" s="39" t="s">
        <v>2570</v>
      </c>
      <c r="R160" s="42">
        <v>45292.0</v>
      </c>
      <c r="S160" s="39" t="s">
        <v>143</v>
      </c>
      <c r="T160" s="46"/>
      <c r="U160" s="39" t="s">
        <v>144</v>
      </c>
      <c r="V160" s="39" t="s">
        <v>89</v>
      </c>
      <c r="W160" s="39" t="s">
        <v>2703</v>
      </c>
      <c r="X160" s="39" t="s">
        <v>320</v>
      </c>
      <c r="Y160" s="47">
        <v>38974.0</v>
      </c>
      <c r="Z160" s="39" t="s">
        <v>114</v>
      </c>
      <c r="AA160" s="45">
        <v>48950.0</v>
      </c>
      <c r="AB160" s="46"/>
      <c r="AC160" s="23">
        <v>154.0</v>
      </c>
      <c r="AD160" s="39" t="s">
        <v>66</v>
      </c>
      <c r="AE160" s="39" t="s">
        <v>67</v>
      </c>
      <c r="AF160" s="39" t="s">
        <v>92</v>
      </c>
      <c r="AG160" s="39" t="s">
        <v>68</v>
      </c>
      <c r="AH160" s="39" t="s">
        <v>246</v>
      </c>
      <c r="AI160" s="39">
        <v>8.1361575281E10</v>
      </c>
      <c r="AJ160" s="39" t="s">
        <v>2704</v>
      </c>
      <c r="AK160" s="39" t="s">
        <v>2705</v>
      </c>
      <c r="AL160" s="39" t="s">
        <v>2706</v>
      </c>
      <c r="AM160" s="39" t="s">
        <v>96</v>
      </c>
      <c r="AN160" s="39" t="s">
        <v>481</v>
      </c>
      <c r="AO160" s="39" t="s">
        <v>178</v>
      </c>
      <c r="AP160" s="39" t="s">
        <v>304</v>
      </c>
      <c r="AQ160" s="43"/>
      <c r="AR160" s="43"/>
    </row>
    <row r="161">
      <c r="A161" s="21">
        <f t="shared" si="4"/>
        <v>152</v>
      </c>
      <c r="B161" s="39" t="s">
        <v>2707</v>
      </c>
      <c r="C161" s="57" t="s">
        <v>2708</v>
      </c>
      <c r="D161" s="39">
        <v>12.0</v>
      </c>
      <c r="E161" s="39">
        <v>3.0</v>
      </c>
      <c r="F161" s="39" t="s">
        <v>80</v>
      </c>
      <c r="G161" s="39" t="s">
        <v>81</v>
      </c>
      <c r="H161" s="42">
        <v>40179.0</v>
      </c>
      <c r="I161" s="39" t="s">
        <v>82</v>
      </c>
      <c r="J161" s="39" t="s">
        <v>83</v>
      </c>
      <c r="K161" s="39" t="s">
        <v>228</v>
      </c>
      <c r="L161" s="39" t="s">
        <v>105</v>
      </c>
      <c r="M161" s="42">
        <v>44652.0</v>
      </c>
      <c r="N161" s="39" t="s">
        <v>56</v>
      </c>
      <c r="O161" s="39" t="s">
        <v>229</v>
      </c>
      <c r="P161" s="43"/>
      <c r="Q161" s="39" t="s">
        <v>2570</v>
      </c>
      <c r="R161" s="42">
        <v>43033.0</v>
      </c>
      <c r="S161" s="39" t="s">
        <v>2709</v>
      </c>
      <c r="T161" s="46"/>
      <c r="U161" s="39" t="s">
        <v>1314</v>
      </c>
      <c r="V161" s="39" t="s">
        <v>89</v>
      </c>
      <c r="W161" s="39" t="s">
        <v>2710</v>
      </c>
      <c r="X161" s="39" t="s">
        <v>244</v>
      </c>
      <c r="Y161" s="39" t="s">
        <v>2711</v>
      </c>
      <c r="Z161" s="39" t="s">
        <v>65</v>
      </c>
      <c r="AA161" s="45">
        <v>49684.0</v>
      </c>
      <c r="AB161" s="46"/>
      <c r="AC161" s="23">
        <v>155.0</v>
      </c>
      <c r="AD161" s="39" t="s">
        <v>66</v>
      </c>
      <c r="AE161" s="39" t="s">
        <v>67</v>
      </c>
      <c r="AF161" s="39" t="s">
        <v>92</v>
      </c>
      <c r="AG161" s="39" t="s">
        <v>68</v>
      </c>
      <c r="AH161" s="39" t="s">
        <v>69</v>
      </c>
      <c r="AI161" s="39">
        <v>8.1262283969E10</v>
      </c>
      <c r="AJ161" s="39" t="s">
        <v>2712</v>
      </c>
      <c r="AK161" s="39" t="s">
        <v>2713</v>
      </c>
      <c r="AL161" s="39" t="s">
        <v>2714</v>
      </c>
      <c r="AM161" s="39" t="s">
        <v>96</v>
      </c>
      <c r="AN161" s="39" t="s">
        <v>135</v>
      </c>
      <c r="AO161" s="39" t="s">
        <v>75</v>
      </c>
      <c r="AP161" s="39" t="s">
        <v>1198</v>
      </c>
      <c r="AQ161" s="43"/>
      <c r="AR161" s="43"/>
    </row>
    <row r="162">
      <c r="A162" s="21">
        <f t="shared" si="4"/>
        <v>153</v>
      </c>
      <c r="B162" s="39" t="s">
        <v>2715</v>
      </c>
      <c r="C162" s="57" t="s">
        <v>2716</v>
      </c>
      <c r="D162" s="39">
        <v>15.0</v>
      </c>
      <c r="E162" s="39">
        <v>7.0</v>
      </c>
      <c r="F162" s="39" t="s">
        <v>80</v>
      </c>
      <c r="G162" s="39" t="s">
        <v>81</v>
      </c>
      <c r="H162" s="42">
        <v>39873.0</v>
      </c>
      <c r="I162" s="39" t="s">
        <v>82</v>
      </c>
      <c r="J162" s="39" t="s">
        <v>83</v>
      </c>
      <c r="K162" s="39" t="s">
        <v>417</v>
      </c>
      <c r="L162" s="39" t="s">
        <v>105</v>
      </c>
      <c r="M162" s="42">
        <v>45566.0</v>
      </c>
      <c r="N162" s="39" t="s">
        <v>141</v>
      </c>
      <c r="O162" s="39" t="s">
        <v>229</v>
      </c>
      <c r="P162" s="43"/>
      <c r="Q162" s="39" t="s">
        <v>2570</v>
      </c>
      <c r="R162" s="42">
        <v>45292.0</v>
      </c>
      <c r="S162" s="39" t="s">
        <v>143</v>
      </c>
      <c r="T162" s="46"/>
      <c r="U162" s="39" t="s">
        <v>144</v>
      </c>
      <c r="V162" s="39" t="s">
        <v>89</v>
      </c>
      <c r="W162" s="39" t="s">
        <v>374</v>
      </c>
      <c r="X162" s="39" t="s">
        <v>2717</v>
      </c>
      <c r="Y162" s="39" t="s">
        <v>2718</v>
      </c>
      <c r="Z162" s="39" t="s">
        <v>114</v>
      </c>
      <c r="AA162" s="45">
        <v>51136.0</v>
      </c>
      <c r="AB162" s="46"/>
      <c r="AC162" s="23">
        <v>156.0</v>
      </c>
      <c r="AD162" s="39" t="s">
        <v>66</v>
      </c>
      <c r="AE162" s="39" t="s">
        <v>220</v>
      </c>
      <c r="AF162" s="39" t="s">
        <v>92</v>
      </c>
      <c r="AG162" s="39" t="s">
        <v>68</v>
      </c>
      <c r="AH162" s="39" t="s">
        <v>131</v>
      </c>
      <c r="AI162" s="39">
        <v>8.1973167282E10</v>
      </c>
      <c r="AJ162" s="39" t="s">
        <v>2719</v>
      </c>
      <c r="AK162" s="39" t="s">
        <v>2720</v>
      </c>
      <c r="AL162" s="39" t="s">
        <v>2721</v>
      </c>
      <c r="AM162" s="39" t="s">
        <v>96</v>
      </c>
      <c r="AN162" s="39" t="s">
        <v>74</v>
      </c>
      <c r="AO162" s="39" t="s">
        <v>741</v>
      </c>
      <c r="AP162" s="39" t="s">
        <v>819</v>
      </c>
      <c r="AQ162" s="43"/>
      <c r="AR162" s="43"/>
    </row>
    <row r="163">
      <c r="A163" s="21">
        <f t="shared" si="4"/>
        <v>154</v>
      </c>
      <c r="B163" s="39" t="s">
        <v>2722</v>
      </c>
      <c r="C163" s="57" t="s">
        <v>2723</v>
      </c>
      <c r="D163" s="39">
        <v>20.0</v>
      </c>
      <c r="E163" s="39">
        <v>4.0</v>
      </c>
      <c r="F163" s="39" t="s">
        <v>50</v>
      </c>
      <c r="G163" s="39" t="s">
        <v>51</v>
      </c>
      <c r="H163" s="42">
        <v>35004.0</v>
      </c>
      <c r="I163" s="39" t="s">
        <v>82</v>
      </c>
      <c r="J163" s="39" t="s">
        <v>83</v>
      </c>
      <c r="K163" s="39" t="s">
        <v>1972</v>
      </c>
      <c r="L163" s="39" t="s">
        <v>61</v>
      </c>
      <c r="M163" s="42">
        <v>43556.0</v>
      </c>
      <c r="N163" s="39" t="s">
        <v>141</v>
      </c>
      <c r="O163" s="39" t="s">
        <v>229</v>
      </c>
      <c r="P163" s="43"/>
      <c r="Q163" s="39" t="s">
        <v>266</v>
      </c>
      <c r="R163" s="42">
        <v>45292.0</v>
      </c>
      <c r="S163" s="39" t="s">
        <v>143</v>
      </c>
      <c r="T163" s="46"/>
      <c r="U163" s="39" t="s">
        <v>144</v>
      </c>
      <c r="V163" s="39" t="s">
        <v>89</v>
      </c>
      <c r="W163" s="39" t="s">
        <v>795</v>
      </c>
      <c r="X163" s="39" t="s">
        <v>2724</v>
      </c>
      <c r="Y163" s="67">
        <v>38596.0</v>
      </c>
      <c r="Z163" s="46"/>
      <c r="AA163" s="45">
        <v>47489.0</v>
      </c>
      <c r="AB163" s="46"/>
      <c r="AC163" s="23">
        <v>157.0</v>
      </c>
      <c r="AD163" s="39" t="s">
        <v>66</v>
      </c>
      <c r="AE163" s="39" t="s">
        <v>67</v>
      </c>
      <c r="AF163" s="39" t="s">
        <v>92</v>
      </c>
      <c r="AG163" s="39" t="s">
        <v>130</v>
      </c>
      <c r="AH163" s="39" t="s">
        <v>288</v>
      </c>
      <c r="AI163" s="39">
        <v>8.1370248782E10</v>
      </c>
      <c r="AJ163" s="39" t="s">
        <v>2725</v>
      </c>
      <c r="AK163" s="39" t="s">
        <v>2726</v>
      </c>
      <c r="AL163" s="39" t="s">
        <v>2727</v>
      </c>
      <c r="AM163" s="39" t="s">
        <v>96</v>
      </c>
      <c r="AN163" s="39" t="s">
        <v>97</v>
      </c>
      <c r="AO163" s="39" t="s">
        <v>989</v>
      </c>
      <c r="AP163" s="39" t="s">
        <v>2728</v>
      </c>
      <c r="AQ163" s="39">
        <v>48.0</v>
      </c>
      <c r="AR163" s="39">
        <v>15.0</v>
      </c>
    </row>
    <row r="164">
      <c r="A164" s="21">
        <f t="shared" si="4"/>
        <v>155</v>
      </c>
      <c r="B164" s="39" t="s">
        <v>2729</v>
      </c>
      <c r="C164" s="57" t="s">
        <v>2730</v>
      </c>
      <c r="D164" s="39">
        <v>12.0</v>
      </c>
      <c r="E164" s="39">
        <v>3.0</v>
      </c>
      <c r="F164" s="39" t="s">
        <v>80</v>
      </c>
      <c r="G164" s="39" t="s">
        <v>81</v>
      </c>
      <c r="H164" s="42">
        <v>41153.0</v>
      </c>
      <c r="I164" s="39" t="s">
        <v>82</v>
      </c>
      <c r="J164" s="39" t="s">
        <v>83</v>
      </c>
      <c r="K164" s="39" t="s">
        <v>104</v>
      </c>
      <c r="L164" s="39" t="s">
        <v>105</v>
      </c>
      <c r="M164" s="42">
        <v>45017.0</v>
      </c>
      <c r="N164" s="39" t="s">
        <v>141</v>
      </c>
      <c r="O164" s="39" t="s">
        <v>229</v>
      </c>
      <c r="P164" s="43"/>
      <c r="Q164" s="39" t="s">
        <v>2570</v>
      </c>
      <c r="R164" s="42">
        <v>45292.0</v>
      </c>
      <c r="S164" s="39" t="s">
        <v>143</v>
      </c>
      <c r="T164" s="46"/>
      <c r="U164" s="39" t="s">
        <v>144</v>
      </c>
      <c r="V164" s="39" t="s">
        <v>89</v>
      </c>
      <c r="W164" s="39" t="s">
        <v>2731</v>
      </c>
      <c r="X164" s="39" t="s">
        <v>244</v>
      </c>
      <c r="Y164" s="47">
        <v>37529.0</v>
      </c>
      <c r="Z164" s="39" t="s">
        <v>114</v>
      </c>
      <c r="AA164" s="45">
        <v>48954.0</v>
      </c>
      <c r="AB164" s="46"/>
      <c r="AC164" s="23">
        <v>158.0</v>
      </c>
      <c r="AD164" s="39" t="s">
        <v>66</v>
      </c>
      <c r="AE164" s="39" t="s">
        <v>220</v>
      </c>
      <c r="AF164" s="39" t="s">
        <v>92</v>
      </c>
      <c r="AG164" s="39" t="s">
        <v>68</v>
      </c>
      <c r="AH164" s="39" t="s">
        <v>131</v>
      </c>
      <c r="AI164" s="39">
        <v>8.1361623883E10</v>
      </c>
      <c r="AJ164" s="39" t="s">
        <v>2732</v>
      </c>
      <c r="AK164" s="39" t="s">
        <v>2733</v>
      </c>
      <c r="AL164" s="39" t="s">
        <v>2734</v>
      </c>
      <c r="AM164" s="39" t="s">
        <v>96</v>
      </c>
      <c r="AN164" s="39" t="s">
        <v>74</v>
      </c>
      <c r="AO164" s="39" t="s">
        <v>1802</v>
      </c>
      <c r="AP164" s="39" t="s">
        <v>2735</v>
      </c>
      <c r="AQ164" s="43"/>
      <c r="AR164" s="43"/>
    </row>
    <row r="165">
      <c r="A165" s="21">
        <f t="shared" si="4"/>
        <v>156</v>
      </c>
      <c r="B165" s="39" t="s">
        <v>2736</v>
      </c>
      <c r="C165" s="57" t="s">
        <v>2737</v>
      </c>
      <c r="D165" s="39">
        <v>12.0</v>
      </c>
      <c r="E165" s="39">
        <v>3.0</v>
      </c>
      <c r="F165" s="39" t="s">
        <v>80</v>
      </c>
      <c r="G165" s="39" t="s">
        <v>81</v>
      </c>
      <c r="H165" s="42">
        <v>40544.0</v>
      </c>
      <c r="I165" s="39" t="s">
        <v>82</v>
      </c>
      <c r="J165" s="39" t="s">
        <v>83</v>
      </c>
      <c r="K165" s="39" t="s">
        <v>104</v>
      </c>
      <c r="L165" s="39" t="s">
        <v>105</v>
      </c>
      <c r="M165" s="42">
        <v>45017.0</v>
      </c>
      <c r="N165" s="39" t="s">
        <v>141</v>
      </c>
      <c r="O165" s="39" t="s">
        <v>229</v>
      </c>
      <c r="P165" s="43"/>
      <c r="Q165" s="39" t="s">
        <v>2570</v>
      </c>
      <c r="R165" s="42">
        <v>45292.0</v>
      </c>
      <c r="S165" s="39" t="s">
        <v>143</v>
      </c>
      <c r="T165" s="46"/>
      <c r="U165" s="39" t="s">
        <v>144</v>
      </c>
      <c r="V165" s="39" t="s">
        <v>89</v>
      </c>
      <c r="W165" s="39" t="s">
        <v>2016</v>
      </c>
      <c r="X165" s="39" t="s">
        <v>2738</v>
      </c>
      <c r="Y165" s="39" t="s">
        <v>2739</v>
      </c>
      <c r="Z165" s="39" t="s">
        <v>114</v>
      </c>
      <c r="AA165" s="45">
        <v>52602.0</v>
      </c>
      <c r="AB165" s="46"/>
      <c r="AC165" s="23">
        <v>159.0</v>
      </c>
      <c r="AD165" s="39" t="s">
        <v>66</v>
      </c>
      <c r="AE165" s="39" t="s">
        <v>67</v>
      </c>
      <c r="AF165" s="39" t="s">
        <v>92</v>
      </c>
      <c r="AG165" s="39" t="s">
        <v>68</v>
      </c>
      <c r="AH165" s="39" t="s">
        <v>69</v>
      </c>
      <c r="AI165" s="39">
        <v>8.2362705784E10</v>
      </c>
      <c r="AJ165" s="39" t="s">
        <v>2740</v>
      </c>
      <c r="AK165" s="39" t="s">
        <v>2741</v>
      </c>
      <c r="AL165" s="39" t="s">
        <v>2742</v>
      </c>
      <c r="AM165" s="39" t="s">
        <v>96</v>
      </c>
      <c r="AN165" s="39" t="s">
        <v>481</v>
      </c>
      <c r="AO165" s="39" t="s">
        <v>178</v>
      </c>
      <c r="AP165" s="39" t="s">
        <v>2743</v>
      </c>
      <c r="AQ165" s="39">
        <v>0.0</v>
      </c>
      <c r="AR165" s="39">
        <v>0.0</v>
      </c>
    </row>
    <row r="166">
      <c r="A166" s="21">
        <f t="shared" si="4"/>
        <v>157</v>
      </c>
      <c r="B166" s="39" t="s">
        <v>2744</v>
      </c>
      <c r="C166" s="57" t="s">
        <v>2745</v>
      </c>
      <c r="D166" s="39">
        <v>14.0</v>
      </c>
      <c r="E166" s="39">
        <v>8.0</v>
      </c>
      <c r="F166" s="39" t="s">
        <v>50</v>
      </c>
      <c r="G166" s="39" t="s">
        <v>51</v>
      </c>
      <c r="H166" s="42">
        <v>35096.0</v>
      </c>
      <c r="I166" s="39" t="s">
        <v>82</v>
      </c>
      <c r="J166" s="39" t="s">
        <v>83</v>
      </c>
      <c r="K166" s="39" t="s">
        <v>2746</v>
      </c>
      <c r="L166" s="39" t="s">
        <v>61</v>
      </c>
      <c r="M166" s="42">
        <v>42278.0</v>
      </c>
      <c r="N166" s="39" t="s">
        <v>141</v>
      </c>
      <c r="O166" s="39" t="s">
        <v>229</v>
      </c>
      <c r="P166" s="43"/>
      <c r="Q166" s="39" t="s">
        <v>266</v>
      </c>
      <c r="R166" s="42">
        <v>45292.0</v>
      </c>
      <c r="S166" s="39" t="s">
        <v>143</v>
      </c>
      <c r="T166" s="46"/>
      <c r="U166" s="39" t="s">
        <v>144</v>
      </c>
      <c r="V166" s="39" t="s">
        <v>89</v>
      </c>
      <c r="W166" s="39" t="s">
        <v>197</v>
      </c>
      <c r="X166" s="39" t="s">
        <v>2747</v>
      </c>
      <c r="Y166" s="67">
        <v>37348.0</v>
      </c>
      <c r="Z166" s="39" t="s">
        <v>114</v>
      </c>
      <c r="AA166" s="45">
        <v>49313.0</v>
      </c>
      <c r="AB166" s="46"/>
      <c r="AC166" s="23">
        <v>160.0</v>
      </c>
      <c r="AD166" s="39" t="s">
        <v>66</v>
      </c>
      <c r="AE166" s="39" t="s">
        <v>67</v>
      </c>
      <c r="AF166" s="39" t="s">
        <v>92</v>
      </c>
      <c r="AG166" s="39" t="s">
        <v>130</v>
      </c>
      <c r="AH166" s="39" t="s">
        <v>69</v>
      </c>
      <c r="AI166" s="39">
        <v>8.12600108E9</v>
      </c>
      <c r="AJ166" s="39" t="s">
        <v>2748</v>
      </c>
      <c r="AK166" s="39" t="s">
        <v>2749</v>
      </c>
      <c r="AL166" s="39" t="s">
        <v>2750</v>
      </c>
      <c r="AM166" s="39" t="s">
        <v>96</v>
      </c>
      <c r="AN166" s="39" t="s">
        <v>74</v>
      </c>
      <c r="AO166" s="39" t="s">
        <v>925</v>
      </c>
      <c r="AP166" s="39" t="s">
        <v>2751</v>
      </c>
      <c r="AQ166" s="43"/>
      <c r="AR166" s="43"/>
    </row>
    <row r="167">
      <c r="A167" s="21">
        <f t="shared" si="4"/>
        <v>158</v>
      </c>
      <c r="B167" s="39" t="s">
        <v>2752</v>
      </c>
      <c r="C167" s="57" t="s">
        <v>2753</v>
      </c>
      <c r="D167" s="39">
        <v>12.0</v>
      </c>
      <c r="E167" s="39">
        <v>9.0</v>
      </c>
      <c r="F167" s="39" t="s">
        <v>80</v>
      </c>
      <c r="G167" s="39" t="s">
        <v>81</v>
      </c>
      <c r="H167" s="42">
        <v>40179.0</v>
      </c>
      <c r="I167" s="39" t="s">
        <v>82</v>
      </c>
      <c r="J167" s="39" t="s">
        <v>83</v>
      </c>
      <c r="K167" s="39" t="s">
        <v>1399</v>
      </c>
      <c r="L167" s="39" t="s">
        <v>105</v>
      </c>
      <c r="M167" s="42">
        <v>44835.0</v>
      </c>
      <c r="N167" s="39" t="s">
        <v>141</v>
      </c>
      <c r="O167" s="39" t="s">
        <v>173</v>
      </c>
      <c r="P167" s="43"/>
      <c r="Q167" s="39" t="s">
        <v>266</v>
      </c>
      <c r="R167" s="42">
        <v>45292.0</v>
      </c>
      <c r="S167" s="39" t="s">
        <v>143</v>
      </c>
      <c r="T167" s="46"/>
      <c r="U167" s="39" t="s">
        <v>144</v>
      </c>
      <c r="V167" s="39" t="s">
        <v>89</v>
      </c>
      <c r="W167" s="39" t="s">
        <v>230</v>
      </c>
      <c r="X167" s="39" t="s">
        <v>2754</v>
      </c>
      <c r="Y167" s="39" t="s">
        <v>2711</v>
      </c>
      <c r="Z167" s="43"/>
      <c r="AA167" s="45">
        <v>52241.0</v>
      </c>
      <c r="AB167" s="46"/>
      <c r="AC167" s="23">
        <v>161.0</v>
      </c>
      <c r="AD167" s="39" t="s">
        <v>66</v>
      </c>
      <c r="AE167" s="39" t="s">
        <v>67</v>
      </c>
      <c r="AF167" s="39" t="s">
        <v>2117</v>
      </c>
      <c r="AG167" s="39" t="s">
        <v>130</v>
      </c>
      <c r="AH167" s="43"/>
      <c r="AI167" s="39">
        <v>8.1269911114E10</v>
      </c>
      <c r="AJ167" s="39" t="s">
        <v>2755</v>
      </c>
      <c r="AK167" s="39" t="s">
        <v>2756</v>
      </c>
      <c r="AL167" s="39" t="s">
        <v>2757</v>
      </c>
      <c r="AM167" s="39" t="s">
        <v>96</v>
      </c>
      <c r="AN167" s="39" t="s">
        <v>74</v>
      </c>
      <c r="AO167" s="39" t="s">
        <v>989</v>
      </c>
      <c r="AP167" s="39" t="s">
        <v>990</v>
      </c>
      <c r="AQ167" s="43"/>
      <c r="AR167" s="43"/>
    </row>
    <row r="168">
      <c r="A168" s="21">
        <f t="shared" si="4"/>
        <v>159</v>
      </c>
      <c r="B168" s="39" t="s">
        <v>2758</v>
      </c>
      <c r="C168" s="57" t="s">
        <v>2759</v>
      </c>
      <c r="D168" s="39">
        <v>22.0</v>
      </c>
      <c r="E168" s="39">
        <v>7.0</v>
      </c>
      <c r="F168" s="39" t="s">
        <v>50</v>
      </c>
      <c r="G168" s="39" t="s">
        <v>51</v>
      </c>
      <c r="H168" s="42">
        <v>39448.0</v>
      </c>
      <c r="I168" s="39" t="s">
        <v>82</v>
      </c>
      <c r="J168" s="39" t="s">
        <v>83</v>
      </c>
      <c r="K168" s="39" t="s">
        <v>217</v>
      </c>
      <c r="L168" s="39" t="s">
        <v>61</v>
      </c>
      <c r="M168" s="42">
        <v>45383.0</v>
      </c>
      <c r="N168" s="39" t="s">
        <v>141</v>
      </c>
      <c r="O168" s="39" t="s">
        <v>229</v>
      </c>
      <c r="P168" s="43"/>
      <c r="Q168" s="39" t="s">
        <v>266</v>
      </c>
      <c r="R168" s="42">
        <v>45292.0</v>
      </c>
      <c r="S168" s="39" t="s">
        <v>143</v>
      </c>
      <c r="T168" s="46"/>
      <c r="U168" s="39" t="s">
        <v>144</v>
      </c>
      <c r="V168" s="39" t="s">
        <v>285</v>
      </c>
      <c r="W168" s="65"/>
      <c r="X168" s="39" t="s">
        <v>2760</v>
      </c>
      <c r="Y168" s="39" t="s">
        <v>401</v>
      </c>
      <c r="Z168" s="65"/>
      <c r="AA168" s="45">
        <v>48945.0</v>
      </c>
      <c r="AB168" s="46"/>
      <c r="AC168" s="23">
        <v>162.0</v>
      </c>
      <c r="AD168" s="39" t="s">
        <v>66</v>
      </c>
      <c r="AE168" s="39" t="s">
        <v>67</v>
      </c>
      <c r="AF168" s="39" t="s">
        <v>92</v>
      </c>
      <c r="AG168" s="39" t="s">
        <v>130</v>
      </c>
      <c r="AH168" s="39" t="s">
        <v>69</v>
      </c>
      <c r="AI168" s="39">
        <v>8.5260893435E10</v>
      </c>
      <c r="AJ168" s="39" t="s">
        <v>2761</v>
      </c>
      <c r="AK168" s="39" t="s">
        <v>2762</v>
      </c>
      <c r="AL168" s="39" t="s">
        <v>2763</v>
      </c>
      <c r="AM168" s="39" t="s">
        <v>96</v>
      </c>
      <c r="AN168" s="39" t="s">
        <v>74</v>
      </c>
      <c r="AO168" s="39" t="s">
        <v>203</v>
      </c>
      <c r="AP168" s="39" t="s">
        <v>575</v>
      </c>
      <c r="AQ168" s="43"/>
      <c r="AR168" s="43"/>
    </row>
    <row r="169">
      <c r="A169" s="21">
        <f t="shared" si="4"/>
        <v>160</v>
      </c>
      <c r="B169" s="39" t="s">
        <v>2764</v>
      </c>
      <c r="C169" s="57" t="s">
        <v>2765</v>
      </c>
      <c r="D169" s="39">
        <v>20.0</v>
      </c>
      <c r="E169" s="39">
        <v>1.0</v>
      </c>
      <c r="F169" s="39" t="s">
        <v>50</v>
      </c>
      <c r="G169" s="39" t="s">
        <v>51</v>
      </c>
      <c r="H169" s="42">
        <v>39448.0</v>
      </c>
      <c r="I169" s="39" t="s">
        <v>102</v>
      </c>
      <c r="J169" s="39" t="s">
        <v>103</v>
      </c>
      <c r="K169" s="39" t="s">
        <v>104</v>
      </c>
      <c r="L169" s="39" t="s">
        <v>105</v>
      </c>
      <c r="M169" s="42">
        <v>45017.0</v>
      </c>
      <c r="N169" s="39" t="s">
        <v>141</v>
      </c>
      <c r="O169" s="39" t="s">
        <v>229</v>
      </c>
      <c r="P169" s="43"/>
      <c r="Q169" s="39" t="s">
        <v>2570</v>
      </c>
      <c r="R169" s="42">
        <v>45292.0</v>
      </c>
      <c r="S169" s="39" t="s">
        <v>143</v>
      </c>
      <c r="T169" s="46"/>
      <c r="U169" s="39" t="s">
        <v>144</v>
      </c>
      <c r="V169" s="39" t="s">
        <v>159</v>
      </c>
      <c r="W169" s="39" t="s">
        <v>160</v>
      </c>
      <c r="X169" s="39" t="s">
        <v>161</v>
      </c>
      <c r="Y169" s="67">
        <v>43040.0</v>
      </c>
      <c r="Z169" s="39" t="s">
        <v>114</v>
      </c>
      <c r="AA169" s="45">
        <v>49311.0</v>
      </c>
      <c r="AB169" s="46"/>
      <c r="AC169" s="23">
        <v>163.0</v>
      </c>
      <c r="AD169" s="39" t="s">
        <v>66</v>
      </c>
      <c r="AE169" s="39" t="s">
        <v>220</v>
      </c>
      <c r="AF169" s="39" t="s">
        <v>92</v>
      </c>
      <c r="AG169" s="39" t="s">
        <v>68</v>
      </c>
      <c r="AH169" s="39" t="s">
        <v>69</v>
      </c>
      <c r="AI169" s="39">
        <v>8.2386281177E10</v>
      </c>
      <c r="AJ169" s="39" t="s">
        <v>2766</v>
      </c>
      <c r="AK169" s="39" t="s">
        <v>2767</v>
      </c>
      <c r="AL169" s="39" t="s">
        <v>2768</v>
      </c>
      <c r="AM169" s="39" t="s">
        <v>96</v>
      </c>
      <c r="AN169" s="39" t="s">
        <v>135</v>
      </c>
      <c r="AO169" s="39" t="s">
        <v>136</v>
      </c>
      <c r="AP169" s="39" t="s">
        <v>1404</v>
      </c>
      <c r="AQ169" s="43"/>
      <c r="AR169" s="43"/>
    </row>
    <row r="170">
      <c r="A170" s="21">
        <f t="shared" si="4"/>
        <v>161</v>
      </c>
      <c r="B170" s="39" t="s">
        <v>2769</v>
      </c>
      <c r="C170" s="57" t="s">
        <v>2770</v>
      </c>
      <c r="D170" s="39">
        <v>15.0</v>
      </c>
      <c r="E170" s="39">
        <v>10.0</v>
      </c>
      <c r="F170" s="39" t="s">
        <v>50</v>
      </c>
      <c r="G170" s="39" t="s">
        <v>51</v>
      </c>
      <c r="H170" s="42">
        <v>39448.0</v>
      </c>
      <c r="I170" s="39" t="s">
        <v>102</v>
      </c>
      <c r="J170" s="39" t="s">
        <v>103</v>
      </c>
      <c r="K170" s="39" t="s">
        <v>1399</v>
      </c>
      <c r="L170" s="39" t="s">
        <v>105</v>
      </c>
      <c r="M170" s="42">
        <v>44835.0</v>
      </c>
      <c r="N170" s="39" t="s">
        <v>141</v>
      </c>
      <c r="O170" s="39" t="s">
        <v>229</v>
      </c>
      <c r="P170" s="43"/>
      <c r="Q170" s="39" t="s">
        <v>2570</v>
      </c>
      <c r="R170" s="42">
        <v>45292.0</v>
      </c>
      <c r="S170" s="39" t="s">
        <v>143</v>
      </c>
      <c r="T170" s="46"/>
      <c r="U170" s="39" t="s">
        <v>144</v>
      </c>
      <c r="V170" s="39" t="s">
        <v>159</v>
      </c>
      <c r="W170" s="39" t="s">
        <v>2771</v>
      </c>
      <c r="X170" s="39" t="s">
        <v>2772</v>
      </c>
      <c r="Y170" s="47">
        <v>42333.0</v>
      </c>
      <c r="Z170" s="46"/>
      <c r="AA170" s="45">
        <v>48580.0</v>
      </c>
      <c r="AB170" s="46"/>
      <c r="AC170" s="23">
        <v>164.0</v>
      </c>
      <c r="AD170" s="39" t="s">
        <v>66</v>
      </c>
      <c r="AE170" s="39" t="s">
        <v>67</v>
      </c>
      <c r="AF170" s="39" t="s">
        <v>92</v>
      </c>
      <c r="AG170" s="39" t="s">
        <v>68</v>
      </c>
      <c r="AH170" s="39" t="s">
        <v>246</v>
      </c>
      <c r="AI170" s="39">
        <v>8.1397610586E10</v>
      </c>
      <c r="AJ170" s="39" t="s">
        <v>2773</v>
      </c>
      <c r="AK170" s="39" t="s">
        <v>2774</v>
      </c>
      <c r="AL170" s="39" t="s">
        <v>2775</v>
      </c>
      <c r="AM170" s="39" t="s">
        <v>96</v>
      </c>
      <c r="AN170" s="39" t="s">
        <v>166</v>
      </c>
      <c r="AO170" s="39" t="s">
        <v>596</v>
      </c>
      <c r="AP170" s="39" t="s">
        <v>2743</v>
      </c>
      <c r="AQ170" s="43"/>
      <c r="AR170" s="43"/>
    </row>
    <row r="171">
      <c r="A171" s="21">
        <f t="shared" si="4"/>
        <v>162</v>
      </c>
      <c r="B171" s="39" t="s">
        <v>2776</v>
      </c>
      <c r="C171" s="57" t="s">
        <v>2777</v>
      </c>
      <c r="D171" s="39">
        <v>8.0</v>
      </c>
      <c r="E171" s="39">
        <v>5.0</v>
      </c>
      <c r="F171" s="39" t="s">
        <v>80</v>
      </c>
      <c r="G171" s="39" t="s">
        <v>81</v>
      </c>
      <c r="H171" s="42">
        <v>42125.0</v>
      </c>
      <c r="I171" s="39" t="s">
        <v>102</v>
      </c>
      <c r="J171" s="39" t="s">
        <v>103</v>
      </c>
      <c r="K171" s="39" t="s">
        <v>1561</v>
      </c>
      <c r="L171" s="39" t="s">
        <v>105</v>
      </c>
      <c r="M171" s="42">
        <v>45200.0</v>
      </c>
      <c r="N171" s="39" t="s">
        <v>141</v>
      </c>
      <c r="O171" s="39" t="s">
        <v>229</v>
      </c>
      <c r="P171" s="43"/>
      <c r="Q171" s="39" t="s">
        <v>2570</v>
      </c>
      <c r="R171" s="42">
        <v>45292.0</v>
      </c>
      <c r="S171" s="39" t="s">
        <v>143</v>
      </c>
      <c r="T171" s="46"/>
      <c r="U171" s="39" t="s">
        <v>144</v>
      </c>
      <c r="V171" s="39" t="s">
        <v>159</v>
      </c>
      <c r="W171" s="39" t="s">
        <v>2778</v>
      </c>
      <c r="X171" s="39" t="s">
        <v>2779</v>
      </c>
      <c r="Y171" s="39" t="s">
        <v>2780</v>
      </c>
      <c r="Z171" s="46"/>
      <c r="AA171" s="45">
        <v>50774.0</v>
      </c>
      <c r="AB171" s="46"/>
      <c r="AC171" s="23">
        <v>165.0</v>
      </c>
      <c r="AD171" s="39" t="s">
        <v>66</v>
      </c>
      <c r="AE171" s="39" t="s">
        <v>67</v>
      </c>
      <c r="AF171" s="39" t="s">
        <v>92</v>
      </c>
      <c r="AG171" s="39" t="s">
        <v>68</v>
      </c>
      <c r="AH171" s="39" t="s">
        <v>69</v>
      </c>
      <c r="AI171" s="39">
        <v>8.1362490594E10</v>
      </c>
      <c r="AJ171" s="39" t="s">
        <v>2781</v>
      </c>
      <c r="AK171" s="39" t="s">
        <v>2782</v>
      </c>
      <c r="AL171" s="39" t="s">
        <v>2783</v>
      </c>
      <c r="AM171" s="39" t="s">
        <v>96</v>
      </c>
      <c r="AN171" s="39" t="s">
        <v>135</v>
      </c>
      <c r="AO171" s="39" t="s">
        <v>657</v>
      </c>
      <c r="AP171" s="39" t="s">
        <v>657</v>
      </c>
      <c r="AQ171" s="43"/>
      <c r="AR171" s="43"/>
    </row>
    <row r="172">
      <c r="A172" s="21">
        <f t="shared" si="4"/>
        <v>163</v>
      </c>
      <c r="B172" s="39" t="s">
        <v>2784</v>
      </c>
      <c r="C172" s="57" t="s">
        <v>2785</v>
      </c>
      <c r="D172" s="39">
        <v>27.0</v>
      </c>
      <c r="E172" s="39">
        <v>5.0</v>
      </c>
      <c r="F172" s="39" t="s">
        <v>50</v>
      </c>
      <c r="G172" s="39" t="s">
        <v>51</v>
      </c>
      <c r="H172" s="42">
        <v>39083.0</v>
      </c>
      <c r="I172" s="39" t="s">
        <v>102</v>
      </c>
      <c r="J172" s="39" t="s">
        <v>103</v>
      </c>
      <c r="K172" s="39" t="s">
        <v>104</v>
      </c>
      <c r="L172" s="39" t="s">
        <v>105</v>
      </c>
      <c r="M172" s="42">
        <v>45017.0</v>
      </c>
      <c r="N172" s="39" t="s">
        <v>141</v>
      </c>
      <c r="O172" s="39" t="s">
        <v>229</v>
      </c>
      <c r="P172" s="43"/>
      <c r="Q172" s="39" t="s">
        <v>2570</v>
      </c>
      <c r="R172" s="42">
        <v>45292.0</v>
      </c>
      <c r="S172" s="39" t="s">
        <v>143</v>
      </c>
      <c r="T172" s="46"/>
      <c r="U172" s="39" t="s">
        <v>144</v>
      </c>
      <c r="V172" s="39" t="s">
        <v>89</v>
      </c>
      <c r="W172" s="39" t="s">
        <v>640</v>
      </c>
      <c r="X172" s="39" t="s">
        <v>2786</v>
      </c>
      <c r="Y172" s="39" t="s">
        <v>2787</v>
      </c>
      <c r="Z172" s="46"/>
      <c r="AA172" s="45">
        <v>46756.0</v>
      </c>
      <c r="AB172" s="46"/>
      <c r="AC172" s="23">
        <v>166.0</v>
      </c>
      <c r="AD172" s="39" t="s">
        <v>66</v>
      </c>
      <c r="AE172" s="39" t="s">
        <v>67</v>
      </c>
      <c r="AF172" s="39" t="s">
        <v>92</v>
      </c>
      <c r="AG172" s="39" t="s">
        <v>68</v>
      </c>
      <c r="AH172" s="39" t="s">
        <v>131</v>
      </c>
      <c r="AI172" s="39">
        <v>8.2360186585E10</v>
      </c>
      <c r="AJ172" s="39" t="s">
        <v>2788</v>
      </c>
      <c r="AK172" s="39" t="s">
        <v>2789</v>
      </c>
      <c r="AL172" s="39" t="s">
        <v>2790</v>
      </c>
      <c r="AM172" s="39" t="s">
        <v>96</v>
      </c>
      <c r="AN172" s="43"/>
      <c r="AO172" s="39" t="s">
        <v>98</v>
      </c>
      <c r="AP172" s="39" t="s">
        <v>2220</v>
      </c>
      <c r="AQ172" s="43"/>
      <c r="AR172" s="43"/>
    </row>
    <row r="173">
      <c r="A173" s="21">
        <f t="shared" si="4"/>
        <v>164</v>
      </c>
      <c r="B173" s="39" t="s">
        <v>2791</v>
      </c>
      <c r="C173" s="57" t="s">
        <v>2792</v>
      </c>
      <c r="D173" s="39">
        <v>16.0</v>
      </c>
      <c r="E173" s="39">
        <v>3.0</v>
      </c>
      <c r="F173" s="39" t="s">
        <v>2153</v>
      </c>
      <c r="G173" s="39" t="s">
        <v>2154</v>
      </c>
      <c r="H173" s="42">
        <v>36951.0</v>
      </c>
      <c r="I173" s="39" t="s">
        <v>82</v>
      </c>
      <c r="J173" s="39" t="s">
        <v>83</v>
      </c>
      <c r="K173" s="39" t="s">
        <v>140</v>
      </c>
      <c r="L173" s="39" t="s">
        <v>105</v>
      </c>
      <c r="M173" s="42">
        <v>45809.0</v>
      </c>
      <c r="N173" s="39" t="s">
        <v>141</v>
      </c>
      <c r="O173" s="39" t="s">
        <v>229</v>
      </c>
      <c r="P173" s="43"/>
      <c r="Q173" s="39" t="s">
        <v>2570</v>
      </c>
      <c r="R173" s="42">
        <v>45292.0</v>
      </c>
      <c r="S173" s="39" t="s">
        <v>143</v>
      </c>
      <c r="T173" s="46"/>
      <c r="U173" s="39" t="s">
        <v>144</v>
      </c>
      <c r="V173" s="39" t="s">
        <v>89</v>
      </c>
      <c r="W173" s="39" t="s">
        <v>2318</v>
      </c>
      <c r="X173" s="39" t="s">
        <v>1231</v>
      </c>
      <c r="Y173" s="47">
        <v>41022.0</v>
      </c>
      <c r="Z173" s="39" t="s">
        <v>114</v>
      </c>
      <c r="AA173" s="45">
        <v>51147.0</v>
      </c>
      <c r="AB173" s="46"/>
      <c r="AC173" s="23">
        <v>167.0</v>
      </c>
      <c r="AD173" s="39" t="s">
        <v>66</v>
      </c>
      <c r="AE173" s="39" t="s">
        <v>67</v>
      </c>
      <c r="AF173" s="39" t="s">
        <v>92</v>
      </c>
      <c r="AG173" s="39" t="s">
        <v>68</v>
      </c>
      <c r="AH173" s="39" t="s">
        <v>131</v>
      </c>
      <c r="AI173" s="39">
        <v>8.23627111E10</v>
      </c>
      <c r="AJ173" s="39" t="s">
        <v>2793</v>
      </c>
      <c r="AK173" s="39" t="s">
        <v>2794</v>
      </c>
      <c r="AL173" s="39" t="s">
        <v>2795</v>
      </c>
      <c r="AM173" s="39" t="s">
        <v>96</v>
      </c>
      <c r="AN173" s="39" t="s">
        <v>481</v>
      </c>
      <c r="AO173" s="39" t="s">
        <v>178</v>
      </c>
      <c r="AP173" s="39" t="s">
        <v>2796</v>
      </c>
      <c r="AQ173" s="43"/>
      <c r="AR173" s="43"/>
    </row>
    <row r="174">
      <c r="A174" s="21">
        <f t="shared" si="4"/>
        <v>165</v>
      </c>
      <c r="B174" s="39" t="s">
        <v>2797</v>
      </c>
      <c r="C174" s="57" t="s">
        <v>2798</v>
      </c>
      <c r="D174" s="39">
        <v>20.0</v>
      </c>
      <c r="E174" s="39">
        <v>3.0</v>
      </c>
      <c r="F174" s="39" t="s">
        <v>50</v>
      </c>
      <c r="G174" s="39" t="s">
        <v>51</v>
      </c>
      <c r="H174" s="42">
        <v>39448.0</v>
      </c>
      <c r="I174" s="39" t="s">
        <v>102</v>
      </c>
      <c r="J174" s="39" t="s">
        <v>103</v>
      </c>
      <c r="K174" s="39" t="s">
        <v>2799</v>
      </c>
      <c r="L174" s="39" t="s">
        <v>105</v>
      </c>
      <c r="M174" s="42">
        <v>44652.0</v>
      </c>
      <c r="N174" s="39" t="s">
        <v>141</v>
      </c>
      <c r="O174" s="39" t="s">
        <v>229</v>
      </c>
      <c r="P174" s="43"/>
      <c r="Q174" s="39" t="s">
        <v>2570</v>
      </c>
      <c r="R174" s="42">
        <v>45292.0</v>
      </c>
      <c r="S174" s="39" t="s">
        <v>143</v>
      </c>
      <c r="T174" s="46"/>
      <c r="U174" s="39" t="s">
        <v>144</v>
      </c>
      <c r="V174" s="39" t="s">
        <v>89</v>
      </c>
      <c r="W174" s="39" t="s">
        <v>337</v>
      </c>
      <c r="X174" s="39" t="s">
        <v>2800</v>
      </c>
      <c r="Y174" s="39" t="s">
        <v>339</v>
      </c>
      <c r="Z174" s="46"/>
      <c r="AA174" s="45">
        <v>49310.0</v>
      </c>
      <c r="AB174" s="46"/>
      <c r="AC174" s="23">
        <v>168.0</v>
      </c>
      <c r="AD174" s="39" t="s">
        <v>66</v>
      </c>
      <c r="AE174" s="39" t="s">
        <v>67</v>
      </c>
      <c r="AF174" s="39" t="s">
        <v>92</v>
      </c>
      <c r="AG174" s="39" t="s">
        <v>68</v>
      </c>
      <c r="AH174" s="39" t="s">
        <v>69</v>
      </c>
      <c r="AI174" s="39">
        <v>8.2161639304E10</v>
      </c>
      <c r="AJ174" s="39" t="s">
        <v>2801</v>
      </c>
      <c r="AK174" s="39" t="s">
        <v>2802</v>
      </c>
      <c r="AL174" s="39" t="s">
        <v>2803</v>
      </c>
      <c r="AM174" s="39" t="s">
        <v>96</v>
      </c>
      <c r="AN174" s="39" t="s">
        <v>135</v>
      </c>
      <c r="AO174" s="39" t="s">
        <v>136</v>
      </c>
      <c r="AP174" s="39" t="s">
        <v>2804</v>
      </c>
      <c r="AQ174" s="43"/>
      <c r="AR174" s="43"/>
    </row>
    <row r="175">
      <c r="A175" s="21">
        <f t="shared" si="4"/>
        <v>166</v>
      </c>
      <c r="B175" s="39" t="s">
        <v>2805</v>
      </c>
      <c r="C175" s="57" t="s">
        <v>2806</v>
      </c>
      <c r="D175" s="39">
        <v>21.0</v>
      </c>
      <c r="E175" s="39">
        <v>4.0</v>
      </c>
      <c r="F175" s="39" t="s">
        <v>50</v>
      </c>
      <c r="G175" s="39" t="s">
        <v>51</v>
      </c>
      <c r="H175" s="42">
        <v>40452.0</v>
      </c>
      <c r="I175" s="39" t="s">
        <v>102</v>
      </c>
      <c r="J175" s="39" t="s">
        <v>103</v>
      </c>
      <c r="K175" s="39" t="s">
        <v>104</v>
      </c>
      <c r="L175" s="39" t="s">
        <v>105</v>
      </c>
      <c r="M175" s="42">
        <v>45017.0</v>
      </c>
      <c r="N175" s="39" t="s">
        <v>141</v>
      </c>
      <c r="O175" s="39" t="s">
        <v>229</v>
      </c>
      <c r="P175" s="43"/>
      <c r="Q175" s="39" t="s">
        <v>2570</v>
      </c>
      <c r="R175" s="42">
        <v>45292.0</v>
      </c>
      <c r="S175" s="39" t="s">
        <v>143</v>
      </c>
      <c r="T175" s="46"/>
      <c r="U175" s="39" t="s">
        <v>144</v>
      </c>
      <c r="V175" s="39" t="s">
        <v>89</v>
      </c>
      <c r="W175" s="39" t="s">
        <v>218</v>
      </c>
      <c r="X175" s="39" t="s">
        <v>2482</v>
      </c>
      <c r="Y175" s="39" t="s">
        <v>2787</v>
      </c>
      <c r="Z175" s="46"/>
      <c r="AA175" s="45">
        <v>48215.0</v>
      </c>
      <c r="AB175" s="46"/>
      <c r="AC175" s="23">
        <v>169.0</v>
      </c>
      <c r="AD175" s="39" t="s">
        <v>66</v>
      </c>
      <c r="AE175" s="39" t="s">
        <v>67</v>
      </c>
      <c r="AF175" s="39" t="s">
        <v>129</v>
      </c>
      <c r="AG175" s="39" t="s">
        <v>68</v>
      </c>
      <c r="AH175" s="39" t="s">
        <v>131</v>
      </c>
      <c r="AI175" s="39">
        <v>8.5275731669E10</v>
      </c>
      <c r="AJ175" s="39" t="s">
        <v>2807</v>
      </c>
      <c r="AK175" s="39" t="s">
        <v>2808</v>
      </c>
      <c r="AL175" s="39" t="s">
        <v>2809</v>
      </c>
      <c r="AM175" s="39" t="s">
        <v>96</v>
      </c>
      <c r="AN175" s="43"/>
      <c r="AO175" s="43"/>
      <c r="AP175" s="43"/>
      <c r="AQ175" s="43"/>
      <c r="AR175" s="43"/>
    </row>
    <row r="176">
      <c r="A176" s="21">
        <f t="shared" si="4"/>
        <v>167</v>
      </c>
      <c r="B176" s="39" t="s">
        <v>2810</v>
      </c>
      <c r="C176" s="57" t="s">
        <v>2811</v>
      </c>
      <c r="D176" s="39">
        <v>16.0</v>
      </c>
      <c r="E176" s="39">
        <v>0.0</v>
      </c>
      <c r="F176" s="39" t="s">
        <v>171</v>
      </c>
      <c r="G176" s="39" t="s">
        <v>172</v>
      </c>
      <c r="H176" s="42">
        <v>38808.0</v>
      </c>
      <c r="I176" s="39" t="s">
        <v>102</v>
      </c>
      <c r="J176" s="39" t="s">
        <v>103</v>
      </c>
      <c r="K176" s="39" t="s">
        <v>217</v>
      </c>
      <c r="L176" s="39" t="s">
        <v>61</v>
      </c>
      <c r="M176" s="42">
        <v>45383.0</v>
      </c>
      <c r="N176" s="39" t="s">
        <v>141</v>
      </c>
      <c r="O176" s="39" t="s">
        <v>229</v>
      </c>
      <c r="P176" s="43"/>
      <c r="Q176" s="39" t="s">
        <v>2580</v>
      </c>
      <c r="R176" s="42">
        <v>45292.0</v>
      </c>
      <c r="S176" s="39" t="s">
        <v>143</v>
      </c>
      <c r="T176" s="46"/>
      <c r="U176" s="39" t="s">
        <v>144</v>
      </c>
      <c r="V176" s="39" t="s">
        <v>267</v>
      </c>
      <c r="W176" s="39" t="s">
        <v>2812</v>
      </c>
      <c r="X176" s="39" t="s">
        <v>2813</v>
      </c>
      <c r="Y176" s="39" t="s">
        <v>2814</v>
      </c>
      <c r="Z176" s="39" t="s">
        <v>114</v>
      </c>
      <c r="AA176" s="45">
        <v>50778.0</v>
      </c>
      <c r="AB176" s="46"/>
      <c r="AC176" s="23">
        <v>170.0</v>
      </c>
      <c r="AD176" s="39" t="s">
        <v>66</v>
      </c>
      <c r="AE176" s="39" t="s">
        <v>67</v>
      </c>
      <c r="AF176" s="39" t="s">
        <v>92</v>
      </c>
      <c r="AG176" s="39" t="s">
        <v>130</v>
      </c>
      <c r="AH176" s="39" t="s">
        <v>246</v>
      </c>
      <c r="AI176" s="39">
        <v>8.126332374E9</v>
      </c>
      <c r="AJ176" s="39" t="s">
        <v>2815</v>
      </c>
      <c r="AK176" s="39" t="s">
        <v>2816</v>
      </c>
      <c r="AL176" s="39" t="s">
        <v>2817</v>
      </c>
      <c r="AM176" s="39" t="s">
        <v>96</v>
      </c>
      <c r="AN176" s="39" t="s">
        <v>97</v>
      </c>
      <c r="AO176" s="39" t="s">
        <v>2818</v>
      </c>
      <c r="AP176" s="39" t="s">
        <v>2819</v>
      </c>
      <c r="AQ176" s="39" t="s">
        <v>77</v>
      </c>
      <c r="AR176" s="39" t="s">
        <v>77</v>
      </c>
    </row>
    <row r="177">
      <c r="A177" s="21">
        <f t="shared" si="4"/>
        <v>168</v>
      </c>
      <c r="B177" s="39" t="s">
        <v>2820</v>
      </c>
      <c r="C177" s="57" t="s">
        <v>2821</v>
      </c>
      <c r="D177" s="39">
        <v>9.0</v>
      </c>
      <c r="E177" s="39">
        <v>3.0</v>
      </c>
      <c r="F177" s="39" t="s">
        <v>171</v>
      </c>
      <c r="G177" s="39" t="s">
        <v>172</v>
      </c>
      <c r="H177" s="42">
        <v>41091.0</v>
      </c>
      <c r="I177" s="39" t="s">
        <v>102</v>
      </c>
      <c r="J177" s="39" t="s">
        <v>103</v>
      </c>
      <c r="K177" s="39" t="s">
        <v>228</v>
      </c>
      <c r="L177" s="39" t="s">
        <v>105</v>
      </c>
      <c r="M177" s="42">
        <v>44652.0</v>
      </c>
      <c r="N177" s="39" t="s">
        <v>141</v>
      </c>
      <c r="O177" s="39" t="s">
        <v>229</v>
      </c>
      <c r="P177" s="43"/>
      <c r="Q177" s="39" t="s">
        <v>2570</v>
      </c>
      <c r="R177" s="42">
        <v>45292.0</v>
      </c>
      <c r="S177" s="39" t="s">
        <v>143</v>
      </c>
      <c r="T177" s="46"/>
      <c r="U177" s="39" t="s">
        <v>144</v>
      </c>
      <c r="V177" s="39" t="s">
        <v>89</v>
      </c>
      <c r="W177" s="39" t="s">
        <v>2016</v>
      </c>
      <c r="X177" s="39" t="s">
        <v>2822</v>
      </c>
      <c r="Y177" s="47">
        <v>41538.0</v>
      </c>
      <c r="Z177" s="39" t="s">
        <v>114</v>
      </c>
      <c r="AA177" s="45">
        <v>52601.0</v>
      </c>
      <c r="AB177" s="46"/>
      <c r="AC177" s="23">
        <v>171.0</v>
      </c>
      <c r="AD177" s="39" t="s">
        <v>66</v>
      </c>
      <c r="AE177" s="39" t="s">
        <v>67</v>
      </c>
      <c r="AF177" s="39" t="s">
        <v>92</v>
      </c>
      <c r="AG177" s="39" t="s">
        <v>68</v>
      </c>
      <c r="AH177" s="39" t="s">
        <v>131</v>
      </c>
      <c r="AI177" s="39">
        <v>8.2162195411E10</v>
      </c>
      <c r="AJ177" s="39" t="s">
        <v>2823</v>
      </c>
      <c r="AK177" s="39" t="s">
        <v>2824</v>
      </c>
      <c r="AL177" s="39" t="s">
        <v>2825</v>
      </c>
      <c r="AM177" s="39" t="s">
        <v>96</v>
      </c>
      <c r="AN177" s="39" t="s">
        <v>97</v>
      </c>
      <c r="AO177" s="39" t="s">
        <v>2699</v>
      </c>
      <c r="AP177" s="39" t="s">
        <v>2826</v>
      </c>
      <c r="AQ177" s="43"/>
      <c r="AR177" s="43"/>
    </row>
    <row r="178">
      <c r="A178" s="21">
        <f t="shared" si="4"/>
        <v>169</v>
      </c>
      <c r="B178" s="39" t="s">
        <v>2827</v>
      </c>
      <c r="C178" s="57" t="s">
        <v>2828</v>
      </c>
      <c r="D178" s="39">
        <v>8.0</v>
      </c>
      <c r="E178" s="39">
        <v>4.0</v>
      </c>
      <c r="F178" s="39" t="s">
        <v>80</v>
      </c>
      <c r="G178" s="39" t="s">
        <v>81</v>
      </c>
      <c r="H178" s="42">
        <v>41791.0</v>
      </c>
      <c r="I178" s="39" t="s">
        <v>102</v>
      </c>
      <c r="J178" s="39" t="s">
        <v>103</v>
      </c>
      <c r="K178" s="39" t="s">
        <v>1399</v>
      </c>
      <c r="L178" s="39" t="s">
        <v>105</v>
      </c>
      <c r="M178" s="42">
        <v>44835.0</v>
      </c>
      <c r="N178" s="39" t="s">
        <v>141</v>
      </c>
      <c r="O178" s="39" t="s">
        <v>229</v>
      </c>
      <c r="P178" s="43"/>
      <c r="Q178" s="39" t="s">
        <v>59</v>
      </c>
      <c r="R178" s="42">
        <v>45628.0</v>
      </c>
      <c r="S178" s="39" t="s">
        <v>2829</v>
      </c>
      <c r="T178" s="46"/>
      <c r="U178" s="39" t="s">
        <v>144</v>
      </c>
      <c r="V178" s="39" t="s">
        <v>110</v>
      </c>
      <c r="W178" s="39" t="s">
        <v>2830</v>
      </c>
      <c r="X178" s="39" t="s">
        <v>112</v>
      </c>
      <c r="Y178" s="39" t="s">
        <v>113</v>
      </c>
      <c r="Z178" s="39" t="s">
        <v>65</v>
      </c>
      <c r="AA178" s="45">
        <v>54061.0</v>
      </c>
      <c r="AB178" s="46"/>
      <c r="AC178" s="23">
        <v>172.0</v>
      </c>
      <c r="AD178" s="39" t="s">
        <v>66</v>
      </c>
      <c r="AE178" s="39" t="s">
        <v>67</v>
      </c>
      <c r="AF178" s="43"/>
      <c r="AG178" s="39" t="s">
        <v>68</v>
      </c>
      <c r="AH178" s="43"/>
      <c r="AI178" s="39">
        <v>8.11606069E9</v>
      </c>
      <c r="AJ178" s="39" t="s">
        <v>2831</v>
      </c>
      <c r="AK178" s="39" t="s">
        <v>2832</v>
      </c>
      <c r="AL178" s="39" t="s">
        <v>2833</v>
      </c>
      <c r="AM178" s="39" t="s">
        <v>96</v>
      </c>
      <c r="AN178" s="39" t="s">
        <v>97</v>
      </c>
      <c r="AO178" s="39" t="s">
        <v>213</v>
      </c>
      <c r="AP178" s="39" t="s">
        <v>214</v>
      </c>
      <c r="AQ178" s="43"/>
      <c r="AR178" s="43"/>
    </row>
    <row r="179">
      <c r="A179" s="21">
        <f t="shared" si="4"/>
        <v>170</v>
      </c>
      <c r="B179" s="39" t="s">
        <v>2834</v>
      </c>
      <c r="C179" s="57" t="s">
        <v>2835</v>
      </c>
      <c r="D179" s="39">
        <v>18.0</v>
      </c>
      <c r="E179" s="39">
        <v>8.0</v>
      </c>
      <c r="F179" s="39" t="s">
        <v>50</v>
      </c>
      <c r="G179" s="39" t="s">
        <v>51</v>
      </c>
      <c r="H179" s="42">
        <v>39448.0</v>
      </c>
      <c r="I179" s="39" t="s">
        <v>82</v>
      </c>
      <c r="J179" s="39" t="s">
        <v>83</v>
      </c>
      <c r="K179" s="39" t="s">
        <v>184</v>
      </c>
      <c r="L179" s="39" t="s">
        <v>105</v>
      </c>
      <c r="M179" s="42">
        <v>45870.0</v>
      </c>
      <c r="N179" s="39" t="s">
        <v>141</v>
      </c>
      <c r="O179" s="39" t="s">
        <v>229</v>
      </c>
      <c r="P179" s="43"/>
      <c r="Q179" s="39" t="s">
        <v>2580</v>
      </c>
      <c r="R179" s="42">
        <v>45292.0</v>
      </c>
      <c r="S179" s="39" t="s">
        <v>143</v>
      </c>
      <c r="T179" s="46"/>
      <c r="U179" s="39" t="s">
        <v>144</v>
      </c>
      <c r="V179" s="39" t="s">
        <v>159</v>
      </c>
      <c r="W179" s="39" t="s">
        <v>1354</v>
      </c>
      <c r="X179" s="39" t="s">
        <v>260</v>
      </c>
      <c r="Y179" s="47">
        <v>42333.0</v>
      </c>
      <c r="Z179" s="46"/>
      <c r="AA179" s="45">
        <v>50047.0</v>
      </c>
      <c r="AB179" s="46"/>
      <c r="AC179" s="23">
        <v>173.0</v>
      </c>
      <c r="AD179" s="39" t="s">
        <v>66</v>
      </c>
      <c r="AE179" s="39" t="s">
        <v>67</v>
      </c>
      <c r="AF179" s="39" t="s">
        <v>92</v>
      </c>
      <c r="AG179" s="39" t="s">
        <v>130</v>
      </c>
      <c r="AH179" s="39" t="s">
        <v>246</v>
      </c>
      <c r="AI179" s="39">
        <v>8.21877853E10</v>
      </c>
      <c r="AJ179" s="39" t="s">
        <v>2836</v>
      </c>
      <c r="AK179" s="39" t="s">
        <v>2837</v>
      </c>
      <c r="AL179" s="39" t="s">
        <v>2838</v>
      </c>
      <c r="AM179" s="39" t="s">
        <v>96</v>
      </c>
      <c r="AN179" s="39" t="s">
        <v>74</v>
      </c>
      <c r="AO179" s="39" t="s">
        <v>118</v>
      </c>
      <c r="AP179" s="39" t="s">
        <v>2839</v>
      </c>
      <c r="AQ179" s="43"/>
      <c r="AR179" s="43"/>
    </row>
    <row r="180">
      <c r="A180" s="21">
        <f t="shared" si="4"/>
        <v>171</v>
      </c>
      <c r="B180" s="39" t="s">
        <v>2840</v>
      </c>
      <c r="C180" s="57" t="s">
        <v>2841</v>
      </c>
      <c r="D180" s="39">
        <v>18.0</v>
      </c>
      <c r="E180" s="39">
        <v>9.0</v>
      </c>
      <c r="F180" s="39" t="s">
        <v>171</v>
      </c>
      <c r="G180" s="39" t="s">
        <v>172</v>
      </c>
      <c r="H180" s="42">
        <v>40179.0</v>
      </c>
      <c r="I180" s="39" t="s">
        <v>82</v>
      </c>
      <c r="J180" s="39" t="s">
        <v>83</v>
      </c>
      <c r="K180" s="39" t="s">
        <v>2842</v>
      </c>
      <c r="L180" s="39" t="s">
        <v>105</v>
      </c>
      <c r="M180" s="42">
        <v>45931.0</v>
      </c>
      <c r="N180" s="39" t="s">
        <v>141</v>
      </c>
      <c r="O180" s="39" t="s">
        <v>229</v>
      </c>
      <c r="P180" s="43"/>
      <c r="Q180" s="39" t="s">
        <v>266</v>
      </c>
      <c r="R180" s="42">
        <v>45292.0</v>
      </c>
      <c r="S180" s="39" t="s">
        <v>143</v>
      </c>
      <c r="T180" s="46"/>
      <c r="U180" s="39" t="s">
        <v>144</v>
      </c>
      <c r="V180" s="39" t="s">
        <v>159</v>
      </c>
      <c r="W180" s="39" t="s">
        <v>90</v>
      </c>
      <c r="X180" s="39" t="s">
        <v>648</v>
      </c>
      <c r="Y180" s="39" t="s">
        <v>2581</v>
      </c>
      <c r="Z180" s="46"/>
      <c r="AA180" s="45">
        <v>50781.0</v>
      </c>
      <c r="AB180" s="46"/>
      <c r="AC180" s="23">
        <v>174.0</v>
      </c>
      <c r="AD180" s="39" t="s">
        <v>66</v>
      </c>
      <c r="AE180" s="39" t="s">
        <v>67</v>
      </c>
      <c r="AF180" s="39" t="s">
        <v>2117</v>
      </c>
      <c r="AG180" s="39" t="s">
        <v>130</v>
      </c>
      <c r="AH180" s="39" t="s">
        <v>69</v>
      </c>
      <c r="AI180" s="39">
        <v>8.126557275E9</v>
      </c>
      <c r="AJ180" s="39" t="s">
        <v>2843</v>
      </c>
      <c r="AK180" s="39" t="s">
        <v>2844</v>
      </c>
      <c r="AL180" s="39" t="s">
        <v>2845</v>
      </c>
      <c r="AM180" s="39" t="s">
        <v>96</v>
      </c>
      <c r="AN180" s="43"/>
      <c r="AO180" s="39" t="s">
        <v>75</v>
      </c>
      <c r="AP180" s="39" t="s">
        <v>1236</v>
      </c>
      <c r="AQ180" s="43"/>
      <c r="AR180" s="43"/>
    </row>
    <row r="181">
      <c r="A181" s="21">
        <f t="shared" si="4"/>
        <v>172</v>
      </c>
      <c r="B181" s="39" t="s">
        <v>2846</v>
      </c>
      <c r="C181" s="57" t="s">
        <v>2847</v>
      </c>
      <c r="D181" s="39">
        <v>12.0</v>
      </c>
      <c r="E181" s="39">
        <v>3.0</v>
      </c>
      <c r="F181" s="39" t="s">
        <v>171</v>
      </c>
      <c r="G181" s="39" t="s">
        <v>172</v>
      </c>
      <c r="H181" s="42">
        <v>40178.0</v>
      </c>
      <c r="I181" s="39" t="s">
        <v>182</v>
      </c>
      <c r="J181" s="39" t="s">
        <v>183</v>
      </c>
      <c r="K181" s="39" t="s">
        <v>217</v>
      </c>
      <c r="L181" s="39" t="s">
        <v>105</v>
      </c>
      <c r="M181" s="42">
        <v>45383.0</v>
      </c>
      <c r="N181" s="39" t="s">
        <v>141</v>
      </c>
      <c r="O181" s="39" t="s">
        <v>229</v>
      </c>
      <c r="P181" s="43"/>
      <c r="Q181" s="39" t="s">
        <v>2570</v>
      </c>
      <c r="R181" s="42">
        <v>45292.0</v>
      </c>
      <c r="S181" s="39" t="s">
        <v>143</v>
      </c>
      <c r="T181" s="46"/>
      <c r="U181" s="39" t="s">
        <v>144</v>
      </c>
      <c r="V181" s="39" t="s">
        <v>267</v>
      </c>
      <c r="W181" s="39" t="s">
        <v>2848</v>
      </c>
      <c r="X181" s="39" t="s">
        <v>2849</v>
      </c>
      <c r="Y181" s="39" t="s">
        <v>2850</v>
      </c>
      <c r="Z181" s="46"/>
      <c r="AA181" s="45">
        <v>52963.0</v>
      </c>
      <c r="AB181" s="46"/>
      <c r="AC181" s="23">
        <v>175.0</v>
      </c>
      <c r="AD181" s="39" t="s">
        <v>66</v>
      </c>
      <c r="AE181" s="39" t="s">
        <v>311</v>
      </c>
      <c r="AF181" s="39" t="s">
        <v>92</v>
      </c>
      <c r="AG181" s="39" t="s">
        <v>130</v>
      </c>
      <c r="AH181" s="39" t="s">
        <v>131</v>
      </c>
      <c r="AI181" s="39">
        <v>8.5266558686E10</v>
      </c>
      <c r="AJ181" s="39" t="s">
        <v>2851</v>
      </c>
      <c r="AK181" s="39" t="s">
        <v>2852</v>
      </c>
      <c r="AL181" s="39" t="s">
        <v>2853</v>
      </c>
      <c r="AM181" s="39" t="s">
        <v>96</v>
      </c>
      <c r="AN181" s="39" t="s">
        <v>135</v>
      </c>
      <c r="AO181" s="39" t="s">
        <v>236</v>
      </c>
      <c r="AP181" s="39" t="s">
        <v>527</v>
      </c>
      <c r="AQ181" s="43"/>
      <c r="AR181" s="43"/>
    </row>
    <row r="182">
      <c r="A182" s="21">
        <f t="shared" si="4"/>
        <v>173</v>
      </c>
      <c r="B182" s="39" t="s">
        <v>2854</v>
      </c>
      <c r="C182" s="57" t="s">
        <v>2855</v>
      </c>
      <c r="D182" s="39">
        <v>12.0</v>
      </c>
      <c r="E182" s="39">
        <v>3.0</v>
      </c>
      <c r="F182" s="39" t="s">
        <v>171</v>
      </c>
      <c r="G182" s="39" t="s">
        <v>172</v>
      </c>
      <c r="H182" s="42">
        <v>40179.0</v>
      </c>
      <c r="I182" s="39" t="s">
        <v>182</v>
      </c>
      <c r="J182" s="39" t="s">
        <v>183</v>
      </c>
      <c r="K182" s="39" t="s">
        <v>217</v>
      </c>
      <c r="L182" s="39" t="s">
        <v>105</v>
      </c>
      <c r="M182" s="42">
        <v>45383.0</v>
      </c>
      <c r="N182" s="39" t="s">
        <v>141</v>
      </c>
      <c r="O182" s="39" t="s">
        <v>229</v>
      </c>
      <c r="P182" s="43"/>
      <c r="Q182" s="39" t="s">
        <v>2570</v>
      </c>
      <c r="R182" s="42">
        <v>45292.0</v>
      </c>
      <c r="S182" s="39" t="s">
        <v>143</v>
      </c>
      <c r="T182" s="46"/>
      <c r="U182" s="39" t="s">
        <v>144</v>
      </c>
      <c r="V182" s="39" t="s">
        <v>89</v>
      </c>
      <c r="W182" s="39" t="s">
        <v>218</v>
      </c>
      <c r="X182" s="39" t="s">
        <v>2856</v>
      </c>
      <c r="Y182" s="47">
        <v>44895.0</v>
      </c>
      <c r="Z182" s="39" t="s">
        <v>114</v>
      </c>
      <c r="AA182" s="45">
        <v>52599.0</v>
      </c>
      <c r="AB182" s="46"/>
      <c r="AC182" s="23">
        <v>176.0</v>
      </c>
      <c r="AD182" s="39" t="s">
        <v>66</v>
      </c>
      <c r="AE182" s="39" t="s">
        <v>220</v>
      </c>
      <c r="AF182" s="39" t="s">
        <v>92</v>
      </c>
      <c r="AG182" s="39" t="s">
        <v>68</v>
      </c>
      <c r="AH182" s="39" t="s">
        <v>69</v>
      </c>
      <c r="AI182" s="39">
        <v>8.1397552807E10</v>
      </c>
      <c r="AJ182" s="39" t="s">
        <v>2857</v>
      </c>
      <c r="AK182" s="39" t="s">
        <v>2858</v>
      </c>
      <c r="AL182" s="39" t="s">
        <v>2859</v>
      </c>
      <c r="AM182" s="39" t="s">
        <v>96</v>
      </c>
      <c r="AN182" s="39" t="s">
        <v>135</v>
      </c>
      <c r="AO182" s="39" t="s">
        <v>1511</v>
      </c>
      <c r="AP182" s="39" t="s">
        <v>2275</v>
      </c>
      <c r="AQ182" s="43"/>
      <c r="AR182" s="43"/>
    </row>
    <row r="183">
      <c r="A183" s="21">
        <f t="shared" si="4"/>
        <v>174</v>
      </c>
      <c r="B183" s="39" t="s">
        <v>2860</v>
      </c>
      <c r="C183" s="57" t="s">
        <v>2861</v>
      </c>
      <c r="D183" s="39">
        <v>15.0</v>
      </c>
      <c r="E183" s="39">
        <v>1.0</v>
      </c>
      <c r="F183" s="39" t="s">
        <v>50</v>
      </c>
      <c r="G183" s="39" t="s">
        <v>51</v>
      </c>
      <c r="H183" s="42">
        <v>34669.0</v>
      </c>
      <c r="I183" s="39" t="s">
        <v>182</v>
      </c>
      <c r="J183" s="39" t="s">
        <v>183</v>
      </c>
      <c r="K183" s="39" t="s">
        <v>1580</v>
      </c>
      <c r="L183" s="39" t="s">
        <v>1314</v>
      </c>
      <c r="M183" s="42">
        <v>41365.0</v>
      </c>
      <c r="N183" s="39" t="s">
        <v>141</v>
      </c>
      <c r="O183" s="39" t="s">
        <v>196</v>
      </c>
      <c r="P183" s="43"/>
      <c r="Q183" s="39" t="s">
        <v>2570</v>
      </c>
      <c r="R183" s="42">
        <v>45292.0</v>
      </c>
      <c r="S183" s="39" t="s">
        <v>143</v>
      </c>
      <c r="T183" s="46"/>
      <c r="U183" s="39" t="s">
        <v>144</v>
      </c>
      <c r="V183" s="39" t="s">
        <v>285</v>
      </c>
      <c r="W183" s="39" t="s">
        <v>2862</v>
      </c>
      <c r="X183" s="39" t="s">
        <v>2863</v>
      </c>
      <c r="Y183" s="39" t="s">
        <v>2864</v>
      </c>
      <c r="Z183" s="39" t="s">
        <v>114</v>
      </c>
      <c r="AA183" s="45">
        <v>47490.0</v>
      </c>
      <c r="AB183" s="46"/>
      <c r="AC183" s="23">
        <v>177.0</v>
      </c>
      <c r="AD183" s="39" t="s">
        <v>66</v>
      </c>
      <c r="AE183" s="39" t="s">
        <v>67</v>
      </c>
      <c r="AF183" s="39" t="s">
        <v>92</v>
      </c>
      <c r="AG183" s="39" t="s">
        <v>130</v>
      </c>
      <c r="AH183" s="39" t="s">
        <v>131</v>
      </c>
      <c r="AI183" s="39">
        <v>8.1361442644E10</v>
      </c>
      <c r="AJ183" s="39" t="s">
        <v>2865</v>
      </c>
      <c r="AK183" s="39" t="s">
        <v>2866</v>
      </c>
      <c r="AL183" s="39" t="s">
        <v>2867</v>
      </c>
      <c r="AM183" s="39" t="s">
        <v>96</v>
      </c>
      <c r="AN183" s="39" t="s">
        <v>74</v>
      </c>
      <c r="AO183" s="39" t="s">
        <v>118</v>
      </c>
      <c r="AP183" s="39" t="s">
        <v>1848</v>
      </c>
      <c r="AQ183" s="43"/>
      <c r="AR183" s="43"/>
    </row>
    <row r="184">
      <c r="A184" s="21">
        <f t="shared" si="4"/>
        <v>175</v>
      </c>
      <c r="B184" s="39" t="s">
        <v>2868</v>
      </c>
      <c r="C184" s="57" t="s">
        <v>2869</v>
      </c>
      <c r="D184" s="39">
        <v>8.0</v>
      </c>
      <c r="E184" s="39">
        <v>9.0</v>
      </c>
      <c r="F184" s="39" t="s">
        <v>50</v>
      </c>
      <c r="G184" s="39" t="s">
        <v>51</v>
      </c>
      <c r="H184" s="42">
        <v>40179.0</v>
      </c>
      <c r="I184" s="39" t="s">
        <v>80</v>
      </c>
      <c r="J184" s="39" t="s">
        <v>81</v>
      </c>
      <c r="K184" s="39" t="s">
        <v>2870</v>
      </c>
      <c r="L184" s="39" t="s">
        <v>61</v>
      </c>
      <c r="M184" s="42">
        <v>45200.0</v>
      </c>
      <c r="N184" s="39" t="s">
        <v>141</v>
      </c>
      <c r="O184" s="39" t="s">
        <v>229</v>
      </c>
      <c r="P184" s="43"/>
      <c r="Q184" s="39" t="s">
        <v>59</v>
      </c>
      <c r="R184" s="42">
        <v>45292.0</v>
      </c>
      <c r="S184" s="39" t="s">
        <v>143</v>
      </c>
      <c r="T184" s="46"/>
      <c r="U184" s="39" t="s">
        <v>144</v>
      </c>
      <c r="V184" s="39" t="s">
        <v>89</v>
      </c>
      <c r="W184" s="39" t="s">
        <v>218</v>
      </c>
      <c r="X184" s="39" t="s">
        <v>1119</v>
      </c>
      <c r="Y184" s="39" t="s">
        <v>2871</v>
      </c>
      <c r="Z184" s="39" t="s">
        <v>114</v>
      </c>
      <c r="AA184" s="45">
        <v>52597.0</v>
      </c>
      <c r="AB184" s="46"/>
      <c r="AC184" s="23">
        <v>178.0</v>
      </c>
      <c r="AD184" s="39" t="s">
        <v>66</v>
      </c>
      <c r="AE184" s="39" t="s">
        <v>67</v>
      </c>
      <c r="AF184" s="39" t="s">
        <v>92</v>
      </c>
      <c r="AG184" s="39" t="s">
        <v>130</v>
      </c>
      <c r="AH184" s="39" t="s">
        <v>69</v>
      </c>
      <c r="AI184" s="39">
        <v>8.5261161229E10</v>
      </c>
      <c r="AJ184" s="39" t="s">
        <v>2872</v>
      </c>
      <c r="AK184" s="39" t="s">
        <v>2873</v>
      </c>
      <c r="AL184" s="39" t="s">
        <v>2874</v>
      </c>
      <c r="AM184" s="39" t="s">
        <v>96</v>
      </c>
      <c r="AN184" s="39" t="s">
        <v>74</v>
      </c>
      <c r="AO184" s="39" t="s">
        <v>454</v>
      </c>
      <c r="AP184" s="39" t="s">
        <v>982</v>
      </c>
      <c r="AQ184" s="43"/>
      <c r="AR184" s="43"/>
    </row>
    <row r="185">
      <c r="A185" s="21">
        <f t="shared" si="4"/>
        <v>176</v>
      </c>
      <c r="B185" s="39" t="s">
        <v>2875</v>
      </c>
      <c r="C185" s="57" t="s">
        <v>2876</v>
      </c>
      <c r="D185" s="39">
        <v>14.0</v>
      </c>
      <c r="E185" s="39">
        <v>9.0</v>
      </c>
      <c r="F185" s="39" t="s">
        <v>50</v>
      </c>
      <c r="G185" s="39" t="s">
        <v>51</v>
      </c>
      <c r="H185" s="42">
        <v>39845.0</v>
      </c>
      <c r="I185" s="39" t="s">
        <v>80</v>
      </c>
      <c r="J185" s="39" t="s">
        <v>81</v>
      </c>
      <c r="K185" s="39" t="s">
        <v>2870</v>
      </c>
      <c r="L185" s="39" t="s">
        <v>61</v>
      </c>
      <c r="M185" s="42">
        <v>45200.0</v>
      </c>
      <c r="N185" s="39" t="s">
        <v>141</v>
      </c>
      <c r="O185" s="39" t="s">
        <v>229</v>
      </c>
      <c r="P185" s="43"/>
      <c r="Q185" s="39" t="s">
        <v>59</v>
      </c>
      <c r="R185" s="42">
        <v>45292.0</v>
      </c>
      <c r="S185" s="39" t="s">
        <v>143</v>
      </c>
      <c r="T185" s="46"/>
      <c r="U185" s="39" t="s">
        <v>144</v>
      </c>
      <c r="V185" s="39" t="s">
        <v>89</v>
      </c>
      <c r="W185" s="39" t="s">
        <v>218</v>
      </c>
      <c r="X185" s="39" t="s">
        <v>1119</v>
      </c>
      <c r="Y185" s="39" t="s">
        <v>2877</v>
      </c>
      <c r="Z185" s="39" t="s">
        <v>114</v>
      </c>
      <c r="AA185" s="45">
        <v>49321.0</v>
      </c>
      <c r="AB185" s="46"/>
      <c r="AC185" s="23">
        <v>179.0</v>
      </c>
      <c r="AD185" s="39" t="s">
        <v>66</v>
      </c>
      <c r="AE185" s="39" t="s">
        <v>67</v>
      </c>
      <c r="AF185" s="39" t="s">
        <v>92</v>
      </c>
      <c r="AG185" s="39" t="s">
        <v>68</v>
      </c>
      <c r="AH185" s="39" t="s">
        <v>246</v>
      </c>
      <c r="AI185" s="39">
        <v>8.126560656E10</v>
      </c>
      <c r="AJ185" s="39" t="s">
        <v>2878</v>
      </c>
      <c r="AK185" s="39" t="s">
        <v>2879</v>
      </c>
      <c r="AL185" s="39" t="s">
        <v>2880</v>
      </c>
      <c r="AM185" s="39" t="s">
        <v>96</v>
      </c>
      <c r="AN185" s="39" t="s">
        <v>514</v>
      </c>
      <c r="AO185" s="39" t="s">
        <v>1030</v>
      </c>
      <c r="AP185" s="39" t="s">
        <v>2881</v>
      </c>
      <c r="AQ185" s="43"/>
      <c r="AR185" s="43"/>
    </row>
    <row r="186">
      <c r="A186" s="21">
        <f t="shared" si="4"/>
        <v>177</v>
      </c>
      <c r="B186" s="39" t="s">
        <v>2882</v>
      </c>
      <c r="C186" s="57" t="s">
        <v>2883</v>
      </c>
      <c r="D186" s="39">
        <v>13.0</v>
      </c>
      <c r="E186" s="39">
        <v>11.0</v>
      </c>
      <c r="F186" s="39" t="s">
        <v>171</v>
      </c>
      <c r="G186" s="39" t="s">
        <v>172</v>
      </c>
      <c r="H186" s="42">
        <v>40179.0</v>
      </c>
      <c r="I186" s="39" t="s">
        <v>182</v>
      </c>
      <c r="J186" s="39" t="s">
        <v>183</v>
      </c>
      <c r="K186" s="39" t="s">
        <v>2223</v>
      </c>
      <c r="L186" s="39" t="s">
        <v>105</v>
      </c>
      <c r="M186" s="42">
        <v>45992.0</v>
      </c>
      <c r="N186" s="39" t="s">
        <v>141</v>
      </c>
      <c r="O186" s="39" t="s">
        <v>173</v>
      </c>
      <c r="P186" s="43"/>
      <c r="Q186" s="39" t="s">
        <v>2570</v>
      </c>
      <c r="R186" s="42">
        <v>45292.0</v>
      </c>
      <c r="S186" s="39" t="s">
        <v>143</v>
      </c>
      <c r="T186" s="46"/>
      <c r="U186" s="39" t="s">
        <v>144</v>
      </c>
      <c r="V186" s="39" t="s">
        <v>89</v>
      </c>
      <c r="W186" s="39" t="s">
        <v>218</v>
      </c>
      <c r="X186" s="39" t="s">
        <v>641</v>
      </c>
      <c r="Y186" s="39" t="s">
        <v>2884</v>
      </c>
      <c r="Z186" s="46"/>
      <c r="AA186" s="45">
        <v>52969.0</v>
      </c>
      <c r="AB186" s="46"/>
      <c r="AC186" s="23">
        <v>180.0</v>
      </c>
      <c r="AD186" s="39" t="s">
        <v>66</v>
      </c>
      <c r="AE186" s="39" t="s">
        <v>67</v>
      </c>
      <c r="AF186" s="39" t="s">
        <v>92</v>
      </c>
      <c r="AG186" s="39" t="s">
        <v>68</v>
      </c>
      <c r="AH186" s="43"/>
      <c r="AI186" s="39">
        <v>8.5275097922E10</v>
      </c>
      <c r="AJ186" s="39" t="s">
        <v>2885</v>
      </c>
      <c r="AK186" s="39" t="s">
        <v>2886</v>
      </c>
      <c r="AL186" s="39" t="s">
        <v>2887</v>
      </c>
      <c r="AM186" s="39" t="s">
        <v>96</v>
      </c>
      <c r="AN186" s="39" t="s">
        <v>150</v>
      </c>
      <c r="AO186" s="39" t="s">
        <v>1060</v>
      </c>
      <c r="AP186" s="39" t="s">
        <v>2888</v>
      </c>
      <c r="AQ186" s="43"/>
      <c r="AR186" s="43"/>
    </row>
    <row r="187">
      <c r="A187" s="21">
        <f t="shared" si="4"/>
        <v>178</v>
      </c>
      <c r="B187" s="39" t="s">
        <v>2889</v>
      </c>
      <c r="C187" s="57" t="s">
        <v>2890</v>
      </c>
      <c r="D187" s="39">
        <v>12.0</v>
      </c>
      <c r="E187" s="39">
        <v>9.0</v>
      </c>
      <c r="F187" s="39" t="s">
        <v>50</v>
      </c>
      <c r="G187" s="39" t="s">
        <v>51</v>
      </c>
      <c r="H187" s="42">
        <v>40179.0</v>
      </c>
      <c r="I187" s="39" t="s">
        <v>80</v>
      </c>
      <c r="J187" s="39" t="s">
        <v>81</v>
      </c>
      <c r="K187" s="39" t="s">
        <v>2568</v>
      </c>
      <c r="L187" s="39" t="s">
        <v>105</v>
      </c>
      <c r="M187" s="42">
        <v>44835.0</v>
      </c>
      <c r="N187" s="39" t="s">
        <v>141</v>
      </c>
      <c r="O187" s="39" t="s">
        <v>229</v>
      </c>
      <c r="P187" s="43"/>
      <c r="Q187" s="39" t="s">
        <v>59</v>
      </c>
      <c r="R187" s="42">
        <v>45324.0</v>
      </c>
      <c r="S187" s="39" t="s">
        <v>2891</v>
      </c>
      <c r="T187" s="46"/>
      <c r="U187" s="39" t="s">
        <v>144</v>
      </c>
      <c r="V187" s="39" t="s">
        <v>89</v>
      </c>
      <c r="W187" s="39" t="s">
        <v>2132</v>
      </c>
      <c r="X187" s="39" t="s">
        <v>2892</v>
      </c>
      <c r="Y187" s="39" t="s">
        <v>2893</v>
      </c>
      <c r="Z187" s="39" t="s">
        <v>114</v>
      </c>
      <c r="AA187" s="45">
        <v>51878.0</v>
      </c>
      <c r="AB187" s="46"/>
      <c r="AC187" s="23">
        <v>181.0</v>
      </c>
      <c r="AD187" s="39" t="s">
        <v>66</v>
      </c>
      <c r="AE187" s="39" t="s">
        <v>220</v>
      </c>
      <c r="AF187" s="39" t="s">
        <v>92</v>
      </c>
      <c r="AG187" s="39" t="s">
        <v>130</v>
      </c>
      <c r="AH187" s="39" t="s">
        <v>69</v>
      </c>
      <c r="AI187" s="39">
        <v>8.1379175527E10</v>
      </c>
      <c r="AJ187" s="39" t="s">
        <v>2894</v>
      </c>
      <c r="AK187" s="39" t="s">
        <v>2895</v>
      </c>
      <c r="AL187" s="39" t="s">
        <v>2896</v>
      </c>
      <c r="AM187" s="39" t="s">
        <v>73</v>
      </c>
      <c r="AN187" s="39" t="s">
        <v>74</v>
      </c>
      <c r="AO187" s="39" t="s">
        <v>360</v>
      </c>
      <c r="AP187" s="39" t="s">
        <v>2897</v>
      </c>
      <c r="AQ187" s="39">
        <v>8.0</v>
      </c>
      <c r="AR187" s="39">
        <v>3.0</v>
      </c>
    </row>
    <row r="188">
      <c r="A188" s="21">
        <f t="shared" si="4"/>
        <v>179</v>
      </c>
      <c r="B188" s="39" t="s">
        <v>2898</v>
      </c>
      <c r="C188" s="57" t="s">
        <v>2899</v>
      </c>
      <c r="D188" s="39">
        <v>17.0</v>
      </c>
      <c r="E188" s="39">
        <v>9.0</v>
      </c>
      <c r="F188" s="39" t="s">
        <v>50</v>
      </c>
      <c r="G188" s="39" t="s">
        <v>51</v>
      </c>
      <c r="H188" s="42">
        <v>39448.0</v>
      </c>
      <c r="I188" s="39" t="s">
        <v>80</v>
      </c>
      <c r="J188" s="39" t="s">
        <v>81</v>
      </c>
      <c r="K188" s="39" t="s">
        <v>2215</v>
      </c>
      <c r="L188" s="39" t="s">
        <v>105</v>
      </c>
      <c r="M188" s="42">
        <v>45748.0</v>
      </c>
      <c r="N188" s="39" t="s">
        <v>141</v>
      </c>
      <c r="O188" s="39" t="s">
        <v>173</v>
      </c>
      <c r="P188" s="43"/>
      <c r="Q188" s="39" t="s">
        <v>2580</v>
      </c>
      <c r="R188" s="42">
        <v>45292.0</v>
      </c>
      <c r="S188" s="39" t="s">
        <v>143</v>
      </c>
      <c r="T188" s="46"/>
      <c r="U188" s="39" t="s">
        <v>144</v>
      </c>
      <c r="V188" s="39" t="s">
        <v>89</v>
      </c>
      <c r="W188" s="39" t="s">
        <v>90</v>
      </c>
      <c r="X188" s="39" t="s">
        <v>2900</v>
      </c>
      <c r="Y188" s="39" t="s">
        <v>2901</v>
      </c>
      <c r="Z188" s="46"/>
      <c r="AA188" s="45">
        <v>49676.0</v>
      </c>
      <c r="AB188" s="46"/>
      <c r="AC188" s="23">
        <v>182.0</v>
      </c>
      <c r="AD188" s="39" t="s">
        <v>66</v>
      </c>
      <c r="AE188" s="39" t="s">
        <v>67</v>
      </c>
      <c r="AF188" s="39" t="s">
        <v>92</v>
      </c>
      <c r="AG188" s="39" t="s">
        <v>68</v>
      </c>
      <c r="AH188" s="39" t="s">
        <v>131</v>
      </c>
      <c r="AI188" s="39">
        <v>8.5296594406E10</v>
      </c>
      <c r="AJ188" s="39" t="s">
        <v>2902</v>
      </c>
      <c r="AK188" s="39" t="s">
        <v>2903</v>
      </c>
      <c r="AL188" s="39" t="s">
        <v>2904</v>
      </c>
      <c r="AM188" s="39" t="s">
        <v>96</v>
      </c>
      <c r="AN188" s="39" t="s">
        <v>97</v>
      </c>
      <c r="AO188" s="39" t="s">
        <v>932</v>
      </c>
      <c r="AP188" s="39" t="s">
        <v>1074</v>
      </c>
      <c r="AQ188" s="43"/>
      <c r="AR188" s="43"/>
    </row>
    <row r="189">
      <c r="A189" s="21">
        <f t="shared" si="4"/>
        <v>180</v>
      </c>
      <c r="B189" s="39" t="s">
        <v>2905</v>
      </c>
      <c r="C189" s="57" t="s">
        <v>2906</v>
      </c>
      <c r="D189" s="39">
        <v>21.0</v>
      </c>
      <c r="E189" s="39">
        <v>0.0</v>
      </c>
      <c r="F189" s="39" t="s">
        <v>50</v>
      </c>
      <c r="G189" s="39" t="s">
        <v>51</v>
      </c>
      <c r="H189" s="42">
        <v>39448.0</v>
      </c>
      <c r="I189" s="39" t="s">
        <v>171</v>
      </c>
      <c r="J189" s="39" t="s">
        <v>172</v>
      </c>
      <c r="K189" s="39" t="s">
        <v>104</v>
      </c>
      <c r="L189" s="39" t="s">
        <v>105</v>
      </c>
      <c r="M189" s="42">
        <v>45017.0</v>
      </c>
      <c r="N189" s="39" t="s">
        <v>141</v>
      </c>
      <c r="O189" s="39" t="s">
        <v>196</v>
      </c>
      <c r="P189" s="43"/>
      <c r="Q189" s="39" t="s">
        <v>2570</v>
      </c>
      <c r="R189" s="42">
        <v>45292.0</v>
      </c>
      <c r="S189" s="39" t="s">
        <v>143</v>
      </c>
      <c r="T189" s="46"/>
      <c r="U189" s="39" t="s">
        <v>144</v>
      </c>
      <c r="V189" s="39" t="s">
        <v>285</v>
      </c>
      <c r="W189" s="43"/>
      <c r="X189" s="39" t="s">
        <v>2907</v>
      </c>
      <c r="Y189" s="39" t="s">
        <v>2908</v>
      </c>
      <c r="Z189" s="39" t="s">
        <v>114</v>
      </c>
      <c r="AA189" s="45">
        <v>46397.0</v>
      </c>
      <c r="AB189" s="46"/>
      <c r="AC189" s="23">
        <v>183.0</v>
      </c>
      <c r="AD189" s="39" t="s">
        <v>66</v>
      </c>
      <c r="AE189" s="39" t="s">
        <v>67</v>
      </c>
      <c r="AF189" s="39" t="s">
        <v>92</v>
      </c>
      <c r="AG189" s="39" t="s">
        <v>68</v>
      </c>
      <c r="AH189" s="39" t="s">
        <v>69</v>
      </c>
      <c r="AI189" s="39">
        <v>8.126422541E9</v>
      </c>
      <c r="AJ189" s="39" t="s">
        <v>2909</v>
      </c>
      <c r="AK189" s="39" t="s">
        <v>2910</v>
      </c>
      <c r="AL189" s="39" t="s">
        <v>2911</v>
      </c>
      <c r="AM189" s="39" t="s">
        <v>96</v>
      </c>
      <c r="AN189" s="39" t="s">
        <v>481</v>
      </c>
      <c r="AO189" s="39" t="s">
        <v>191</v>
      </c>
      <c r="AP189" s="39" t="s">
        <v>836</v>
      </c>
      <c r="AQ189" s="39" t="s">
        <v>77</v>
      </c>
      <c r="AR189" s="39" t="s">
        <v>77</v>
      </c>
    </row>
    <row r="190">
      <c r="A190" s="21"/>
      <c r="B190" s="248" t="s">
        <v>3341</v>
      </c>
      <c r="C190" s="254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  <c r="AB190" s="116"/>
      <c r="AC190" s="23">
        <v>184.0</v>
      </c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  <c r="AO190" s="119"/>
      <c r="AP190" s="119"/>
      <c r="AQ190" s="119"/>
      <c r="AR190" s="119"/>
    </row>
    <row r="191">
      <c r="A191" s="21">
        <f>SUM(A189+1)</f>
        <v>181</v>
      </c>
      <c r="B191" s="21" t="s">
        <v>3342</v>
      </c>
      <c r="C191" s="38" t="s">
        <v>3343</v>
      </c>
      <c r="D191" s="23">
        <v>15.0</v>
      </c>
      <c r="E191" s="23">
        <v>7.0</v>
      </c>
      <c r="F191" s="23" t="s">
        <v>80</v>
      </c>
      <c r="G191" s="23" t="s">
        <v>81</v>
      </c>
      <c r="H191" s="24">
        <v>37104.0</v>
      </c>
      <c r="I191" s="21" t="s">
        <v>254</v>
      </c>
      <c r="J191" s="21" t="s">
        <v>255</v>
      </c>
      <c r="K191" s="21" t="s">
        <v>3344</v>
      </c>
      <c r="L191" s="21" t="s">
        <v>1326</v>
      </c>
      <c r="M191" s="25">
        <v>42278.0</v>
      </c>
      <c r="N191" s="23" t="s">
        <v>56</v>
      </c>
      <c r="O191" s="21" t="s">
        <v>3345</v>
      </c>
      <c r="P191" s="23" t="s">
        <v>1296</v>
      </c>
      <c r="Q191" s="21" t="s">
        <v>3346</v>
      </c>
      <c r="R191" s="24">
        <v>44928.0</v>
      </c>
      <c r="S191" s="23" t="s">
        <v>3347</v>
      </c>
      <c r="T191" s="29"/>
      <c r="U191" s="23" t="s">
        <v>88</v>
      </c>
      <c r="V191" s="21" t="s">
        <v>159</v>
      </c>
      <c r="W191" s="21" t="s">
        <v>3348</v>
      </c>
      <c r="X191" s="21" t="s">
        <v>244</v>
      </c>
      <c r="Y191" s="27">
        <v>37529.0</v>
      </c>
      <c r="Z191" s="23" t="s">
        <v>114</v>
      </c>
      <c r="AA191" s="28">
        <v>49310.0</v>
      </c>
      <c r="AB191" s="29"/>
      <c r="AC191" s="23">
        <v>185.0</v>
      </c>
      <c r="AD191" s="21" t="s">
        <v>66</v>
      </c>
      <c r="AE191" s="21" t="s">
        <v>67</v>
      </c>
      <c r="AF191" s="21" t="s">
        <v>92</v>
      </c>
      <c r="AG191" s="21" t="s">
        <v>130</v>
      </c>
      <c r="AH191" s="21" t="s">
        <v>69</v>
      </c>
      <c r="AI191" s="21">
        <v>8.11614323E9</v>
      </c>
      <c r="AJ191" s="21" t="s">
        <v>3349</v>
      </c>
      <c r="AK191" s="21" t="s">
        <v>3350</v>
      </c>
      <c r="AL191" s="21" t="s">
        <v>3351</v>
      </c>
      <c r="AM191" s="21" t="s">
        <v>96</v>
      </c>
      <c r="AN191" s="21" t="s">
        <v>97</v>
      </c>
      <c r="AO191" s="21" t="s">
        <v>136</v>
      </c>
      <c r="AP191" s="21" t="s">
        <v>3352</v>
      </c>
      <c r="AQ191" s="30"/>
      <c r="AR191" s="30"/>
    </row>
    <row r="192">
      <c r="A192" s="21">
        <f t="shared" ref="A192:A210" si="5">SUM(A191+1)</f>
        <v>182</v>
      </c>
      <c r="B192" s="21" t="s">
        <v>3353</v>
      </c>
      <c r="C192" s="38" t="s">
        <v>3354</v>
      </c>
      <c r="D192" s="23">
        <v>12.0</v>
      </c>
      <c r="E192" s="23">
        <v>2.0</v>
      </c>
      <c r="F192" s="23" t="s">
        <v>50</v>
      </c>
      <c r="G192" s="23" t="s">
        <v>51</v>
      </c>
      <c r="H192" s="24">
        <v>38384.0</v>
      </c>
      <c r="I192" s="21" t="s">
        <v>82</v>
      </c>
      <c r="J192" s="21" t="s">
        <v>83</v>
      </c>
      <c r="K192" s="21" t="s">
        <v>2799</v>
      </c>
      <c r="L192" s="21" t="s">
        <v>105</v>
      </c>
      <c r="M192" s="25">
        <v>44652.0</v>
      </c>
      <c r="N192" s="23" t="s">
        <v>56</v>
      </c>
      <c r="O192" s="21" t="s">
        <v>3355</v>
      </c>
      <c r="P192" s="56"/>
      <c r="Q192" s="21" t="s">
        <v>3356</v>
      </c>
      <c r="R192" s="24">
        <v>45364.0</v>
      </c>
      <c r="S192" s="23" t="s">
        <v>3357</v>
      </c>
      <c r="T192" s="29"/>
      <c r="U192" s="23" t="s">
        <v>3358</v>
      </c>
      <c r="V192" s="21" t="s">
        <v>159</v>
      </c>
      <c r="W192" s="21" t="s">
        <v>259</v>
      </c>
      <c r="X192" s="21" t="s">
        <v>3359</v>
      </c>
      <c r="Y192" s="27">
        <v>44526.0</v>
      </c>
      <c r="Z192" s="23" t="s">
        <v>114</v>
      </c>
      <c r="AA192" s="28">
        <v>52598.0</v>
      </c>
      <c r="AB192" s="29"/>
      <c r="AC192" s="23">
        <v>186.0</v>
      </c>
      <c r="AD192" s="21" t="s">
        <v>66</v>
      </c>
      <c r="AE192" s="21" t="s">
        <v>67</v>
      </c>
      <c r="AF192" s="21" t="s">
        <v>2117</v>
      </c>
      <c r="AG192" s="21" t="s">
        <v>130</v>
      </c>
      <c r="AH192" s="21" t="s">
        <v>69</v>
      </c>
      <c r="AI192" s="21">
        <v>8.116505001E9</v>
      </c>
      <c r="AJ192" s="21" t="s">
        <v>3360</v>
      </c>
      <c r="AK192" s="21" t="s">
        <v>3361</v>
      </c>
      <c r="AL192" s="21" t="s">
        <v>3362</v>
      </c>
      <c r="AM192" s="21" t="s">
        <v>73</v>
      </c>
      <c r="AN192" s="21" t="s">
        <v>481</v>
      </c>
      <c r="AO192" s="21" t="s">
        <v>75</v>
      </c>
      <c r="AP192" s="21" t="s">
        <v>76</v>
      </c>
      <c r="AQ192" s="21" t="s">
        <v>77</v>
      </c>
      <c r="AR192" s="21" t="s">
        <v>77</v>
      </c>
    </row>
    <row r="193">
      <c r="A193" s="21">
        <f t="shared" si="5"/>
        <v>183</v>
      </c>
      <c r="B193" s="21" t="s">
        <v>3363</v>
      </c>
      <c r="C193" s="38" t="s">
        <v>3364</v>
      </c>
      <c r="D193" s="23">
        <v>11.0</v>
      </c>
      <c r="E193" s="23">
        <v>4.0</v>
      </c>
      <c r="F193" s="23" t="s">
        <v>50</v>
      </c>
      <c r="G193" s="23" t="s">
        <v>51</v>
      </c>
      <c r="H193" s="24">
        <v>37956.0</v>
      </c>
      <c r="I193" s="21" t="s">
        <v>82</v>
      </c>
      <c r="J193" s="21" t="s">
        <v>83</v>
      </c>
      <c r="K193" s="21" t="s">
        <v>1995</v>
      </c>
      <c r="L193" s="21" t="s">
        <v>105</v>
      </c>
      <c r="M193" s="25">
        <v>43922.0</v>
      </c>
      <c r="N193" s="23" t="s">
        <v>56</v>
      </c>
      <c r="O193" s="21" t="s">
        <v>3365</v>
      </c>
      <c r="P193" s="23" t="s">
        <v>107</v>
      </c>
      <c r="Q193" s="21" t="s">
        <v>3366</v>
      </c>
      <c r="R193" s="24">
        <v>46076.0</v>
      </c>
      <c r="S193" s="23" t="s">
        <v>87</v>
      </c>
      <c r="T193" s="29"/>
      <c r="U193" s="23" t="s">
        <v>105</v>
      </c>
      <c r="V193" s="21" t="s">
        <v>89</v>
      </c>
      <c r="W193" s="21" t="s">
        <v>1214</v>
      </c>
      <c r="X193" s="21" t="s">
        <v>671</v>
      </c>
      <c r="Y193" s="21" t="s">
        <v>3367</v>
      </c>
      <c r="Z193" s="30"/>
      <c r="AA193" s="28">
        <v>51138.0</v>
      </c>
      <c r="AB193" s="29"/>
      <c r="AC193" s="23">
        <v>187.0</v>
      </c>
      <c r="AD193" s="21" t="s">
        <v>66</v>
      </c>
      <c r="AE193" s="21" t="s">
        <v>67</v>
      </c>
      <c r="AF193" s="30"/>
      <c r="AG193" s="21" t="s">
        <v>68</v>
      </c>
      <c r="AH193" s="21" t="s">
        <v>131</v>
      </c>
      <c r="AI193" s="21">
        <v>8.116068204E9</v>
      </c>
      <c r="AJ193" s="21" t="s">
        <v>3368</v>
      </c>
      <c r="AK193" s="21" t="s">
        <v>3369</v>
      </c>
      <c r="AL193" s="21" t="s">
        <v>3370</v>
      </c>
      <c r="AM193" s="21" t="s">
        <v>3371</v>
      </c>
      <c r="AN193" s="21" t="s">
        <v>97</v>
      </c>
      <c r="AO193" s="21" t="s">
        <v>499</v>
      </c>
      <c r="AP193" s="21" t="s">
        <v>464</v>
      </c>
      <c r="AQ193" s="30"/>
      <c r="AR193" s="30"/>
    </row>
    <row r="194">
      <c r="A194" s="21">
        <f t="shared" si="5"/>
        <v>184</v>
      </c>
      <c r="B194" s="39" t="s">
        <v>3372</v>
      </c>
      <c r="C194" s="57" t="s">
        <v>3373</v>
      </c>
      <c r="D194" s="39">
        <v>9.0</v>
      </c>
      <c r="E194" s="39">
        <v>3.0</v>
      </c>
      <c r="F194" s="39" t="s">
        <v>171</v>
      </c>
      <c r="G194" s="39" t="s">
        <v>172</v>
      </c>
      <c r="H194" s="42">
        <v>40544.0</v>
      </c>
      <c r="I194" s="39" t="s">
        <v>102</v>
      </c>
      <c r="J194" s="39" t="s">
        <v>103</v>
      </c>
      <c r="K194" s="39" t="s">
        <v>228</v>
      </c>
      <c r="L194" s="39" t="s">
        <v>105</v>
      </c>
      <c r="M194" s="42">
        <v>44652.0</v>
      </c>
      <c r="N194" s="39" t="s">
        <v>141</v>
      </c>
      <c r="O194" s="39" t="s">
        <v>173</v>
      </c>
      <c r="P194" s="43"/>
      <c r="Q194" s="39" t="s">
        <v>3366</v>
      </c>
      <c r="R194" s="42">
        <v>45292.0</v>
      </c>
      <c r="S194" s="39" t="s">
        <v>143</v>
      </c>
      <c r="T194" s="46"/>
      <c r="U194" s="39" t="s">
        <v>144</v>
      </c>
      <c r="V194" s="39" t="s">
        <v>89</v>
      </c>
      <c r="W194" s="39" t="s">
        <v>2132</v>
      </c>
      <c r="X194" s="39" t="s">
        <v>231</v>
      </c>
      <c r="Y194" s="132">
        <v>41389.0</v>
      </c>
      <c r="Z194" s="65"/>
      <c r="AA194" s="45">
        <v>54058.0</v>
      </c>
      <c r="AB194" s="46"/>
      <c r="AC194" s="23">
        <v>188.0</v>
      </c>
      <c r="AD194" s="39" t="s">
        <v>66</v>
      </c>
      <c r="AE194" s="39" t="s">
        <v>67</v>
      </c>
      <c r="AF194" s="39" t="s">
        <v>92</v>
      </c>
      <c r="AG194" s="39" t="s">
        <v>130</v>
      </c>
      <c r="AH194" s="65"/>
      <c r="AI194" s="39">
        <v>8.11610661E9</v>
      </c>
      <c r="AJ194" s="39" t="s">
        <v>3374</v>
      </c>
      <c r="AK194" s="39" t="s">
        <v>3375</v>
      </c>
      <c r="AL194" s="39" t="s">
        <v>3376</v>
      </c>
      <c r="AM194" s="39" t="s">
        <v>96</v>
      </c>
      <c r="AN194" s="39" t="s">
        <v>135</v>
      </c>
      <c r="AO194" s="39" t="s">
        <v>2699</v>
      </c>
      <c r="AP194" s="39" t="s">
        <v>2826</v>
      </c>
      <c r="AQ194" s="39">
        <v>0.0</v>
      </c>
      <c r="AR194" s="39">
        <v>0.0</v>
      </c>
    </row>
    <row r="195">
      <c r="A195" s="21">
        <f t="shared" si="5"/>
        <v>185</v>
      </c>
      <c r="B195" s="39" t="s">
        <v>3377</v>
      </c>
      <c r="C195" s="57" t="s">
        <v>3378</v>
      </c>
      <c r="D195" s="39">
        <v>26.0</v>
      </c>
      <c r="E195" s="39">
        <v>7.0</v>
      </c>
      <c r="F195" s="39" t="s">
        <v>50</v>
      </c>
      <c r="G195" s="39" t="s">
        <v>51</v>
      </c>
      <c r="H195" s="42">
        <v>34304.0</v>
      </c>
      <c r="I195" s="39" t="s">
        <v>254</v>
      </c>
      <c r="J195" s="39" t="s">
        <v>255</v>
      </c>
      <c r="K195" s="39" t="s">
        <v>54</v>
      </c>
      <c r="L195" s="39" t="s">
        <v>55</v>
      </c>
      <c r="M195" s="42">
        <v>45200.0</v>
      </c>
      <c r="N195" s="39" t="s">
        <v>141</v>
      </c>
      <c r="O195" s="39" t="s">
        <v>229</v>
      </c>
      <c r="P195" s="43"/>
      <c r="Q195" s="39" t="s">
        <v>59</v>
      </c>
      <c r="R195" s="42">
        <v>45292.0</v>
      </c>
      <c r="S195" s="39" t="s">
        <v>143</v>
      </c>
      <c r="T195" s="46"/>
      <c r="U195" s="39" t="s">
        <v>144</v>
      </c>
      <c r="V195" s="39" t="s">
        <v>159</v>
      </c>
      <c r="W195" s="39" t="s">
        <v>218</v>
      </c>
      <c r="X195" s="39" t="s">
        <v>745</v>
      </c>
      <c r="Y195" s="39" t="s">
        <v>3379</v>
      </c>
      <c r="Z195" s="39" t="s">
        <v>114</v>
      </c>
      <c r="AA195" s="45">
        <v>47853.0</v>
      </c>
      <c r="AB195" s="46"/>
      <c r="AC195" s="23">
        <v>189.0</v>
      </c>
      <c r="AD195" s="39" t="s">
        <v>66</v>
      </c>
      <c r="AE195" s="39" t="s">
        <v>67</v>
      </c>
      <c r="AF195" s="39" t="s">
        <v>92</v>
      </c>
      <c r="AG195" s="39" t="s">
        <v>130</v>
      </c>
      <c r="AH195" s="39" t="s">
        <v>288</v>
      </c>
      <c r="AI195" s="39">
        <v>8.1362421431E10</v>
      </c>
      <c r="AJ195" s="39" t="s">
        <v>3380</v>
      </c>
      <c r="AK195" s="39" t="s">
        <v>3381</v>
      </c>
      <c r="AL195" s="39" t="s">
        <v>3382</v>
      </c>
      <c r="AM195" s="39" t="s">
        <v>96</v>
      </c>
      <c r="AN195" s="39" t="s">
        <v>135</v>
      </c>
      <c r="AO195" s="39" t="s">
        <v>1291</v>
      </c>
      <c r="AP195" s="39" t="s">
        <v>3383</v>
      </c>
      <c r="AQ195" s="43"/>
      <c r="AR195" s="43"/>
    </row>
    <row r="196">
      <c r="A196" s="21">
        <f t="shared" si="5"/>
        <v>186</v>
      </c>
      <c r="B196" s="39" t="s">
        <v>3384</v>
      </c>
      <c r="C196" s="57" t="s">
        <v>3385</v>
      </c>
      <c r="D196" s="39">
        <v>14.0</v>
      </c>
      <c r="E196" s="39">
        <v>3.0</v>
      </c>
      <c r="F196" s="39" t="s">
        <v>50</v>
      </c>
      <c r="G196" s="39" t="s">
        <v>51</v>
      </c>
      <c r="H196" s="42">
        <v>39873.0</v>
      </c>
      <c r="I196" s="39" t="s">
        <v>82</v>
      </c>
      <c r="J196" s="39" t="s">
        <v>83</v>
      </c>
      <c r="K196" s="39" t="s">
        <v>217</v>
      </c>
      <c r="L196" s="39" t="s">
        <v>61</v>
      </c>
      <c r="M196" s="42">
        <v>45383.0</v>
      </c>
      <c r="N196" s="39" t="s">
        <v>141</v>
      </c>
      <c r="O196" s="39" t="s">
        <v>229</v>
      </c>
      <c r="P196" s="43"/>
      <c r="Q196" s="39" t="s">
        <v>59</v>
      </c>
      <c r="R196" s="42">
        <v>45292.0</v>
      </c>
      <c r="S196" s="39" t="s">
        <v>143</v>
      </c>
      <c r="T196" s="46"/>
      <c r="U196" s="39" t="s">
        <v>144</v>
      </c>
      <c r="V196" s="39" t="s">
        <v>89</v>
      </c>
      <c r="W196" s="39" t="s">
        <v>218</v>
      </c>
      <c r="X196" s="39" t="s">
        <v>2005</v>
      </c>
      <c r="Y196" s="39" t="s">
        <v>2032</v>
      </c>
      <c r="Z196" s="39" t="s">
        <v>114</v>
      </c>
      <c r="AA196" s="45">
        <v>48956.0</v>
      </c>
      <c r="AB196" s="46"/>
      <c r="AC196" s="23">
        <v>190.0</v>
      </c>
      <c r="AD196" s="39" t="s">
        <v>66</v>
      </c>
      <c r="AE196" s="39" t="s">
        <v>220</v>
      </c>
      <c r="AF196" s="39" t="s">
        <v>92</v>
      </c>
      <c r="AG196" s="39" t="s">
        <v>68</v>
      </c>
      <c r="AH196" s="39" t="s">
        <v>246</v>
      </c>
      <c r="AI196" s="39">
        <v>8.126592509E9</v>
      </c>
      <c r="AJ196" s="39" t="s">
        <v>3386</v>
      </c>
      <c r="AK196" s="39" t="s">
        <v>3387</v>
      </c>
      <c r="AL196" s="39" t="s">
        <v>3388</v>
      </c>
      <c r="AM196" s="39" t="s">
        <v>96</v>
      </c>
      <c r="AN196" s="39" t="s">
        <v>3389</v>
      </c>
      <c r="AO196" s="39" t="s">
        <v>557</v>
      </c>
      <c r="AP196" s="39" t="s">
        <v>3390</v>
      </c>
      <c r="AQ196" s="43"/>
      <c r="AR196" s="43"/>
    </row>
    <row r="197">
      <c r="A197" s="21">
        <f t="shared" si="5"/>
        <v>187</v>
      </c>
      <c r="B197" s="39" t="s">
        <v>3391</v>
      </c>
      <c r="C197" s="57" t="s">
        <v>3392</v>
      </c>
      <c r="D197" s="39">
        <v>14.0</v>
      </c>
      <c r="E197" s="39">
        <v>9.0</v>
      </c>
      <c r="F197" s="39" t="s">
        <v>50</v>
      </c>
      <c r="G197" s="39" t="s">
        <v>51</v>
      </c>
      <c r="H197" s="42">
        <v>39873.0</v>
      </c>
      <c r="I197" s="39" t="s">
        <v>82</v>
      </c>
      <c r="J197" s="39" t="s">
        <v>83</v>
      </c>
      <c r="K197" s="39" t="s">
        <v>417</v>
      </c>
      <c r="L197" s="39" t="s">
        <v>105</v>
      </c>
      <c r="M197" s="42">
        <v>45566.0</v>
      </c>
      <c r="N197" s="39" t="s">
        <v>141</v>
      </c>
      <c r="O197" s="39" t="s">
        <v>229</v>
      </c>
      <c r="P197" s="43"/>
      <c r="Q197" s="39" t="s">
        <v>3366</v>
      </c>
      <c r="R197" s="42">
        <v>45292.0</v>
      </c>
      <c r="S197" s="39" t="s">
        <v>143</v>
      </c>
      <c r="T197" s="46"/>
      <c r="U197" s="39" t="s">
        <v>144</v>
      </c>
      <c r="V197" s="39" t="s">
        <v>159</v>
      </c>
      <c r="W197" s="39" t="s">
        <v>218</v>
      </c>
      <c r="X197" s="39" t="s">
        <v>3393</v>
      </c>
      <c r="Y197" s="39" t="s">
        <v>3394</v>
      </c>
      <c r="Z197" s="65"/>
      <c r="AA197" s="45">
        <v>48956.0</v>
      </c>
      <c r="AB197" s="46"/>
      <c r="AC197" s="23">
        <v>191.0</v>
      </c>
      <c r="AD197" s="39" t="s">
        <v>66</v>
      </c>
      <c r="AE197" s="39" t="s">
        <v>67</v>
      </c>
      <c r="AF197" s="39" t="s">
        <v>92</v>
      </c>
      <c r="AG197" s="39" t="s">
        <v>68</v>
      </c>
      <c r="AH197" s="39" t="s">
        <v>69</v>
      </c>
      <c r="AI197" s="39">
        <v>8.216793333E10</v>
      </c>
      <c r="AJ197" s="39" t="s">
        <v>3395</v>
      </c>
      <c r="AK197" s="39" t="s">
        <v>3396</v>
      </c>
      <c r="AL197" s="39" t="s">
        <v>3397</v>
      </c>
      <c r="AM197" s="39" t="s">
        <v>96</v>
      </c>
      <c r="AN197" s="39" t="s">
        <v>97</v>
      </c>
      <c r="AO197" s="39" t="s">
        <v>3398</v>
      </c>
      <c r="AP197" s="39" t="s">
        <v>3399</v>
      </c>
      <c r="AQ197" s="43"/>
      <c r="AR197" s="43"/>
    </row>
    <row r="198">
      <c r="A198" s="21">
        <f t="shared" si="5"/>
        <v>188</v>
      </c>
      <c r="B198" s="39" t="s">
        <v>3400</v>
      </c>
      <c r="C198" s="57" t="s">
        <v>3401</v>
      </c>
      <c r="D198" s="39">
        <v>12.0</v>
      </c>
      <c r="E198" s="39">
        <v>3.0</v>
      </c>
      <c r="F198" s="39" t="s">
        <v>80</v>
      </c>
      <c r="G198" s="39" t="s">
        <v>81</v>
      </c>
      <c r="H198" s="42">
        <v>40179.0</v>
      </c>
      <c r="I198" s="39" t="s">
        <v>82</v>
      </c>
      <c r="J198" s="39" t="s">
        <v>83</v>
      </c>
      <c r="K198" s="39" t="s">
        <v>3402</v>
      </c>
      <c r="L198" s="39" t="s">
        <v>88</v>
      </c>
      <c r="M198" s="42">
        <v>44652.0</v>
      </c>
      <c r="N198" s="39" t="s">
        <v>141</v>
      </c>
      <c r="O198" s="39" t="s">
        <v>173</v>
      </c>
      <c r="P198" s="43"/>
      <c r="Q198" s="39" t="s">
        <v>59</v>
      </c>
      <c r="R198" s="42">
        <v>44958.0</v>
      </c>
      <c r="S198" s="39" t="s">
        <v>2014</v>
      </c>
      <c r="T198" s="46"/>
      <c r="U198" s="39" t="s">
        <v>2015</v>
      </c>
      <c r="V198" s="39" t="s">
        <v>159</v>
      </c>
      <c r="W198" s="39" t="s">
        <v>3403</v>
      </c>
      <c r="X198" s="39" t="s">
        <v>3404</v>
      </c>
      <c r="Y198" s="39" t="s">
        <v>2097</v>
      </c>
      <c r="Z198" s="39" t="s">
        <v>114</v>
      </c>
      <c r="AA198" s="45">
        <v>52598.0</v>
      </c>
      <c r="AB198" s="46"/>
      <c r="AC198" s="23">
        <v>192.0</v>
      </c>
      <c r="AD198" s="39" t="s">
        <v>66</v>
      </c>
      <c r="AE198" s="39" t="s">
        <v>67</v>
      </c>
      <c r="AF198" s="65"/>
      <c r="AG198" s="39" t="s">
        <v>130</v>
      </c>
      <c r="AH198" s="39" t="s">
        <v>69</v>
      </c>
      <c r="AI198" s="39">
        <v>8.1362345394E10</v>
      </c>
      <c r="AJ198" s="39" t="s">
        <v>3405</v>
      </c>
      <c r="AK198" s="39" t="s">
        <v>3406</v>
      </c>
      <c r="AL198" s="39" t="s">
        <v>3407</v>
      </c>
      <c r="AM198" s="39" t="s">
        <v>96</v>
      </c>
      <c r="AN198" s="39" t="s">
        <v>135</v>
      </c>
      <c r="AO198" s="39" t="s">
        <v>98</v>
      </c>
      <c r="AP198" s="39" t="s">
        <v>99</v>
      </c>
      <c r="AQ198" s="43"/>
      <c r="AR198" s="43"/>
    </row>
    <row r="199">
      <c r="A199" s="21">
        <f t="shared" si="5"/>
        <v>189</v>
      </c>
      <c r="B199" s="39" t="s">
        <v>3408</v>
      </c>
      <c r="C199" s="57" t="s">
        <v>3409</v>
      </c>
      <c r="D199" s="39">
        <v>18.0</v>
      </c>
      <c r="E199" s="39">
        <v>6.0</v>
      </c>
      <c r="F199" s="39" t="s">
        <v>80</v>
      </c>
      <c r="G199" s="39" t="s">
        <v>81</v>
      </c>
      <c r="H199" s="42">
        <v>40422.0</v>
      </c>
      <c r="I199" s="39" t="s">
        <v>82</v>
      </c>
      <c r="J199" s="39" t="s">
        <v>83</v>
      </c>
      <c r="K199" s="39" t="s">
        <v>408</v>
      </c>
      <c r="L199" s="39" t="s">
        <v>105</v>
      </c>
      <c r="M199" s="42">
        <v>44287.0</v>
      </c>
      <c r="N199" s="39" t="s">
        <v>141</v>
      </c>
      <c r="O199" s="39" t="s">
        <v>229</v>
      </c>
      <c r="P199" s="43"/>
      <c r="Q199" s="39" t="s">
        <v>59</v>
      </c>
      <c r="R199" s="42">
        <v>45292.0</v>
      </c>
      <c r="S199" s="39" t="s">
        <v>143</v>
      </c>
      <c r="T199" s="46"/>
      <c r="U199" s="39" t="s">
        <v>144</v>
      </c>
      <c r="V199" s="39" t="s">
        <v>89</v>
      </c>
      <c r="W199" s="39" t="s">
        <v>1811</v>
      </c>
      <c r="X199" s="39" t="s">
        <v>1329</v>
      </c>
      <c r="Y199" s="39" t="s">
        <v>3410</v>
      </c>
      <c r="Z199" s="43"/>
      <c r="AA199" s="45">
        <v>49318.0</v>
      </c>
      <c r="AB199" s="46"/>
      <c r="AC199" s="23">
        <v>193.0</v>
      </c>
      <c r="AD199" s="39" t="s">
        <v>66</v>
      </c>
      <c r="AE199" s="39" t="s">
        <v>67</v>
      </c>
      <c r="AF199" s="39" t="s">
        <v>92</v>
      </c>
      <c r="AG199" s="39" t="s">
        <v>130</v>
      </c>
      <c r="AH199" s="39" t="s">
        <v>69</v>
      </c>
      <c r="AI199" s="39" t="s">
        <v>3411</v>
      </c>
      <c r="AJ199" s="39" t="s">
        <v>3412</v>
      </c>
      <c r="AK199" s="39" t="s">
        <v>3413</v>
      </c>
      <c r="AL199" s="39" t="s">
        <v>3414</v>
      </c>
      <c r="AM199" s="39" t="s">
        <v>96</v>
      </c>
      <c r="AN199" s="39" t="s">
        <v>135</v>
      </c>
      <c r="AO199" s="39" t="s">
        <v>1802</v>
      </c>
      <c r="AP199" s="39" t="s">
        <v>1803</v>
      </c>
      <c r="AQ199" s="65"/>
      <c r="AR199" s="65"/>
    </row>
    <row r="200">
      <c r="A200" s="21">
        <f t="shared" si="5"/>
        <v>190</v>
      </c>
      <c r="B200" s="39" t="s">
        <v>3415</v>
      </c>
      <c r="C200" s="57" t="s">
        <v>3416</v>
      </c>
      <c r="D200" s="39">
        <v>12.0</v>
      </c>
      <c r="E200" s="39">
        <v>9.0</v>
      </c>
      <c r="F200" s="39" t="s">
        <v>171</v>
      </c>
      <c r="G200" s="39" t="s">
        <v>172</v>
      </c>
      <c r="H200" s="42">
        <v>40544.0</v>
      </c>
      <c r="I200" s="39" t="s">
        <v>82</v>
      </c>
      <c r="J200" s="39" t="s">
        <v>83</v>
      </c>
      <c r="K200" s="39" t="s">
        <v>2842</v>
      </c>
      <c r="L200" s="39" t="s">
        <v>105</v>
      </c>
      <c r="M200" s="42">
        <v>45931.0</v>
      </c>
      <c r="N200" s="39" t="s">
        <v>141</v>
      </c>
      <c r="O200" s="39" t="s">
        <v>173</v>
      </c>
      <c r="P200" s="43"/>
      <c r="Q200" s="39" t="s">
        <v>3356</v>
      </c>
      <c r="R200" s="42">
        <v>45292.0</v>
      </c>
      <c r="S200" s="39" t="s">
        <v>143</v>
      </c>
      <c r="T200" s="46"/>
      <c r="U200" s="39" t="s">
        <v>144</v>
      </c>
      <c r="V200" s="39" t="s">
        <v>159</v>
      </c>
      <c r="W200" s="39" t="s">
        <v>218</v>
      </c>
      <c r="X200" s="39" t="s">
        <v>745</v>
      </c>
      <c r="Y200" s="39" t="s">
        <v>3394</v>
      </c>
      <c r="Z200" s="43"/>
      <c r="AA200" s="45">
        <v>51876.0</v>
      </c>
      <c r="AB200" s="46"/>
      <c r="AC200" s="23">
        <v>194.0</v>
      </c>
      <c r="AD200" s="39" t="s">
        <v>66</v>
      </c>
      <c r="AE200" s="39" t="s">
        <v>220</v>
      </c>
      <c r="AF200" s="39" t="s">
        <v>92</v>
      </c>
      <c r="AG200" s="39" t="s">
        <v>130</v>
      </c>
      <c r="AH200" s="39" t="s">
        <v>69</v>
      </c>
      <c r="AI200" s="39">
        <v>8.11911944E8</v>
      </c>
      <c r="AJ200" s="39" t="s">
        <v>3417</v>
      </c>
      <c r="AK200" s="39" t="s">
        <v>3418</v>
      </c>
      <c r="AL200" s="39" t="s">
        <v>3419</v>
      </c>
      <c r="AM200" s="39" t="s">
        <v>96</v>
      </c>
      <c r="AN200" s="65"/>
      <c r="AO200" s="39" t="s">
        <v>1698</v>
      </c>
      <c r="AP200" s="39" t="s">
        <v>3420</v>
      </c>
      <c r="AQ200" s="39">
        <v>0.0</v>
      </c>
      <c r="AR200" s="39">
        <v>0.0</v>
      </c>
    </row>
    <row r="201">
      <c r="A201" s="21">
        <f t="shared" si="5"/>
        <v>191</v>
      </c>
      <c r="B201" s="39" t="s">
        <v>3421</v>
      </c>
      <c r="C201" s="57" t="s">
        <v>3422</v>
      </c>
      <c r="D201" s="39">
        <v>15.0</v>
      </c>
      <c r="E201" s="39">
        <v>2.0</v>
      </c>
      <c r="F201" s="39" t="s">
        <v>296</v>
      </c>
      <c r="G201" s="39" t="s">
        <v>297</v>
      </c>
      <c r="H201" s="42">
        <v>34366.0</v>
      </c>
      <c r="I201" s="39" t="s">
        <v>182</v>
      </c>
      <c r="J201" s="39" t="s">
        <v>183</v>
      </c>
      <c r="K201" s="39" t="s">
        <v>3423</v>
      </c>
      <c r="L201" s="39" t="s">
        <v>1314</v>
      </c>
      <c r="M201" s="42">
        <v>41730.0</v>
      </c>
      <c r="N201" s="39" t="s">
        <v>141</v>
      </c>
      <c r="O201" s="39" t="s">
        <v>196</v>
      </c>
      <c r="P201" s="43"/>
      <c r="Q201" s="39" t="s">
        <v>3356</v>
      </c>
      <c r="R201" s="42">
        <v>45292.0</v>
      </c>
      <c r="S201" s="39" t="s">
        <v>143</v>
      </c>
      <c r="T201" s="46"/>
      <c r="U201" s="39" t="s">
        <v>144</v>
      </c>
      <c r="V201" s="39" t="s">
        <v>285</v>
      </c>
      <c r="W201" s="65"/>
      <c r="X201" s="39" t="s">
        <v>3424</v>
      </c>
      <c r="Y201" s="39" t="s">
        <v>2864</v>
      </c>
      <c r="Z201" s="65"/>
      <c r="AA201" s="45">
        <v>47493.0</v>
      </c>
      <c r="AB201" s="46"/>
      <c r="AC201" s="23">
        <v>195.0</v>
      </c>
      <c r="AD201" s="39" t="s">
        <v>66</v>
      </c>
      <c r="AE201" s="39" t="s">
        <v>67</v>
      </c>
      <c r="AF201" s="39" t="s">
        <v>92</v>
      </c>
      <c r="AG201" s="39" t="s">
        <v>130</v>
      </c>
      <c r="AH201" s="39" t="s">
        <v>288</v>
      </c>
      <c r="AI201" s="39">
        <v>8.5270205151E10</v>
      </c>
      <c r="AJ201" s="39" t="s">
        <v>3425</v>
      </c>
      <c r="AK201" s="39" t="s">
        <v>3426</v>
      </c>
      <c r="AL201" s="39" t="s">
        <v>3427</v>
      </c>
      <c r="AM201" s="39" t="s">
        <v>96</v>
      </c>
      <c r="AN201" s="39" t="s">
        <v>74</v>
      </c>
      <c r="AO201" s="39" t="s">
        <v>3428</v>
      </c>
      <c r="AP201" s="39" t="s">
        <v>1848</v>
      </c>
      <c r="AQ201" s="39">
        <v>1.0</v>
      </c>
      <c r="AR201" s="39">
        <v>1.0</v>
      </c>
    </row>
    <row r="202">
      <c r="A202" s="21">
        <f t="shared" si="5"/>
        <v>192</v>
      </c>
      <c r="B202" s="39" t="s">
        <v>3429</v>
      </c>
      <c r="C202" s="57" t="s">
        <v>3430</v>
      </c>
      <c r="D202" s="39">
        <v>10.0</v>
      </c>
      <c r="E202" s="39">
        <v>9.0</v>
      </c>
      <c r="F202" s="39" t="s">
        <v>171</v>
      </c>
      <c r="G202" s="39" t="s">
        <v>172</v>
      </c>
      <c r="H202" s="42">
        <v>40544.0</v>
      </c>
      <c r="I202" s="39" t="s">
        <v>182</v>
      </c>
      <c r="J202" s="39" t="s">
        <v>183</v>
      </c>
      <c r="K202" s="39" t="s">
        <v>1561</v>
      </c>
      <c r="L202" s="39" t="s">
        <v>105</v>
      </c>
      <c r="M202" s="42">
        <v>45200.0</v>
      </c>
      <c r="N202" s="39" t="s">
        <v>56</v>
      </c>
      <c r="O202" s="39" t="s">
        <v>173</v>
      </c>
      <c r="P202" s="43"/>
      <c r="Q202" s="39" t="s">
        <v>3346</v>
      </c>
      <c r="R202" s="42">
        <v>45665.0</v>
      </c>
      <c r="S202" s="120" t="s">
        <v>1953</v>
      </c>
      <c r="T202" s="46"/>
      <c r="U202" s="39" t="s">
        <v>1954</v>
      </c>
      <c r="V202" s="39" t="s">
        <v>89</v>
      </c>
      <c r="W202" s="39" t="s">
        <v>218</v>
      </c>
      <c r="X202" s="39" t="s">
        <v>3431</v>
      </c>
      <c r="Y202" s="39" t="s">
        <v>3432</v>
      </c>
      <c r="Z202" s="39" t="s">
        <v>114</v>
      </c>
      <c r="AA202" s="45">
        <v>51139.0</v>
      </c>
      <c r="AB202" s="46"/>
      <c r="AC202" s="23">
        <v>196.0</v>
      </c>
      <c r="AD202" s="39" t="s">
        <v>66</v>
      </c>
      <c r="AE202" s="39" t="s">
        <v>67</v>
      </c>
      <c r="AF202" s="39" t="s">
        <v>92</v>
      </c>
      <c r="AG202" s="39" t="s">
        <v>68</v>
      </c>
      <c r="AH202" s="39" t="s">
        <v>69</v>
      </c>
      <c r="AI202" s="39">
        <v>8.1361031559E10</v>
      </c>
      <c r="AJ202" s="39" t="s">
        <v>3433</v>
      </c>
      <c r="AK202" s="39" t="s">
        <v>3434</v>
      </c>
      <c r="AL202" s="39" t="s">
        <v>3435</v>
      </c>
      <c r="AM202" s="39" t="s">
        <v>96</v>
      </c>
      <c r="AN202" s="39" t="s">
        <v>97</v>
      </c>
      <c r="AO202" s="39" t="s">
        <v>379</v>
      </c>
      <c r="AP202" s="39" t="s">
        <v>1517</v>
      </c>
      <c r="AQ202" s="65"/>
      <c r="AR202" s="65"/>
    </row>
    <row r="203">
      <c r="A203" s="21">
        <f t="shared" si="5"/>
        <v>193</v>
      </c>
      <c r="B203" s="39" t="s">
        <v>3436</v>
      </c>
      <c r="C203" s="57" t="s">
        <v>3437</v>
      </c>
      <c r="D203" s="39">
        <v>10.0</v>
      </c>
      <c r="E203" s="39">
        <v>9.0</v>
      </c>
      <c r="F203" s="39" t="s">
        <v>171</v>
      </c>
      <c r="G203" s="39" t="s">
        <v>172</v>
      </c>
      <c r="H203" s="42">
        <v>40544.0</v>
      </c>
      <c r="I203" s="39" t="s">
        <v>182</v>
      </c>
      <c r="J203" s="39" t="s">
        <v>183</v>
      </c>
      <c r="K203" s="39" t="s">
        <v>1415</v>
      </c>
      <c r="L203" s="39" t="s">
        <v>105</v>
      </c>
      <c r="M203" s="42">
        <v>45200.0</v>
      </c>
      <c r="N203" s="39" t="s">
        <v>141</v>
      </c>
      <c r="O203" s="39" t="s">
        <v>173</v>
      </c>
      <c r="P203" s="43"/>
      <c r="Q203" s="39" t="s">
        <v>3346</v>
      </c>
      <c r="R203" s="42">
        <v>45292.0</v>
      </c>
      <c r="S203" s="39" t="s">
        <v>143</v>
      </c>
      <c r="T203" s="43"/>
      <c r="U203" s="39" t="s">
        <v>144</v>
      </c>
      <c r="V203" s="39" t="s">
        <v>89</v>
      </c>
      <c r="W203" s="39" t="s">
        <v>63</v>
      </c>
      <c r="X203" s="39" t="s">
        <v>161</v>
      </c>
      <c r="Y203" s="39" t="s">
        <v>3438</v>
      </c>
      <c r="Z203" s="39" t="s">
        <v>114</v>
      </c>
      <c r="AA203" s="45">
        <v>52234.0</v>
      </c>
      <c r="AB203" s="46"/>
      <c r="AC203" s="23">
        <v>197.0</v>
      </c>
      <c r="AD203" s="39" t="s">
        <v>66</v>
      </c>
      <c r="AE203" s="39" t="s">
        <v>67</v>
      </c>
      <c r="AF203" s="39" t="s">
        <v>92</v>
      </c>
      <c r="AG203" s="39" t="s">
        <v>68</v>
      </c>
      <c r="AH203" s="39" t="s">
        <v>69</v>
      </c>
      <c r="AI203" s="39">
        <v>8.5261705E10</v>
      </c>
      <c r="AJ203" s="39" t="s">
        <v>3439</v>
      </c>
      <c r="AK203" s="39" t="s">
        <v>3440</v>
      </c>
      <c r="AL203" s="39" t="s">
        <v>3441</v>
      </c>
      <c r="AM203" s="39" t="s">
        <v>73</v>
      </c>
      <c r="AN203" s="39" t="s">
        <v>74</v>
      </c>
      <c r="AO203" s="39" t="s">
        <v>203</v>
      </c>
      <c r="AP203" s="39" t="s">
        <v>204</v>
      </c>
      <c r="AQ203" s="39" t="s">
        <v>77</v>
      </c>
      <c r="AR203" s="39" t="s">
        <v>77</v>
      </c>
    </row>
    <row r="204">
      <c r="A204" s="21">
        <f t="shared" si="5"/>
        <v>194</v>
      </c>
      <c r="B204" s="39" t="s">
        <v>3442</v>
      </c>
      <c r="C204" s="57" t="s">
        <v>3443</v>
      </c>
      <c r="D204" s="39">
        <v>15.0</v>
      </c>
      <c r="E204" s="39">
        <v>9.0</v>
      </c>
      <c r="F204" s="39" t="s">
        <v>80</v>
      </c>
      <c r="G204" s="39" t="s">
        <v>81</v>
      </c>
      <c r="H204" s="42">
        <v>40179.0</v>
      </c>
      <c r="I204" s="39" t="s">
        <v>82</v>
      </c>
      <c r="J204" s="39" t="s">
        <v>83</v>
      </c>
      <c r="K204" s="39" t="s">
        <v>3444</v>
      </c>
      <c r="L204" s="39" t="s">
        <v>3445</v>
      </c>
      <c r="M204" s="42">
        <v>45931.0</v>
      </c>
      <c r="N204" s="39" t="s">
        <v>141</v>
      </c>
      <c r="O204" s="39" t="s">
        <v>173</v>
      </c>
      <c r="P204" s="43"/>
      <c r="Q204" s="39" t="s">
        <v>3346</v>
      </c>
      <c r="R204" s="42">
        <v>46054.0</v>
      </c>
      <c r="S204" s="39" t="s">
        <v>3446</v>
      </c>
      <c r="T204" s="44"/>
      <c r="U204" s="39" t="s">
        <v>3447</v>
      </c>
      <c r="V204" s="39" t="s">
        <v>159</v>
      </c>
      <c r="W204" s="39" t="s">
        <v>3448</v>
      </c>
      <c r="X204" s="39" t="s">
        <v>3449</v>
      </c>
      <c r="Y204" s="39" t="s">
        <v>3450</v>
      </c>
      <c r="Z204" s="39" t="s">
        <v>114</v>
      </c>
      <c r="AA204" s="45">
        <v>51508.0</v>
      </c>
      <c r="AB204" s="46"/>
      <c r="AC204" s="23">
        <v>198.0</v>
      </c>
      <c r="AD204" s="39" t="s">
        <v>66</v>
      </c>
      <c r="AE204" s="39" t="s">
        <v>311</v>
      </c>
      <c r="AF204" s="39" t="s">
        <v>92</v>
      </c>
      <c r="AG204" s="39" t="s">
        <v>68</v>
      </c>
      <c r="AH204" s="39" t="s">
        <v>131</v>
      </c>
      <c r="AI204" s="65"/>
      <c r="AJ204" s="65"/>
      <c r="AK204" s="39" t="s">
        <v>3451</v>
      </c>
      <c r="AL204" s="39" t="s">
        <v>3452</v>
      </c>
      <c r="AM204" s="39" t="s">
        <v>73</v>
      </c>
      <c r="AN204" s="39" t="s">
        <v>3453</v>
      </c>
      <c r="AO204" s="39" t="s">
        <v>3454</v>
      </c>
      <c r="AP204" s="39" t="s">
        <v>3455</v>
      </c>
      <c r="AQ204" s="43"/>
      <c r="AR204" s="43"/>
    </row>
    <row r="205">
      <c r="A205" s="21">
        <f t="shared" si="5"/>
        <v>195</v>
      </c>
      <c r="B205" s="39" t="s">
        <v>3456</v>
      </c>
      <c r="C205" s="57" t="s">
        <v>3457</v>
      </c>
      <c r="D205" s="39">
        <v>16.0</v>
      </c>
      <c r="E205" s="39">
        <v>8.0</v>
      </c>
      <c r="F205" s="39" t="s">
        <v>80</v>
      </c>
      <c r="G205" s="39" t="s">
        <v>81</v>
      </c>
      <c r="H205" s="42">
        <v>39845.0</v>
      </c>
      <c r="I205" s="39" t="s">
        <v>82</v>
      </c>
      <c r="J205" s="39" t="s">
        <v>83</v>
      </c>
      <c r="K205" s="39" t="s">
        <v>1505</v>
      </c>
      <c r="L205" s="39" t="s">
        <v>88</v>
      </c>
      <c r="M205" s="42">
        <v>44287.0</v>
      </c>
      <c r="N205" s="39" t="s">
        <v>141</v>
      </c>
      <c r="O205" s="39" t="s">
        <v>229</v>
      </c>
      <c r="P205" s="43"/>
      <c r="Q205" s="39" t="s">
        <v>59</v>
      </c>
      <c r="R205" s="42">
        <v>45658.0</v>
      </c>
      <c r="S205" s="39" t="s">
        <v>3458</v>
      </c>
      <c r="T205" s="44"/>
      <c r="U205" s="39" t="s">
        <v>144</v>
      </c>
      <c r="V205" s="39" t="s">
        <v>159</v>
      </c>
      <c r="W205" s="39" t="s">
        <v>2096</v>
      </c>
      <c r="X205" s="39" t="s">
        <v>231</v>
      </c>
      <c r="Y205" s="39" t="s">
        <v>3459</v>
      </c>
      <c r="Z205" s="41" t="s">
        <v>65</v>
      </c>
      <c r="AA205" s="45">
        <v>50407.0</v>
      </c>
      <c r="AB205" s="46"/>
      <c r="AC205" s="23">
        <v>199.0</v>
      </c>
      <c r="AD205" s="39" t="s">
        <v>66</v>
      </c>
      <c r="AE205" s="39" t="s">
        <v>67</v>
      </c>
      <c r="AF205" s="39" t="s">
        <v>92</v>
      </c>
      <c r="AG205" s="39" t="s">
        <v>130</v>
      </c>
      <c r="AH205" s="65"/>
      <c r="AI205" s="39">
        <v>8.126029461E9</v>
      </c>
      <c r="AJ205" s="39" t="s">
        <v>3460</v>
      </c>
      <c r="AK205" s="39" t="s">
        <v>3461</v>
      </c>
      <c r="AL205" s="39" t="s">
        <v>3462</v>
      </c>
      <c r="AM205" s="39" t="s">
        <v>96</v>
      </c>
      <c r="AN205" s="39" t="s">
        <v>514</v>
      </c>
      <c r="AO205" s="39" t="s">
        <v>236</v>
      </c>
      <c r="AP205" s="39" t="s">
        <v>152</v>
      </c>
      <c r="AQ205" s="43"/>
      <c r="AR205" s="43"/>
    </row>
    <row r="206">
      <c r="A206" s="21">
        <f t="shared" si="5"/>
        <v>196</v>
      </c>
      <c r="B206" s="39" t="s">
        <v>3463</v>
      </c>
      <c r="C206" s="57" t="s">
        <v>3464</v>
      </c>
      <c r="D206" s="39">
        <v>11.0</v>
      </c>
      <c r="E206" s="39">
        <v>1.0</v>
      </c>
      <c r="F206" s="39" t="s">
        <v>171</v>
      </c>
      <c r="G206" s="39" t="s">
        <v>172</v>
      </c>
      <c r="H206" s="42">
        <v>40603.0</v>
      </c>
      <c r="I206" s="39" t="s">
        <v>182</v>
      </c>
      <c r="J206" s="39" t="s">
        <v>183</v>
      </c>
      <c r="K206" s="39" t="s">
        <v>217</v>
      </c>
      <c r="L206" s="39" t="s">
        <v>105</v>
      </c>
      <c r="M206" s="42">
        <v>45383.0</v>
      </c>
      <c r="N206" s="39" t="s">
        <v>141</v>
      </c>
      <c r="O206" s="39" t="s">
        <v>229</v>
      </c>
      <c r="P206" s="43"/>
      <c r="Q206" s="39" t="s">
        <v>59</v>
      </c>
      <c r="R206" s="42">
        <v>45659.0</v>
      </c>
      <c r="S206" s="39" t="s">
        <v>3458</v>
      </c>
      <c r="T206" s="44"/>
      <c r="U206" s="39" t="s">
        <v>144</v>
      </c>
      <c r="V206" s="39" t="s">
        <v>267</v>
      </c>
      <c r="W206" s="39" t="s">
        <v>230</v>
      </c>
      <c r="X206" s="39" t="s">
        <v>3465</v>
      </c>
      <c r="Y206" s="39" t="s">
        <v>3466</v>
      </c>
      <c r="Z206" s="43"/>
      <c r="AA206" s="63">
        <v>53329.0</v>
      </c>
      <c r="AB206" s="43"/>
      <c r="AC206" s="23">
        <v>200.0</v>
      </c>
      <c r="AD206" s="39" t="s">
        <v>66</v>
      </c>
      <c r="AE206" s="39" t="s">
        <v>67</v>
      </c>
      <c r="AF206" s="39" t="s">
        <v>92</v>
      </c>
      <c r="AG206" s="39" t="s">
        <v>130</v>
      </c>
      <c r="AH206" s="39" t="s">
        <v>69</v>
      </c>
      <c r="AI206" s="39">
        <v>8.2366663011E10</v>
      </c>
      <c r="AJ206" s="39" t="s">
        <v>3467</v>
      </c>
      <c r="AK206" s="39" t="s">
        <v>3468</v>
      </c>
      <c r="AL206" s="39" t="s">
        <v>3469</v>
      </c>
      <c r="AM206" s="39" t="s">
        <v>96</v>
      </c>
      <c r="AN206" s="39" t="s">
        <v>135</v>
      </c>
      <c r="AO206" s="39" t="s">
        <v>3470</v>
      </c>
      <c r="AP206" s="39" t="s">
        <v>426</v>
      </c>
      <c r="AQ206" s="65"/>
      <c r="AR206" s="65"/>
    </row>
    <row r="207">
      <c r="A207" s="21">
        <f t="shared" si="5"/>
        <v>197</v>
      </c>
      <c r="B207" s="39" t="s">
        <v>3471</v>
      </c>
      <c r="C207" s="57" t="s">
        <v>3472</v>
      </c>
      <c r="D207" s="39">
        <v>13.0</v>
      </c>
      <c r="E207" s="39">
        <v>3.0</v>
      </c>
      <c r="F207" s="39" t="s">
        <v>171</v>
      </c>
      <c r="G207" s="39" t="s">
        <v>172</v>
      </c>
      <c r="H207" s="42">
        <v>40179.0</v>
      </c>
      <c r="I207" s="39" t="s">
        <v>82</v>
      </c>
      <c r="J207" s="39" t="s">
        <v>83</v>
      </c>
      <c r="K207" s="39" t="s">
        <v>2215</v>
      </c>
      <c r="L207" s="39" t="s">
        <v>105</v>
      </c>
      <c r="M207" s="42">
        <v>45748.0</v>
      </c>
      <c r="N207" s="39" t="s">
        <v>141</v>
      </c>
      <c r="O207" s="39" t="s">
        <v>173</v>
      </c>
      <c r="P207" s="43"/>
      <c r="Q207" s="39" t="s">
        <v>59</v>
      </c>
      <c r="R207" s="42">
        <v>45659.0</v>
      </c>
      <c r="S207" s="39" t="s">
        <v>3473</v>
      </c>
      <c r="T207" s="44"/>
      <c r="U207" s="39" t="s">
        <v>105</v>
      </c>
      <c r="V207" s="39" t="s">
        <v>159</v>
      </c>
      <c r="W207" s="39" t="s">
        <v>230</v>
      </c>
      <c r="X207" s="39" t="s">
        <v>231</v>
      </c>
      <c r="Y207" s="39" t="s">
        <v>375</v>
      </c>
      <c r="Z207" s="39" t="s">
        <v>114</v>
      </c>
      <c r="AA207" s="63">
        <v>52603.0</v>
      </c>
      <c r="AB207" s="43"/>
      <c r="AC207" s="23">
        <v>201.0</v>
      </c>
      <c r="AD207" s="39" t="s">
        <v>66</v>
      </c>
      <c r="AE207" s="39" t="s">
        <v>67</v>
      </c>
      <c r="AF207" s="39" t="s">
        <v>92</v>
      </c>
      <c r="AG207" s="39" t="s">
        <v>130</v>
      </c>
      <c r="AH207" s="39" t="s">
        <v>131</v>
      </c>
      <c r="AI207" s="39">
        <v>8.1370400671E10</v>
      </c>
      <c r="AJ207" s="39" t="s">
        <v>3474</v>
      </c>
      <c r="AK207" s="39" t="s">
        <v>3475</v>
      </c>
      <c r="AL207" s="39" t="s">
        <v>3476</v>
      </c>
      <c r="AM207" s="39" t="s">
        <v>96</v>
      </c>
      <c r="AN207" s="65"/>
      <c r="AO207" s="39" t="s">
        <v>236</v>
      </c>
      <c r="AP207" s="39" t="s">
        <v>527</v>
      </c>
      <c r="AQ207" s="65"/>
      <c r="AR207" s="65"/>
    </row>
    <row r="208">
      <c r="A208" s="21">
        <f t="shared" si="5"/>
        <v>198</v>
      </c>
      <c r="B208" s="49" t="s">
        <v>3477</v>
      </c>
      <c r="C208" s="50" t="s">
        <v>3478</v>
      </c>
      <c r="D208" s="49">
        <v>0.0</v>
      </c>
      <c r="E208" s="49">
        <v>0.0</v>
      </c>
      <c r="F208" s="49" t="s">
        <v>80</v>
      </c>
      <c r="G208" s="49" t="s">
        <v>81</v>
      </c>
      <c r="H208" s="51">
        <v>45778.0</v>
      </c>
      <c r="I208" s="49" t="s">
        <v>80</v>
      </c>
      <c r="J208" s="49" t="s">
        <v>81</v>
      </c>
      <c r="K208" s="49" t="s">
        <v>240</v>
      </c>
      <c r="L208" s="49" t="s">
        <v>105</v>
      </c>
      <c r="M208" s="51">
        <v>45778.0</v>
      </c>
      <c r="N208" s="49" t="s">
        <v>141</v>
      </c>
      <c r="O208" s="49" t="s">
        <v>241</v>
      </c>
      <c r="P208" s="52"/>
      <c r="Q208" s="49" t="s">
        <v>59</v>
      </c>
      <c r="R208" s="51">
        <v>45778.0</v>
      </c>
      <c r="S208" s="49" t="s">
        <v>242</v>
      </c>
      <c r="T208" s="53"/>
      <c r="U208" s="49" t="s">
        <v>105</v>
      </c>
      <c r="V208" s="49" t="s">
        <v>89</v>
      </c>
      <c r="W208" s="49" t="s">
        <v>243</v>
      </c>
      <c r="X208" s="49" t="s">
        <v>231</v>
      </c>
      <c r="Y208" s="49" t="s">
        <v>3479</v>
      </c>
      <c r="Z208" s="52"/>
      <c r="AA208" s="146">
        <v>57352.0</v>
      </c>
      <c r="AB208" s="52"/>
      <c r="AC208" s="23">
        <v>202.0</v>
      </c>
      <c r="AD208" s="49" t="s">
        <v>5</v>
      </c>
      <c r="AE208" s="49" t="s">
        <v>67</v>
      </c>
      <c r="AF208" s="49" t="s">
        <v>129</v>
      </c>
      <c r="AG208" s="49" t="s">
        <v>130</v>
      </c>
      <c r="AH208" s="49" t="s">
        <v>69</v>
      </c>
      <c r="AI208" s="49">
        <v>8.2273325113E10</v>
      </c>
      <c r="AJ208" s="49" t="s">
        <v>3480</v>
      </c>
      <c r="AK208" s="49" t="s">
        <v>3481</v>
      </c>
      <c r="AL208" s="49" t="s">
        <v>3482</v>
      </c>
      <c r="AM208" s="49" t="s">
        <v>250</v>
      </c>
      <c r="AN208" s="49" t="s">
        <v>74</v>
      </c>
      <c r="AO208" s="49" t="s">
        <v>989</v>
      </c>
      <c r="AP208" s="49" t="s">
        <v>538</v>
      </c>
      <c r="AQ208" s="49">
        <v>0.0</v>
      </c>
      <c r="AR208" s="49">
        <v>0.0</v>
      </c>
    </row>
    <row r="209">
      <c r="A209" s="21">
        <f t="shared" si="5"/>
        <v>199</v>
      </c>
      <c r="B209" s="49" t="s">
        <v>3483</v>
      </c>
      <c r="C209" s="50" t="s">
        <v>3484</v>
      </c>
      <c r="D209" s="49">
        <v>0.0</v>
      </c>
      <c r="E209" s="49">
        <v>0.0</v>
      </c>
      <c r="F209" s="49" t="s">
        <v>80</v>
      </c>
      <c r="G209" s="49" t="s">
        <v>81</v>
      </c>
      <c r="H209" s="51">
        <v>45778.0</v>
      </c>
      <c r="I209" s="49" t="s">
        <v>80</v>
      </c>
      <c r="J209" s="49" t="s">
        <v>81</v>
      </c>
      <c r="K209" s="49" t="s">
        <v>240</v>
      </c>
      <c r="L209" s="49" t="s">
        <v>105</v>
      </c>
      <c r="M209" s="51">
        <v>45778.0</v>
      </c>
      <c r="N209" s="49" t="s">
        <v>141</v>
      </c>
      <c r="O209" s="49" t="s">
        <v>3485</v>
      </c>
      <c r="P209" s="52"/>
      <c r="Q209" s="49" t="s">
        <v>59</v>
      </c>
      <c r="R209" s="51">
        <v>45778.0</v>
      </c>
      <c r="S209" s="49" t="s">
        <v>242</v>
      </c>
      <c r="T209" s="53"/>
      <c r="U209" s="49" t="s">
        <v>105</v>
      </c>
      <c r="V209" s="49" t="s">
        <v>89</v>
      </c>
      <c r="W209" s="49" t="s">
        <v>647</v>
      </c>
      <c r="X209" s="49" t="s">
        <v>1528</v>
      </c>
      <c r="Y209" s="147">
        <v>44098.0</v>
      </c>
      <c r="Z209" s="52"/>
      <c r="AA209" s="146">
        <v>56987.0</v>
      </c>
      <c r="AB209" s="52"/>
      <c r="AC209" s="23">
        <v>203.0</v>
      </c>
      <c r="AD209" s="49" t="s">
        <v>5</v>
      </c>
      <c r="AE209" s="49" t="s">
        <v>67</v>
      </c>
      <c r="AF209" s="49" t="s">
        <v>92</v>
      </c>
      <c r="AG209" s="49" t="s">
        <v>130</v>
      </c>
      <c r="AH209" s="49" t="s">
        <v>131</v>
      </c>
      <c r="AI209" s="49">
        <v>8.2370905923E10</v>
      </c>
      <c r="AJ209" s="49" t="s">
        <v>3486</v>
      </c>
      <c r="AK209" s="49" t="s">
        <v>3487</v>
      </c>
      <c r="AL209" s="49" t="s">
        <v>3488</v>
      </c>
      <c r="AM209" s="49" t="s">
        <v>73</v>
      </c>
      <c r="AN209" s="49" t="s">
        <v>775</v>
      </c>
      <c r="AO209" s="49" t="s">
        <v>3489</v>
      </c>
      <c r="AP209" s="49" t="s">
        <v>3490</v>
      </c>
      <c r="AQ209" s="49">
        <v>0.0</v>
      </c>
      <c r="AR209" s="49">
        <v>0.0</v>
      </c>
    </row>
    <row r="210">
      <c r="A210" s="21">
        <f t="shared" si="5"/>
        <v>200</v>
      </c>
      <c r="B210" s="49" t="s">
        <v>3491</v>
      </c>
      <c r="C210" s="50" t="s">
        <v>3492</v>
      </c>
      <c r="D210" s="49">
        <v>0.0</v>
      </c>
      <c r="E210" s="49">
        <v>0.0</v>
      </c>
      <c r="F210" s="49" t="s">
        <v>80</v>
      </c>
      <c r="G210" s="49" t="s">
        <v>81</v>
      </c>
      <c r="H210" s="51">
        <v>45778.0</v>
      </c>
      <c r="I210" s="49" t="s">
        <v>80</v>
      </c>
      <c r="J210" s="49" t="s">
        <v>81</v>
      </c>
      <c r="K210" s="49" t="s">
        <v>240</v>
      </c>
      <c r="L210" s="49" t="s">
        <v>105</v>
      </c>
      <c r="M210" s="51">
        <v>45778.0</v>
      </c>
      <c r="N210" s="49" t="s">
        <v>141</v>
      </c>
      <c r="O210" s="49" t="s">
        <v>3485</v>
      </c>
      <c r="P210" s="52"/>
      <c r="Q210" s="49" t="s">
        <v>59</v>
      </c>
      <c r="R210" s="51">
        <v>45778.0</v>
      </c>
      <c r="S210" s="49" t="s">
        <v>242</v>
      </c>
      <c r="T210" s="53"/>
      <c r="U210" s="49" t="s">
        <v>105</v>
      </c>
      <c r="V210" s="49" t="s">
        <v>89</v>
      </c>
      <c r="W210" s="49" t="s">
        <v>160</v>
      </c>
      <c r="X210" s="49" t="s">
        <v>3493</v>
      </c>
      <c r="Y210" s="147">
        <v>42828.0</v>
      </c>
      <c r="Z210" s="52"/>
      <c r="AA210" s="146">
        <v>55892.0</v>
      </c>
      <c r="AB210" s="52"/>
      <c r="AC210" s="23">
        <v>204.0</v>
      </c>
      <c r="AD210" s="49" t="s">
        <v>5</v>
      </c>
      <c r="AE210" s="49" t="s">
        <v>311</v>
      </c>
      <c r="AF210" s="49" t="s">
        <v>92</v>
      </c>
      <c r="AG210" s="49" t="s">
        <v>130</v>
      </c>
      <c r="AH210" s="49" t="s">
        <v>288</v>
      </c>
      <c r="AI210" s="49">
        <v>8.1265056779E10</v>
      </c>
      <c r="AJ210" s="49" t="s">
        <v>3494</v>
      </c>
      <c r="AK210" s="49" t="s">
        <v>3495</v>
      </c>
      <c r="AL210" s="49" t="s">
        <v>3496</v>
      </c>
      <c r="AM210" s="49" t="s">
        <v>73</v>
      </c>
      <c r="AN210" s="49" t="s">
        <v>74</v>
      </c>
      <c r="AO210" s="49" t="s">
        <v>774</v>
      </c>
      <c r="AP210" s="49" t="s">
        <v>775</v>
      </c>
      <c r="AQ210" s="49">
        <v>0.0</v>
      </c>
      <c r="AR210" s="49">
        <v>0.0</v>
      </c>
    </row>
    <row r="211">
      <c r="A211" s="21"/>
      <c r="B211" s="248" t="s">
        <v>3538</v>
      </c>
      <c r="C211" s="254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  <c r="AB211" s="116"/>
      <c r="AC211" s="23">
        <v>205.0</v>
      </c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  <c r="AO211" s="119"/>
      <c r="AP211" s="119"/>
      <c r="AQ211" s="119"/>
      <c r="AR211" s="119"/>
    </row>
    <row r="212">
      <c r="A212" s="21">
        <f>SUM(A210+1)</f>
        <v>201</v>
      </c>
      <c r="B212" s="21" t="s">
        <v>3539</v>
      </c>
      <c r="C212" s="38" t="s">
        <v>3540</v>
      </c>
      <c r="D212" s="23">
        <v>17.0</v>
      </c>
      <c r="E212" s="23">
        <v>2.0</v>
      </c>
      <c r="F212" s="23" t="s">
        <v>50</v>
      </c>
      <c r="G212" s="23" t="s">
        <v>51</v>
      </c>
      <c r="H212" s="24">
        <v>39845.0</v>
      </c>
      <c r="I212" s="21" t="s">
        <v>82</v>
      </c>
      <c r="J212" s="21" t="s">
        <v>83</v>
      </c>
      <c r="K212" s="21" t="s">
        <v>140</v>
      </c>
      <c r="L212" s="21" t="s">
        <v>105</v>
      </c>
      <c r="M212" s="25">
        <v>45809.0</v>
      </c>
      <c r="N212" s="23" t="s">
        <v>56</v>
      </c>
      <c r="O212" s="21" t="s">
        <v>3541</v>
      </c>
      <c r="P212" s="23" t="s">
        <v>107</v>
      </c>
      <c r="Q212" s="21" t="s">
        <v>3542</v>
      </c>
      <c r="R212" s="24">
        <v>45628.0</v>
      </c>
      <c r="S212" s="23" t="s">
        <v>2571</v>
      </c>
      <c r="T212" s="29"/>
      <c r="U212" s="23" t="s">
        <v>88</v>
      </c>
      <c r="V212" s="21" t="s">
        <v>89</v>
      </c>
      <c r="W212" s="21" t="s">
        <v>337</v>
      </c>
      <c r="X212" s="21" t="s">
        <v>1010</v>
      </c>
      <c r="Y212" s="21" t="s">
        <v>3543</v>
      </c>
      <c r="Z212" s="30"/>
      <c r="AA212" s="28">
        <v>51502.0</v>
      </c>
      <c r="AB212" s="29"/>
      <c r="AC212" s="23">
        <v>206.0</v>
      </c>
      <c r="AD212" s="21" t="s">
        <v>66</v>
      </c>
      <c r="AE212" s="21" t="s">
        <v>67</v>
      </c>
      <c r="AF212" s="30"/>
      <c r="AG212" s="21" t="s">
        <v>68</v>
      </c>
      <c r="AH212" s="30"/>
      <c r="AI212" s="21">
        <v>8.216560102E10</v>
      </c>
      <c r="AJ212" s="30"/>
      <c r="AK212" s="21" t="s">
        <v>3544</v>
      </c>
      <c r="AL212" s="21" t="s">
        <v>3545</v>
      </c>
      <c r="AM212" s="21" t="s">
        <v>96</v>
      </c>
      <c r="AN212" s="30"/>
      <c r="AO212" s="30"/>
      <c r="AP212" s="30"/>
      <c r="AQ212" s="30"/>
      <c r="AR212" s="30"/>
    </row>
    <row r="213">
      <c r="A213" s="21">
        <f t="shared" ref="A213:A219" si="6">SUM(A212+1)</f>
        <v>202</v>
      </c>
      <c r="B213" s="21" t="s">
        <v>3546</v>
      </c>
      <c r="C213" s="38" t="s">
        <v>3547</v>
      </c>
      <c r="D213" s="23">
        <v>12.0</v>
      </c>
      <c r="E213" s="23">
        <v>3.0</v>
      </c>
      <c r="F213" s="23" t="s">
        <v>80</v>
      </c>
      <c r="G213" s="23" t="s">
        <v>81</v>
      </c>
      <c r="H213" s="24">
        <v>40179.0</v>
      </c>
      <c r="I213" s="21" t="s">
        <v>82</v>
      </c>
      <c r="J213" s="21" t="s">
        <v>83</v>
      </c>
      <c r="K213" s="21" t="s">
        <v>155</v>
      </c>
      <c r="L213" s="21" t="s">
        <v>88</v>
      </c>
      <c r="M213" s="25">
        <v>44652.0</v>
      </c>
      <c r="N213" s="23" t="s">
        <v>56</v>
      </c>
      <c r="O213" s="21" t="s">
        <v>3548</v>
      </c>
      <c r="P213" s="23" t="s">
        <v>3549</v>
      </c>
      <c r="Q213" s="21" t="s">
        <v>3550</v>
      </c>
      <c r="R213" s="24">
        <v>46076.0</v>
      </c>
      <c r="S213" s="23" t="s">
        <v>87</v>
      </c>
      <c r="T213" s="29"/>
      <c r="U213" s="23" t="s">
        <v>88</v>
      </c>
      <c r="V213" s="21" t="s">
        <v>159</v>
      </c>
      <c r="W213" s="21" t="s">
        <v>1633</v>
      </c>
      <c r="X213" s="21" t="s">
        <v>1010</v>
      </c>
      <c r="Y213" s="21" t="s">
        <v>3551</v>
      </c>
      <c r="Z213" s="21" t="s">
        <v>114</v>
      </c>
      <c r="AA213" s="28">
        <v>52965.0</v>
      </c>
      <c r="AB213" s="29"/>
      <c r="AC213" s="23">
        <v>207.0</v>
      </c>
      <c r="AD213" s="21" t="s">
        <v>66</v>
      </c>
      <c r="AE213" s="21" t="s">
        <v>220</v>
      </c>
      <c r="AF213" s="21" t="s">
        <v>129</v>
      </c>
      <c r="AG213" s="21" t="s">
        <v>130</v>
      </c>
      <c r="AH213" s="21" t="s">
        <v>69</v>
      </c>
      <c r="AI213" s="21">
        <v>8.116191144E9</v>
      </c>
      <c r="AJ213" s="21" t="s">
        <v>3552</v>
      </c>
      <c r="AK213" s="21" t="s">
        <v>3553</v>
      </c>
      <c r="AL213" s="21" t="s">
        <v>3554</v>
      </c>
      <c r="AM213" s="21" t="s">
        <v>73</v>
      </c>
      <c r="AN213" s="21" t="s">
        <v>77</v>
      </c>
      <c r="AO213" s="21" t="s">
        <v>1446</v>
      </c>
      <c r="AP213" s="21" t="s">
        <v>3555</v>
      </c>
      <c r="AQ213" s="21" t="s">
        <v>77</v>
      </c>
      <c r="AR213" s="21" t="s">
        <v>77</v>
      </c>
    </row>
    <row r="214">
      <c r="A214" s="21">
        <f t="shared" si="6"/>
        <v>203</v>
      </c>
      <c r="B214" s="39" t="s">
        <v>3556</v>
      </c>
      <c r="C214" s="57" t="s">
        <v>3557</v>
      </c>
      <c r="D214" s="39">
        <v>16.0</v>
      </c>
      <c r="E214" s="39">
        <v>3.0</v>
      </c>
      <c r="F214" s="39" t="s">
        <v>80</v>
      </c>
      <c r="G214" s="39" t="s">
        <v>81</v>
      </c>
      <c r="H214" s="42">
        <v>39873.0</v>
      </c>
      <c r="I214" s="39" t="s">
        <v>82</v>
      </c>
      <c r="J214" s="39" t="s">
        <v>83</v>
      </c>
      <c r="K214" s="39" t="s">
        <v>1505</v>
      </c>
      <c r="L214" s="39" t="s">
        <v>88</v>
      </c>
      <c r="M214" s="42">
        <v>44287.0</v>
      </c>
      <c r="N214" s="39" t="s">
        <v>141</v>
      </c>
      <c r="O214" s="39" t="s">
        <v>229</v>
      </c>
      <c r="P214" s="43"/>
      <c r="Q214" s="39" t="s">
        <v>59</v>
      </c>
      <c r="R214" s="42">
        <v>45292.0</v>
      </c>
      <c r="S214" s="39" t="s">
        <v>143</v>
      </c>
      <c r="T214" s="46"/>
      <c r="U214" s="39" t="s">
        <v>144</v>
      </c>
      <c r="V214" s="39" t="s">
        <v>89</v>
      </c>
      <c r="W214" s="39" t="s">
        <v>207</v>
      </c>
      <c r="X214" s="39" t="s">
        <v>409</v>
      </c>
      <c r="Y214" s="39" t="s">
        <v>3558</v>
      </c>
      <c r="Z214" s="65"/>
      <c r="AA214" s="45">
        <v>48589.0</v>
      </c>
      <c r="AB214" s="46"/>
      <c r="AC214" s="23">
        <v>208.0</v>
      </c>
      <c r="AD214" s="39" t="s">
        <v>66</v>
      </c>
      <c r="AE214" s="39" t="s">
        <v>67</v>
      </c>
      <c r="AF214" s="39" t="s">
        <v>129</v>
      </c>
      <c r="AG214" s="39" t="s">
        <v>68</v>
      </c>
      <c r="AH214" s="39" t="s">
        <v>69</v>
      </c>
      <c r="AI214" s="39">
        <v>8.1283288829E10</v>
      </c>
      <c r="AJ214" s="39" t="s">
        <v>3559</v>
      </c>
      <c r="AK214" s="39" t="s">
        <v>3560</v>
      </c>
      <c r="AL214" s="39" t="s">
        <v>3561</v>
      </c>
      <c r="AM214" s="39" t="s">
        <v>96</v>
      </c>
      <c r="AN214" s="65"/>
      <c r="AO214" s="39" t="s">
        <v>1030</v>
      </c>
      <c r="AP214" s="39" t="s">
        <v>3562</v>
      </c>
      <c r="AQ214" s="43"/>
      <c r="AR214" s="43"/>
    </row>
    <row r="215">
      <c r="A215" s="21">
        <f t="shared" si="6"/>
        <v>204</v>
      </c>
      <c r="B215" s="39" t="s">
        <v>3563</v>
      </c>
      <c r="C215" s="57" t="s">
        <v>3564</v>
      </c>
      <c r="D215" s="39">
        <v>12.0</v>
      </c>
      <c r="E215" s="39">
        <v>3.0</v>
      </c>
      <c r="F215" s="39" t="s">
        <v>171</v>
      </c>
      <c r="G215" s="39" t="s">
        <v>172</v>
      </c>
      <c r="H215" s="42">
        <v>40179.0</v>
      </c>
      <c r="I215" s="39" t="s">
        <v>182</v>
      </c>
      <c r="J215" s="39" t="s">
        <v>183</v>
      </c>
      <c r="K215" s="39" t="s">
        <v>3565</v>
      </c>
      <c r="L215" s="39" t="s">
        <v>105</v>
      </c>
      <c r="M215" s="42">
        <v>45383.0</v>
      </c>
      <c r="N215" s="39" t="s">
        <v>141</v>
      </c>
      <c r="O215" s="39" t="s">
        <v>229</v>
      </c>
      <c r="P215" s="43"/>
      <c r="Q215" s="39" t="s">
        <v>59</v>
      </c>
      <c r="R215" s="42">
        <v>45292.0</v>
      </c>
      <c r="S215" s="39" t="s">
        <v>143</v>
      </c>
      <c r="T215" s="46"/>
      <c r="U215" s="39" t="s">
        <v>144</v>
      </c>
      <c r="V215" s="39" t="s">
        <v>159</v>
      </c>
      <c r="W215" s="39" t="s">
        <v>218</v>
      </c>
      <c r="X215" s="39" t="s">
        <v>161</v>
      </c>
      <c r="Y215" s="39" t="s">
        <v>3566</v>
      </c>
      <c r="Z215" s="39" t="s">
        <v>114</v>
      </c>
      <c r="AA215" s="45">
        <v>51874.0</v>
      </c>
      <c r="AB215" s="46"/>
      <c r="AC215" s="23">
        <v>209.0</v>
      </c>
      <c r="AD215" s="39" t="s">
        <v>66</v>
      </c>
      <c r="AE215" s="39" t="s">
        <v>67</v>
      </c>
      <c r="AF215" s="39" t="s">
        <v>92</v>
      </c>
      <c r="AG215" s="39" t="s">
        <v>130</v>
      </c>
      <c r="AH215" s="39" t="s">
        <v>69</v>
      </c>
      <c r="AI215" s="39">
        <v>8.121482466E10</v>
      </c>
      <c r="AJ215" s="39" t="s">
        <v>3567</v>
      </c>
      <c r="AK215" s="39" t="s">
        <v>3568</v>
      </c>
      <c r="AL215" s="39" t="s">
        <v>3569</v>
      </c>
      <c r="AM215" s="39" t="s">
        <v>96</v>
      </c>
      <c r="AN215" s="39" t="s">
        <v>3389</v>
      </c>
      <c r="AO215" s="39" t="s">
        <v>557</v>
      </c>
      <c r="AP215" s="39" t="s">
        <v>3570</v>
      </c>
      <c r="AQ215" s="43"/>
      <c r="AR215" s="43"/>
    </row>
    <row r="216">
      <c r="A216" s="21">
        <f t="shared" si="6"/>
        <v>205</v>
      </c>
      <c r="B216" s="39" t="s">
        <v>3571</v>
      </c>
      <c r="C216" s="57" t="s">
        <v>3572</v>
      </c>
      <c r="D216" s="39">
        <v>19.0</v>
      </c>
      <c r="E216" s="39">
        <v>1.0</v>
      </c>
      <c r="F216" s="39" t="s">
        <v>50</v>
      </c>
      <c r="G216" s="39" t="s">
        <v>51</v>
      </c>
      <c r="H216" s="42">
        <v>39845.0</v>
      </c>
      <c r="I216" s="39" t="s">
        <v>307</v>
      </c>
      <c r="J216" s="39" t="s">
        <v>308</v>
      </c>
      <c r="K216" s="39" t="s">
        <v>195</v>
      </c>
      <c r="L216" s="39" t="s">
        <v>105</v>
      </c>
      <c r="M216" s="42">
        <v>44835.0</v>
      </c>
      <c r="N216" s="39" t="s">
        <v>141</v>
      </c>
      <c r="O216" s="39" t="s">
        <v>196</v>
      </c>
      <c r="P216" s="43"/>
      <c r="Q216" s="39" t="s">
        <v>59</v>
      </c>
      <c r="R216" s="42">
        <v>46082.0</v>
      </c>
      <c r="S216" s="39" t="s">
        <v>3573</v>
      </c>
      <c r="T216" s="46"/>
      <c r="U216" s="39" t="s">
        <v>105</v>
      </c>
      <c r="V216" s="39" t="s">
        <v>285</v>
      </c>
      <c r="W216" s="39" t="s">
        <v>399</v>
      </c>
      <c r="X216" s="39" t="s">
        <v>3574</v>
      </c>
      <c r="Y216" s="39" t="s">
        <v>2908</v>
      </c>
      <c r="Z216" s="39" t="s">
        <v>114</v>
      </c>
      <c r="AA216" s="45">
        <v>46025.0</v>
      </c>
      <c r="AB216" s="46"/>
      <c r="AC216" s="23">
        <v>210.0</v>
      </c>
      <c r="AD216" s="39" t="s">
        <v>66</v>
      </c>
      <c r="AE216" s="39" t="s">
        <v>67</v>
      </c>
      <c r="AF216" s="39" t="s">
        <v>2117</v>
      </c>
      <c r="AG216" s="39" t="s">
        <v>68</v>
      </c>
      <c r="AH216" s="39" t="s">
        <v>69</v>
      </c>
      <c r="AI216" s="39">
        <v>8.1245978368E10</v>
      </c>
      <c r="AJ216" s="39" t="s">
        <v>3575</v>
      </c>
      <c r="AK216" s="39" t="s">
        <v>3576</v>
      </c>
      <c r="AL216" s="39" t="s">
        <v>3577</v>
      </c>
      <c r="AM216" s="39" t="s">
        <v>96</v>
      </c>
      <c r="AN216" s="39" t="s">
        <v>97</v>
      </c>
      <c r="AO216" s="39" t="s">
        <v>1576</v>
      </c>
      <c r="AP216" s="39" t="s">
        <v>3578</v>
      </c>
      <c r="AQ216" s="43"/>
      <c r="AR216" s="43"/>
    </row>
    <row r="217">
      <c r="A217" s="21">
        <f t="shared" si="6"/>
        <v>206</v>
      </c>
      <c r="B217" s="39" t="s">
        <v>3579</v>
      </c>
      <c r="C217" s="40" t="s">
        <v>3580</v>
      </c>
      <c r="D217" s="41">
        <v>11.0</v>
      </c>
      <c r="E217" s="41">
        <v>9.0</v>
      </c>
      <c r="F217" s="39" t="s">
        <v>171</v>
      </c>
      <c r="G217" s="39" t="s">
        <v>172</v>
      </c>
      <c r="H217" s="42">
        <v>40544.0</v>
      </c>
      <c r="I217" s="39" t="s">
        <v>182</v>
      </c>
      <c r="J217" s="39" t="s">
        <v>183</v>
      </c>
      <c r="K217" s="39" t="s">
        <v>417</v>
      </c>
      <c r="L217" s="39" t="s">
        <v>105</v>
      </c>
      <c r="M217" s="42">
        <v>45566.0</v>
      </c>
      <c r="N217" s="39" t="s">
        <v>141</v>
      </c>
      <c r="O217" s="39" t="s">
        <v>173</v>
      </c>
      <c r="P217" s="43"/>
      <c r="Q217" s="39" t="s">
        <v>86</v>
      </c>
      <c r="R217" s="42">
        <v>45292.0</v>
      </c>
      <c r="S217" s="39" t="s">
        <v>143</v>
      </c>
      <c r="T217" s="44"/>
      <c r="U217" s="39" t="s">
        <v>144</v>
      </c>
      <c r="V217" s="39" t="s">
        <v>89</v>
      </c>
      <c r="W217" s="39" t="s">
        <v>230</v>
      </c>
      <c r="X217" s="39" t="s">
        <v>219</v>
      </c>
      <c r="Y217" s="39" t="s">
        <v>3581</v>
      </c>
      <c r="Z217" s="39" t="s">
        <v>114</v>
      </c>
      <c r="AA217" s="45">
        <v>51144.0</v>
      </c>
      <c r="AB217" s="46"/>
      <c r="AC217" s="23">
        <v>211.0</v>
      </c>
      <c r="AD217" s="39" t="s">
        <v>66</v>
      </c>
      <c r="AE217" s="39" t="s">
        <v>67</v>
      </c>
      <c r="AF217" s="39" t="s">
        <v>92</v>
      </c>
      <c r="AG217" s="39" t="s">
        <v>130</v>
      </c>
      <c r="AH217" s="39" t="s">
        <v>288</v>
      </c>
      <c r="AI217" s="39">
        <v>8.116098008E9</v>
      </c>
      <c r="AJ217" s="39" t="s">
        <v>3582</v>
      </c>
      <c r="AK217" s="39" t="s">
        <v>3583</v>
      </c>
      <c r="AL217" s="39" t="s">
        <v>3584</v>
      </c>
      <c r="AM217" s="39" t="s">
        <v>96</v>
      </c>
      <c r="AN217" s="39" t="s">
        <v>97</v>
      </c>
      <c r="AO217" s="39" t="s">
        <v>213</v>
      </c>
      <c r="AP217" s="39" t="s">
        <v>214</v>
      </c>
      <c r="AQ217" s="43"/>
      <c r="AR217" s="43"/>
    </row>
    <row r="218">
      <c r="A218" s="21">
        <f t="shared" si="6"/>
        <v>207</v>
      </c>
      <c r="B218" s="39" t="s">
        <v>3585</v>
      </c>
      <c r="C218" s="57" t="s">
        <v>3586</v>
      </c>
      <c r="D218" s="39">
        <v>18.0</v>
      </c>
      <c r="E218" s="39">
        <v>7.0</v>
      </c>
      <c r="F218" s="39" t="s">
        <v>50</v>
      </c>
      <c r="G218" s="39" t="s">
        <v>51</v>
      </c>
      <c r="H218" s="42">
        <v>40179.0</v>
      </c>
      <c r="I218" s="39" t="s">
        <v>80</v>
      </c>
      <c r="J218" s="39" t="s">
        <v>81</v>
      </c>
      <c r="K218" s="39" t="s">
        <v>1399</v>
      </c>
      <c r="L218" s="39" t="s">
        <v>105</v>
      </c>
      <c r="M218" s="42">
        <v>44835.0</v>
      </c>
      <c r="N218" s="39" t="s">
        <v>141</v>
      </c>
      <c r="O218" s="39" t="s">
        <v>229</v>
      </c>
      <c r="P218" s="43"/>
      <c r="Q218" s="39" t="s">
        <v>59</v>
      </c>
      <c r="R218" s="42">
        <v>45292.0</v>
      </c>
      <c r="S218" s="39" t="s">
        <v>143</v>
      </c>
      <c r="T218" s="46"/>
      <c r="U218" s="39" t="s">
        <v>144</v>
      </c>
      <c r="V218" s="39" t="s">
        <v>89</v>
      </c>
      <c r="W218" s="39" t="s">
        <v>218</v>
      </c>
      <c r="X218" s="39" t="s">
        <v>219</v>
      </c>
      <c r="Y218" s="39" t="s">
        <v>3587</v>
      </c>
      <c r="Z218" s="43"/>
      <c r="AA218" s="45">
        <v>50777.0</v>
      </c>
      <c r="AB218" s="46"/>
      <c r="AC218" s="23">
        <v>212.0</v>
      </c>
      <c r="AD218" s="39" t="s">
        <v>66</v>
      </c>
      <c r="AE218" s="39" t="s">
        <v>67</v>
      </c>
      <c r="AF218" s="39" t="s">
        <v>92</v>
      </c>
      <c r="AG218" s="39" t="s">
        <v>130</v>
      </c>
      <c r="AH218" s="39" t="s">
        <v>288</v>
      </c>
      <c r="AI218" s="39">
        <v>8.5275731655E10</v>
      </c>
      <c r="AJ218" s="39" t="s">
        <v>3588</v>
      </c>
      <c r="AK218" s="39" t="s">
        <v>3589</v>
      </c>
      <c r="AL218" s="39" t="s">
        <v>3590</v>
      </c>
      <c r="AM218" s="39" t="s">
        <v>96</v>
      </c>
      <c r="AN218" s="43"/>
      <c r="AO218" s="39" t="s">
        <v>3514</v>
      </c>
      <c r="AP218" s="39" t="s">
        <v>3515</v>
      </c>
      <c r="AQ218" s="43"/>
      <c r="AR218" s="43"/>
    </row>
    <row r="219">
      <c r="A219" s="21">
        <f t="shared" si="6"/>
        <v>208</v>
      </c>
      <c r="B219" s="49" t="s">
        <v>3591</v>
      </c>
      <c r="C219" s="50" t="s">
        <v>3592</v>
      </c>
      <c r="D219" s="49">
        <v>0.0</v>
      </c>
      <c r="E219" s="49">
        <v>0.0</v>
      </c>
      <c r="F219" s="49" t="s">
        <v>80</v>
      </c>
      <c r="G219" s="49" t="s">
        <v>81</v>
      </c>
      <c r="H219" s="51">
        <v>45778.0</v>
      </c>
      <c r="I219" s="49" t="s">
        <v>80</v>
      </c>
      <c r="J219" s="49" t="s">
        <v>81</v>
      </c>
      <c r="K219" s="49" t="s">
        <v>240</v>
      </c>
      <c r="L219" s="49" t="s">
        <v>105</v>
      </c>
      <c r="M219" s="51">
        <v>45778.0</v>
      </c>
      <c r="N219" s="49" t="s">
        <v>141</v>
      </c>
      <c r="O219" s="49" t="s">
        <v>1670</v>
      </c>
      <c r="P219" s="52"/>
      <c r="Q219" s="49" t="s">
        <v>3542</v>
      </c>
      <c r="R219" s="51">
        <v>45778.0</v>
      </c>
      <c r="S219" s="49" t="s">
        <v>242</v>
      </c>
      <c r="T219" s="53"/>
      <c r="U219" s="49" t="s">
        <v>105</v>
      </c>
      <c r="V219" s="49" t="s">
        <v>89</v>
      </c>
      <c r="W219" s="49" t="s">
        <v>230</v>
      </c>
      <c r="X219" s="49" t="s">
        <v>260</v>
      </c>
      <c r="Y219" s="49" t="s">
        <v>3593</v>
      </c>
      <c r="Z219" s="52"/>
      <c r="AA219" s="146">
        <v>57719.0</v>
      </c>
      <c r="AB219" s="52"/>
      <c r="AC219" s="23">
        <v>213.0</v>
      </c>
      <c r="AD219" s="49" t="s">
        <v>5</v>
      </c>
      <c r="AE219" s="49" t="s">
        <v>67</v>
      </c>
      <c r="AF219" s="49" t="s">
        <v>129</v>
      </c>
      <c r="AG219" s="49" t="s">
        <v>68</v>
      </c>
      <c r="AH219" s="49" t="s">
        <v>246</v>
      </c>
      <c r="AI219" s="49">
        <v>8.2290552773E10</v>
      </c>
      <c r="AJ219" s="49" t="s">
        <v>3594</v>
      </c>
      <c r="AK219" s="49" t="s">
        <v>3595</v>
      </c>
      <c r="AL219" s="49" t="s">
        <v>3596</v>
      </c>
      <c r="AM219" s="49" t="s">
        <v>73</v>
      </c>
      <c r="AN219" s="49" t="s">
        <v>3597</v>
      </c>
      <c r="AO219" s="49" t="s">
        <v>3598</v>
      </c>
      <c r="AP219" s="49" t="s">
        <v>3599</v>
      </c>
      <c r="AQ219" s="49">
        <v>5.0</v>
      </c>
      <c r="AR219" s="49">
        <v>0.0</v>
      </c>
    </row>
    <row r="220">
      <c r="A220" s="21"/>
      <c r="B220" s="248" t="s">
        <v>3849</v>
      </c>
      <c r="C220" s="254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  <c r="AA220" s="116"/>
      <c r="AB220" s="116"/>
      <c r="AC220" s="23">
        <v>214.0</v>
      </c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  <c r="AO220" s="119"/>
      <c r="AP220" s="119"/>
      <c r="AQ220" s="119"/>
      <c r="AR220" s="119"/>
    </row>
    <row r="221">
      <c r="A221" s="21">
        <f>sum(A219+1)</f>
        <v>209</v>
      </c>
      <c r="B221" s="21" t="s">
        <v>3850</v>
      </c>
      <c r="C221" s="38" t="s">
        <v>3851</v>
      </c>
      <c r="D221" s="23">
        <v>13.0</v>
      </c>
      <c r="E221" s="23">
        <v>0.0</v>
      </c>
      <c r="F221" s="23" t="s">
        <v>50</v>
      </c>
      <c r="G221" s="23" t="s">
        <v>51</v>
      </c>
      <c r="H221" s="24">
        <v>39083.0</v>
      </c>
      <c r="I221" s="21" t="s">
        <v>82</v>
      </c>
      <c r="J221" s="21" t="s">
        <v>83</v>
      </c>
      <c r="K221" s="21" t="s">
        <v>195</v>
      </c>
      <c r="L221" s="21" t="s">
        <v>105</v>
      </c>
      <c r="M221" s="25">
        <v>44835.0</v>
      </c>
      <c r="N221" s="23" t="s">
        <v>56</v>
      </c>
      <c r="O221" s="21" t="s">
        <v>3852</v>
      </c>
      <c r="P221" s="23" t="s">
        <v>107</v>
      </c>
      <c r="Q221" s="21" t="s">
        <v>3853</v>
      </c>
      <c r="R221" s="24">
        <v>46076.0</v>
      </c>
      <c r="S221" s="23" t="s">
        <v>87</v>
      </c>
      <c r="T221" s="29"/>
      <c r="U221" s="23" t="s">
        <v>105</v>
      </c>
      <c r="V221" s="21" t="s">
        <v>89</v>
      </c>
      <c r="W221" s="21" t="s">
        <v>3854</v>
      </c>
      <c r="X221" s="21" t="s">
        <v>3855</v>
      </c>
      <c r="Y221" s="27">
        <v>40065.0</v>
      </c>
      <c r="Z221" s="23" t="s">
        <v>65</v>
      </c>
      <c r="AA221" s="28">
        <v>52970.0</v>
      </c>
      <c r="AB221" s="29"/>
      <c r="AC221" s="23">
        <v>215.0</v>
      </c>
      <c r="AD221" s="21" t="s">
        <v>66</v>
      </c>
      <c r="AE221" s="21" t="s">
        <v>67</v>
      </c>
      <c r="AF221" s="21" t="s">
        <v>92</v>
      </c>
      <c r="AG221" s="21" t="s">
        <v>68</v>
      </c>
      <c r="AH221" s="21" t="s">
        <v>131</v>
      </c>
      <c r="AI221" s="21">
        <v>8.1260360421E10</v>
      </c>
      <c r="AJ221" s="21" t="s">
        <v>3856</v>
      </c>
      <c r="AK221" s="21" t="s">
        <v>3857</v>
      </c>
      <c r="AL221" s="21" t="s">
        <v>3858</v>
      </c>
      <c r="AM221" s="21" t="s">
        <v>73</v>
      </c>
      <c r="AN221" s="21" t="s">
        <v>74</v>
      </c>
      <c r="AO221" s="21" t="s">
        <v>774</v>
      </c>
      <c r="AP221" s="21" t="s">
        <v>775</v>
      </c>
      <c r="AQ221" s="21" t="s">
        <v>77</v>
      </c>
      <c r="AR221" s="21" t="s">
        <v>77</v>
      </c>
    </row>
    <row r="222">
      <c r="A222" s="21">
        <f t="shared" ref="A222:A229" si="7">SUM(A221+1)</f>
        <v>210</v>
      </c>
      <c r="B222" s="21" t="s">
        <v>3859</v>
      </c>
      <c r="C222" s="38" t="s">
        <v>3860</v>
      </c>
      <c r="D222" s="23">
        <v>14.0</v>
      </c>
      <c r="E222" s="23">
        <v>1.0</v>
      </c>
      <c r="F222" s="23" t="s">
        <v>50</v>
      </c>
      <c r="G222" s="23" t="s">
        <v>51</v>
      </c>
      <c r="H222" s="24">
        <v>40179.0</v>
      </c>
      <c r="I222" s="21" t="s">
        <v>102</v>
      </c>
      <c r="J222" s="21" t="s">
        <v>103</v>
      </c>
      <c r="K222" s="21" t="s">
        <v>104</v>
      </c>
      <c r="L222" s="21" t="s">
        <v>105</v>
      </c>
      <c r="M222" s="25">
        <v>45017.0</v>
      </c>
      <c r="N222" s="23" t="s">
        <v>56</v>
      </c>
      <c r="O222" s="21" t="s">
        <v>3861</v>
      </c>
      <c r="P222" s="23" t="s">
        <v>3549</v>
      </c>
      <c r="Q222" s="21" t="s">
        <v>3862</v>
      </c>
      <c r="R222" s="24">
        <v>45000.0</v>
      </c>
      <c r="S222" s="23" t="s">
        <v>3863</v>
      </c>
      <c r="T222" s="29"/>
      <c r="U222" s="23" t="s">
        <v>88</v>
      </c>
      <c r="V222" s="21" t="s">
        <v>89</v>
      </c>
      <c r="W222" s="30"/>
      <c r="X222" s="21" t="s">
        <v>1010</v>
      </c>
      <c r="Y222" s="21" t="s">
        <v>3864</v>
      </c>
      <c r="Z222" s="23" t="s">
        <v>114</v>
      </c>
      <c r="AA222" s="28">
        <v>46388.0</v>
      </c>
      <c r="AB222" s="29"/>
      <c r="AC222" s="23">
        <v>216.0</v>
      </c>
      <c r="AD222" s="21" t="s">
        <v>66</v>
      </c>
      <c r="AE222" s="21" t="s">
        <v>67</v>
      </c>
      <c r="AF222" s="30"/>
      <c r="AG222" s="21" t="s">
        <v>68</v>
      </c>
      <c r="AH222" s="21" t="s">
        <v>131</v>
      </c>
      <c r="AI222" s="21">
        <v>8.5361865488E10</v>
      </c>
      <c r="AJ222" s="21" t="s">
        <v>3865</v>
      </c>
      <c r="AK222" s="21" t="s">
        <v>3866</v>
      </c>
      <c r="AL222" s="21" t="s">
        <v>3867</v>
      </c>
      <c r="AM222" s="21" t="s">
        <v>96</v>
      </c>
      <c r="AN222" s="21" t="s">
        <v>97</v>
      </c>
      <c r="AO222" s="21" t="s">
        <v>98</v>
      </c>
      <c r="AP222" s="21" t="s">
        <v>2220</v>
      </c>
      <c r="AQ222" s="30"/>
      <c r="AR222" s="30"/>
    </row>
    <row r="223">
      <c r="A223" s="21">
        <f t="shared" si="7"/>
        <v>211</v>
      </c>
      <c r="B223" s="39" t="s">
        <v>3868</v>
      </c>
      <c r="C223" s="57" t="s">
        <v>3869</v>
      </c>
      <c r="D223" s="39">
        <v>17.0</v>
      </c>
      <c r="E223" s="39">
        <v>7.0</v>
      </c>
      <c r="F223" s="39" t="s">
        <v>50</v>
      </c>
      <c r="G223" s="39" t="s">
        <v>51</v>
      </c>
      <c r="H223" s="42">
        <v>34029.0</v>
      </c>
      <c r="I223" s="39" t="s">
        <v>82</v>
      </c>
      <c r="J223" s="39" t="s">
        <v>83</v>
      </c>
      <c r="K223" s="39" t="s">
        <v>3870</v>
      </c>
      <c r="L223" s="39" t="s">
        <v>61</v>
      </c>
      <c r="M223" s="42">
        <v>42278.0</v>
      </c>
      <c r="N223" s="39" t="s">
        <v>141</v>
      </c>
      <c r="O223" s="39" t="s">
        <v>229</v>
      </c>
      <c r="P223" s="43"/>
      <c r="Q223" s="39" t="s">
        <v>59</v>
      </c>
      <c r="R223" s="42">
        <v>45292.0</v>
      </c>
      <c r="S223" s="39" t="s">
        <v>143</v>
      </c>
      <c r="T223" s="46"/>
      <c r="U223" s="39" t="s">
        <v>144</v>
      </c>
      <c r="V223" s="39" t="s">
        <v>89</v>
      </c>
      <c r="W223" s="39" t="s">
        <v>218</v>
      </c>
      <c r="X223" s="39" t="s">
        <v>3871</v>
      </c>
      <c r="Y223" s="39" t="s">
        <v>3872</v>
      </c>
      <c r="Z223" s="43"/>
      <c r="AA223" s="45">
        <v>46032.0</v>
      </c>
      <c r="AB223" s="46"/>
      <c r="AC223" s="23">
        <v>217.0</v>
      </c>
      <c r="AD223" s="39" t="s">
        <v>66</v>
      </c>
      <c r="AE223" s="39" t="s">
        <v>67</v>
      </c>
      <c r="AF223" s="65"/>
      <c r="AG223" s="39" t="s">
        <v>130</v>
      </c>
      <c r="AH223" s="39" t="s">
        <v>288</v>
      </c>
      <c r="AI223" s="39">
        <v>8.236977332E10</v>
      </c>
      <c r="AJ223" s="39" t="s">
        <v>3873</v>
      </c>
      <c r="AK223" s="39" t="s">
        <v>3874</v>
      </c>
      <c r="AL223" s="39" t="s">
        <v>3875</v>
      </c>
      <c r="AM223" s="39" t="s">
        <v>96</v>
      </c>
      <c r="AN223" s="39" t="s">
        <v>135</v>
      </c>
      <c r="AO223" s="39" t="s">
        <v>499</v>
      </c>
      <c r="AP223" s="39" t="s">
        <v>1396</v>
      </c>
      <c r="AQ223" s="43"/>
      <c r="AR223" s="43"/>
    </row>
    <row r="224">
      <c r="A224" s="21">
        <f t="shared" si="7"/>
        <v>212</v>
      </c>
      <c r="B224" s="39" t="s">
        <v>3876</v>
      </c>
      <c r="C224" s="57" t="s">
        <v>3877</v>
      </c>
      <c r="D224" s="39">
        <v>24.0</v>
      </c>
      <c r="E224" s="39">
        <v>1.0</v>
      </c>
      <c r="F224" s="39" t="s">
        <v>50</v>
      </c>
      <c r="G224" s="39" t="s">
        <v>51</v>
      </c>
      <c r="H224" s="42">
        <v>34639.0</v>
      </c>
      <c r="I224" s="39" t="s">
        <v>82</v>
      </c>
      <c r="J224" s="39" t="s">
        <v>83</v>
      </c>
      <c r="K224" s="39" t="s">
        <v>228</v>
      </c>
      <c r="L224" s="39" t="s">
        <v>105</v>
      </c>
      <c r="M224" s="42">
        <v>44652.0</v>
      </c>
      <c r="N224" s="39" t="s">
        <v>141</v>
      </c>
      <c r="O224" s="39" t="s">
        <v>173</v>
      </c>
      <c r="P224" s="43"/>
      <c r="Q224" s="39" t="s">
        <v>59</v>
      </c>
      <c r="R224" s="42">
        <v>45292.0</v>
      </c>
      <c r="S224" s="39" t="s">
        <v>143</v>
      </c>
      <c r="T224" s="46"/>
      <c r="U224" s="39" t="s">
        <v>144</v>
      </c>
      <c r="V224" s="39" t="s">
        <v>89</v>
      </c>
      <c r="W224" s="39" t="s">
        <v>218</v>
      </c>
      <c r="X224" s="39" t="s">
        <v>3878</v>
      </c>
      <c r="Y224" s="39" t="s">
        <v>3879</v>
      </c>
      <c r="Z224" s="43"/>
      <c r="AA224" s="45">
        <v>46758.0</v>
      </c>
      <c r="AB224" s="46"/>
      <c r="AC224" s="23">
        <v>218.0</v>
      </c>
      <c r="AD224" s="39" t="s">
        <v>66</v>
      </c>
      <c r="AE224" s="39" t="s">
        <v>67</v>
      </c>
      <c r="AF224" s="39" t="s">
        <v>92</v>
      </c>
      <c r="AG224" s="39" t="s">
        <v>130</v>
      </c>
      <c r="AH224" s="39" t="s">
        <v>69</v>
      </c>
      <c r="AI224" s="39">
        <v>8.1269894973E10</v>
      </c>
      <c r="AJ224" s="39" t="s">
        <v>3880</v>
      </c>
      <c r="AK224" s="39" t="s">
        <v>3881</v>
      </c>
      <c r="AL224" s="39" t="s">
        <v>3882</v>
      </c>
      <c r="AM224" s="39" t="s">
        <v>96</v>
      </c>
      <c r="AN224" s="39" t="s">
        <v>97</v>
      </c>
      <c r="AO224" s="39" t="s">
        <v>499</v>
      </c>
      <c r="AP224" s="39" t="s">
        <v>3883</v>
      </c>
      <c r="AQ224" s="43"/>
      <c r="AR224" s="43"/>
    </row>
    <row r="225">
      <c r="A225" s="21">
        <f t="shared" si="7"/>
        <v>213</v>
      </c>
      <c r="B225" s="39" t="s">
        <v>3884</v>
      </c>
      <c r="C225" s="57" t="s">
        <v>3885</v>
      </c>
      <c r="D225" s="39">
        <v>16.0</v>
      </c>
      <c r="E225" s="39">
        <v>3.0</v>
      </c>
      <c r="F225" s="39" t="s">
        <v>80</v>
      </c>
      <c r="G225" s="39" t="s">
        <v>81</v>
      </c>
      <c r="H225" s="42">
        <v>39873.0</v>
      </c>
      <c r="I225" s="39" t="s">
        <v>82</v>
      </c>
      <c r="J225" s="39" t="s">
        <v>83</v>
      </c>
      <c r="K225" s="39" t="s">
        <v>1505</v>
      </c>
      <c r="L225" s="39" t="s">
        <v>88</v>
      </c>
      <c r="M225" s="42">
        <v>44287.0</v>
      </c>
      <c r="N225" s="39" t="s">
        <v>141</v>
      </c>
      <c r="O225" s="39" t="s">
        <v>173</v>
      </c>
      <c r="P225" s="43"/>
      <c r="Q225" s="39" t="s">
        <v>59</v>
      </c>
      <c r="R225" s="42">
        <v>45292.0</v>
      </c>
      <c r="S225" s="39" t="s">
        <v>143</v>
      </c>
      <c r="T225" s="46"/>
      <c r="U225" s="39" t="s">
        <v>144</v>
      </c>
      <c r="V225" s="39" t="s">
        <v>89</v>
      </c>
      <c r="W225" s="39" t="s">
        <v>3886</v>
      </c>
      <c r="X225" s="39" t="s">
        <v>198</v>
      </c>
      <c r="Y225" s="39" t="s">
        <v>3887</v>
      </c>
      <c r="Z225" s="43"/>
      <c r="AA225" s="45">
        <v>50047.0</v>
      </c>
      <c r="AB225" s="46"/>
      <c r="AC225" s="23">
        <v>219.0</v>
      </c>
      <c r="AD225" s="39" t="s">
        <v>66</v>
      </c>
      <c r="AE225" s="39" t="s">
        <v>67</v>
      </c>
      <c r="AF225" s="43"/>
      <c r="AG225" s="39" t="s">
        <v>68</v>
      </c>
      <c r="AH225" s="39" t="s">
        <v>69</v>
      </c>
      <c r="AI225" s="39">
        <v>8.1361750344E10</v>
      </c>
      <c r="AJ225" s="39" t="s">
        <v>3888</v>
      </c>
      <c r="AK225" s="39" t="s">
        <v>3889</v>
      </c>
      <c r="AL225" s="39" t="s">
        <v>3890</v>
      </c>
      <c r="AM225" s="39" t="s">
        <v>96</v>
      </c>
      <c r="AN225" s="39" t="s">
        <v>3891</v>
      </c>
      <c r="AO225" s="39" t="s">
        <v>989</v>
      </c>
      <c r="AP225" s="39" t="s">
        <v>1585</v>
      </c>
      <c r="AQ225" s="39" t="s">
        <v>77</v>
      </c>
      <c r="AR225" s="39" t="s">
        <v>77</v>
      </c>
    </row>
    <row r="226">
      <c r="A226" s="21">
        <f t="shared" si="7"/>
        <v>214</v>
      </c>
      <c r="B226" s="39" t="s">
        <v>3892</v>
      </c>
      <c r="C226" s="57" t="s">
        <v>3893</v>
      </c>
      <c r="D226" s="39">
        <v>23.0</v>
      </c>
      <c r="E226" s="39">
        <v>2.0</v>
      </c>
      <c r="F226" s="39" t="s">
        <v>50</v>
      </c>
      <c r="G226" s="39" t="s">
        <v>51</v>
      </c>
      <c r="H226" s="42">
        <v>40664.0</v>
      </c>
      <c r="I226" s="39" t="s">
        <v>82</v>
      </c>
      <c r="J226" s="39" t="s">
        <v>83</v>
      </c>
      <c r="K226" s="39" t="s">
        <v>417</v>
      </c>
      <c r="L226" s="39" t="s">
        <v>105</v>
      </c>
      <c r="M226" s="42">
        <v>45566.0</v>
      </c>
      <c r="N226" s="39" t="s">
        <v>141</v>
      </c>
      <c r="O226" s="39" t="s">
        <v>229</v>
      </c>
      <c r="P226" s="43"/>
      <c r="Q226" s="39" t="s">
        <v>59</v>
      </c>
      <c r="R226" s="42">
        <v>45292.0</v>
      </c>
      <c r="S226" s="39" t="s">
        <v>143</v>
      </c>
      <c r="T226" s="46"/>
      <c r="U226" s="39" t="s">
        <v>144</v>
      </c>
      <c r="V226" s="39" t="s">
        <v>89</v>
      </c>
      <c r="W226" s="39" t="s">
        <v>90</v>
      </c>
      <c r="X226" s="39" t="s">
        <v>648</v>
      </c>
      <c r="Y226" s="39" t="s">
        <v>3894</v>
      </c>
      <c r="Z226" s="43"/>
      <c r="AA226" s="45">
        <v>48218.0</v>
      </c>
      <c r="AB226" s="46"/>
      <c r="AC226" s="23">
        <v>220.0</v>
      </c>
      <c r="AD226" s="39" t="s">
        <v>66</v>
      </c>
      <c r="AE226" s="39" t="s">
        <v>67</v>
      </c>
      <c r="AF226" s="39" t="s">
        <v>92</v>
      </c>
      <c r="AG226" s="39" t="s">
        <v>68</v>
      </c>
      <c r="AH226" s="39" t="s">
        <v>246</v>
      </c>
      <c r="AI226" s="39">
        <v>8.529666108E10</v>
      </c>
      <c r="AJ226" s="39" t="s">
        <v>3895</v>
      </c>
      <c r="AK226" s="39" t="s">
        <v>3896</v>
      </c>
      <c r="AL226" s="39" t="s">
        <v>3897</v>
      </c>
      <c r="AM226" s="39" t="s">
        <v>96</v>
      </c>
      <c r="AN226" s="39" t="s">
        <v>514</v>
      </c>
      <c r="AO226" s="39" t="s">
        <v>1291</v>
      </c>
      <c r="AP226" s="39" t="s">
        <v>3383</v>
      </c>
      <c r="AQ226" s="43"/>
      <c r="AR226" s="43"/>
    </row>
    <row r="227">
      <c r="A227" s="21">
        <f t="shared" si="7"/>
        <v>215</v>
      </c>
      <c r="B227" s="39" t="s">
        <v>3898</v>
      </c>
      <c r="C227" s="57" t="s">
        <v>3899</v>
      </c>
      <c r="D227" s="39">
        <v>19.0</v>
      </c>
      <c r="E227" s="39">
        <v>3.0</v>
      </c>
      <c r="F227" s="39" t="s">
        <v>50</v>
      </c>
      <c r="G227" s="39" t="s">
        <v>51</v>
      </c>
      <c r="H227" s="42">
        <v>39448.0</v>
      </c>
      <c r="I227" s="39" t="s">
        <v>102</v>
      </c>
      <c r="J227" s="39" t="s">
        <v>103</v>
      </c>
      <c r="K227" s="39" t="s">
        <v>3900</v>
      </c>
      <c r="L227" s="39" t="s">
        <v>105</v>
      </c>
      <c r="M227" s="42">
        <v>45017.0</v>
      </c>
      <c r="N227" s="39" t="s">
        <v>141</v>
      </c>
      <c r="O227" s="39" t="s">
        <v>229</v>
      </c>
      <c r="P227" s="43"/>
      <c r="Q227" s="39" t="s">
        <v>59</v>
      </c>
      <c r="R227" s="42">
        <v>45292.0</v>
      </c>
      <c r="S227" s="39" t="s">
        <v>143</v>
      </c>
      <c r="T227" s="46"/>
      <c r="U227" s="39" t="s">
        <v>144</v>
      </c>
      <c r="V227" s="39" t="s">
        <v>89</v>
      </c>
      <c r="W227" s="39" t="s">
        <v>2398</v>
      </c>
      <c r="X227" s="39" t="s">
        <v>3901</v>
      </c>
      <c r="Y227" s="39" t="s">
        <v>3902</v>
      </c>
      <c r="Z227" s="39" t="s">
        <v>114</v>
      </c>
      <c r="AA227" s="45">
        <v>47485.0</v>
      </c>
      <c r="AB227" s="46"/>
      <c r="AC227" s="23">
        <v>221.0</v>
      </c>
      <c r="AD227" s="39" t="s">
        <v>66</v>
      </c>
      <c r="AE227" s="39" t="s">
        <v>67</v>
      </c>
      <c r="AF227" s="39" t="s">
        <v>92</v>
      </c>
      <c r="AG227" s="39" t="s">
        <v>68</v>
      </c>
      <c r="AH227" s="39" t="s">
        <v>246</v>
      </c>
      <c r="AI227" s="39">
        <v>8.5275928795E10</v>
      </c>
      <c r="AJ227" s="39" t="s">
        <v>3903</v>
      </c>
      <c r="AK227" s="39" t="s">
        <v>3904</v>
      </c>
      <c r="AL227" s="39" t="s">
        <v>3905</v>
      </c>
      <c r="AM227" s="39" t="s">
        <v>96</v>
      </c>
      <c r="AN227" s="39" t="s">
        <v>150</v>
      </c>
      <c r="AO227" s="39" t="s">
        <v>151</v>
      </c>
      <c r="AP227" s="39" t="s">
        <v>343</v>
      </c>
      <c r="AQ227" s="43"/>
      <c r="AR227" s="43"/>
    </row>
    <row r="228">
      <c r="A228" s="21">
        <f t="shared" si="7"/>
        <v>216</v>
      </c>
      <c r="B228" s="39" t="s">
        <v>3906</v>
      </c>
      <c r="C228" s="57" t="s">
        <v>3907</v>
      </c>
      <c r="D228" s="39">
        <v>12.0</v>
      </c>
      <c r="E228" s="39">
        <v>3.0</v>
      </c>
      <c r="F228" s="39" t="s">
        <v>80</v>
      </c>
      <c r="G228" s="39" t="s">
        <v>81</v>
      </c>
      <c r="H228" s="42">
        <v>40179.0</v>
      </c>
      <c r="I228" s="39" t="s">
        <v>82</v>
      </c>
      <c r="J228" s="39" t="s">
        <v>83</v>
      </c>
      <c r="K228" s="39" t="s">
        <v>228</v>
      </c>
      <c r="L228" s="39" t="s">
        <v>105</v>
      </c>
      <c r="M228" s="42">
        <v>44652.0</v>
      </c>
      <c r="N228" s="39" t="s">
        <v>141</v>
      </c>
      <c r="O228" s="39" t="s">
        <v>173</v>
      </c>
      <c r="P228" s="43"/>
      <c r="Q228" s="39" t="s">
        <v>59</v>
      </c>
      <c r="R228" s="42">
        <v>45292.0</v>
      </c>
      <c r="S228" s="39" t="s">
        <v>143</v>
      </c>
      <c r="T228" s="46"/>
      <c r="U228" s="39" t="s">
        <v>144</v>
      </c>
      <c r="V228" s="39" t="s">
        <v>89</v>
      </c>
      <c r="W228" s="39" t="s">
        <v>3908</v>
      </c>
      <c r="X228" s="39" t="s">
        <v>244</v>
      </c>
      <c r="Y228" s="39" t="s">
        <v>3909</v>
      </c>
      <c r="Z228" s="43"/>
      <c r="AA228" s="45">
        <v>51877.0</v>
      </c>
      <c r="AB228" s="46"/>
      <c r="AC228" s="23">
        <v>222.0</v>
      </c>
      <c r="AD228" s="39" t="s">
        <v>66</v>
      </c>
      <c r="AE228" s="39" t="s">
        <v>67</v>
      </c>
      <c r="AF228" s="39" t="s">
        <v>92</v>
      </c>
      <c r="AG228" s="39" t="s">
        <v>130</v>
      </c>
      <c r="AH228" s="39" t="s">
        <v>131</v>
      </c>
      <c r="AI228" s="39">
        <v>8.5371197302E10</v>
      </c>
      <c r="AJ228" s="39" t="s">
        <v>3910</v>
      </c>
      <c r="AK228" s="39" t="s">
        <v>3911</v>
      </c>
      <c r="AL228" s="39" t="s">
        <v>3912</v>
      </c>
      <c r="AM228" s="39" t="s">
        <v>96</v>
      </c>
      <c r="AN228" s="39" t="s">
        <v>414</v>
      </c>
      <c r="AO228" s="39" t="s">
        <v>292</v>
      </c>
      <c r="AP228" s="39" t="s">
        <v>1711</v>
      </c>
      <c r="AQ228" s="43"/>
      <c r="AR228" s="43"/>
    </row>
    <row r="229">
      <c r="A229" s="21">
        <f t="shared" si="7"/>
        <v>217</v>
      </c>
      <c r="B229" s="49" t="s">
        <v>3913</v>
      </c>
      <c r="C229" s="50" t="s">
        <v>3914</v>
      </c>
      <c r="D229" s="49">
        <v>0.0</v>
      </c>
      <c r="E229" s="49">
        <v>0.0</v>
      </c>
      <c r="F229" s="49" t="s">
        <v>80</v>
      </c>
      <c r="G229" s="49" t="s">
        <v>81</v>
      </c>
      <c r="H229" s="51">
        <v>45778.0</v>
      </c>
      <c r="I229" s="49" t="s">
        <v>80</v>
      </c>
      <c r="J229" s="49" t="s">
        <v>81</v>
      </c>
      <c r="K229" s="49" t="s">
        <v>240</v>
      </c>
      <c r="L229" s="49" t="s">
        <v>105</v>
      </c>
      <c r="M229" s="51">
        <v>45778.0</v>
      </c>
      <c r="N229" s="49" t="s">
        <v>141</v>
      </c>
      <c r="O229" s="49" t="s">
        <v>1670</v>
      </c>
      <c r="P229" s="52"/>
      <c r="Q229" s="49" t="s">
        <v>3853</v>
      </c>
      <c r="R229" s="51">
        <v>45778.0</v>
      </c>
      <c r="S229" s="49" t="s">
        <v>242</v>
      </c>
      <c r="T229" s="53"/>
      <c r="U229" s="49" t="s">
        <v>105</v>
      </c>
      <c r="V229" s="49" t="s">
        <v>89</v>
      </c>
      <c r="W229" s="49" t="s">
        <v>2185</v>
      </c>
      <c r="X229" s="49" t="s">
        <v>3915</v>
      </c>
      <c r="Y229" s="49" t="s">
        <v>3916</v>
      </c>
      <c r="Z229" s="52"/>
      <c r="AA229" s="146">
        <v>55888.0</v>
      </c>
      <c r="AB229" s="52"/>
      <c r="AC229" s="23">
        <v>223.0</v>
      </c>
      <c r="AD229" s="49" t="s">
        <v>5</v>
      </c>
      <c r="AE229" s="49" t="s">
        <v>220</v>
      </c>
      <c r="AF229" s="49" t="s">
        <v>129</v>
      </c>
      <c r="AG229" s="49" t="s">
        <v>130</v>
      </c>
      <c r="AH229" s="49" t="s">
        <v>246</v>
      </c>
      <c r="AI229" s="49">
        <v>8.5361171097E10</v>
      </c>
      <c r="AJ229" s="49" t="s">
        <v>3917</v>
      </c>
      <c r="AK229" s="49" t="s">
        <v>3918</v>
      </c>
      <c r="AL229" s="49" t="s">
        <v>3919</v>
      </c>
      <c r="AM229" s="49" t="s">
        <v>96</v>
      </c>
      <c r="AN229" s="49" t="s">
        <v>3920</v>
      </c>
      <c r="AO229" s="49" t="s">
        <v>3921</v>
      </c>
      <c r="AP229" s="49" t="s">
        <v>3922</v>
      </c>
      <c r="AQ229" s="52"/>
      <c r="AR229" s="52"/>
    </row>
    <row r="230">
      <c r="A230" s="21"/>
      <c r="B230" s="248" t="s">
        <v>4204</v>
      </c>
      <c r="C230" s="254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  <c r="AA230" s="116"/>
      <c r="AB230" s="116"/>
      <c r="AC230" s="23">
        <v>224.0</v>
      </c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  <c r="AO230" s="119"/>
      <c r="AP230" s="119"/>
      <c r="AQ230" s="119"/>
      <c r="AR230" s="119"/>
    </row>
    <row r="231">
      <c r="A231" s="21">
        <f>SUM(A229+1)</f>
        <v>218</v>
      </c>
      <c r="B231" s="21" t="s">
        <v>4205</v>
      </c>
      <c r="C231" s="31" t="s">
        <v>4206</v>
      </c>
      <c r="D231" s="23">
        <v>18.0</v>
      </c>
      <c r="E231" s="23">
        <v>4.0</v>
      </c>
      <c r="F231" s="23" t="s">
        <v>171</v>
      </c>
      <c r="G231" s="23" t="s">
        <v>172</v>
      </c>
      <c r="H231" s="32">
        <v>37956.0</v>
      </c>
      <c r="I231" s="21" t="s">
        <v>254</v>
      </c>
      <c r="J231" s="21" t="s">
        <v>255</v>
      </c>
      <c r="K231" s="21" t="s">
        <v>494</v>
      </c>
      <c r="L231" s="21" t="s">
        <v>495</v>
      </c>
      <c r="M231" s="33">
        <v>45383.0</v>
      </c>
      <c r="N231" s="23" t="s">
        <v>56</v>
      </c>
      <c r="O231" s="21" t="s">
        <v>4207</v>
      </c>
      <c r="P231" s="23" t="s">
        <v>107</v>
      </c>
      <c r="Q231" s="21" t="s">
        <v>4208</v>
      </c>
      <c r="R231" s="32">
        <v>46076.0</v>
      </c>
      <c r="S231" s="23" t="s">
        <v>87</v>
      </c>
      <c r="T231" s="35"/>
      <c r="U231" s="23" t="s">
        <v>105</v>
      </c>
      <c r="V231" s="21" t="s">
        <v>159</v>
      </c>
      <c r="W231" s="21" t="s">
        <v>218</v>
      </c>
      <c r="X231" s="21" t="s">
        <v>745</v>
      </c>
      <c r="Y231" s="21" t="s">
        <v>3394</v>
      </c>
      <c r="Z231" s="21" t="s">
        <v>114</v>
      </c>
      <c r="AA231" s="32">
        <v>50048.0</v>
      </c>
      <c r="AB231" s="35"/>
      <c r="AC231" s="23">
        <v>225.0</v>
      </c>
      <c r="AD231" s="21" t="s">
        <v>66</v>
      </c>
      <c r="AE231" s="21" t="s">
        <v>67</v>
      </c>
      <c r="AF231" s="187"/>
      <c r="AG231" s="21" t="s">
        <v>68</v>
      </c>
      <c r="AH231" s="187"/>
      <c r="AI231" s="21">
        <v>8.5297232777E10</v>
      </c>
      <c r="AJ231" s="21" t="s">
        <v>4209</v>
      </c>
      <c r="AK231" s="21" t="s">
        <v>4210</v>
      </c>
      <c r="AL231" s="21" t="s">
        <v>4211</v>
      </c>
      <c r="AM231" s="21" t="s">
        <v>96</v>
      </c>
      <c r="AN231" s="21" t="s">
        <v>135</v>
      </c>
      <c r="AO231" s="21" t="s">
        <v>236</v>
      </c>
      <c r="AP231" s="21" t="s">
        <v>152</v>
      </c>
      <c r="AQ231" s="37"/>
      <c r="AR231" s="37"/>
    </row>
    <row r="232">
      <c r="A232" s="21">
        <f t="shared" ref="A232:A239" si="8">SUM(A231+1)</f>
        <v>219</v>
      </c>
      <c r="B232" s="21" t="s">
        <v>4212</v>
      </c>
      <c r="C232" s="31" t="s">
        <v>4213</v>
      </c>
      <c r="D232" s="23">
        <v>12.0</v>
      </c>
      <c r="E232" s="23">
        <v>0.0</v>
      </c>
      <c r="F232" s="23" t="s">
        <v>82</v>
      </c>
      <c r="G232" s="23" t="s">
        <v>83</v>
      </c>
      <c r="H232" s="32">
        <v>43191.0</v>
      </c>
      <c r="I232" s="21" t="s">
        <v>82</v>
      </c>
      <c r="J232" s="21" t="s">
        <v>83</v>
      </c>
      <c r="K232" s="21" t="s">
        <v>4214</v>
      </c>
      <c r="L232" s="21" t="s">
        <v>4215</v>
      </c>
      <c r="M232" s="33">
        <v>43191.0</v>
      </c>
      <c r="N232" s="23" t="s">
        <v>141</v>
      </c>
      <c r="O232" s="21" t="s">
        <v>4216</v>
      </c>
      <c r="P232" s="35"/>
      <c r="Q232" s="21" t="s">
        <v>4217</v>
      </c>
      <c r="R232" s="32">
        <v>45292.0</v>
      </c>
      <c r="S232" s="23" t="s">
        <v>143</v>
      </c>
      <c r="T232" s="35"/>
      <c r="U232" s="23" t="s">
        <v>144</v>
      </c>
      <c r="V232" s="21" t="s">
        <v>89</v>
      </c>
      <c r="W232" s="21" t="s">
        <v>4218</v>
      </c>
      <c r="X232" s="21" t="s">
        <v>1337</v>
      </c>
      <c r="Y232" s="21" t="s">
        <v>4219</v>
      </c>
      <c r="Z232" s="37"/>
      <c r="AA232" s="32">
        <v>50415.0</v>
      </c>
      <c r="AB232" s="35"/>
      <c r="AC232" s="23">
        <v>226.0</v>
      </c>
      <c r="AD232" s="21" t="s">
        <v>66</v>
      </c>
      <c r="AE232" s="21" t="s">
        <v>67</v>
      </c>
      <c r="AF232" s="21" t="s">
        <v>92</v>
      </c>
      <c r="AG232" s="21" t="s">
        <v>130</v>
      </c>
      <c r="AH232" s="21" t="s">
        <v>131</v>
      </c>
      <c r="AI232" s="21">
        <v>8.2276477485E10</v>
      </c>
      <c r="AJ232" s="21" t="s">
        <v>4220</v>
      </c>
      <c r="AK232" s="21" t="s">
        <v>4221</v>
      </c>
      <c r="AL232" s="21" t="s">
        <v>4222</v>
      </c>
      <c r="AM232" s="21" t="s">
        <v>73</v>
      </c>
      <c r="AN232" s="21" t="s">
        <v>481</v>
      </c>
      <c r="AO232" s="21" t="s">
        <v>360</v>
      </c>
      <c r="AP232" s="21" t="s">
        <v>666</v>
      </c>
      <c r="AQ232" s="37"/>
      <c r="AR232" s="37"/>
    </row>
    <row r="233">
      <c r="A233" s="21">
        <f t="shared" si="8"/>
        <v>220</v>
      </c>
      <c r="B233" s="39" t="s">
        <v>4223</v>
      </c>
      <c r="C233" s="62" t="s">
        <v>4224</v>
      </c>
      <c r="D233" s="39">
        <v>14.0</v>
      </c>
      <c r="E233" s="39">
        <v>7.0</v>
      </c>
      <c r="F233" s="39" t="s">
        <v>296</v>
      </c>
      <c r="G233" s="39" t="s">
        <v>297</v>
      </c>
      <c r="H233" s="63">
        <v>37104.0</v>
      </c>
      <c r="I233" s="39" t="s">
        <v>82</v>
      </c>
      <c r="J233" s="39" t="s">
        <v>83</v>
      </c>
      <c r="K233" s="39" t="s">
        <v>4225</v>
      </c>
      <c r="L233" s="39" t="s">
        <v>61</v>
      </c>
      <c r="M233" s="63">
        <v>42644.0</v>
      </c>
      <c r="N233" s="39" t="s">
        <v>141</v>
      </c>
      <c r="O233" s="39" t="s">
        <v>173</v>
      </c>
      <c r="P233" s="64"/>
      <c r="Q233" s="39" t="s">
        <v>59</v>
      </c>
      <c r="R233" s="63">
        <v>45292.0</v>
      </c>
      <c r="S233" s="39" t="s">
        <v>143</v>
      </c>
      <c r="T233" s="64"/>
      <c r="U233" s="39" t="s">
        <v>144</v>
      </c>
      <c r="V233" s="39" t="s">
        <v>89</v>
      </c>
      <c r="W233" s="39" t="s">
        <v>230</v>
      </c>
      <c r="X233" s="39" t="s">
        <v>231</v>
      </c>
      <c r="Y233" s="39" t="s">
        <v>4226</v>
      </c>
      <c r="Z233" s="39" t="s">
        <v>114</v>
      </c>
      <c r="AA233" s="63">
        <v>48586.0</v>
      </c>
      <c r="AB233" s="64"/>
      <c r="AC233" s="23">
        <v>227.0</v>
      </c>
      <c r="AD233" s="39" t="s">
        <v>66</v>
      </c>
      <c r="AE233" s="39" t="s">
        <v>67</v>
      </c>
      <c r="AF233" s="39" t="s">
        <v>92</v>
      </c>
      <c r="AG233" s="39" t="s">
        <v>130</v>
      </c>
      <c r="AH233" s="39" t="s">
        <v>288</v>
      </c>
      <c r="AI233" s="39">
        <v>8.1260400266E10</v>
      </c>
      <c r="AJ233" s="39" t="s">
        <v>4227</v>
      </c>
      <c r="AK233" s="39" t="s">
        <v>4228</v>
      </c>
      <c r="AL233" s="39" t="s">
        <v>4229</v>
      </c>
      <c r="AM233" s="39" t="s">
        <v>96</v>
      </c>
      <c r="AN233" s="39" t="s">
        <v>150</v>
      </c>
      <c r="AO233" s="39" t="s">
        <v>151</v>
      </c>
      <c r="AP233" s="39" t="s">
        <v>4230</v>
      </c>
      <c r="AQ233" s="39">
        <v>0.0</v>
      </c>
      <c r="AR233" s="39">
        <v>0.0</v>
      </c>
    </row>
    <row r="234">
      <c r="A234" s="21">
        <f t="shared" si="8"/>
        <v>221</v>
      </c>
      <c r="B234" s="39" t="s">
        <v>4231</v>
      </c>
      <c r="C234" s="62" t="s">
        <v>4232</v>
      </c>
      <c r="D234" s="39">
        <v>11.0</v>
      </c>
      <c r="E234" s="39">
        <v>0.0</v>
      </c>
      <c r="F234" s="39" t="s">
        <v>80</v>
      </c>
      <c r="G234" s="39" t="s">
        <v>81</v>
      </c>
      <c r="H234" s="63">
        <v>39356.0</v>
      </c>
      <c r="I234" s="39" t="s">
        <v>82</v>
      </c>
      <c r="J234" s="39" t="s">
        <v>83</v>
      </c>
      <c r="K234" s="39" t="s">
        <v>4233</v>
      </c>
      <c r="L234" s="39" t="s">
        <v>61</v>
      </c>
      <c r="M234" s="63">
        <v>42826.0</v>
      </c>
      <c r="N234" s="39" t="s">
        <v>141</v>
      </c>
      <c r="O234" s="39" t="s">
        <v>173</v>
      </c>
      <c r="P234" s="64"/>
      <c r="Q234" s="39" t="s">
        <v>59</v>
      </c>
      <c r="R234" s="63">
        <v>45292.0</v>
      </c>
      <c r="S234" s="39" t="s">
        <v>143</v>
      </c>
      <c r="T234" s="64"/>
      <c r="U234" s="39" t="s">
        <v>144</v>
      </c>
      <c r="V234" s="39" t="s">
        <v>159</v>
      </c>
      <c r="W234" s="39" t="s">
        <v>218</v>
      </c>
      <c r="X234" s="39" t="s">
        <v>161</v>
      </c>
      <c r="Y234" s="39" t="s">
        <v>3566</v>
      </c>
      <c r="Z234" s="39" t="s">
        <v>114</v>
      </c>
      <c r="AA234" s="63">
        <v>50049.0</v>
      </c>
      <c r="AB234" s="64"/>
      <c r="AC234" s="23">
        <v>228.0</v>
      </c>
      <c r="AD234" s="39" t="s">
        <v>66</v>
      </c>
      <c r="AE234" s="39" t="s">
        <v>311</v>
      </c>
      <c r="AF234" s="39" t="s">
        <v>92</v>
      </c>
      <c r="AG234" s="39" t="s">
        <v>130</v>
      </c>
      <c r="AH234" s="39" t="s">
        <v>131</v>
      </c>
      <c r="AI234" s="39">
        <v>8.5275105999E10</v>
      </c>
      <c r="AJ234" s="39" t="s">
        <v>4234</v>
      </c>
      <c r="AK234" s="39" t="s">
        <v>4235</v>
      </c>
      <c r="AL234" s="39" t="s">
        <v>4236</v>
      </c>
      <c r="AM234" s="39" t="s">
        <v>96</v>
      </c>
      <c r="AN234" s="39" t="s">
        <v>97</v>
      </c>
      <c r="AO234" s="39" t="s">
        <v>272</v>
      </c>
      <c r="AP234" s="39" t="s">
        <v>4237</v>
      </c>
      <c r="AQ234" s="65"/>
      <c r="AR234" s="65"/>
    </row>
    <row r="235">
      <c r="A235" s="21">
        <f t="shared" si="8"/>
        <v>222</v>
      </c>
      <c r="B235" s="39" t="s">
        <v>4238</v>
      </c>
      <c r="C235" s="62" t="s">
        <v>4239</v>
      </c>
      <c r="D235" s="39">
        <v>15.0</v>
      </c>
      <c r="E235" s="39">
        <v>5.0</v>
      </c>
      <c r="F235" s="39" t="s">
        <v>50</v>
      </c>
      <c r="G235" s="39" t="s">
        <v>51</v>
      </c>
      <c r="H235" s="63">
        <v>40179.0</v>
      </c>
      <c r="I235" s="39" t="s">
        <v>82</v>
      </c>
      <c r="J235" s="39" t="s">
        <v>83</v>
      </c>
      <c r="K235" s="39" t="s">
        <v>140</v>
      </c>
      <c r="L235" s="39" t="s">
        <v>105</v>
      </c>
      <c r="M235" s="63">
        <v>45809.0</v>
      </c>
      <c r="N235" s="39" t="s">
        <v>141</v>
      </c>
      <c r="O235" s="39" t="s">
        <v>173</v>
      </c>
      <c r="P235" s="64"/>
      <c r="Q235" s="39" t="s">
        <v>59</v>
      </c>
      <c r="R235" s="63">
        <v>45292.0</v>
      </c>
      <c r="S235" s="39" t="s">
        <v>143</v>
      </c>
      <c r="T235" s="64"/>
      <c r="U235" s="39" t="s">
        <v>144</v>
      </c>
      <c r="V235" s="39" t="s">
        <v>89</v>
      </c>
      <c r="W235" s="39" t="s">
        <v>218</v>
      </c>
      <c r="X235" s="39" t="s">
        <v>97</v>
      </c>
      <c r="Y235" s="39" t="s">
        <v>2032</v>
      </c>
      <c r="Z235" s="65"/>
      <c r="AA235" s="63">
        <v>50777.0</v>
      </c>
      <c r="AB235" s="64"/>
      <c r="AC235" s="23">
        <v>229.0</v>
      </c>
      <c r="AD235" s="39" t="s">
        <v>66</v>
      </c>
      <c r="AE235" s="39" t="s">
        <v>67</v>
      </c>
      <c r="AF235" s="39" t="s">
        <v>92</v>
      </c>
      <c r="AG235" s="39" t="s">
        <v>68</v>
      </c>
      <c r="AH235" s="39" t="s">
        <v>69</v>
      </c>
      <c r="AI235" s="39">
        <v>8.1264614228E10</v>
      </c>
      <c r="AJ235" s="39" t="s">
        <v>4240</v>
      </c>
      <c r="AK235" s="39" t="s">
        <v>4241</v>
      </c>
      <c r="AL235" s="39" t="s">
        <v>4242</v>
      </c>
      <c r="AM235" s="39" t="s">
        <v>96</v>
      </c>
      <c r="AN235" s="39" t="s">
        <v>74</v>
      </c>
      <c r="AO235" s="39" t="s">
        <v>1291</v>
      </c>
      <c r="AP235" s="39" t="s">
        <v>167</v>
      </c>
      <c r="AQ235" s="39">
        <v>0.0</v>
      </c>
      <c r="AR235" s="39">
        <v>0.0</v>
      </c>
    </row>
    <row r="236">
      <c r="A236" s="21">
        <f t="shared" si="8"/>
        <v>223</v>
      </c>
      <c r="B236" s="39" t="s">
        <v>4243</v>
      </c>
      <c r="C236" s="62" t="s">
        <v>4244</v>
      </c>
      <c r="D236" s="39">
        <v>22.0</v>
      </c>
      <c r="E236" s="39">
        <v>10.0</v>
      </c>
      <c r="F236" s="39" t="s">
        <v>50</v>
      </c>
      <c r="G236" s="39" t="s">
        <v>51</v>
      </c>
      <c r="H236" s="63">
        <v>39448.0</v>
      </c>
      <c r="I236" s="39" t="s">
        <v>82</v>
      </c>
      <c r="J236" s="39" t="s">
        <v>83</v>
      </c>
      <c r="K236" s="39" t="s">
        <v>140</v>
      </c>
      <c r="L236" s="39" t="s">
        <v>105</v>
      </c>
      <c r="M236" s="63">
        <v>45809.0</v>
      </c>
      <c r="N236" s="39" t="s">
        <v>141</v>
      </c>
      <c r="O236" s="39" t="s">
        <v>229</v>
      </c>
      <c r="P236" s="64"/>
      <c r="Q236" s="39" t="s">
        <v>59</v>
      </c>
      <c r="R236" s="63">
        <v>45292.0</v>
      </c>
      <c r="S236" s="39" t="s">
        <v>143</v>
      </c>
      <c r="T236" s="64"/>
      <c r="U236" s="39" t="s">
        <v>144</v>
      </c>
      <c r="V236" s="39" t="s">
        <v>89</v>
      </c>
      <c r="W236" s="39" t="s">
        <v>90</v>
      </c>
      <c r="X236" s="39" t="s">
        <v>1521</v>
      </c>
      <c r="Y236" s="39" t="s">
        <v>4245</v>
      </c>
      <c r="Z236" s="39" t="s">
        <v>114</v>
      </c>
      <c r="AA236" s="63">
        <v>46757.0</v>
      </c>
      <c r="AB236" s="64"/>
      <c r="AC236" s="23">
        <v>230.0</v>
      </c>
      <c r="AD236" s="39" t="s">
        <v>66</v>
      </c>
      <c r="AE236" s="39" t="s">
        <v>67</v>
      </c>
      <c r="AF236" s="39" t="s">
        <v>92</v>
      </c>
      <c r="AG236" s="39" t="s">
        <v>68</v>
      </c>
      <c r="AH236" s="39" t="s">
        <v>131</v>
      </c>
      <c r="AI236" s="39">
        <v>8.126389099E10</v>
      </c>
      <c r="AJ236" s="39" t="s">
        <v>4246</v>
      </c>
      <c r="AK236" s="39" t="s">
        <v>4247</v>
      </c>
      <c r="AL236" s="39" t="s">
        <v>4248</v>
      </c>
      <c r="AM236" s="39" t="s">
        <v>96</v>
      </c>
      <c r="AN236" s="39" t="s">
        <v>481</v>
      </c>
      <c r="AO236" s="39" t="s">
        <v>454</v>
      </c>
      <c r="AP236" s="39" t="s">
        <v>491</v>
      </c>
      <c r="AQ236" s="64"/>
      <c r="AR236" s="64"/>
    </row>
    <row r="237">
      <c r="A237" s="21">
        <f t="shared" si="8"/>
        <v>224</v>
      </c>
      <c r="B237" s="39" t="s">
        <v>4249</v>
      </c>
      <c r="C237" s="62" t="s">
        <v>4250</v>
      </c>
      <c r="D237" s="39">
        <v>19.0</v>
      </c>
      <c r="E237" s="39">
        <v>10.0</v>
      </c>
      <c r="F237" s="39" t="s">
        <v>171</v>
      </c>
      <c r="G237" s="39" t="s">
        <v>172</v>
      </c>
      <c r="H237" s="63">
        <v>39448.0</v>
      </c>
      <c r="I237" s="39" t="s">
        <v>102</v>
      </c>
      <c r="J237" s="39" t="s">
        <v>103</v>
      </c>
      <c r="K237" s="39" t="s">
        <v>217</v>
      </c>
      <c r="L237" s="39" t="s">
        <v>61</v>
      </c>
      <c r="M237" s="63">
        <v>45383.0</v>
      </c>
      <c r="N237" s="39" t="s">
        <v>141</v>
      </c>
      <c r="O237" s="39" t="s">
        <v>229</v>
      </c>
      <c r="P237" s="64"/>
      <c r="Q237" s="39" t="s">
        <v>59</v>
      </c>
      <c r="R237" s="63">
        <v>45292.0</v>
      </c>
      <c r="S237" s="39" t="s">
        <v>143</v>
      </c>
      <c r="T237" s="64"/>
      <c r="U237" s="39" t="s">
        <v>144</v>
      </c>
      <c r="V237" s="39" t="s">
        <v>267</v>
      </c>
      <c r="W237" s="39" t="s">
        <v>3932</v>
      </c>
      <c r="X237" s="39" t="s">
        <v>4251</v>
      </c>
      <c r="Y237" s="132">
        <v>36428.0</v>
      </c>
      <c r="Z237" s="64"/>
      <c r="AA237" s="63">
        <v>48953.0</v>
      </c>
      <c r="AB237" s="64"/>
      <c r="AC237" s="23">
        <v>231.0</v>
      </c>
      <c r="AD237" s="39" t="s">
        <v>66</v>
      </c>
      <c r="AE237" s="39" t="s">
        <v>311</v>
      </c>
      <c r="AF237" s="39" t="s">
        <v>92</v>
      </c>
      <c r="AG237" s="39" t="s">
        <v>130</v>
      </c>
      <c r="AH237" s="65"/>
      <c r="AI237" s="39">
        <v>8.2272187716E10</v>
      </c>
      <c r="AJ237" s="39" t="s">
        <v>4252</v>
      </c>
      <c r="AK237" s="39" t="s">
        <v>4253</v>
      </c>
      <c r="AL237" s="39" t="s">
        <v>4254</v>
      </c>
      <c r="AM237" s="39" t="s">
        <v>96</v>
      </c>
      <c r="AN237" s="39" t="s">
        <v>514</v>
      </c>
      <c r="AO237" s="39" t="s">
        <v>203</v>
      </c>
      <c r="AP237" s="39" t="s">
        <v>4255</v>
      </c>
      <c r="AQ237" s="65"/>
      <c r="AR237" s="65"/>
    </row>
    <row r="238">
      <c r="A238" s="21">
        <f t="shared" si="8"/>
        <v>225</v>
      </c>
      <c r="B238" s="39" t="s">
        <v>4256</v>
      </c>
      <c r="C238" s="62" t="s">
        <v>4257</v>
      </c>
      <c r="D238" s="39">
        <v>9.0</v>
      </c>
      <c r="E238" s="39">
        <v>3.0</v>
      </c>
      <c r="F238" s="39" t="s">
        <v>50</v>
      </c>
      <c r="G238" s="39" t="s">
        <v>51</v>
      </c>
      <c r="H238" s="63">
        <v>40179.0</v>
      </c>
      <c r="I238" s="39" t="s">
        <v>102</v>
      </c>
      <c r="J238" s="39" t="s">
        <v>103</v>
      </c>
      <c r="K238" s="39" t="s">
        <v>217</v>
      </c>
      <c r="L238" s="39" t="s">
        <v>105</v>
      </c>
      <c r="M238" s="63">
        <v>45383.0</v>
      </c>
      <c r="N238" s="39" t="s">
        <v>141</v>
      </c>
      <c r="O238" s="39" t="s">
        <v>229</v>
      </c>
      <c r="P238" s="64"/>
      <c r="Q238" s="39" t="s">
        <v>59</v>
      </c>
      <c r="R238" s="63">
        <v>45292.0</v>
      </c>
      <c r="S238" s="39" t="s">
        <v>143</v>
      </c>
      <c r="T238" s="64"/>
      <c r="U238" s="39" t="s">
        <v>144</v>
      </c>
      <c r="V238" s="39" t="s">
        <v>89</v>
      </c>
      <c r="W238" s="39" t="s">
        <v>218</v>
      </c>
      <c r="X238" s="39" t="s">
        <v>2024</v>
      </c>
      <c r="Y238" s="39" t="s">
        <v>4258</v>
      </c>
      <c r="Z238" s="39" t="s">
        <v>114</v>
      </c>
      <c r="AA238" s="63">
        <v>48953.0</v>
      </c>
      <c r="AB238" s="64"/>
      <c r="AC238" s="23">
        <v>232.0</v>
      </c>
      <c r="AD238" s="39" t="s">
        <v>66</v>
      </c>
      <c r="AE238" s="39" t="s">
        <v>67</v>
      </c>
      <c r="AF238" s="39" t="s">
        <v>92</v>
      </c>
      <c r="AG238" s="39" t="s">
        <v>130</v>
      </c>
      <c r="AH238" s="39" t="s">
        <v>69</v>
      </c>
      <c r="AI238" s="39">
        <v>8.1397288262E10</v>
      </c>
      <c r="AJ238" s="39" t="s">
        <v>4259</v>
      </c>
      <c r="AK238" s="39" t="s">
        <v>4260</v>
      </c>
      <c r="AL238" s="39" t="s">
        <v>4261</v>
      </c>
      <c r="AM238" s="39" t="s">
        <v>96</v>
      </c>
      <c r="AN238" s="39" t="s">
        <v>97</v>
      </c>
      <c r="AO238" s="39" t="s">
        <v>136</v>
      </c>
      <c r="AP238" s="39" t="s">
        <v>4262</v>
      </c>
      <c r="AQ238" s="64"/>
      <c r="AR238" s="64"/>
    </row>
    <row r="239">
      <c r="A239" s="21">
        <f t="shared" si="8"/>
        <v>226</v>
      </c>
      <c r="B239" s="39" t="s">
        <v>4263</v>
      </c>
      <c r="C239" s="62" t="s">
        <v>4264</v>
      </c>
      <c r="D239" s="39">
        <v>4.0</v>
      </c>
      <c r="E239" s="39">
        <v>11.0</v>
      </c>
      <c r="F239" s="39" t="s">
        <v>171</v>
      </c>
      <c r="G239" s="39" t="s">
        <v>172</v>
      </c>
      <c r="H239" s="63">
        <v>42125.0</v>
      </c>
      <c r="I239" s="39" t="s">
        <v>80</v>
      </c>
      <c r="J239" s="39" t="s">
        <v>81</v>
      </c>
      <c r="K239" s="39" t="s">
        <v>155</v>
      </c>
      <c r="L239" s="39" t="s">
        <v>88</v>
      </c>
      <c r="M239" s="63">
        <v>44652.0</v>
      </c>
      <c r="N239" s="39" t="s">
        <v>141</v>
      </c>
      <c r="O239" s="39" t="s">
        <v>173</v>
      </c>
      <c r="P239" s="64"/>
      <c r="Q239" s="39" t="s">
        <v>4208</v>
      </c>
      <c r="R239" s="63">
        <v>46023.0</v>
      </c>
      <c r="S239" s="39" t="s">
        <v>4265</v>
      </c>
      <c r="T239" s="64"/>
      <c r="U239" s="39" t="s">
        <v>105</v>
      </c>
      <c r="V239" s="39" t="s">
        <v>89</v>
      </c>
      <c r="W239" s="39" t="s">
        <v>230</v>
      </c>
      <c r="X239" s="39" t="s">
        <v>161</v>
      </c>
      <c r="Y239" s="39" t="s">
        <v>4266</v>
      </c>
      <c r="Z239" s="39" t="s">
        <v>114</v>
      </c>
      <c r="AA239" s="63">
        <v>50777.0</v>
      </c>
      <c r="AB239" s="64"/>
      <c r="AC239" s="23">
        <v>233.0</v>
      </c>
      <c r="AD239" s="39" t="s">
        <v>66</v>
      </c>
      <c r="AE239" s="39" t="s">
        <v>220</v>
      </c>
      <c r="AF239" s="39" t="s">
        <v>92</v>
      </c>
      <c r="AG239" s="39" t="s">
        <v>130</v>
      </c>
      <c r="AH239" s="39" t="s">
        <v>246</v>
      </c>
      <c r="AI239" s="39">
        <v>8.1376888822E10</v>
      </c>
      <c r="AJ239" s="39" t="s">
        <v>4267</v>
      </c>
      <c r="AK239" s="39" t="s">
        <v>4268</v>
      </c>
      <c r="AL239" s="39" t="s">
        <v>4269</v>
      </c>
      <c r="AM239" s="39" t="s">
        <v>73</v>
      </c>
      <c r="AN239" s="39" t="s">
        <v>481</v>
      </c>
      <c r="AO239" s="39" t="s">
        <v>1047</v>
      </c>
      <c r="AP239" s="39" t="s">
        <v>4270</v>
      </c>
      <c r="AQ239" s="39" t="s">
        <v>77</v>
      </c>
      <c r="AR239" s="39" t="s">
        <v>77</v>
      </c>
    </row>
    <row r="240">
      <c r="A240" s="21"/>
      <c r="B240" s="248" t="s">
        <v>4532</v>
      </c>
      <c r="C240" s="254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  <c r="AB240" s="116"/>
      <c r="AC240" s="23">
        <v>234.0</v>
      </c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  <c r="AO240" s="119"/>
      <c r="AP240" s="119"/>
      <c r="AQ240" s="119"/>
      <c r="AR240" s="119"/>
    </row>
    <row r="241">
      <c r="A241" s="21">
        <f>SUM(A239+1)</f>
        <v>227</v>
      </c>
      <c r="B241" s="21" t="s">
        <v>4533</v>
      </c>
      <c r="C241" s="31" t="s">
        <v>4534</v>
      </c>
      <c r="D241" s="23">
        <v>7.0</v>
      </c>
      <c r="E241" s="23">
        <v>9.0</v>
      </c>
      <c r="F241" s="23" t="s">
        <v>80</v>
      </c>
      <c r="G241" s="23" t="s">
        <v>81</v>
      </c>
      <c r="H241" s="32">
        <v>42552.0</v>
      </c>
      <c r="I241" s="21" t="s">
        <v>102</v>
      </c>
      <c r="J241" s="21" t="s">
        <v>103</v>
      </c>
      <c r="K241" s="21" t="s">
        <v>104</v>
      </c>
      <c r="L241" s="21" t="s">
        <v>105</v>
      </c>
      <c r="M241" s="33">
        <v>45017.0</v>
      </c>
      <c r="N241" s="23" t="s">
        <v>56</v>
      </c>
      <c r="O241" s="21" t="s">
        <v>4535</v>
      </c>
      <c r="P241" s="23" t="s">
        <v>107</v>
      </c>
      <c r="Q241" s="21" t="s">
        <v>4536</v>
      </c>
      <c r="R241" s="32">
        <v>46076.0</v>
      </c>
      <c r="S241" s="23" t="s">
        <v>87</v>
      </c>
      <c r="T241" s="35"/>
      <c r="U241" s="23" t="s">
        <v>88</v>
      </c>
      <c r="V241" s="21" t="s">
        <v>110</v>
      </c>
      <c r="W241" s="21" t="s">
        <v>1305</v>
      </c>
      <c r="X241" s="21" t="s">
        <v>4537</v>
      </c>
      <c r="Y241" s="21" t="s">
        <v>1306</v>
      </c>
      <c r="Z241" s="21" t="s">
        <v>65</v>
      </c>
      <c r="AA241" s="32">
        <v>54798.0</v>
      </c>
      <c r="AB241" s="35"/>
      <c r="AC241" s="23">
        <v>235.0</v>
      </c>
      <c r="AD241" s="21" t="s">
        <v>66</v>
      </c>
      <c r="AE241" s="21" t="s">
        <v>67</v>
      </c>
      <c r="AF241" s="21" t="s">
        <v>129</v>
      </c>
      <c r="AG241" s="21" t="s">
        <v>68</v>
      </c>
      <c r="AH241" s="21" t="s">
        <v>69</v>
      </c>
      <c r="AI241" s="21">
        <v>8.2273047757E10</v>
      </c>
      <c r="AJ241" s="21" t="s">
        <v>4538</v>
      </c>
      <c r="AK241" s="21" t="s">
        <v>4539</v>
      </c>
      <c r="AL241" s="21" t="s">
        <v>4540</v>
      </c>
      <c r="AM241" s="21" t="s">
        <v>96</v>
      </c>
      <c r="AN241" s="187"/>
      <c r="AO241" s="21" t="s">
        <v>4541</v>
      </c>
      <c r="AP241" s="21" t="s">
        <v>4542</v>
      </c>
      <c r="AQ241" s="37"/>
      <c r="AR241" s="37"/>
    </row>
    <row r="242">
      <c r="A242" s="21">
        <f t="shared" ref="A242:A247" si="9">SUM(A241+1)</f>
        <v>228</v>
      </c>
      <c r="B242" s="21" t="s">
        <v>4543</v>
      </c>
      <c r="C242" s="31" t="s">
        <v>4544</v>
      </c>
      <c r="D242" s="23">
        <v>12.0</v>
      </c>
      <c r="E242" s="23">
        <v>0.0</v>
      </c>
      <c r="F242" s="23" t="s">
        <v>50</v>
      </c>
      <c r="G242" s="23" t="s">
        <v>51</v>
      </c>
      <c r="H242" s="32">
        <v>41061.0</v>
      </c>
      <c r="I242" s="21" t="s">
        <v>82</v>
      </c>
      <c r="J242" s="21" t="s">
        <v>83</v>
      </c>
      <c r="K242" s="21" t="s">
        <v>383</v>
      </c>
      <c r="L242" s="21" t="s">
        <v>105</v>
      </c>
      <c r="M242" s="33">
        <v>45931.0</v>
      </c>
      <c r="N242" s="23" t="s">
        <v>56</v>
      </c>
      <c r="O242" s="21" t="s">
        <v>4545</v>
      </c>
      <c r="P242" s="23" t="s">
        <v>3549</v>
      </c>
      <c r="Q242" s="21" t="s">
        <v>4546</v>
      </c>
      <c r="R242" s="32">
        <v>45443.0</v>
      </c>
      <c r="S242" s="23" t="s">
        <v>4547</v>
      </c>
      <c r="T242" s="35"/>
      <c r="U242" s="23" t="s">
        <v>105</v>
      </c>
      <c r="V242" s="21" t="s">
        <v>159</v>
      </c>
      <c r="W242" s="21" t="s">
        <v>2096</v>
      </c>
      <c r="X242" s="21" t="s">
        <v>244</v>
      </c>
      <c r="Y242" s="21" t="s">
        <v>4548</v>
      </c>
      <c r="Z242" s="23" t="s">
        <v>65</v>
      </c>
      <c r="AA242" s="32">
        <v>53697.0</v>
      </c>
      <c r="AB242" s="35"/>
      <c r="AC242" s="23">
        <v>236.0</v>
      </c>
      <c r="AD242" s="21" t="s">
        <v>66</v>
      </c>
      <c r="AE242" s="21" t="s">
        <v>67</v>
      </c>
      <c r="AF242" s="187"/>
      <c r="AG242" s="21" t="s">
        <v>130</v>
      </c>
      <c r="AH242" s="21" t="s">
        <v>131</v>
      </c>
      <c r="AI242" s="21">
        <v>8.1376407805E10</v>
      </c>
      <c r="AJ242" s="21" t="s">
        <v>4549</v>
      </c>
      <c r="AK242" s="21" t="s">
        <v>4550</v>
      </c>
      <c r="AL242" s="21" t="s">
        <v>4551</v>
      </c>
      <c r="AM242" s="21" t="s">
        <v>96</v>
      </c>
      <c r="AN242" s="21" t="s">
        <v>135</v>
      </c>
      <c r="AO242" s="21" t="s">
        <v>213</v>
      </c>
      <c r="AP242" s="21" t="s">
        <v>214</v>
      </c>
      <c r="AQ242" s="37"/>
      <c r="AR242" s="37"/>
    </row>
    <row r="243">
      <c r="A243" s="21">
        <f t="shared" si="9"/>
        <v>229</v>
      </c>
      <c r="B243" s="39" t="s">
        <v>4552</v>
      </c>
      <c r="C243" s="62" t="s">
        <v>4553</v>
      </c>
      <c r="D243" s="39">
        <v>13.0</v>
      </c>
      <c r="E243" s="39">
        <v>1.0</v>
      </c>
      <c r="F243" s="39" t="s">
        <v>80</v>
      </c>
      <c r="G243" s="39" t="s">
        <v>81</v>
      </c>
      <c r="H243" s="63">
        <v>36586.0</v>
      </c>
      <c r="I243" s="39" t="s">
        <v>82</v>
      </c>
      <c r="J243" s="39" t="s">
        <v>83</v>
      </c>
      <c r="K243" s="39" t="s">
        <v>4554</v>
      </c>
      <c r="L243" s="39" t="s">
        <v>4555</v>
      </c>
      <c r="M243" s="63">
        <v>41365.0</v>
      </c>
      <c r="N243" s="39" t="s">
        <v>141</v>
      </c>
      <c r="O243" s="39" t="s">
        <v>196</v>
      </c>
      <c r="P243" s="64"/>
      <c r="Q243" s="39" t="s">
        <v>59</v>
      </c>
      <c r="R243" s="63">
        <v>45292.0</v>
      </c>
      <c r="S243" s="39" t="s">
        <v>143</v>
      </c>
      <c r="T243" s="64"/>
      <c r="U243" s="39" t="s">
        <v>144</v>
      </c>
      <c r="V243" s="39" t="s">
        <v>89</v>
      </c>
      <c r="W243" s="39" t="s">
        <v>4556</v>
      </c>
      <c r="X243" s="39" t="s">
        <v>231</v>
      </c>
      <c r="Y243" s="132">
        <v>35889.0</v>
      </c>
      <c r="Z243" s="39" t="s">
        <v>65</v>
      </c>
      <c r="AA243" s="63">
        <v>47484.0</v>
      </c>
      <c r="AB243" s="64"/>
      <c r="AC243" s="23">
        <v>237.0</v>
      </c>
      <c r="AD243" s="39" t="s">
        <v>66</v>
      </c>
      <c r="AE243" s="39" t="s">
        <v>220</v>
      </c>
      <c r="AF243" s="39" t="s">
        <v>92</v>
      </c>
      <c r="AG243" s="39" t="s">
        <v>68</v>
      </c>
      <c r="AH243" s="39" t="s">
        <v>69</v>
      </c>
      <c r="AI243" s="39">
        <v>8.2360920866E10</v>
      </c>
      <c r="AJ243" s="39" t="s">
        <v>4557</v>
      </c>
      <c r="AK243" s="39" t="s">
        <v>4558</v>
      </c>
      <c r="AL243" s="39" t="s">
        <v>4559</v>
      </c>
      <c r="AM243" s="39" t="s">
        <v>96</v>
      </c>
      <c r="AN243" s="39" t="s">
        <v>4459</v>
      </c>
      <c r="AO243" s="39" t="s">
        <v>2243</v>
      </c>
      <c r="AP243" s="39" t="s">
        <v>4560</v>
      </c>
      <c r="AQ243" s="64"/>
      <c r="AR243" s="64"/>
    </row>
    <row r="244">
      <c r="A244" s="21">
        <f t="shared" si="9"/>
        <v>230</v>
      </c>
      <c r="B244" s="39" t="s">
        <v>4561</v>
      </c>
      <c r="C244" s="62" t="s">
        <v>4562</v>
      </c>
      <c r="D244" s="39">
        <v>16.0</v>
      </c>
      <c r="E244" s="39">
        <v>5.0</v>
      </c>
      <c r="F244" s="39" t="s">
        <v>182</v>
      </c>
      <c r="G244" s="39" t="s">
        <v>183</v>
      </c>
      <c r="H244" s="63">
        <v>41365.0</v>
      </c>
      <c r="I244" s="39" t="s">
        <v>82</v>
      </c>
      <c r="J244" s="39" t="s">
        <v>83</v>
      </c>
      <c r="K244" s="39" t="s">
        <v>408</v>
      </c>
      <c r="L244" s="39" t="s">
        <v>156</v>
      </c>
      <c r="M244" s="63">
        <v>44287.0</v>
      </c>
      <c r="N244" s="39" t="s">
        <v>141</v>
      </c>
      <c r="O244" s="39" t="s">
        <v>229</v>
      </c>
      <c r="P244" s="64"/>
      <c r="Q244" s="39" t="s">
        <v>59</v>
      </c>
      <c r="R244" s="63">
        <v>45292.0</v>
      </c>
      <c r="S244" s="39" t="s">
        <v>143</v>
      </c>
      <c r="T244" s="64"/>
      <c r="U244" s="39" t="s">
        <v>144</v>
      </c>
      <c r="V244" s="39" t="s">
        <v>89</v>
      </c>
      <c r="W244" s="39" t="s">
        <v>4563</v>
      </c>
      <c r="X244" s="39" t="s">
        <v>509</v>
      </c>
      <c r="Y244" s="39" t="s">
        <v>4564</v>
      </c>
      <c r="Z244" s="65"/>
      <c r="AA244" s="63">
        <v>48590.0</v>
      </c>
      <c r="AB244" s="64"/>
      <c r="AC244" s="23">
        <v>238.0</v>
      </c>
      <c r="AD244" s="39" t="s">
        <v>66</v>
      </c>
      <c r="AE244" s="39" t="s">
        <v>67</v>
      </c>
      <c r="AF244" s="39" t="s">
        <v>129</v>
      </c>
      <c r="AG244" s="39" t="s">
        <v>130</v>
      </c>
      <c r="AH244" s="39" t="s">
        <v>131</v>
      </c>
      <c r="AI244" s="39">
        <v>8.1362587113E10</v>
      </c>
      <c r="AJ244" s="39" t="s">
        <v>4565</v>
      </c>
      <c r="AK244" s="39" t="s">
        <v>4566</v>
      </c>
      <c r="AL244" s="39" t="s">
        <v>4567</v>
      </c>
      <c r="AM244" s="39" t="s">
        <v>96</v>
      </c>
      <c r="AN244" s="39" t="s">
        <v>135</v>
      </c>
      <c r="AO244" s="39" t="s">
        <v>236</v>
      </c>
      <c r="AP244" s="39" t="s">
        <v>566</v>
      </c>
      <c r="AQ244" s="64"/>
      <c r="AR244" s="64"/>
    </row>
    <row r="245">
      <c r="A245" s="21">
        <f t="shared" si="9"/>
        <v>231</v>
      </c>
      <c r="B245" s="39" t="s">
        <v>4568</v>
      </c>
      <c r="C245" s="62" t="s">
        <v>4569</v>
      </c>
      <c r="D245" s="39">
        <v>16.0</v>
      </c>
      <c r="E245" s="39">
        <v>3.0</v>
      </c>
      <c r="F245" s="39" t="s">
        <v>182</v>
      </c>
      <c r="G245" s="39" t="s">
        <v>183</v>
      </c>
      <c r="H245" s="63">
        <v>39873.0</v>
      </c>
      <c r="I245" s="39" t="s">
        <v>82</v>
      </c>
      <c r="J245" s="39" t="s">
        <v>83</v>
      </c>
      <c r="K245" s="39" t="s">
        <v>408</v>
      </c>
      <c r="L245" s="39" t="s">
        <v>88</v>
      </c>
      <c r="M245" s="63">
        <v>44287.0</v>
      </c>
      <c r="N245" s="39" t="s">
        <v>141</v>
      </c>
      <c r="O245" s="39" t="s">
        <v>229</v>
      </c>
      <c r="P245" s="64"/>
      <c r="Q245" s="39" t="s">
        <v>59</v>
      </c>
      <c r="R245" s="63">
        <v>45292.0</v>
      </c>
      <c r="S245" s="39" t="s">
        <v>143</v>
      </c>
      <c r="T245" s="64"/>
      <c r="U245" s="39" t="s">
        <v>144</v>
      </c>
      <c r="V245" s="39" t="s">
        <v>89</v>
      </c>
      <c r="W245" s="39" t="s">
        <v>337</v>
      </c>
      <c r="X245" s="39" t="s">
        <v>648</v>
      </c>
      <c r="Y245" s="200">
        <v>35311.0</v>
      </c>
      <c r="Z245" s="65"/>
      <c r="AA245" s="63">
        <v>46391.0</v>
      </c>
      <c r="AB245" s="64"/>
      <c r="AC245" s="23">
        <v>239.0</v>
      </c>
      <c r="AD245" s="39" t="s">
        <v>66</v>
      </c>
      <c r="AE245" s="39" t="s">
        <v>67</v>
      </c>
      <c r="AF245" s="39" t="s">
        <v>92</v>
      </c>
      <c r="AG245" s="39" t="s">
        <v>68</v>
      </c>
      <c r="AH245" s="39" t="s">
        <v>69</v>
      </c>
      <c r="AI245" s="39">
        <v>8.1370771894E10</v>
      </c>
      <c r="AJ245" s="39" t="s">
        <v>4570</v>
      </c>
      <c r="AK245" s="39" t="s">
        <v>4571</v>
      </c>
      <c r="AL245" s="39" t="s">
        <v>4572</v>
      </c>
      <c r="AM245" s="39" t="s">
        <v>96</v>
      </c>
      <c r="AN245" s="39" t="s">
        <v>74</v>
      </c>
      <c r="AO245" s="39" t="s">
        <v>1047</v>
      </c>
      <c r="AP245" s="39" t="s">
        <v>4573</v>
      </c>
      <c r="AQ245" s="64"/>
      <c r="AR245" s="64"/>
    </row>
    <row r="246">
      <c r="A246" s="21">
        <f t="shared" si="9"/>
        <v>232</v>
      </c>
      <c r="B246" s="39" t="s">
        <v>4574</v>
      </c>
      <c r="C246" s="62" t="s">
        <v>4575</v>
      </c>
      <c r="D246" s="39">
        <v>16.0</v>
      </c>
      <c r="E246" s="39">
        <v>3.0</v>
      </c>
      <c r="F246" s="39" t="s">
        <v>80</v>
      </c>
      <c r="G246" s="39" t="s">
        <v>81</v>
      </c>
      <c r="H246" s="63">
        <v>39873.0</v>
      </c>
      <c r="I246" s="39" t="s">
        <v>82</v>
      </c>
      <c r="J246" s="39" t="s">
        <v>83</v>
      </c>
      <c r="K246" s="39" t="s">
        <v>408</v>
      </c>
      <c r="L246" s="39" t="s">
        <v>88</v>
      </c>
      <c r="M246" s="63">
        <v>44287.0</v>
      </c>
      <c r="N246" s="39" t="s">
        <v>141</v>
      </c>
      <c r="O246" s="39" t="s">
        <v>229</v>
      </c>
      <c r="P246" s="64"/>
      <c r="Q246" s="39" t="s">
        <v>59</v>
      </c>
      <c r="R246" s="63">
        <v>45292.0</v>
      </c>
      <c r="S246" s="39" t="s">
        <v>143</v>
      </c>
      <c r="T246" s="64"/>
      <c r="U246" s="39" t="s">
        <v>144</v>
      </c>
      <c r="V246" s="39" t="s">
        <v>89</v>
      </c>
      <c r="W246" s="39" t="s">
        <v>795</v>
      </c>
      <c r="X246" s="39" t="s">
        <v>198</v>
      </c>
      <c r="Y246" s="132">
        <v>35902.0</v>
      </c>
      <c r="Z246" s="39" t="s">
        <v>114</v>
      </c>
      <c r="AA246" s="63">
        <v>47852.0</v>
      </c>
      <c r="AB246" s="64"/>
      <c r="AC246" s="23">
        <v>240.0</v>
      </c>
      <c r="AD246" s="39" t="s">
        <v>66</v>
      </c>
      <c r="AE246" s="39" t="s">
        <v>67</v>
      </c>
      <c r="AF246" s="39" t="s">
        <v>92</v>
      </c>
      <c r="AG246" s="39" t="s">
        <v>68</v>
      </c>
      <c r="AH246" s="39" t="s">
        <v>131</v>
      </c>
      <c r="AI246" s="39">
        <v>8.5311084818E10</v>
      </c>
      <c r="AJ246" s="39" t="s">
        <v>4576</v>
      </c>
      <c r="AK246" s="39" t="s">
        <v>4577</v>
      </c>
      <c r="AL246" s="39" t="s">
        <v>4578</v>
      </c>
      <c r="AM246" s="39" t="s">
        <v>96</v>
      </c>
      <c r="AN246" s="39" t="s">
        <v>135</v>
      </c>
      <c r="AO246" s="39" t="s">
        <v>98</v>
      </c>
      <c r="AP246" s="39" t="s">
        <v>2220</v>
      </c>
      <c r="AQ246" s="65"/>
      <c r="AR246" s="65"/>
    </row>
    <row r="247">
      <c r="A247" s="21">
        <f t="shared" si="9"/>
        <v>233</v>
      </c>
      <c r="B247" s="39" t="s">
        <v>4579</v>
      </c>
      <c r="C247" s="62" t="s">
        <v>4580</v>
      </c>
      <c r="D247" s="39">
        <v>22.0</v>
      </c>
      <c r="E247" s="39">
        <v>8.0</v>
      </c>
      <c r="F247" s="39" t="s">
        <v>50</v>
      </c>
      <c r="G247" s="39" t="s">
        <v>51</v>
      </c>
      <c r="H247" s="63">
        <v>39845.0</v>
      </c>
      <c r="I247" s="39" t="s">
        <v>82</v>
      </c>
      <c r="J247" s="39" t="s">
        <v>83</v>
      </c>
      <c r="K247" s="39" t="s">
        <v>417</v>
      </c>
      <c r="L247" s="39" t="s">
        <v>105</v>
      </c>
      <c r="M247" s="63">
        <v>45566.0</v>
      </c>
      <c r="N247" s="39" t="s">
        <v>141</v>
      </c>
      <c r="O247" s="39" t="s">
        <v>173</v>
      </c>
      <c r="P247" s="64"/>
      <c r="Q247" s="39" t="s">
        <v>59</v>
      </c>
      <c r="R247" s="63">
        <v>45627.0</v>
      </c>
      <c r="S247" s="39" t="s">
        <v>2829</v>
      </c>
      <c r="T247" s="64"/>
      <c r="U247" s="39" t="s">
        <v>144</v>
      </c>
      <c r="V247" s="39" t="s">
        <v>159</v>
      </c>
      <c r="W247" s="39" t="s">
        <v>259</v>
      </c>
      <c r="X247" s="39" t="s">
        <v>745</v>
      </c>
      <c r="Y247" s="39" t="s">
        <v>4581</v>
      </c>
      <c r="Z247" s="39" t="s">
        <v>114</v>
      </c>
      <c r="AA247" s="63">
        <v>47853.0</v>
      </c>
      <c r="AB247" s="64"/>
      <c r="AC247" s="23">
        <v>241.0</v>
      </c>
      <c r="AD247" s="39" t="s">
        <v>66</v>
      </c>
      <c r="AE247" s="39" t="s">
        <v>67</v>
      </c>
      <c r="AF247" s="39" t="s">
        <v>92</v>
      </c>
      <c r="AG247" s="39" t="s">
        <v>68</v>
      </c>
      <c r="AH247" s="39" t="s">
        <v>69</v>
      </c>
      <c r="AI247" s="39">
        <v>8.126471888E9</v>
      </c>
      <c r="AJ247" s="39" t="s">
        <v>4582</v>
      </c>
      <c r="AK247" s="39" t="s">
        <v>4583</v>
      </c>
      <c r="AL247" s="39" t="s">
        <v>4584</v>
      </c>
      <c r="AM247" s="39" t="s">
        <v>73</v>
      </c>
      <c r="AN247" s="39" t="s">
        <v>74</v>
      </c>
      <c r="AO247" s="39" t="s">
        <v>454</v>
      </c>
      <c r="AP247" s="39" t="s">
        <v>1567</v>
      </c>
      <c r="AQ247" s="64"/>
      <c r="AR247" s="64"/>
    </row>
    <row r="248">
      <c r="A248" s="21"/>
      <c r="B248" s="248" t="s">
        <v>4878</v>
      </c>
      <c r="C248" s="254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  <c r="AA248" s="116"/>
      <c r="AB248" s="116"/>
      <c r="AC248" s="23">
        <v>242.0</v>
      </c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  <c r="AO248" s="119"/>
      <c r="AP248" s="119"/>
      <c r="AQ248" s="119"/>
      <c r="AR248" s="119"/>
    </row>
    <row r="249">
      <c r="A249" s="21">
        <f>SUM(A247+1)</f>
        <v>234</v>
      </c>
      <c r="B249" s="21" t="s">
        <v>4879</v>
      </c>
      <c r="C249" s="31" t="s">
        <v>4880</v>
      </c>
      <c r="D249" s="23">
        <v>12.0</v>
      </c>
      <c r="E249" s="23">
        <v>5.0</v>
      </c>
      <c r="F249" s="23" t="s">
        <v>50</v>
      </c>
      <c r="G249" s="23" t="s">
        <v>51</v>
      </c>
      <c r="H249" s="32">
        <v>40179.0</v>
      </c>
      <c r="I249" s="21" t="s">
        <v>82</v>
      </c>
      <c r="J249" s="21" t="s">
        <v>83</v>
      </c>
      <c r="K249" s="21" t="s">
        <v>228</v>
      </c>
      <c r="L249" s="21" t="s">
        <v>105</v>
      </c>
      <c r="M249" s="33">
        <v>44652.0</v>
      </c>
      <c r="N249" s="23" t="s">
        <v>56</v>
      </c>
      <c r="O249" s="21" t="s">
        <v>4881</v>
      </c>
      <c r="P249" s="23" t="s">
        <v>107</v>
      </c>
      <c r="Q249" s="21" t="s">
        <v>4882</v>
      </c>
      <c r="R249" s="32">
        <v>45628.0</v>
      </c>
      <c r="S249" s="23" t="s">
        <v>2571</v>
      </c>
      <c r="T249" s="35"/>
      <c r="U249" s="23" t="s">
        <v>88</v>
      </c>
      <c r="V249" s="21" t="s">
        <v>159</v>
      </c>
      <c r="W249" s="21" t="s">
        <v>4883</v>
      </c>
      <c r="X249" s="21" t="s">
        <v>4884</v>
      </c>
      <c r="Y249" s="21" t="s">
        <v>4885</v>
      </c>
      <c r="Z249" s="187"/>
      <c r="AA249" s="32">
        <v>51877.0</v>
      </c>
      <c r="AB249" s="35"/>
      <c r="AC249" s="23">
        <v>243.0</v>
      </c>
      <c r="AD249" s="21" t="s">
        <v>66</v>
      </c>
      <c r="AE249" s="21" t="s">
        <v>67</v>
      </c>
      <c r="AF249" s="187"/>
      <c r="AG249" s="21" t="s">
        <v>68</v>
      </c>
      <c r="AH249" s="21" t="s">
        <v>246</v>
      </c>
      <c r="AI249" s="21">
        <v>8.1360503224E10</v>
      </c>
      <c r="AJ249" s="21" t="s">
        <v>4886</v>
      </c>
      <c r="AK249" s="21" t="s">
        <v>4887</v>
      </c>
      <c r="AL249" s="21" t="s">
        <v>4888</v>
      </c>
      <c r="AM249" s="21" t="s">
        <v>96</v>
      </c>
      <c r="AN249" s="21" t="s">
        <v>135</v>
      </c>
      <c r="AO249" s="21" t="s">
        <v>1576</v>
      </c>
      <c r="AP249" s="21" t="s">
        <v>4889</v>
      </c>
      <c r="AQ249" s="37"/>
      <c r="AR249" s="37"/>
    </row>
    <row r="250">
      <c r="A250" s="21">
        <f t="shared" ref="A250:A253" si="10">SUM(A249+1)</f>
        <v>235</v>
      </c>
      <c r="B250" s="21" t="s">
        <v>4890</v>
      </c>
      <c r="C250" s="31" t="s">
        <v>4891</v>
      </c>
      <c r="D250" s="23">
        <v>26.0</v>
      </c>
      <c r="E250" s="23">
        <v>1.0</v>
      </c>
      <c r="F250" s="23" t="s">
        <v>171</v>
      </c>
      <c r="G250" s="23" t="s">
        <v>172</v>
      </c>
      <c r="H250" s="32">
        <v>37165.0</v>
      </c>
      <c r="I250" s="21" t="s">
        <v>82</v>
      </c>
      <c r="J250" s="21" t="s">
        <v>83</v>
      </c>
      <c r="K250" s="21" t="s">
        <v>228</v>
      </c>
      <c r="L250" s="21" t="s">
        <v>105</v>
      </c>
      <c r="M250" s="33">
        <v>44652.0</v>
      </c>
      <c r="N250" s="23" t="s">
        <v>56</v>
      </c>
      <c r="O250" s="21" t="s">
        <v>4892</v>
      </c>
      <c r="P250" s="23" t="s">
        <v>3549</v>
      </c>
      <c r="Q250" s="21" t="s">
        <v>4893</v>
      </c>
      <c r="R250" s="32">
        <v>46076.0</v>
      </c>
      <c r="S250" s="23" t="s">
        <v>87</v>
      </c>
      <c r="T250" s="35"/>
      <c r="U250" s="23" t="s">
        <v>88</v>
      </c>
      <c r="V250" s="21" t="s">
        <v>89</v>
      </c>
      <c r="W250" s="187"/>
      <c r="X250" s="21" t="s">
        <v>4894</v>
      </c>
      <c r="Y250" s="21" t="s">
        <v>2787</v>
      </c>
      <c r="Z250" s="210"/>
      <c r="AA250" s="32">
        <v>46757.0</v>
      </c>
      <c r="AB250" s="35"/>
      <c r="AC250" s="23">
        <v>244.0</v>
      </c>
      <c r="AD250" s="21" t="s">
        <v>66</v>
      </c>
      <c r="AE250" s="21" t="s">
        <v>67</v>
      </c>
      <c r="AF250" s="21" t="s">
        <v>92</v>
      </c>
      <c r="AG250" s="21" t="s">
        <v>68</v>
      </c>
      <c r="AH250" s="21" t="s">
        <v>131</v>
      </c>
      <c r="AI250" s="21">
        <v>8.13770577E10</v>
      </c>
      <c r="AJ250" s="21" t="s">
        <v>4895</v>
      </c>
      <c r="AK250" s="21" t="s">
        <v>4896</v>
      </c>
      <c r="AL250" s="21" t="s">
        <v>4897</v>
      </c>
      <c r="AM250" s="21" t="s">
        <v>96</v>
      </c>
      <c r="AN250" s="21" t="s">
        <v>135</v>
      </c>
      <c r="AO250" s="21" t="s">
        <v>4898</v>
      </c>
      <c r="AP250" s="21" t="s">
        <v>2380</v>
      </c>
      <c r="AQ250" s="37"/>
      <c r="AR250" s="37"/>
    </row>
    <row r="251">
      <c r="A251" s="21">
        <f t="shared" si="10"/>
        <v>236</v>
      </c>
      <c r="B251" s="39" t="s">
        <v>4899</v>
      </c>
      <c r="C251" s="62" t="s">
        <v>4900</v>
      </c>
      <c r="D251" s="39">
        <v>16.0</v>
      </c>
      <c r="E251" s="39">
        <v>3.0</v>
      </c>
      <c r="F251" s="39" t="s">
        <v>80</v>
      </c>
      <c r="G251" s="39" t="s">
        <v>81</v>
      </c>
      <c r="H251" s="63">
        <v>39873.0</v>
      </c>
      <c r="I251" s="39" t="s">
        <v>82</v>
      </c>
      <c r="J251" s="39" t="s">
        <v>83</v>
      </c>
      <c r="K251" s="39" t="s">
        <v>408</v>
      </c>
      <c r="L251" s="39" t="s">
        <v>88</v>
      </c>
      <c r="M251" s="63">
        <v>44287.0</v>
      </c>
      <c r="N251" s="39" t="s">
        <v>141</v>
      </c>
      <c r="O251" s="39" t="s">
        <v>229</v>
      </c>
      <c r="P251" s="64"/>
      <c r="Q251" s="39" t="s">
        <v>59</v>
      </c>
      <c r="R251" s="63">
        <v>45292.0</v>
      </c>
      <c r="S251" s="39" t="s">
        <v>143</v>
      </c>
      <c r="T251" s="64"/>
      <c r="U251" s="39" t="s">
        <v>144</v>
      </c>
      <c r="V251" s="39" t="s">
        <v>89</v>
      </c>
      <c r="W251" s="39" t="s">
        <v>2710</v>
      </c>
      <c r="X251" s="39" t="s">
        <v>4901</v>
      </c>
      <c r="Y251" s="39" t="s">
        <v>4902</v>
      </c>
      <c r="Z251" s="65"/>
      <c r="AA251" s="63">
        <v>49677.0</v>
      </c>
      <c r="AB251" s="64"/>
      <c r="AC251" s="23">
        <v>245.0</v>
      </c>
      <c r="AD251" s="39" t="s">
        <v>66</v>
      </c>
      <c r="AE251" s="39" t="s">
        <v>67</v>
      </c>
      <c r="AF251" s="39" t="s">
        <v>129</v>
      </c>
      <c r="AG251" s="39" t="s">
        <v>68</v>
      </c>
      <c r="AH251" s="39" t="s">
        <v>69</v>
      </c>
      <c r="AI251" s="39">
        <v>8.13657074E10</v>
      </c>
      <c r="AJ251" s="39" t="s">
        <v>4903</v>
      </c>
      <c r="AK251" s="39" t="s">
        <v>4904</v>
      </c>
      <c r="AL251" s="39" t="s">
        <v>4905</v>
      </c>
      <c r="AM251" s="39" t="s">
        <v>96</v>
      </c>
      <c r="AN251" s="65"/>
      <c r="AO251" s="39" t="s">
        <v>360</v>
      </c>
      <c r="AP251" s="39" t="s">
        <v>666</v>
      </c>
      <c r="AQ251" s="64"/>
      <c r="AR251" s="64"/>
    </row>
    <row r="252">
      <c r="A252" s="21">
        <f t="shared" si="10"/>
        <v>237</v>
      </c>
      <c r="B252" s="39" t="s">
        <v>4906</v>
      </c>
      <c r="C252" s="62" t="s">
        <v>4907</v>
      </c>
      <c r="D252" s="39">
        <v>17.0</v>
      </c>
      <c r="E252" s="39">
        <v>6.0</v>
      </c>
      <c r="F252" s="39" t="s">
        <v>4908</v>
      </c>
      <c r="G252" s="39" t="s">
        <v>4909</v>
      </c>
      <c r="H252" s="63">
        <v>39448.0</v>
      </c>
      <c r="I252" s="39" t="s">
        <v>80</v>
      </c>
      <c r="J252" s="39" t="s">
        <v>81</v>
      </c>
      <c r="K252" s="39" t="s">
        <v>1399</v>
      </c>
      <c r="L252" s="39" t="s">
        <v>105</v>
      </c>
      <c r="M252" s="63">
        <v>44835.0</v>
      </c>
      <c r="N252" s="39" t="s">
        <v>141</v>
      </c>
      <c r="O252" s="39" t="s">
        <v>173</v>
      </c>
      <c r="P252" s="64"/>
      <c r="Q252" s="39" t="s">
        <v>59</v>
      </c>
      <c r="R252" s="63">
        <v>45292.0</v>
      </c>
      <c r="S252" s="39" t="s">
        <v>143</v>
      </c>
      <c r="T252" s="64"/>
      <c r="U252" s="39" t="s">
        <v>144</v>
      </c>
      <c r="V252" s="39" t="s">
        <v>89</v>
      </c>
      <c r="W252" s="39" t="s">
        <v>218</v>
      </c>
      <c r="X252" s="39" t="s">
        <v>4161</v>
      </c>
      <c r="Y252" s="39" t="s">
        <v>4910</v>
      </c>
      <c r="Z252" s="39" t="s">
        <v>114</v>
      </c>
      <c r="AA252" s="63">
        <v>50408.0</v>
      </c>
      <c r="AB252" s="64"/>
      <c r="AC252" s="23">
        <v>246.0</v>
      </c>
      <c r="AD252" s="39" t="s">
        <v>66</v>
      </c>
      <c r="AE252" s="39" t="s">
        <v>67</v>
      </c>
      <c r="AF252" s="39" t="s">
        <v>92</v>
      </c>
      <c r="AG252" s="39" t="s">
        <v>68</v>
      </c>
      <c r="AH252" s="39" t="s">
        <v>69</v>
      </c>
      <c r="AI252" s="39">
        <v>8.1260655177E10</v>
      </c>
      <c r="AJ252" s="39" t="s">
        <v>4911</v>
      </c>
      <c r="AK252" s="39" t="s">
        <v>4912</v>
      </c>
      <c r="AL252" s="39" t="s">
        <v>4913</v>
      </c>
      <c r="AM252" s="39" t="s">
        <v>96</v>
      </c>
      <c r="AN252" s="39" t="s">
        <v>97</v>
      </c>
      <c r="AO252" s="39" t="s">
        <v>1030</v>
      </c>
      <c r="AP252" s="39" t="s">
        <v>4914</v>
      </c>
      <c r="AQ252" s="39">
        <v>1.0</v>
      </c>
      <c r="AR252" s="39">
        <v>1.0</v>
      </c>
    </row>
    <row r="253">
      <c r="A253" s="21">
        <f t="shared" si="10"/>
        <v>238</v>
      </c>
      <c r="B253" s="49" t="s">
        <v>4915</v>
      </c>
      <c r="C253" s="211" t="s">
        <v>4916</v>
      </c>
      <c r="D253" s="49">
        <v>0.0</v>
      </c>
      <c r="E253" s="49">
        <v>0.0</v>
      </c>
      <c r="F253" s="49" t="s">
        <v>80</v>
      </c>
      <c r="G253" s="49" t="s">
        <v>81</v>
      </c>
      <c r="H253" s="146">
        <v>45778.0</v>
      </c>
      <c r="I253" s="49" t="s">
        <v>80</v>
      </c>
      <c r="J253" s="49" t="s">
        <v>81</v>
      </c>
      <c r="K253" s="49" t="s">
        <v>240</v>
      </c>
      <c r="L253" s="49" t="s">
        <v>105</v>
      </c>
      <c r="M253" s="146">
        <v>45778.0</v>
      </c>
      <c r="N253" s="49" t="s">
        <v>141</v>
      </c>
      <c r="O253" s="49" t="s">
        <v>1670</v>
      </c>
      <c r="P253" s="212"/>
      <c r="Q253" s="49" t="s">
        <v>4882</v>
      </c>
      <c r="R253" s="146">
        <v>45778.0</v>
      </c>
      <c r="S253" s="49" t="s">
        <v>242</v>
      </c>
      <c r="T253" s="212"/>
      <c r="U253" s="49" t="s">
        <v>105</v>
      </c>
      <c r="V253" s="49" t="s">
        <v>89</v>
      </c>
      <c r="W253" s="49" t="s">
        <v>230</v>
      </c>
      <c r="X253" s="49" t="s">
        <v>2064</v>
      </c>
      <c r="Y253" s="49" t="s">
        <v>4917</v>
      </c>
      <c r="Z253" s="212"/>
      <c r="AA253" s="146">
        <v>55522.0</v>
      </c>
      <c r="AB253" s="212"/>
      <c r="AC253" s="23">
        <v>247.0</v>
      </c>
      <c r="AD253" s="49" t="s">
        <v>5</v>
      </c>
      <c r="AE253" s="49" t="s">
        <v>220</v>
      </c>
      <c r="AF253" s="49" t="s">
        <v>92</v>
      </c>
      <c r="AG253" s="49" t="s">
        <v>130</v>
      </c>
      <c r="AH253" s="49" t="s">
        <v>69</v>
      </c>
      <c r="AI253" s="49">
        <v>8.2226769757E10</v>
      </c>
      <c r="AJ253" s="49" t="s">
        <v>4918</v>
      </c>
      <c r="AK253" s="49" t="s">
        <v>4919</v>
      </c>
      <c r="AL253" s="49" t="s">
        <v>4920</v>
      </c>
      <c r="AM253" s="49" t="s">
        <v>73</v>
      </c>
      <c r="AN253" s="49" t="s">
        <v>74</v>
      </c>
      <c r="AO253" s="49" t="s">
        <v>1291</v>
      </c>
      <c r="AP253" s="49" t="s">
        <v>4921</v>
      </c>
      <c r="AQ253" s="212"/>
      <c r="AR253" s="212"/>
    </row>
    <row r="254">
      <c r="A254" s="21"/>
      <c r="B254" s="102" t="s">
        <v>5215</v>
      </c>
      <c r="C254" s="254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  <c r="AB254" s="116"/>
      <c r="AC254" s="23">
        <v>248.0</v>
      </c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  <c r="AO254" s="119"/>
      <c r="AP254" s="119"/>
      <c r="AQ254" s="119"/>
      <c r="AR254" s="119"/>
    </row>
    <row r="255">
      <c r="A255" s="21">
        <f>SUM(A253+1)</f>
        <v>239</v>
      </c>
      <c r="B255" s="21" t="s">
        <v>5216</v>
      </c>
      <c r="C255" s="31" t="s">
        <v>5217</v>
      </c>
      <c r="D255" s="23">
        <v>19.0</v>
      </c>
      <c r="E255" s="23">
        <v>1.0</v>
      </c>
      <c r="F255" s="23" t="s">
        <v>50</v>
      </c>
      <c r="G255" s="23" t="s">
        <v>51</v>
      </c>
      <c r="H255" s="32">
        <v>35855.0</v>
      </c>
      <c r="I255" s="21" t="s">
        <v>82</v>
      </c>
      <c r="J255" s="21" t="s">
        <v>83</v>
      </c>
      <c r="K255" s="21" t="s">
        <v>228</v>
      </c>
      <c r="L255" s="21" t="s">
        <v>105</v>
      </c>
      <c r="M255" s="33">
        <v>44652.0</v>
      </c>
      <c r="N255" s="23" t="s">
        <v>56</v>
      </c>
      <c r="O255" s="21" t="s">
        <v>5218</v>
      </c>
      <c r="P255" s="23" t="s">
        <v>107</v>
      </c>
      <c r="Q255" s="21" t="s">
        <v>5219</v>
      </c>
      <c r="R255" s="32">
        <v>45628.0</v>
      </c>
      <c r="S255" s="23" t="s">
        <v>2571</v>
      </c>
      <c r="T255" s="35"/>
      <c r="U255" s="23" t="s">
        <v>88</v>
      </c>
      <c r="V255" s="21" t="s">
        <v>159</v>
      </c>
      <c r="W255" s="21" t="s">
        <v>259</v>
      </c>
      <c r="X255" s="21" t="s">
        <v>260</v>
      </c>
      <c r="Y255" s="36">
        <v>43008.0</v>
      </c>
      <c r="Z255" s="23" t="s">
        <v>114</v>
      </c>
      <c r="AA255" s="32">
        <v>49313.0</v>
      </c>
      <c r="AB255" s="35"/>
      <c r="AC255" s="23">
        <v>249.0</v>
      </c>
      <c r="AD255" s="21" t="s">
        <v>66</v>
      </c>
      <c r="AE255" s="21" t="s">
        <v>67</v>
      </c>
      <c r="AF255" s="21" t="s">
        <v>92</v>
      </c>
      <c r="AG255" s="21" t="s">
        <v>68</v>
      </c>
      <c r="AH255" s="21" t="s">
        <v>69</v>
      </c>
      <c r="AI255" s="21">
        <v>8.1370082772E10</v>
      </c>
      <c r="AJ255" s="21" t="s">
        <v>5220</v>
      </c>
      <c r="AK255" s="21" t="s">
        <v>5221</v>
      </c>
      <c r="AL255" s="21" t="s">
        <v>5222</v>
      </c>
      <c r="AM255" s="21" t="s">
        <v>96</v>
      </c>
      <c r="AN255" s="21" t="s">
        <v>775</v>
      </c>
      <c r="AO255" s="21" t="s">
        <v>3489</v>
      </c>
      <c r="AP255" s="21" t="s">
        <v>3490</v>
      </c>
      <c r="AQ255" s="37"/>
      <c r="AR255" s="37"/>
    </row>
    <row r="256">
      <c r="A256" s="21">
        <f t="shared" ref="A256:A265" si="11">SUM(A255+1)</f>
        <v>240</v>
      </c>
      <c r="B256" s="21" t="s">
        <v>5223</v>
      </c>
      <c r="C256" s="31" t="s">
        <v>5224</v>
      </c>
      <c r="D256" s="23">
        <v>14.0</v>
      </c>
      <c r="E256" s="23">
        <v>11.0</v>
      </c>
      <c r="F256" s="23" t="s">
        <v>50</v>
      </c>
      <c r="G256" s="23" t="s">
        <v>51</v>
      </c>
      <c r="H256" s="32">
        <v>40179.0</v>
      </c>
      <c r="I256" s="21" t="s">
        <v>82</v>
      </c>
      <c r="J256" s="21" t="s">
        <v>83</v>
      </c>
      <c r="K256" s="21" t="s">
        <v>417</v>
      </c>
      <c r="L256" s="21" t="s">
        <v>105</v>
      </c>
      <c r="M256" s="33">
        <v>45566.0</v>
      </c>
      <c r="N256" s="23" t="s">
        <v>56</v>
      </c>
      <c r="O256" s="21" t="s">
        <v>5225</v>
      </c>
      <c r="P256" s="23" t="s">
        <v>3549</v>
      </c>
      <c r="Q256" s="21" t="s">
        <v>5226</v>
      </c>
      <c r="R256" s="32">
        <v>45000.0</v>
      </c>
      <c r="S256" s="23" t="s">
        <v>3863</v>
      </c>
      <c r="T256" s="35"/>
      <c r="U256" s="23" t="s">
        <v>88</v>
      </c>
      <c r="V256" s="21" t="s">
        <v>159</v>
      </c>
      <c r="W256" s="21" t="s">
        <v>218</v>
      </c>
      <c r="X256" s="21" t="s">
        <v>745</v>
      </c>
      <c r="Y256" s="21" t="s">
        <v>3394</v>
      </c>
      <c r="Z256" s="37"/>
      <c r="AA256" s="32">
        <v>50772.0</v>
      </c>
      <c r="AB256" s="35"/>
      <c r="AC256" s="23">
        <v>250.0</v>
      </c>
      <c r="AD256" s="21" t="s">
        <v>66</v>
      </c>
      <c r="AE256" s="21" t="s">
        <v>67</v>
      </c>
      <c r="AF256" s="187"/>
      <c r="AG256" s="21" t="s">
        <v>68</v>
      </c>
      <c r="AH256" s="21" t="s">
        <v>69</v>
      </c>
      <c r="AI256" s="21">
        <v>8.5262245678E10</v>
      </c>
      <c r="AJ256" s="21" t="s">
        <v>5227</v>
      </c>
      <c r="AK256" s="21" t="s">
        <v>5228</v>
      </c>
      <c r="AL256" s="21" t="s">
        <v>5229</v>
      </c>
      <c r="AM256" s="21" t="s">
        <v>96</v>
      </c>
      <c r="AN256" s="21" t="s">
        <v>2266</v>
      </c>
      <c r="AO256" s="21" t="s">
        <v>1941</v>
      </c>
      <c r="AP256" s="21" t="s">
        <v>282</v>
      </c>
      <c r="AQ256" s="187"/>
      <c r="AR256" s="187"/>
    </row>
    <row r="257">
      <c r="A257" s="21">
        <f t="shared" si="11"/>
        <v>241</v>
      </c>
      <c r="B257" s="39" t="s">
        <v>5230</v>
      </c>
      <c r="C257" s="62" t="s">
        <v>5231</v>
      </c>
      <c r="D257" s="39">
        <v>12.0</v>
      </c>
      <c r="E257" s="39">
        <v>1.0</v>
      </c>
      <c r="F257" s="39" t="s">
        <v>80</v>
      </c>
      <c r="G257" s="39" t="s">
        <v>81</v>
      </c>
      <c r="H257" s="66">
        <v>39873.0</v>
      </c>
      <c r="I257" s="39" t="s">
        <v>82</v>
      </c>
      <c r="J257" s="39" t="s">
        <v>83</v>
      </c>
      <c r="K257" s="39" t="s">
        <v>408</v>
      </c>
      <c r="L257" s="39" t="s">
        <v>88</v>
      </c>
      <c r="M257" s="66">
        <v>44287.0</v>
      </c>
      <c r="N257" s="39" t="s">
        <v>141</v>
      </c>
      <c r="O257" s="39" t="s">
        <v>229</v>
      </c>
      <c r="P257" s="64"/>
      <c r="Q257" s="39" t="s">
        <v>59</v>
      </c>
      <c r="R257" s="66">
        <v>45292.0</v>
      </c>
      <c r="S257" s="39" t="s">
        <v>143</v>
      </c>
      <c r="T257" s="64"/>
      <c r="U257" s="39" t="s">
        <v>144</v>
      </c>
      <c r="V257" s="39" t="s">
        <v>89</v>
      </c>
      <c r="W257" s="39" t="s">
        <v>218</v>
      </c>
      <c r="X257" s="39" t="s">
        <v>5232</v>
      </c>
      <c r="Y257" s="39" t="s">
        <v>5233</v>
      </c>
      <c r="Z257" s="39" t="s">
        <v>114</v>
      </c>
      <c r="AA257" s="63">
        <v>48953.0</v>
      </c>
      <c r="AB257" s="64"/>
      <c r="AC257" s="23">
        <v>251.0</v>
      </c>
      <c r="AD257" s="39" t="s">
        <v>66</v>
      </c>
      <c r="AE257" s="39" t="s">
        <v>220</v>
      </c>
      <c r="AF257" s="64"/>
      <c r="AG257" s="39" t="s">
        <v>68</v>
      </c>
      <c r="AH257" s="64"/>
      <c r="AI257" s="39">
        <v>8.2274828606E10</v>
      </c>
      <c r="AJ257" s="39" t="s">
        <v>5234</v>
      </c>
      <c r="AK257" s="39" t="s">
        <v>5235</v>
      </c>
      <c r="AL257" s="39" t="s">
        <v>5236</v>
      </c>
      <c r="AM257" s="39" t="s">
        <v>96</v>
      </c>
      <c r="AN257" s="64"/>
      <c r="AO257" s="39" t="s">
        <v>5237</v>
      </c>
      <c r="AP257" s="39" t="s">
        <v>5238</v>
      </c>
      <c r="AQ257" s="64"/>
      <c r="AR257" s="64"/>
    </row>
    <row r="258">
      <c r="A258" s="21">
        <f t="shared" si="11"/>
        <v>242</v>
      </c>
      <c r="B258" s="39" t="s">
        <v>5239</v>
      </c>
      <c r="C258" s="62" t="s">
        <v>5240</v>
      </c>
      <c r="D258" s="39">
        <v>12.0</v>
      </c>
      <c r="E258" s="39">
        <v>1.0</v>
      </c>
      <c r="F258" s="39" t="s">
        <v>80</v>
      </c>
      <c r="G258" s="39" t="s">
        <v>81</v>
      </c>
      <c r="H258" s="66">
        <v>39873.0</v>
      </c>
      <c r="I258" s="39" t="s">
        <v>82</v>
      </c>
      <c r="J258" s="39" t="s">
        <v>83</v>
      </c>
      <c r="K258" s="39" t="s">
        <v>5241</v>
      </c>
      <c r="L258" s="39" t="s">
        <v>156</v>
      </c>
      <c r="M258" s="66">
        <v>44287.0</v>
      </c>
      <c r="N258" s="39" t="s">
        <v>141</v>
      </c>
      <c r="O258" s="39" t="s">
        <v>229</v>
      </c>
      <c r="P258" s="64"/>
      <c r="Q258" s="39" t="s">
        <v>59</v>
      </c>
      <c r="R258" s="66">
        <v>45292.0</v>
      </c>
      <c r="S258" s="39" t="s">
        <v>143</v>
      </c>
      <c r="T258" s="64"/>
      <c r="U258" s="39" t="s">
        <v>144</v>
      </c>
      <c r="V258" s="39" t="s">
        <v>159</v>
      </c>
      <c r="W258" s="39" t="s">
        <v>218</v>
      </c>
      <c r="X258" s="39" t="s">
        <v>161</v>
      </c>
      <c r="Y258" s="132">
        <v>43428.0</v>
      </c>
      <c r="Z258" s="64"/>
      <c r="AA258" s="63">
        <v>49312.0</v>
      </c>
      <c r="AB258" s="64"/>
      <c r="AC258" s="23">
        <v>252.0</v>
      </c>
      <c r="AD258" s="39" t="s">
        <v>66</v>
      </c>
      <c r="AE258" s="39" t="s">
        <v>67</v>
      </c>
      <c r="AF258" s="39" t="s">
        <v>92</v>
      </c>
      <c r="AG258" s="39" t="s">
        <v>130</v>
      </c>
      <c r="AH258" s="39" t="s">
        <v>131</v>
      </c>
      <c r="AI258" s="39">
        <v>8.1373014554E10</v>
      </c>
      <c r="AJ258" s="39" t="s">
        <v>5242</v>
      </c>
      <c r="AK258" s="39" t="s">
        <v>5243</v>
      </c>
      <c r="AL258" s="39" t="s">
        <v>5244</v>
      </c>
      <c r="AM258" s="39" t="s">
        <v>96</v>
      </c>
      <c r="AN258" s="64"/>
      <c r="AO258" s="39" t="s">
        <v>272</v>
      </c>
      <c r="AP258" s="39" t="s">
        <v>5245</v>
      </c>
      <c r="AQ258" s="64"/>
      <c r="AR258" s="64"/>
    </row>
    <row r="259">
      <c r="A259" s="21">
        <f t="shared" si="11"/>
        <v>243</v>
      </c>
      <c r="B259" s="216" t="s">
        <v>5246</v>
      </c>
      <c r="C259" s="217" t="s">
        <v>5247</v>
      </c>
      <c r="D259" s="218">
        <v>8.0</v>
      </c>
      <c r="E259" s="218">
        <v>3.0</v>
      </c>
      <c r="F259" s="218" t="s">
        <v>80</v>
      </c>
      <c r="G259" s="218" t="s">
        <v>81</v>
      </c>
      <c r="H259" s="219">
        <v>40179.0</v>
      </c>
      <c r="I259" s="216" t="s">
        <v>102</v>
      </c>
      <c r="J259" s="216" t="s">
        <v>103</v>
      </c>
      <c r="K259" s="216" t="s">
        <v>5248</v>
      </c>
      <c r="L259" s="218" t="s">
        <v>61</v>
      </c>
      <c r="M259" s="220">
        <v>43191.0</v>
      </c>
      <c r="N259" s="218" t="s">
        <v>141</v>
      </c>
      <c r="O259" s="216" t="s">
        <v>5249</v>
      </c>
      <c r="P259" s="221"/>
      <c r="Q259" s="216" t="s">
        <v>59</v>
      </c>
      <c r="R259" s="219">
        <v>44936.0</v>
      </c>
      <c r="S259" s="218" t="s">
        <v>125</v>
      </c>
      <c r="T259" s="221"/>
      <c r="U259" s="218" t="s">
        <v>105</v>
      </c>
      <c r="V259" s="216" t="s">
        <v>89</v>
      </c>
      <c r="W259" s="216" t="s">
        <v>5250</v>
      </c>
      <c r="X259" s="216" t="s">
        <v>5251</v>
      </c>
      <c r="Y259" s="216" t="s">
        <v>5252</v>
      </c>
      <c r="Z259" s="221"/>
      <c r="AA259" s="222">
        <v>48952.0</v>
      </c>
      <c r="AB259" s="218" t="s">
        <v>5253</v>
      </c>
      <c r="AC259" s="23">
        <v>253.0</v>
      </c>
      <c r="AD259" s="218" t="s">
        <v>66</v>
      </c>
      <c r="AE259" s="216" t="s">
        <v>220</v>
      </c>
      <c r="AF259" s="223"/>
      <c r="AG259" s="216" t="s">
        <v>130</v>
      </c>
      <c r="AH259" s="218" t="s">
        <v>131</v>
      </c>
      <c r="AI259" s="216">
        <v>8.2161739269E10</v>
      </c>
      <c r="AJ259" s="221"/>
      <c r="AK259" s="218" t="s">
        <v>5254</v>
      </c>
      <c r="AL259" s="216" t="s">
        <v>5255</v>
      </c>
      <c r="AM259" s="218" t="s">
        <v>96</v>
      </c>
      <c r="AN259" s="218" t="s">
        <v>74</v>
      </c>
      <c r="AO259" s="218" t="s">
        <v>1243</v>
      </c>
      <c r="AP259" s="218" t="s">
        <v>5256</v>
      </c>
      <c r="AQ259" s="221"/>
      <c r="AR259" s="221"/>
    </row>
    <row r="260">
      <c r="A260" s="21">
        <f t="shared" si="11"/>
        <v>244</v>
      </c>
      <c r="B260" s="39" t="s">
        <v>5257</v>
      </c>
      <c r="C260" s="62" t="s">
        <v>5258</v>
      </c>
      <c r="D260" s="39">
        <v>18.0</v>
      </c>
      <c r="E260" s="39">
        <v>10.0</v>
      </c>
      <c r="F260" s="39" t="s">
        <v>171</v>
      </c>
      <c r="G260" s="39" t="s">
        <v>172</v>
      </c>
      <c r="H260" s="66">
        <v>37956.0</v>
      </c>
      <c r="I260" s="39" t="s">
        <v>82</v>
      </c>
      <c r="J260" s="39" t="s">
        <v>83</v>
      </c>
      <c r="K260" s="39" t="s">
        <v>417</v>
      </c>
      <c r="L260" s="39" t="s">
        <v>105</v>
      </c>
      <c r="M260" s="66">
        <v>45566.0</v>
      </c>
      <c r="N260" s="39" t="s">
        <v>141</v>
      </c>
      <c r="O260" s="39" t="s">
        <v>173</v>
      </c>
      <c r="P260" s="64"/>
      <c r="Q260" s="39" t="s">
        <v>59</v>
      </c>
      <c r="R260" s="66">
        <v>45292.0</v>
      </c>
      <c r="S260" s="39" t="s">
        <v>143</v>
      </c>
      <c r="T260" s="64"/>
      <c r="U260" s="39" t="s">
        <v>144</v>
      </c>
      <c r="V260" s="39" t="s">
        <v>159</v>
      </c>
      <c r="W260" s="39" t="s">
        <v>2572</v>
      </c>
      <c r="X260" s="39" t="s">
        <v>1010</v>
      </c>
      <c r="Y260" s="39" t="s">
        <v>5259</v>
      </c>
      <c r="Z260" s="64"/>
      <c r="AA260" s="63">
        <v>50414.0</v>
      </c>
      <c r="AB260" s="64"/>
      <c r="AC260" s="23">
        <v>254.0</v>
      </c>
      <c r="AD260" s="39" t="s">
        <v>66</v>
      </c>
      <c r="AE260" s="39" t="s">
        <v>67</v>
      </c>
      <c r="AF260" s="39" t="s">
        <v>92</v>
      </c>
      <c r="AG260" s="39" t="s">
        <v>130</v>
      </c>
      <c r="AH260" s="39" t="s">
        <v>69</v>
      </c>
      <c r="AI260" s="39">
        <v>8.1264461015E10</v>
      </c>
      <c r="AJ260" s="39" t="s">
        <v>5260</v>
      </c>
      <c r="AK260" s="39" t="s">
        <v>5261</v>
      </c>
      <c r="AL260" s="39" t="s">
        <v>5262</v>
      </c>
      <c r="AM260" s="39" t="s">
        <v>96</v>
      </c>
      <c r="AN260" s="39" t="s">
        <v>135</v>
      </c>
      <c r="AO260" s="39" t="s">
        <v>236</v>
      </c>
      <c r="AP260" s="39" t="s">
        <v>237</v>
      </c>
      <c r="AQ260" s="64"/>
      <c r="AR260" s="64"/>
    </row>
    <row r="261">
      <c r="A261" s="21">
        <f t="shared" si="11"/>
        <v>245</v>
      </c>
      <c r="B261" s="39" t="s">
        <v>5263</v>
      </c>
      <c r="C261" s="62" t="s">
        <v>5264</v>
      </c>
      <c r="D261" s="39">
        <v>12.0</v>
      </c>
      <c r="E261" s="39">
        <v>9.0</v>
      </c>
      <c r="F261" s="39" t="s">
        <v>80</v>
      </c>
      <c r="G261" s="39" t="s">
        <v>81</v>
      </c>
      <c r="H261" s="66">
        <v>40544.0</v>
      </c>
      <c r="I261" s="39" t="s">
        <v>82</v>
      </c>
      <c r="J261" s="39" t="s">
        <v>83</v>
      </c>
      <c r="K261" s="39" t="s">
        <v>1415</v>
      </c>
      <c r="L261" s="39" t="s">
        <v>105</v>
      </c>
      <c r="M261" s="66">
        <v>45200.0</v>
      </c>
      <c r="N261" s="39" t="s">
        <v>141</v>
      </c>
      <c r="O261" s="39" t="s">
        <v>229</v>
      </c>
      <c r="P261" s="64"/>
      <c r="Q261" s="39" t="s">
        <v>59</v>
      </c>
      <c r="R261" s="66">
        <v>45292.0</v>
      </c>
      <c r="S261" s="39" t="s">
        <v>143</v>
      </c>
      <c r="T261" s="64"/>
      <c r="U261" s="39" t="s">
        <v>144</v>
      </c>
      <c r="V261" s="39" t="s">
        <v>89</v>
      </c>
      <c r="W261" s="39" t="s">
        <v>647</v>
      </c>
      <c r="X261" s="39" t="s">
        <v>1329</v>
      </c>
      <c r="Y261" s="39" t="s">
        <v>5265</v>
      </c>
      <c r="Z261" s="39" t="s">
        <v>114</v>
      </c>
      <c r="AA261" s="63">
        <v>49311.0</v>
      </c>
      <c r="AB261" s="64"/>
      <c r="AC261" s="23">
        <v>255.0</v>
      </c>
      <c r="AD261" s="39" t="s">
        <v>66</v>
      </c>
      <c r="AE261" s="39" t="s">
        <v>67</v>
      </c>
      <c r="AF261" s="64"/>
      <c r="AG261" s="39" t="s">
        <v>68</v>
      </c>
      <c r="AH261" s="39" t="s">
        <v>69</v>
      </c>
      <c r="AI261" s="39">
        <v>8.11636801E8</v>
      </c>
      <c r="AJ261" s="39" t="s">
        <v>5266</v>
      </c>
      <c r="AK261" s="39" t="s">
        <v>5267</v>
      </c>
      <c r="AL261" s="39" t="s">
        <v>5268</v>
      </c>
      <c r="AM261" s="39" t="s">
        <v>96</v>
      </c>
      <c r="AN261" s="39" t="s">
        <v>135</v>
      </c>
      <c r="AO261" s="39" t="s">
        <v>272</v>
      </c>
      <c r="AP261" s="39" t="s">
        <v>5269</v>
      </c>
      <c r="AQ261" s="64"/>
      <c r="AR261" s="64"/>
    </row>
    <row r="262">
      <c r="A262" s="21">
        <f t="shared" si="11"/>
        <v>246</v>
      </c>
      <c r="B262" s="39" t="s">
        <v>5270</v>
      </c>
      <c r="C262" s="62" t="s">
        <v>5271</v>
      </c>
      <c r="D262" s="39">
        <v>17.0</v>
      </c>
      <c r="E262" s="39">
        <v>9.0</v>
      </c>
      <c r="F262" s="39" t="s">
        <v>50</v>
      </c>
      <c r="G262" s="39" t="s">
        <v>51</v>
      </c>
      <c r="H262" s="66">
        <v>40179.0</v>
      </c>
      <c r="I262" s="39" t="s">
        <v>82</v>
      </c>
      <c r="J262" s="39" t="s">
        <v>83</v>
      </c>
      <c r="K262" s="39" t="s">
        <v>140</v>
      </c>
      <c r="L262" s="39" t="s">
        <v>105</v>
      </c>
      <c r="M262" s="66">
        <v>45809.0</v>
      </c>
      <c r="N262" s="39" t="s">
        <v>141</v>
      </c>
      <c r="O262" s="39" t="s">
        <v>173</v>
      </c>
      <c r="P262" s="64"/>
      <c r="Q262" s="39" t="s">
        <v>59</v>
      </c>
      <c r="R262" s="66">
        <v>45292.0</v>
      </c>
      <c r="S262" s="39" t="s">
        <v>143</v>
      </c>
      <c r="T262" s="64"/>
      <c r="U262" s="39" t="s">
        <v>144</v>
      </c>
      <c r="V262" s="39" t="s">
        <v>89</v>
      </c>
      <c r="W262" s="39" t="s">
        <v>90</v>
      </c>
      <c r="X262" s="39" t="s">
        <v>2024</v>
      </c>
      <c r="Y262" s="39" t="s">
        <v>5272</v>
      </c>
      <c r="Z262" s="39" t="s">
        <v>114</v>
      </c>
      <c r="AA262" s="63">
        <v>51508.0</v>
      </c>
      <c r="AB262" s="64"/>
      <c r="AC262" s="23">
        <v>256.0</v>
      </c>
      <c r="AD262" s="39" t="s">
        <v>66</v>
      </c>
      <c r="AE262" s="39" t="s">
        <v>220</v>
      </c>
      <c r="AF262" s="39" t="s">
        <v>92</v>
      </c>
      <c r="AG262" s="39" t="s">
        <v>68</v>
      </c>
      <c r="AH262" s="39" t="s">
        <v>131</v>
      </c>
      <c r="AI262" s="39">
        <v>8.1361610002E10</v>
      </c>
      <c r="AJ262" s="39" t="s">
        <v>5273</v>
      </c>
      <c r="AK262" s="39" t="s">
        <v>5274</v>
      </c>
      <c r="AL262" s="39" t="s">
        <v>5275</v>
      </c>
      <c r="AM262" s="39" t="s">
        <v>96</v>
      </c>
      <c r="AN262" s="39" t="s">
        <v>74</v>
      </c>
      <c r="AO262" s="39" t="s">
        <v>203</v>
      </c>
      <c r="AP262" s="39" t="s">
        <v>204</v>
      </c>
      <c r="AQ262" s="64"/>
      <c r="AR262" s="64"/>
    </row>
    <row r="263">
      <c r="A263" s="21">
        <f t="shared" si="11"/>
        <v>247</v>
      </c>
      <c r="B263" s="39" t="s">
        <v>5276</v>
      </c>
      <c r="C263" s="62" t="s">
        <v>5277</v>
      </c>
      <c r="D263" s="39">
        <v>15.0</v>
      </c>
      <c r="E263" s="39">
        <v>5.0</v>
      </c>
      <c r="F263" s="39" t="s">
        <v>50</v>
      </c>
      <c r="G263" s="39" t="s">
        <v>51</v>
      </c>
      <c r="H263" s="66">
        <v>42217.0</v>
      </c>
      <c r="I263" s="39" t="s">
        <v>102</v>
      </c>
      <c r="J263" s="39" t="s">
        <v>103</v>
      </c>
      <c r="K263" s="39" t="s">
        <v>140</v>
      </c>
      <c r="L263" s="39" t="s">
        <v>105</v>
      </c>
      <c r="M263" s="66">
        <v>45809.0</v>
      </c>
      <c r="N263" s="39" t="s">
        <v>141</v>
      </c>
      <c r="O263" s="39" t="s">
        <v>229</v>
      </c>
      <c r="P263" s="64"/>
      <c r="Q263" s="39" t="s">
        <v>59</v>
      </c>
      <c r="R263" s="66">
        <v>45292.0</v>
      </c>
      <c r="S263" s="39" t="s">
        <v>143</v>
      </c>
      <c r="T263" s="64"/>
      <c r="U263" s="39" t="s">
        <v>144</v>
      </c>
      <c r="V263" s="39" t="s">
        <v>89</v>
      </c>
      <c r="W263" s="39" t="s">
        <v>1214</v>
      </c>
      <c r="X263" s="39" t="s">
        <v>5278</v>
      </c>
      <c r="Y263" s="39" t="s">
        <v>3543</v>
      </c>
      <c r="Z263" s="64"/>
      <c r="AA263" s="63">
        <v>51145.0</v>
      </c>
      <c r="AB263" s="64"/>
      <c r="AC263" s="23">
        <v>257.0</v>
      </c>
      <c r="AD263" s="39" t="s">
        <v>66</v>
      </c>
      <c r="AE263" s="39" t="s">
        <v>67</v>
      </c>
      <c r="AF263" s="39" t="s">
        <v>92</v>
      </c>
      <c r="AG263" s="39" t="s">
        <v>68</v>
      </c>
      <c r="AH263" s="39" t="s">
        <v>69</v>
      </c>
      <c r="AI263" s="39">
        <v>8.11602837E8</v>
      </c>
      <c r="AJ263" s="39" t="s">
        <v>5279</v>
      </c>
      <c r="AK263" s="39" t="s">
        <v>5280</v>
      </c>
      <c r="AL263" s="39" t="s">
        <v>5281</v>
      </c>
      <c r="AM263" s="39" t="s">
        <v>96</v>
      </c>
      <c r="AN263" s="39" t="s">
        <v>97</v>
      </c>
      <c r="AO263" s="39" t="s">
        <v>1501</v>
      </c>
      <c r="AP263" s="39" t="s">
        <v>5282</v>
      </c>
      <c r="AQ263" s="64"/>
      <c r="AR263" s="64"/>
    </row>
    <row r="264">
      <c r="A264" s="21">
        <f t="shared" si="11"/>
        <v>248</v>
      </c>
      <c r="B264" s="39" t="s">
        <v>5283</v>
      </c>
      <c r="C264" s="62" t="s">
        <v>5284</v>
      </c>
      <c r="D264" s="39">
        <v>15.0</v>
      </c>
      <c r="E264" s="39">
        <v>2.0</v>
      </c>
      <c r="F264" s="39" t="s">
        <v>50</v>
      </c>
      <c r="G264" s="39" t="s">
        <v>51</v>
      </c>
      <c r="H264" s="66">
        <v>38808.0</v>
      </c>
      <c r="I264" s="39" t="s">
        <v>182</v>
      </c>
      <c r="J264" s="39" t="s">
        <v>183</v>
      </c>
      <c r="K264" s="39" t="s">
        <v>217</v>
      </c>
      <c r="L264" s="39" t="s">
        <v>105</v>
      </c>
      <c r="M264" s="66">
        <v>45383.0</v>
      </c>
      <c r="N264" s="39" t="s">
        <v>141</v>
      </c>
      <c r="O264" s="39" t="s">
        <v>229</v>
      </c>
      <c r="P264" s="64"/>
      <c r="Q264" s="39" t="s">
        <v>59</v>
      </c>
      <c r="R264" s="66">
        <v>45292.0</v>
      </c>
      <c r="S264" s="39" t="s">
        <v>143</v>
      </c>
      <c r="T264" s="64"/>
      <c r="U264" s="39" t="s">
        <v>144</v>
      </c>
      <c r="V264" s="39" t="s">
        <v>89</v>
      </c>
      <c r="W264" s="39" t="s">
        <v>218</v>
      </c>
      <c r="X264" s="39" t="s">
        <v>5285</v>
      </c>
      <c r="Y264" s="200">
        <v>43041.0</v>
      </c>
      <c r="Z264" s="39" t="s">
        <v>114</v>
      </c>
      <c r="AA264" s="63">
        <v>50416.0</v>
      </c>
      <c r="AB264" s="64"/>
      <c r="AC264" s="23">
        <v>258.0</v>
      </c>
      <c r="AD264" s="39" t="s">
        <v>66</v>
      </c>
      <c r="AE264" s="39" t="s">
        <v>220</v>
      </c>
      <c r="AF264" s="64"/>
      <c r="AG264" s="39" t="s">
        <v>130</v>
      </c>
      <c r="AH264" s="64"/>
      <c r="AI264" s="39">
        <v>8.2276051135E10</v>
      </c>
      <c r="AJ264" s="39" t="s">
        <v>5286</v>
      </c>
      <c r="AK264" s="39" t="s">
        <v>5287</v>
      </c>
      <c r="AL264" s="39" t="s">
        <v>5288</v>
      </c>
      <c r="AM264" s="39" t="s">
        <v>96</v>
      </c>
      <c r="AN264" s="64"/>
      <c r="AO264" s="64"/>
      <c r="AP264" s="64"/>
      <c r="AQ264" s="64"/>
      <c r="AR264" s="64"/>
    </row>
    <row r="265">
      <c r="A265" s="21">
        <f t="shared" si="11"/>
        <v>249</v>
      </c>
      <c r="B265" s="49" t="s">
        <v>5289</v>
      </c>
      <c r="C265" s="211" t="s">
        <v>5290</v>
      </c>
      <c r="D265" s="49">
        <v>0.0</v>
      </c>
      <c r="E265" s="49">
        <v>0.0</v>
      </c>
      <c r="F265" s="49" t="s">
        <v>80</v>
      </c>
      <c r="G265" s="49" t="s">
        <v>81</v>
      </c>
      <c r="H265" s="224">
        <v>45778.0</v>
      </c>
      <c r="I265" s="49" t="s">
        <v>80</v>
      </c>
      <c r="J265" s="49" t="s">
        <v>81</v>
      </c>
      <c r="K265" s="49" t="s">
        <v>240</v>
      </c>
      <c r="L265" s="49" t="s">
        <v>105</v>
      </c>
      <c r="M265" s="224">
        <v>45778.0</v>
      </c>
      <c r="N265" s="49" t="s">
        <v>141</v>
      </c>
      <c r="O265" s="49" t="s">
        <v>1670</v>
      </c>
      <c r="P265" s="212"/>
      <c r="Q265" s="49" t="s">
        <v>5219</v>
      </c>
      <c r="R265" s="224">
        <v>45778.0</v>
      </c>
      <c r="S265" s="49" t="s">
        <v>242</v>
      </c>
      <c r="T265" s="212"/>
      <c r="U265" s="49" t="s">
        <v>105</v>
      </c>
      <c r="V265" s="49" t="s">
        <v>89</v>
      </c>
      <c r="W265" s="49" t="s">
        <v>230</v>
      </c>
      <c r="X265" s="49" t="s">
        <v>1231</v>
      </c>
      <c r="Y265" s="49" t="s">
        <v>5291</v>
      </c>
      <c r="Z265" s="212"/>
      <c r="AA265" s="146">
        <v>57722.0</v>
      </c>
      <c r="AB265" s="212"/>
      <c r="AC265" s="23">
        <v>259.0</v>
      </c>
      <c r="AD265" s="49" t="s">
        <v>5</v>
      </c>
      <c r="AE265" s="49" t="s">
        <v>67</v>
      </c>
      <c r="AF265" s="49" t="s">
        <v>129</v>
      </c>
      <c r="AG265" s="49" t="s">
        <v>130</v>
      </c>
      <c r="AH265" s="49" t="s">
        <v>131</v>
      </c>
      <c r="AI265" s="49">
        <v>8.19923821E10</v>
      </c>
      <c r="AJ265" s="49" t="s">
        <v>5292</v>
      </c>
      <c r="AK265" s="49" t="s">
        <v>5293</v>
      </c>
      <c r="AL265" s="49" t="s">
        <v>5294</v>
      </c>
      <c r="AM265" s="49" t="s">
        <v>73</v>
      </c>
      <c r="AN265" s="49" t="s">
        <v>5295</v>
      </c>
      <c r="AO265" s="49" t="s">
        <v>5296</v>
      </c>
      <c r="AP265" s="49" t="s">
        <v>5297</v>
      </c>
      <c r="AQ265" s="49">
        <v>0.0</v>
      </c>
      <c r="AR265" s="49">
        <v>0.0</v>
      </c>
    </row>
    <row r="266">
      <c r="A266" s="21"/>
      <c r="B266" s="248" t="s">
        <v>5583</v>
      </c>
      <c r="C266" s="254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  <c r="AA266" s="116"/>
      <c r="AB266" s="116"/>
      <c r="AC266" s="23">
        <v>260.0</v>
      </c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  <c r="AO266" s="119"/>
      <c r="AP266" s="119"/>
      <c r="AQ266" s="119"/>
      <c r="AR266" s="119"/>
    </row>
    <row r="267">
      <c r="A267" s="21">
        <f>SUM(A265+1)</f>
        <v>250</v>
      </c>
      <c r="B267" s="21" t="s">
        <v>5584</v>
      </c>
      <c r="C267" s="31" t="s">
        <v>5585</v>
      </c>
      <c r="D267" s="23">
        <v>15.0</v>
      </c>
      <c r="E267" s="23">
        <v>9.0</v>
      </c>
      <c r="F267" s="23" t="s">
        <v>50</v>
      </c>
      <c r="G267" s="23" t="s">
        <v>51</v>
      </c>
      <c r="H267" s="34">
        <v>39083.0</v>
      </c>
      <c r="I267" s="21" t="s">
        <v>254</v>
      </c>
      <c r="J267" s="21" t="s">
        <v>255</v>
      </c>
      <c r="K267" s="21" t="s">
        <v>54</v>
      </c>
      <c r="L267" s="21" t="s">
        <v>55</v>
      </c>
      <c r="M267" s="106">
        <v>45200.0</v>
      </c>
      <c r="N267" s="23" t="s">
        <v>56</v>
      </c>
      <c r="O267" s="21" t="s">
        <v>5586</v>
      </c>
      <c r="P267" s="23" t="s">
        <v>107</v>
      </c>
      <c r="Q267" s="21" t="s">
        <v>5587</v>
      </c>
      <c r="R267" s="34">
        <v>45000.0</v>
      </c>
      <c r="S267" s="23" t="s">
        <v>3863</v>
      </c>
      <c r="T267" s="35"/>
      <c r="U267" s="23" t="s">
        <v>88</v>
      </c>
      <c r="V267" s="21" t="s">
        <v>159</v>
      </c>
      <c r="W267" s="21" t="s">
        <v>218</v>
      </c>
      <c r="X267" s="21" t="s">
        <v>745</v>
      </c>
      <c r="Y267" s="21" t="s">
        <v>2596</v>
      </c>
      <c r="Z267" s="37"/>
      <c r="AA267" s="32">
        <v>50772.0</v>
      </c>
      <c r="AB267" s="35"/>
      <c r="AC267" s="23">
        <v>261.0</v>
      </c>
      <c r="AD267" s="21" t="s">
        <v>66</v>
      </c>
      <c r="AE267" s="21" t="s">
        <v>67</v>
      </c>
      <c r="AF267" s="21" t="s">
        <v>92</v>
      </c>
      <c r="AG267" s="21" t="s">
        <v>68</v>
      </c>
      <c r="AH267" s="21" t="s">
        <v>69</v>
      </c>
      <c r="AI267" s="21">
        <v>8.126070757E9</v>
      </c>
      <c r="AJ267" s="21" t="s">
        <v>5588</v>
      </c>
      <c r="AK267" s="21" t="s">
        <v>5589</v>
      </c>
      <c r="AL267" s="21" t="s">
        <v>5590</v>
      </c>
      <c r="AM267" s="21" t="s">
        <v>96</v>
      </c>
      <c r="AN267" s="21" t="s">
        <v>97</v>
      </c>
      <c r="AO267" s="21" t="s">
        <v>1501</v>
      </c>
      <c r="AP267" s="21" t="s">
        <v>5282</v>
      </c>
      <c r="AQ267" s="37"/>
      <c r="AR267" s="37"/>
    </row>
    <row r="268">
      <c r="A268" s="21">
        <f t="shared" ref="A268:A273" si="12">SUM(A267+1)</f>
        <v>251</v>
      </c>
      <c r="B268" s="21" t="s">
        <v>5591</v>
      </c>
      <c r="C268" s="31" t="s">
        <v>5592</v>
      </c>
      <c r="D268" s="23">
        <v>17.0</v>
      </c>
      <c r="E268" s="23">
        <v>11.0</v>
      </c>
      <c r="F268" s="23" t="s">
        <v>80</v>
      </c>
      <c r="G268" s="23" t="s">
        <v>81</v>
      </c>
      <c r="H268" s="34">
        <v>39448.0</v>
      </c>
      <c r="I268" s="21" t="s">
        <v>82</v>
      </c>
      <c r="J268" s="21" t="s">
        <v>83</v>
      </c>
      <c r="K268" s="21" t="s">
        <v>1995</v>
      </c>
      <c r="L268" s="21" t="s">
        <v>105</v>
      </c>
      <c r="M268" s="106">
        <v>43922.0</v>
      </c>
      <c r="N268" s="23" t="s">
        <v>56</v>
      </c>
      <c r="O268" s="21" t="s">
        <v>5593</v>
      </c>
      <c r="P268" s="23" t="s">
        <v>3549</v>
      </c>
      <c r="Q268" s="21" t="s">
        <v>5594</v>
      </c>
      <c r="R268" s="34">
        <v>45000.0</v>
      </c>
      <c r="S268" s="23" t="s">
        <v>3863</v>
      </c>
      <c r="T268" s="35"/>
      <c r="U268" s="23" t="s">
        <v>88</v>
      </c>
      <c r="V268" s="21" t="s">
        <v>89</v>
      </c>
      <c r="W268" s="21" t="s">
        <v>3312</v>
      </c>
      <c r="X268" s="21" t="s">
        <v>2657</v>
      </c>
      <c r="Y268" s="231">
        <v>36988.0</v>
      </c>
      <c r="Z268" s="23" t="s">
        <v>114</v>
      </c>
      <c r="AA268" s="32">
        <v>48951.0</v>
      </c>
      <c r="AB268" s="35"/>
      <c r="AC268" s="23">
        <v>262.0</v>
      </c>
      <c r="AD268" s="21" t="s">
        <v>66</v>
      </c>
      <c r="AE268" s="21" t="s">
        <v>220</v>
      </c>
      <c r="AF268" s="37"/>
      <c r="AG268" s="21" t="s">
        <v>68</v>
      </c>
      <c r="AH268" s="21" t="s">
        <v>246</v>
      </c>
      <c r="AI268" s="21">
        <v>8.1397189999E10</v>
      </c>
      <c r="AJ268" s="21" t="s">
        <v>5595</v>
      </c>
      <c r="AK268" s="21" t="s">
        <v>5596</v>
      </c>
      <c r="AL268" s="21" t="s">
        <v>5597</v>
      </c>
      <c r="AM268" s="21" t="s">
        <v>96</v>
      </c>
      <c r="AN268" s="21" t="s">
        <v>135</v>
      </c>
      <c r="AO268" s="21" t="s">
        <v>98</v>
      </c>
      <c r="AP268" s="21" t="s">
        <v>2220</v>
      </c>
      <c r="AQ268" s="37"/>
      <c r="AR268" s="37"/>
    </row>
    <row r="269">
      <c r="A269" s="21">
        <f t="shared" si="12"/>
        <v>252</v>
      </c>
      <c r="B269" s="39" t="s">
        <v>5598</v>
      </c>
      <c r="C269" s="62" t="s">
        <v>5599</v>
      </c>
      <c r="D269" s="39">
        <v>15.0</v>
      </c>
      <c r="E269" s="39">
        <v>7.0</v>
      </c>
      <c r="F269" s="39" t="s">
        <v>80</v>
      </c>
      <c r="G269" s="39" t="s">
        <v>81</v>
      </c>
      <c r="H269" s="66">
        <v>35490.0</v>
      </c>
      <c r="I269" s="39" t="s">
        <v>254</v>
      </c>
      <c r="J269" s="39" t="s">
        <v>255</v>
      </c>
      <c r="K269" s="39" t="s">
        <v>5600</v>
      </c>
      <c r="L269" s="39" t="s">
        <v>1326</v>
      </c>
      <c r="M269" s="66">
        <v>41183.0</v>
      </c>
      <c r="N269" s="39" t="s">
        <v>141</v>
      </c>
      <c r="O269" s="39" t="s">
        <v>173</v>
      </c>
      <c r="P269" s="64"/>
      <c r="Q269" s="39" t="s">
        <v>59</v>
      </c>
      <c r="R269" s="66">
        <v>45292.0</v>
      </c>
      <c r="S269" s="39" t="s">
        <v>143</v>
      </c>
      <c r="T269" s="64"/>
      <c r="U269" s="39" t="s">
        <v>144</v>
      </c>
      <c r="V269" s="39" t="s">
        <v>159</v>
      </c>
      <c r="W269" s="64"/>
      <c r="X269" s="39" t="s">
        <v>5285</v>
      </c>
      <c r="Y269" s="39" t="s">
        <v>5601</v>
      </c>
      <c r="Z269" s="39" t="s">
        <v>114</v>
      </c>
      <c r="AA269" s="63">
        <v>47129.0</v>
      </c>
      <c r="AB269" s="64"/>
      <c r="AC269" s="23">
        <v>263.0</v>
      </c>
      <c r="AD269" s="39" t="s">
        <v>66</v>
      </c>
      <c r="AE269" s="39" t="s">
        <v>220</v>
      </c>
      <c r="AF269" s="64"/>
      <c r="AG269" s="39" t="s">
        <v>68</v>
      </c>
      <c r="AH269" s="39" t="s">
        <v>69</v>
      </c>
      <c r="AI269" s="39">
        <v>8.1361021317E10</v>
      </c>
      <c r="AJ269" s="64"/>
      <c r="AK269" s="39" t="s">
        <v>5602</v>
      </c>
      <c r="AL269" s="39" t="s">
        <v>5603</v>
      </c>
      <c r="AM269" s="39" t="s">
        <v>96</v>
      </c>
      <c r="AN269" s="39" t="s">
        <v>97</v>
      </c>
      <c r="AO269" s="39" t="s">
        <v>425</v>
      </c>
      <c r="AP269" s="39" t="s">
        <v>5604</v>
      </c>
      <c r="AQ269" s="64"/>
      <c r="AR269" s="64"/>
    </row>
    <row r="270">
      <c r="A270" s="21">
        <f t="shared" si="12"/>
        <v>253</v>
      </c>
      <c r="B270" s="39" t="s">
        <v>5605</v>
      </c>
      <c r="C270" s="62" t="s">
        <v>5606</v>
      </c>
      <c r="D270" s="39">
        <v>11.0</v>
      </c>
      <c r="E270" s="39">
        <v>3.0</v>
      </c>
      <c r="F270" s="39" t="s">
        <v>171</v>
      </c>
      <c r="G270" s="39" t="s">
        <v>172</v>
      </c>
      <c r="H270" s="66">
        <v>40179.0</v>
      </c>
      <c r="I270" s="39" t="s">
        <v>80</v>
      </c>
      <c r="J270" s="39" t="s">
        <v>81</v>
      </c>
      <c r="K270" s="39" t="s">
        <v>104</v>
      </c>
      <c r="L270" s="39" t="s">
        <v>105</v>
      </c>
      <c r="M270" s="66">
        <v>45017.0</v>
      </c>
      <c r="N270" s="39" t="s">
        <v>141</v>
      </c>
      <c r="O270" s="39" t="s">
        <v>229</v>
      </c>
      <c r="P270" s="64"/>
      <c r="Q270" s="39" t="s">
        <v>108</v>
      </c>
      <c r="R270" s="66">
        <v>44936.0</v>
      </c>
      <c r="S270" s="39" t="s">
        <v>125</v>
      </c>
      <c r="T270" s="64"/>
      <c r="U270" s="39" t="s">
        <v>105</v>
      </c>
      <c r="V270" s="39" t="s">
        <v>267</v>
      </c>
      <c r="W270" s="39" t="s">
        <v>5607</v>
      </c>
      <c r="X270" s="39" t="s">
        <v>5608</v>
      </c>
      <c r="Y270" s="39" t="s">
        <v>5609</v>
      </c>
      <c r="Z270" s="64"/>
      <c r="AA270" s="63">
        <v>50042.0</v>
      </c>
      <c r="AB270" s="64"/>
      <c r="AC270" s="23">
        <v>264.0</v>
      </c>
      <c r="AD270" s="39" t="s">
        <v>66</v>
      </c>
      <c r="AE270" s="39" t="s">
        <v>67</v>
      </c>
      <c r="AF270" s="64"/>
      <c r="AG270" s="39" t="s">
        <v>130</v>
      </c>
      <c r="AH270" s="39" t="s">
        <v>131</v>
      </c>
      <c r="AI270" s="39">
        <v>8.5270919315E10</v>
      </c>
      <c r="AJ270" s="39" t="s">
        <v>5610</v>
      </c>
      <c r="AK270" s="39" t="s">
        <v>5611</v>
      </c>
      <c r="AL270" s="39" t="s">
        <v>5612</v>
      </c>
      <c r="AM270" s="39" t="s">
        <v>96</v>
      </c>
      <c r="AN270" s="39" t="s">
        <v>74</v>
      </c>
      <c r="AO270" s="39" t="s">
        <v>75</v>
      </c>
      <c r="AP270" s="39" t="s">
        <v>76</v>
      </c>
      <c r="AQ270" s="64"/>
      <c r="AR270" s="64"/>
    </row>
    <row r="271">
      <c r="A271" s="21">
        <f t="shared" si="12"/>
        <v>254</v>
      </c>
      <c r="B271" s="39" t="s">
        <v>5613</v>
      </c>
      <c r="C271" s="62" t="s">
        <v>5614</v>
      </c>
      <c r="D271" s="39">
        <v>13.0</v>
      </c>
      <c r="E271" s="39">
        <v>3.0</v>
      </c>
      <c r="F271" s="39" t="s">
        <v>50</v>
      </c>
      <c r="G271" s="39" t="s">
        <v>51</v>
      </c>
      <c r="H271" s="66">
        <v>40179.0</v>
      </c>
      <c r="I271" s="39" t="s">
        <v>80</v>
      </c>
      <c r="J271" s="39" t="s">
        <v>81</v>
      </c>
      <c r="K271" s="39" t="s">
        <v>3900</v>
      </c>
      <c r="L271" s="39" t="s">
        <v>105</v>
      </c>
      <c r="M271" s="66">
        <v>45017.0</v>
      </c>
      <c r="N271" s="39" t="s">
        <v>141</v>
      </c>
      <c r="O271" s="39" t="s">
        <v>173</v>
      </c>
      <c r="P271" s="64"/>
      <c r="Q271" s="39" t="s">
        <v>59</v>
      </c>
      <c r="R271" s="66">
        <v>45536.0</v>
      </c>
      <c r="S271" s="39" t="s">
        <v>185</v>
      </c>
      <c r="T271" s="64"/>
      <c r="U271" s="39" t="s">
        <v>144</v>
      </c>
      <c r="V271" s="39" t="s">
        <v>89</v>
      </c>
      <c r="W271" s="39" t="s">
        <v>90</v>
      </c>
      <c r="X271" s="39" t="s">
        <v>1119</v>
      </c>
      <c r="Y271" s="39" t="s">
        <v>5615</v>
      </c>
      <c r="Z271" s="64"/>
      <c r="AA271" s="63">
        <v>51509.0</v>
      </c>
      <c r="AB271" s="64"/>
      <c r="AC271" s="23">
        <v>265.0</v>
      </c>
      <c r="AD271" s="39" t="s">
        <v>66</v>
      </c>
      <c r="AE271" s="39" t="s">
        <v>67</v>
      </c>
      <c r="AF271" s="64"/>
      <c r="AG271" s="39" t="s">
        <v>130</v>
      </c>
      <c r="AH271" s="39" t="s">
        <v>131</v>
      </c>
      <c r="AI271" s="39">
        <v>8.2168275278E10</v>
      </c>
      <c r="AJ271" s="39" t="s">
        <v>5616</v>
      </c>
      <c r="AK271" s="39" t="s">
        <v>5617</v>
      </c>
      <c r="AL271" s="39" t="s">
        <v>5618</v>
      </c>
      <c r="AM271" s="39" t="s">
        <v>96</v>
      </c>
      <c r="AN271" s="39" t="s">
        <v>166</v>
      </c>
      <c r="AO271" s="39" t="s">
        <v>635</v>
      </c>
      <c r="AP271" s="39" t="s">
        <v>2142</v>
      </c>
      <c r="AQ271" s="64"/>
      <c r="AR271" s="64"/>
    </row>
    <row r="272">
      <c r="A272" s="21">
        <f t="shared" si="12"/>
        <v>255</v>
      </c>
      <c r="B272" s="39" t="s">
        <v>5619</v>
      </c>
      <c r="C272" s="62" t="s">
        <v>5620</v>
      </c>
      <c r="D272" s="39">
        <v>19.0</v>
      </c>
      <c r="E272" s="39">
        <v>10.0</v>
      </c>
      <c r="F272" s="39" t="s">
        <v>50</v>
      </c>
      <c r="G272" s="39" t="s">
        <v>51</v>
      </c>
      <c r="H272" s="66">
        <v>40848.0</v>
      </c>
      <c r="I272" s="39" t="s">
        <v>80</v>
      </c>
      <c r="J272" s="39" t="s">
        <v>81</v>
      </c>
      <c r="K272" s="39" t="s">
        <v>3900</v>
      </c>
      <c r="L272" s="39" t="s">
        <v>105</v>
      </c>
      <c r="M272" s="66">
        <v>45017.0</v>
      </c>
      <c r="N272" s="39" t="s">
        <v>141</v>
      </c>
      <c r="O272" s="39" t="s">
        <v>173</v>
      </c>
      <c r="P272" s="64"/>
      <c r="Q272" s="39" t="s">
        <v>59</v>
      </c>
      <c r="R272" s="66">
        <v>45292.0</v>
      </c>
      <c r="S272" s="39" t="s">
        <v>143</v>
      </c>
      <c r="T272" s="64"/>
      <c r="U272" s="39" t="s">
        <v>144</v>
      </c>
      <c r="V272" s="39" t="s">
        <v>285</v>
      </c>
      <c r="W272" s="64"/>
      <c r="X272" s="39" t="s">
        <v>5621</v>
      </c>
      <c r="Y272" s="39" t="s">
        <v>477</v>
      </c>
      <c r="Z272" s="64"/>
      <c r="AA272" s="63">
        <v>46758.0</v>
      </c>
      <c r="AB272" s="64"/>
      <c r="AC272" s="23">
        <v>266.0</v>
      </c>
      <c r="AD272" s="39" t="s">
        <v>66</v>
      </c>
      <c r="AE272" s="39" t="s">
        <v>67</v>
      </c>
      <c r="AF272" s="39" t="s">
        <v>92</v>
      </c>
      <c r="AG272" s="39" t="s">
        <v>68</v>
      </c>
      <c r="AH272" s="64"/>
      <c r="AI272" s="39">
        <v>8.1263876292E10</v>
      </c>
      <c r="AJ272" s="39" t="s">
        <v>5622</v>
      </c>
      <c r="AK272" s="39" t="s">
        <v>5623</v>
      </c>
      <c r="AL272" s="39" t="s">
        <v>5624</v>
      </c>
      <c r="AM272" s="39" t="s">
        <v>96</v>
      </c>
      <c r="AN272" s="64"/>
      <c r="AO272" s="39" t="s">
        <v>1115</v>
      </c>
      <c r="AP272" s="39" t="s">
        <v>5625</v>
      </c>
      <c r="AQ272" s="64"/>
      <c r="AR272" s="64"/>
    </row>
    <row r="273">
      <c r="A273" s="21">
        <f t="shared" si="12"/>
        <v>256</v>
      </c>
      <c r="B273" s="39" t="s">
        <v>5626</v>
      </c>
      <c r="C273" s="62" t="s">
        <v>5627</v>
      </c>
      <c r="D273" s="39">
        <v>12.0</v>
      </c>
      <c r="E273" s="39">
        <v>3.0</v>
      </c>
      <c r="F273" s="39" t="s">
        <v>182</v>
      </c>
      <c r="G273" s="39" t="s">
        <v>183</v>
      </c>
      <c r="H273" s="66">
        <v>41730.0</v>
      </c>
      <c r="I273" s="39" t="s">
        <v>82</v>
      </c>
      <c r="J273" s="39" t="s">
        <v>83</v>
      </c>
      <c r="K273" s="39" t="s">
        <v>228</v>
      </c>
      <c r="L273" s="39" t="s">
        <v>105</v>
      </c>
      <c r="M273" s="66">
        <v>44652.0</v>
      </c>
      <c r="N273" s="39" t="s">
        <v>141</v>
      </c>
      <c r="O273" s="39" t="s">
        <v>229</v>
      </c>
      <c r="P273" s="64"/>
      <c r="Q273" s="39" t="s">
        <v>59</v>
      </c>
      <c r="R273" s="66">
        <v>45108.0</v>
      </c>
      <c r="S273" s="39" t="s">
        <v>5628</v>
      </c>
      <c r="T273" s="64"/>
      <c r="U273" s="39" t="s">
        <v>2015</v>
      </c>
      <c r="V273" s="39" t="s">
        <v>159</v>
      </c>
      <c r="W273" s="39" t="s">
        <v>2572</v>
      </c>
      <c r="X273" s="39" t="s">
        <v>1010</v>
      </c>
      <c r="Y273" s="39" t="s">
        <v>5629</v>
      </c>
      <c r="Z273" s="39" t="s">
        <v>114</v>
      </c>
      <c r="AA273" s="63">
        <v>50050.0</v>
      </c>
      <c r="AB273" s="64"/>
      <c r="AC273" s="23">
        <v>267.0</v>
      </c>
      <c r="AD273" s="39" t="s">
        <v>66</v>
      </c>
      <c r="AE273" s="39" t="s">
        <v>67</v>
      </c>
      <c r="AF273" s="64"/>
      <c r="AG273" s="39" t="s">
        <v>130</v>
      </c>
      <c r="AH273" s="39" t="s">
        <v>131</v>
      </c>
      <c r="AI273" s="39">
        <v>8.1264922222E10</v>
      </c>
      <c r="AJ273" s="39" t="s">
        <v>5630</v>
      </c>
      <c r="AK273" s="39" t="s">
        <v>5631</v>
      </c>
      <c r="AL273" s="39" t="s">
        <v>5632</v>
      </c>
      <c r="AM273" s="39" t="s">
        <v>96</v>
      </c>
      <c r="AN273" s="39" t="s">
        <v>97</v>
      </c>
      <c r="AO273" s="39" t="s">
        <v>136</v>
      </c>
      <c r="AP273" s="39" t="s">
        <v>1404</v>
      </c>
      <c r="AQ273" s="39">
        <v>2.0</v>
      </c>
      <c r="AR273" s="39">
        <v>2.0</v>
      </c>
    </row>
    <row r="274">
      <c r="A274" s="116"/>
      <c r="B274" s="116"/>
      <c r="C274" s="254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  <c r="AA274" s="116"/>
      <c r="AB274" s="116"/>
      <c r="AC274" s="81">
        <v>275.0</v>
      </c>
      <c r="AD274" s="116"/>
      <c r="AE274" s="116"/>
      <c r="AF274" s="116"/>
      <c r="AG274" s="116"/>
      <c r="AH274" s="116"/>
      <c r="AI274" s="116"/>
      <c r="AJ274" s="116"/>
      <c r="AK274" s="116"/>
      <c r="AL274" s="116"/>
      <c r="AM274" s="116"/>
      <c r="AN274" s="116"/>
      <c r="AO274" s="116"/>
      <c r="AP274" s="116"/>
      <c r="AQ274" s="116"/>
      <c r="AR274" s="116"/>
    </row>
    <row r="275">
      <c r="A275" s="2"/>
      <c r="B275" s="3"/>
      <c r="C275" s="6"/>
      <c r="D275" s="2"/>
      <c r="E275" s="2"/>
      <c r="F275" s="2"/>
      <c r="G275" s="2"/>
      <c r="H275" s="2"/>
      <c r="I275" s="3"/>
      <c r="J275" s="3"/>
      <c r="K275" s="3"/>
      <c r="L275" s="3"/>
      <c r="M275" s="3"/>
      <c r="N275" s="3"/>
      <c r="O275" s="3"/>
      <c r="P275" s="2"/>
      <c r="Q275" s="3"/>
      <c r="R275" s="2"/>
      <c r="S275" s="4"/>
      <c r="T275" s="3"/>
      <c r="U275" s="4"/>
      <c r="V275" s="3"/>
      <c r="W275" s="4"/>
      <c r="X275" s="3"/>
      <c r="Y275" s="3"/>
      <c r="Z275" s="3"/>
      <c r="AA275" s="3"/>
      <c r="AB275" s="4"/>
      <c r="AC275" s="255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</row>
    <row r="276">
      <c r="A276" s="2"/>
      <c r="B276" s="3"/>
      <c r="C276" s="6"/>
      <c r="D276" s="2"/>
      <c r="E276" s="2"/>
      <c r="F276" s="2"/>
      <c r="G276" s="2"/>
      <c r="H276" s="2"/>
      <c r="I276" s="3"/>
      <c r="J276" s="3"/>
      <c r="K276" s="3"/>
      <c r="L276" s="3"/>
      <c r="M276" s="3"/>
      <c r="N276" s="3"/>
      <c r="O276" s="3"/>
      <c r="P276" s="2"/>
      <c r="Q276" s="3"/>
      <c r="R276" s="2"/>
      <c r="S276" s="4"/>
      <c r="T276" s="3"/>
      <c r="U276" s="4"/>
      <c r="V276" s="3"/>
      <c r="W276" s="4"/>
      <c r="X276" s="3"/>
      <c r="Y276" s="3"/>
      <c r="Z276" s="3"/>
      <c r="AA276" s="3"/>
      <c r="AB276" s="4"/>
      <c r="AC276" s="255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</row>
    <row r="277">
      <c r="A277" s="2"/>
      <c r="B277" s="3"/>
      <c r="C277" s="6"/>
      <c r="D277" s="2"/>
      <c r="E277" s="2"/>
      <c r="F277" s="2"/>
      <c r="G277" s="2"/>
      <c r="H277" s="2"/>
      <c r="I277" s="3"/>
      <c r="J277" s="3"/>
      <c r="K277" s="3"/>
      <c r="L277" s="3"/>
      <c r="M277" s="3"/>
      <c r="N277" s="3"/>
      <c r="O277" s="3"/>
      <c r="P277" s="2"/>
      <c r="Q277" s="3"/>
      <c r="R277" s="2"/>
      <c r="S277" s="4"/>
      <c r="T277" s="3"/>
      <c r="U277" s="4"/>
      <c r="V277" s="3"/>
      <c r="W277" s="4"/>
      <c r="X277" s="3"/>
      <c r="Y277" s="3"/>
      <c r="Z277" s="3"/>
      <c r="AA277" s="3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</row>
    <row r="278">
      <c r="A278" s="2"/>
      <c r="B278" s="3"/>
      <c r="C278" s="6"/>
      <c r="D278" s="2"/>
      <c r="E278" s="2"/>
      <c r="F278" s="2"/>
      <c r="G278" s="2"/>
      <c r="H278" s="2"/>
      <c r="I278" s="3"/>
      <c r="J278" s="3"/>
      <c r="K278" s="3"/>
      <c r="L278" s="3"/>
      <c r="M278" s="3"/>
      <c r="N278" s="3"/>
      <c r="O278" s="3"/>
      <c r="P278" s="2"/>
      <c r="Q278" s="3"/>
      <c r="R278" s="2"/>
      <c r="S278" s="4"/>
      <c r="T278" s="3"/>
      <c r="U278" s="4"/>
      <c r="V278" s="3"/>
      <c r="W278" s="4"/>
      <c r="X278" s="3"/>
      <c r="Y278" s="3"/>
      <c r="Z278" s="3"/>
      <c r="AA278" s="3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</row>
    <row r="279">
      <c r="A279" s="2"/>
      <c r="B279" s="3"/>
      <c r="C279" s="6"/>
      <c r="D279" s="2"/>
      <c r="E279" s="2"/>
      <c r="F279" s="2"/>
      <c r="G279" s="2"/>
      <c r="H279" s="2"/>
      <c r="I279" s="3"/>
      <c r="J279" s="3"/>
      <c r="K279" s="3"/>
      <c r="L279" s="3"/>
      <c r="M279" s="3"/>
      <c r="N279" s="3"/>
      <c r="O279" s="3"/>
      <c r="P279" s="2"/>
      <c r="Q279" s="3"/>
      <c r="R279" s="2"/>
      <c r="S279" s="4"/>
      <c r="T279" s="3"/>
      <c r="U279" s="4"/>
      <c r="V279" s="3"/>
      <c r="W279" s="4"/>
      <c r="X279" s="3"/>
      <c r="Y279" s="3"/>
      <c r="Z279" s="3"/>
      <c r="AA279" s="3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</row>
    <row r="280">
      <c r="A280" s="2"/>
      <c r="B280" s="3"/>
      <c r="C280" s="6"/>
      <c r="D280" s="2"/>
      <c r="E280" s="2"/>
      <c r="F280" s="2"/>
      <c r="G280" s="2"/>
      <c r="H280" s="2"/>
      <c r="I280" s="3"/>
      <c r="J280" s="3"/>
      <c r="K280" s="3"/>
      <c r="L280" s="3"/>
      <c r="M280" s="3"/>
      <c r="N280" s="3"/>
      <c r="O280" s="3"/>
      <c r="P280" s="2"/>
      <c r="Q280" s="3"/>
      <c r="R280" s="2"/>
      <c r="S280" s="4"/>
      <c r="T280" s="3"/>
      <c r="U280" s="4"/>
      <c r="V280" s="3"/>
      <c r="W280" s="4"/>
      <c r="X280" s="3"/>
      <c r="Y280" s="3"/>
      <c r="Z280" s="3"/>
      <c r="AA280" s="3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</row>
    <row r="281">
      <c r="A281" s="2"/>
      <c r="B281" s="3"/>
      <c r="C281" s="6"/>
      <c r="D281" s="2"/>
      <c r="E281" s="2"/>
      <c r="F281" s="2"/>
      <c r="G281" s="2"/>
      <c r="H281" s="2"/>
      <c r="I281" s="3"/>
      <c r="J281" s="3"/>
      <c r="K281" s="3"/>
      <c r="L281" s="3"/>
      <c r="M281" s="3"/>
      <c r="N281" s="3"/>
      <c r="O281" s="3"/>
      <c r="P281" s="2"/>
      <c r="Q281" s="3"/>
      <c r="R281" s="2"/>
      <c r="S281" s="4"/>
      <c r="T281" s="3"/>
      <c r="U281" s="4"/>
      <c r="V281" s="3"/>
      <c r="W281" s="4"/>
      <c r="X281" s="3"/>
      <c r="Y281" s="3"/>
      <c r="Z281" s="3"/>
      <c r="AA281" s="3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</row>
    <row r="282">
      <c r="A282" s="2"/>
      <c r="B282" s="3"/>
      <c r="C282" s="6"/>
      <c r="D282" s="2"/>
      <c r="E282" s="2"/>
      <c r="F282" s="2"/>
      <c r="G282" s="2"/>
      <c r="H282" s="2"/>
      <c r="I282" s="3"/>
      <c r="J282" s="3"/>
      <c r="K282" s="3"/>
      <c r="L282" s="3"/>
      <c r="M282" s="3"/>
      <c r="N282" s="3"/>
      <c r="O282" s="3"/>
      <c r="P282" s="2"/>
      <c r="Q282" s="3"/>
      <c r="R282" s="2"/>
      <c r="S282" s="4"/>
      <c r="T282" s="3"/>
      <c r="U282" s="4"/>
      <c r="V282" s="3"/>
      <c r="W282" s="4"/>
      <c r="X282" s="3"/>
      <c r="Y282" s="3"/>
      <c r="Z282" s="3"/>
      <c r="AA282" s="3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</row>
    <row r="283">
      <c r="A283" s="2"/>
      <c r="B283" s="3"/>
      <c r="C283" s="6"/>
      <c r="D283" s="2"/>
      <c r="E283" s="2"/>
      <c r="F283" s="2"/>
      <c r="G283" s="2"/>
      <c r="H283" s="2"/>
      <c r="I283" s="3"/>
      <c r="J283" s="3"/>
      <c r="K283" s="3"/>
      <c r="L283" s="3"/>
      <c r="M283" s="3"/>
      <c r="N283" s="3"/>
      <c r="O283" s="3"/>
      <c r="P283" s="2"/>
      <c r="Q283" s="3"/>
      <c r="R283" s="2"/>
      <c r="S283" s="4"/>
      <c r="T283" s="3"/>
      <c r="U283" s="4"/>
      <c r="V283" s="3"/>
      <c r="W283" s="4"/>
      <c r="X283" s="3"/>
      <c r="Y283" s="3"/>
      <c r="Z283" s="3"/>
      <c r="AA283" s="3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</row>
    <row r="284">
      <c r="A284" s="2"/>
      <c r="B284" s="3"/>
      <c r="C284" s="6"/>
      <c r="D284" s="2"/>
      <c r="E284" s="2"/>
      <c r="F284" s="2"/>
      <c r="G284" s="2"/>
      <c r="H284" s="2"/>
      <c r="I284" s="3"/>
      <c r="J284" s="3"/>
      <c r="K284" s="3"/>
      <c r="L284" s="3"/>
      <c r="M284" s="3"/>
      <c r="N284" s="3"/>
      <c r="O284" s="3"/>
      <c r="P284" s="2"/>
      <c r="Q284" s="3"/>
      <c r="R284" s="2"/>
      <c r="S284" s="4"/>
      <c r="T284" s="3"/>
      <c r="U284" s="4"/>
      <c r="V284" s="3"/>
      <c r="W284" s="4"/>
      <c r="X284" s="3"/>
      <c r="Y284" s="3"/>
      <c r="Z284" s="3"/>
      <c r="AA284" s="3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</row>
    <row r="285">
      <c r="A285" s="2"/>
      <c r="B285" s="3"/>
      <c r="C285" s="6"/>
      <c r="D285" s="2"/>
      <c r="E285" s="2"/>
      <c r="F285" s="2"/>
      <c r="G285" s="2"/>
      <c r="H285" s="2"/>
      <c r="I285" s="3"/>
      <c r="J285" s="3"/>
      <c r="K285" s="3"/>
      <c r="L285" s="3"/>
      <c r="M285" s="3"/>
      <c r="N285" s="3"/>
      <c r="O285" s="3"/>
      <c r="P285" s="2"/>
      <c r="Q285" s="3"/>
      <c r="R285" s="2"/>
      <c r="S285" s="4"/>
      <c r="T285" s="3"/>
      <c r="U285" s="4"/>
      <c r="V285" s="3"/>
      <c r="W285" s="4"/>
      <c r="X285" s="3"/>
      <c r="Y285" s="3"/>
      <c r="Z285" s="3"/>
      <c r="AA285" s="3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</row>
    <row r="286">
      <c r="A286" s="2"/>
      <c r="B286" s="3"/>
      <c r="C286" s="6"/>
      <c r="D286" s="2"/>
      <c r="E286" s="2"/>
      <c r="F286" s="2"/>
      <c r="G286" s="2"/>
      <c r="H286" s="2"/>
      <c r="I286" s="3"/>
      <c r="J286" s="3"/>
      <c r="K286" s="3"/>
      <c r="L286" s="3"/>
      <c r="M286" s="3"/>
      <c r="N286" s="3"/>
      <c r="O286" s="3"/>
      <c r="P286" s="2"/>
      <c r="Q286" s="3"/>
      <c r="R286" s="2"/>
      <c r="S286" s="4"/>
      <c r="T286" s="3"/>
      <c r="U286" s="4"/>
      <c r="V286" s="3"/>
      <c r="W286" s="4"/>
      <c r="X286" s="3"/>
      <c r="Y286" s="3"/>
      <c r="Z286" s="3"/>
      <c r="AA286" s="3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</row>
    <row r="287">
      <c r="A287" s="2"/>
      <c r="B287" s="3"/>
      <c r="C287" s="6"/>
      <c r="D287" s="2"/>
      <c r="E287" s="2"/>
      <c r="F287" s="2"/>
      <c r="G287" s="2"/>
      <c r="H287" s="2"/>
      <c r="I287" s="3"/>
      <c r="J287" s="3"/>
      <c r="K287" s="3"/>
      <c r="L287" s="3"/>
      <c r="M287" s="3"/>
      <c r="N287" s="3"/>
      <c r="O287" s="3"/>
      <c r="P287" s="2"/>
      <c r="Q287" s="3"/>
      <c r="R287" s="2"/>
      <c r="S287" s="4"/>
      <c r="T287" s="3"/>
      <c r="U287" s="4"/>
      <c r="V287" s="3"/>
      <c r="W287" s="4"/>
      <c r="X287" s="3"/>
      <c r="Y287" s="3"/>
      <c r="Z287" s="3"/>
      <c r="AA287" s="3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</row>
    <row r="288">
      <c r="A288" s="2"/>
      <c r="B288" s="3"/>
      <c r="C288" s="6"/>
      <c r="D288" s="2"/>
      <c r="E288" s="2"/>
      <c r="F288" s="2"/>
      <c r="G288" s="2"/>
      <c r="H288" s="2"/>
      <c r="I288" s="3"/>
      <c r="J288" s="3"/>
      <c r="K288" s="3"/>
      <c r="L288" s="3"/>
      <c r="M288" s="3"/>
      <c r="N288" s="3"/>
      <c r="O288" s="3"/>
      <c r="P288" s="2"/>
      <c r="Q288" s="3"/>
      <c r="R288" s="2"/>
      <c r="S288" s="4"/>
      <c r="T288" s="3"/>
      <c r="U288" s="4"/>
      <c r="V288" s="3"/>
      <c r="W288" s="4"/>
      <c r="X288" s="3"/>
      <c r="Y288" s="3"/>
      <c r="Z288" s="3"/>
      <c r="AA288" s="3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</row>
    <row r="289">
      <c r="A289" s="2"/>
      <c r="B289" s="3"/>
      <c r="C289" s="6"/>
      <c r="D289" s="2"/>
      <c r="E289" s="2"/>
      <c r="F289" s="2"/>
      <c r="G289" s="2"/>
      <c r="H289" s="2"/>
      <c r="I289" s="3"/>
      <c r="J289" s="3"/>
      <c r="K289" s="3"/>
      <c r="L289" s="3"/>
      <c r="M289" s="3"/>
      <c r="N289" s="3"/>
      <c r="O289" s="3"/>
      <c r="P289" s="2"/>
      <c r="Q289" s="3"/>
      <c r="R289" s="2"/>
      <c r="S289" s="4"/>
      <c r="T289" s="3"/>
      <c r="U289" s="4"/>
      <c r="V289" s="3"/>
      <c r="W289" s="4"/>
      <c r="X289" s="3"/>
      <c r="Y289" s="3"/>
      <c r="Z289" s="3"/>
      <c r="AA289" s="3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</row>
    <row r="290">
      <c r="A290" s="2"/>
      <c r="B290" s="3"/>
      <c r="C290" s="6"/>
      <c r="D290" s="2"/>
      <c r="E290" s="2"/>
      <c r="F290" s="2"/>
      <c r="G290" s="2"/>
      <c r="H290" s="2"/>
      <c r="I290" s="3"/>
      <c r="J290" s="3"/>
      <c r="K290" s="3"/>
      <c r="L290" s="3"/>
      <c r="M290" s="3"/>
      <c r="N290" s="3"/>
      <c r="O290" s="3"/>
      <c r="P290" s="2"/>
      <c r="Q290" s="3"/>
      <c r="R290" s="2"/>
      <c r="S290" s="4"/>
      <c r="T290" s="3"/>
      <c r="U290" s="4"/>
      <c r="V290" s="3"/>
      <c r="W290" s="4"/>
      <c r="X290" s="3"/>
      <c r="Y290" s="3"/>
      <c r="Z290" s="3"/>
      <c r="AA290" s="3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</row>
    <row r="291">
      <c r="A291" s="2"/>
      <c r="B291" s="3"/>
      <c r="C291" s="6"/>
      <c r="D291" s="2"/>
      <c r="E291" s="2"/>
      <c r="F291" s="2"/>
      <c r="G291" s="2"/>
      <c r="H291" s="2"/>
      <c r="I291" s="3"/>
      <c r="J291" s="3"/>
      <c r="K291" s="3"/>
      <c r="L291" s="3"/>
      <c r="M291" s="3"/>
      <c r="N291" s="3"/>
      <c r="O291" s="3"/>
      <c r="P291" s="2"/>
      <c r="Q291" s="3"/>
      <c r="R291" s="2"/>
      <c r="S291" s="4"/>
      <c r="T291" s="3"/>
      <c r="U291" s="4"/>
      <c r="V291" s="3"/>
      <c r="W291" s="4"/>
      <c r="X291" s="3"/>
      <c r="Y291" s="3"/>
      <c r="Z291" s="3"/>
      <c r="AA291" s="3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</row>
    <row r="292">
      <c r="A292" s="2"/>
      <c r="B292" s="3"/>
      <c r="C292" s="6"/>
      <c r="D292" s="2"/>
      <c r="E292" s="2"/>
      <c r="F292" s="2"/>
      <c r="G292" s="2"/>
      <c r="H292" s="2"/>
      <c r="I292" s="3"/>
      <c r="J292" s="3"/>
      <c r="K292" s="3"/>
      <c r="L292" s="3"/>
      <c r="M292" s="3"/>
      <c r="N292" s="3"/>
      <c r="O292" s="3"/>
      <c r="P292" s="2"/>
      <c r="Q292" s="3"/>
      <c r="R292" s="2"/>
      <c r="S292" s="4"/>
      <c r="T292" s="3"/>
      <c r="U292" s="4"/>
      <c r="V292" s="3"/>
      <c r="W292" s="4"/>
      <c r="X292" s="3"/>
      <c r="Y292" s="3"/>
      <c r="Z292" s="3"/>
      <c r="AA292" s="3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</row>
    <row r="293">
      <c r="A293" s="2"/>
      <c r="B293" s="3"/>
      <c r="C293" s="6"/>
      <c r="D293" s="2"/>
      <c r="E293" s="2"/>
      <c r="F293" s="2"/>
      <c r="G293" s="2"/>
      <c r="H293" s="2"/>
      <c r="I293" s="3"/>
      <c r="J293" s="3"/>
      <c r="K293" s="3"/>
      <c r="L293" s="3"/>
      <c r="M293" s="3"/>
      <c r="N293" s="3"/>
      <c r="O293" s="3"/>
      <c r="P293" s="2"/>
      <c r="Q293" s="3"/>
      <c r="R293" s="2"/>
      <c r="S293" s="4"/>
      <c r="T293" s="3"/>
      <c r="U293" s="4"/>
      <c r="V293" s="3"/>
      <c r="W293" s="4"/>
      <c r="X293" s="3"/>
      <c r="Y293" s="3"/>
      <c r="Z293" s="3"/>
      <c r="AA293" s="3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</row>
    <row r="294">
      <c r="A294" s="2"/>
      <c r="B294" s="3"/>
      <c r="C294" s="6"/>
      <c r="D294" s="2"/>
      <c r="E294" s="2"/>
      <c r="F294" s="2"/>
      <c r="G294" s="2"/>
      <c r="H294" s="2"/>
      <c r="I294" s="3"/>
      <c r="J294" s="3"/>
      <c r="K294" s="3"/>
      <c r="L294" s="3"/>
      <c r="M294" s="3"/>
      <c r="N294" s="3"/>
      <c r="O294" s="3"/>
      <c r="P294" s="2"/>
      <c r="Q294" s="3"/>
      <c r="R294" s="2"/>
      <c r="S294" s="4"/>
      <c r="T294" s="3"/>
      <c r="U294" s="4"/>
      <c r="V294" s="3"/>
      <c r="W294" s="4"/>
      <c r="X294" s="3"/>
      <c r="Y294" s="3"/>
      <c r="Z294" s="3"/>
      <c r="AA294" s="3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</row>
    <row r="295">
      <c r="A295" s="2"/>
      <c r="B295" s="3"/>
      <c r="C295" s="6"/>
      <c r="D295" s="2"/>
      <c r="E295" s="2"/>
      <c r="F295" s="2"/>
      <c r="G295" s="2"/>
      <c r="H295" s="2"/>
      <c r="I295" s="3"/>
      <c r="J295" s="3"/>
      <c r="K295" s="3"/>
      <c r="L295" s="3"/>
      <c r="M295" s="3"/>
      <c r="N295" s="3"/>
      <c r="O295" s="3"/>
      <c r="P295" s="2"/>
      <c r="Q295" s="3"/>
      <c r="R295" s="2"/>
      <c r="S295" s="4"/>
      <c r="T295" s="3"/>
      <c r="U295" s="4"/>
      <c r="V295" s="3"/>
      <c r="W295" s="4"/>
      <c r="X295" s="3"/>
      <c r="Y295" s="3"/>
      <c r="Z295" s="3"/>
      <c r="AA295" s="3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</row>
    <row r="296">
      <c r="A296" s="2"/>
      <c r="B296" s="3"/>
      <c r="C296" s="6"/>
      <c r="D296" s="2"/>
      <c r="E296" s="2"/>
      <c r="F296" s="2"/>
      <c r="G296" s="2"/>
      <c r="H296" s="2"/>
      <c r="I296" s="3"/>
      <c r="J296" s="3"/>
      <c r="K296" s="3"/>
      <c r="L296" s="3"/>
      <c r="M296" s="3"/>
      <c r="N296" s="3"/>
      <c r="O296" s="3"/>
      <c r="P296" s="2"/>
      <c r="Q296" s="3"/>
      <c r="R296" s="2"/>
      <c r="S296" s="4"/>
      <c r="T296" s="3"/>
      <c r="U296" s="4"/>
      <c r="V296" s="3"/>
      <c r="W296" s="4"/>
      <c r="X296" s="3"/>
      <c r="Y296" s="3"/>
      <c r="Z296" s="3"/>
      <c r="AA296" s="3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</row>
    <row r="297">
      <c r="A297" s="2"/>
      <c r="B297" s="3"/>
      <c r="C297" s="6"/>
      <c r="D297" s="2"/>
      <c r="E297" s="2"/>
      <c r="F297" s="2"/>
      <c r="G297" s="2"/>
      <c r="H297" s="2"/>
      <c r="I297" s="3"/>
      <c r="J297" s="3"/>
      <c r="K297" s="3"/>
      <c r="L297" s="3"/>
      <c r="M297" s="3"/>
      <c r="N297" s="3"/>
      <c r="O297" s="3"/>
      <c r="P297" s="2"/>
      <c r="Q297" s="3"/>
      <c r="R297" s="2"/>
      <c r="S297" s="4"/>
      <c r="T297" s="3"/>
      <c r="U297" s="4"/>
      <c r="V297" s="3"/>
      <c r="W297" s="4"/>
      <c r="X297" s="3"/>
      <c r="Y297" s="3"/>
      <c r="Z297" s="3"/>
      <c r="AA297" s="3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</row>
    <row r="298">
      <c r="A298" s="2"/>
      <c r="B298" s="3"/>
      <c r="C298" s="6"/>
      <c r="D298" s="2"/>
      <c r="E298" s="2"/>
      <c r="F298" s="2"/>
      <c r="G298" s="2"/>
      <c r="H298" s="2"/>
      <c r="I298" s="3"/>
      <c r="J298" s="3"/>
      <c r="K298" s="3"/>
      <c r="L298" s="3"/>
      <c r="M298" s="3"/>
      <c r="N298" s="3"/>
      <c r="O298" s="3"/>
      <c r="P298" s="2"/>
      <c r="Q298" s="3"/>
      <c r="R298" s="2"/>
      <c r="S298" s="4"/>
      <c r="T298" s="3"/>
      <c r="U298" s="4"/>
      <c r="V298" s="3"/>
      <c r="W298" s="4"/>
      <c r="X298" s="3"/>
      <c r="Y298" s="3"/>
      <c r="Z298" s="3"/>
      <c r="AA298" s="3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</row>
    <row r="299">
      <c r="A299" s="2"/>
      <c r="B299" s="3"/>
      <c r="C299" s="6"/>
      <c r="D299" s="2"/>
      <c r="E299" s="2"/>
      <c r="F299" s="2"/>
      <c r="G299" s="2"/>
      <c r="H299" s="2"/>
      <c r="I299" s="3"/>
      <c r="J299" s="3"/>
      <c r="K299" s="3"/>
      <c r="L299" s="3"/>
      <c r="M299" s="3"/>
      <c r="N299" s="3"/>
      <c r="O299" s="3"/>
      <c r="P299" s="2"/>
      <c r="Q299" s="3"/>
      <c r="R299" s="2"/>
      <c r="S299" s="4"/>
      <c r="T299" s="3"/>
      <c r="U299" s="4"/>
      <c r="V299" s="3"/>
      <c r="W299" s="4"/>
      <c r="X299" s="3"/>
      <c r="Y299" s="3"/>
      <c r="Z299" s="3"/>
      <c r="AA299" s="3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</row>
    <row r="300">
      <c r="A300" s="2"/>
      <c r="B300" s="3"/>
      <c r="C300" s="6"/>
      <c r="D300" s="2"/>
      <c r="E300" s="2"/>
      <c r="F300" s="2"/>
      <c r="G300" s="2"/>
      <c r="H300" s="2"/>
      <c r="I300" s="3"/>
      <c r="J300" s="3"/>
      <c r="K300" s="3"/>
      <c r="L300" s="3"/>
      <c r="M300" s="3"/>
      <c r="N300" s="3"/>
      <c r="O300" s="3"/>
      <c r="P300" s="2"/>
      <c r="Q300" s="3"/>
      <c r="R300" s="2"/>
      <c r="S300" s="4"/>
      <c r="T300" s="3"/>
      <c r="U300" s="4"/>
      <c r="V300" s="3"/>
      <c r="W300" s="4"/>
      <c r="X300" s="3"/>
      <c r="Y300" s="3"/>
      <c r="Z300" s="3"/>
      <c r="AA300" s="3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</row>
    <row r="301">
      <c r="A301" s="2"/>
      <c r="B301" s="3"/>
      <c r="C301" s="6"/>
      <c r="D301" s="2"/>
      <c r="E301" s="2"/>
      <c r="F301" s="2"/>
      <c r="G301" s="2"/>
      <c r="H301" s="2"/>
      <c r="I301" s="3"/>
      <c r="J301" s="3"/>
      <c r="K301" s="3"/>
      <c r="L301" s="3"/>
      <c r="M301" s="3"/>
      <c r="N301" s="3"/>
      <c r="O301" s="3"/>
      <c r="P301" s="2"/>
      <c r="Q301" s="3"/>
      <c r="R301" s="2"/>
      <c r="S301" s="4"/>
      <c r="T301" s="3"/>
      <c r="U301" s="4"/>
      <c r="V301" s="3"/>
      <c r="W301" s="4"/>
      <c r="X301" s="3"/>
      <c r="Y301" s="3"/>
      <c r="Z301" s="3"/>
      <c r="AA301" s="3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</row>
    <row r="302">
      <c r="A302" s="2"/>
      <c r="B302" s="3"/>
      <c r="C302" s="6"/>
      <c r="D302" s="2"/>
      <c r="E302" s="2"/>
      <c r="F302" s="2"/>
      <c r="G302" s="2"/>
      <c r="H302" s="2"/>
      <c r="I302" s="3"/>
      <c r="J302" s="3"/>
      <c r="K302" s="3"/>
      <c r="L302" s="3"/>
      <c r="M302" s="3"/>
      <c r="N302" s="3"/>
      <c r="O302" s="3"/>
      <c r="P302" s="2"/>
      <c r="Q302" s="3"/>
      <c r="R302" s="2"/>
      <c r="S302" s="4"/>
      <c r="T302" s="3"/>
      <c r="U302" s="4"/>
      <c r="V302" s="3"/>
      <c r="W302" s="4"/>
      <c r="X302" s="3"/>
      <c r="Y302" s="3"/>
      <c r="Z302" s="3"/>
      <c r="AA302" s="3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</row>
    <row r="303">
      <c r="A303" s="2"/>
      <c r="B303" s="3"/>
      <c r="C303" s="6"/>
      <c r="D303" s="2"/>
      <c r="E303" s="2"/>
      <c r="F303" s="2"/>
      <c r="G303" s="2"/>
      <c r="H303" s="2"/>
      <c r="I303" s="3"/>
      <c r="J303" s="3"/>
      <c r="K303" s="3"/>
      <c r="L303" s="3"/>
      <c r="M303" s="3"/>
      <c r="N303" s="3"/>
      <c r="O303" s="3"/>
      <c r="P303" s="2"/>
      <c r="Q303" s="3"/>
      <c r="R303" s="2"/>
      <c r="S303" s="4"/>
      <c r="T303" s="3"/>
      <c r="U303" s="4"/>
      <c r="V303" s="3"/>
      <c r="W303" s="4"/>
      <c r="X303" s="3"/>
      <c r="Y303" s="3"/>
      <c r="Z303" s="3"/>
      <c r="AA303" s="3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</row>
    <row r="304">
      <c r="A304" s="2"/>
      <c r="B304" s="3"/>
      <c r="C304" s="6"/>
      <c r="D304" s="2"/>
      <c r="E304" s="2"/>
      <c r="F304" s="2"/>
      <c r="G304" s="2"/>
      <c r="H304" s="2"/>
      <c r="I304" s="3"/>
      <c r="J304" s="3"/>
      <c r="K304" s="3"/>
      <c r="L304" s="3"/>
      <c r="M304" s="3"/>
      <c r="N304" s="3"/>
      <c r="O304" s="3"/>
      <c r="P304" s="2"/>
      <c r="Q304" s="3"/>
      <c r="R304" s="2"/>
      <c r="S304" s="4"/>
      <c r="T304" s="3"/>
      <c r="U304" s="4"/>
      <c r="V304" s="3"/>
      <c r="W304" s="4"/>
      <c r="X304" s="3"/>
      <c r="Y304" s="3"/>
      <c r="Z304" s="3"/>
      <c r="AA304" s="3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</row>
    <row r="305">
      <c r="A305" s="2"/>
      <c r="B305" s="3"/>
      <c r="C305" s="6"/>
      <c r="D305" s="2"/>
      <c r="E305" s="2"/>
      <c r="F305" s="2"/>
      <c r="G305" s="2"/>
      <c r="H305" s="2"/>
      <c r="I305" s="3"/>
      <c r="J305" s="3"/>
      <c r="K305" s="3"/>
      <c r="L305" s="3"/>
      <c r="M305" s="3"/>
      <c r="N305" s="3"/>
      <c r="O305" s="3"/>
      <c r="P305" s="2"/>
      <c r="Q305" s="3"/>
      <c r="R305" s="2"/>
      <c r="S305" s="4"/>
      <c r="T305" s="3"/>
      <c r="U305" s="4"/>
      <c r="V305" s="3"/>
      <c r="W305" s="4"/>
      <c r="X305" s="3"/>
      <c r="Y305" s="3"/>
      <c r="Z305" s="3"/>
      <c r="AA305" s="3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</row>
    <row r="306">
      <c r="A306" s="2"/>
      <c r="B306" s="3"/>
      <c r="C306" s="6"/>
      <c r="D306" s="2"/>
      <c r="E306" s="2"/>
      <c r="F306" s="2"/>
      <c r="G306" s="2"/>
      <c r="H306" s="2"/>
      <c r="I306" s="3"/>
      <c r="J306" s="3"/>
      <c r="K306" s="3"/>
      <c r="L306" s="3"/>
      <c r="M306" s="3"/>
      <c r="N306" s="3"/>
      <c r="O306" s="3"/>
      <c r="P306" s="2"/>
      <c r="Q306" s="3"/>
      <c r="R306" s="2"/>
      <c r="S306" s="4"/>
      <c r="T306" s="3"/>
      <c r="U306" s="4"/>
      <c r="V306" s="3"/>
      <c r="W306" s="4"/>
      <c r="X306" s="3"/>
      <c r="Y306" s="3"/>
      <c r="Z306" s="3"/>
      <c r="AA306" s="3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</row>
    <row r="307">
      <c r="A307" s="2"/>
      <c r="B307" s="3"/>
      <c r="C307" s="6"/>
      <c r="D307" s="2"/>
      <c r="E307" s="2"/>
      <c r="F307" s="2"/>
      <c r="G307" s="2"/>
      <c r="H307" s="2"/>
      <c r="I307" s="3"/>
      <c r="J307" s="3"/>
      <c r="K307" s="3"/>
      <c r="L307" s="3"/>
      <c r="M307" s="3"/>
      <c r="N307" s="3"/>
      <c r="O307" s="3"/>
      <c r="P307" s="2"/>
      <c r="Q307" s="3"/>
      <c r="R307" s="2"/>
      <c r="S307" s="4"/>
      <c r="T307" s="3"/>
      <c r="U307" s="4"/>
      <c r="V307" s="3"/>
      <c r="W307" s="4"/>
      <c r="X307" s="3"/>
      <c r="Y307" s="3"/>
      <c r="Z307" s="3"/>
      <c r="AA307" s="3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</row>
    <row r="308">
      <c r="A308" s="2"/>
      <c r="B308" s="3"/>
      <c r="C308" s="6"/>
      <c r="D308" s="2"/>
      <c r="E308" s="2"/>
      <c r="F308" s="2"/>
      <c r="G308" s="2"/>
      <c r="H308" s="2"/>
      <c r="I308" s="3"/>
      <c r="J308" s="3"/>
      <c r="K308" s="3"/>
      <c r="L308" s="3"/>
      <c r="M308" s="3"/>
      <c r="N308" s="3"/>
      <c r="O308" s="3"/>
      <c r="P308" s="2"/>
      <c r="Q308" s="3"/>
      <c r="R308" s="2"/>
      <c r="S308" s="4"/>
      <c r="T308" s="3"/>
      <c r="U308" s="4"/>
      <c r="V308" s="3"/>
      <c r="W308" s="4"/>
      <c r="X308" s="3"/>
      <c r="Y308" s="3"/>
      <c r="Z308" s="3"/>
      <c r="AA308" s="3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</row>
    <row r="309">
      <c r="A309" s="2"/>
      <c r="B309" s="3"/>
      <c r="C309" s="6"/>
      <c r="D309" s="2"/>
      <c r="E309" s="2"/>
      <c r="F309" s="2"/>
      <c r="G309" s="2"/>
      <c r="H309" s="2"/>
      <c r="I309" s="3"/>
      <c r="J309" s="3"/>
      <c r="K309" s="3"/>
      <c r="L309" s="3"/>
      <c r="M309" s="3"/>
      <c r="N309" s="3"/>
      <c r="O309" s="3"/>
      <c r="P309" s="2"/>
      <c r="Q309" s="3"/>
      <c r="R309" s="2"/>
      <c r="S309" s="4"/>
      <c r="T309" s="3"/>
      <c r="U309" s="4"/>
      <c r="V309" s="3"/>
      <c r="W309" s="4"/>
      <c r="X309" s="3"/>
      <c r="Y309" s="3"/>
      <c r="Z309" s="3"/>
      <c r="AA309" s="3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</row>
    <row r="310">
      <c r="A310" s="2"/>
      <c r="B310" s="3"/>
      <c r="C310" s="6"/>
      <c r="D310" s="2"/>
      <c r="E310" s="2"/>
      <c r="F310" s="2"/>
      <c r="G310" s="2"/>
      <c r="H310" s="2"/>
      <c r="I310" s="3"/>
      <c r="J310" s="3"/>
      <c r="K310" s="3"/>
      <c r="L310" s="3"/>
      <c r="M310" s="3"/>
      <c r="N310" s="3"/>
      <c r="O310" s="3"/>
      <c r="P310" s="2"/>
      <c r="Q310" s="3"/>
      <c r="R310" s="2"/>
      <c r="S310" s="4"/>
      <c r="T310" s="3"/>
      <c r="U310" s="4"/>
      <c r="V310" s="3"/>
      <c r="W310" s="4"/>
      <c r="X310" s="3"/>
      <c r="Y310" s="3"/>
      <c r="Z310" s="3"/>
      <c r="AA310" s="3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</row>
    <row r="311">
      <c r="A311" s="2"/>
      <c r="B311" s="3"/>
      <c r="C311" s="6"/>
      <c r="D311" s="2"/>
      <c r="E311" s="2"/>
      <c r="F311" s="2"/>
      <c r="G311" s="2"/>
      <c r="H311" s="2"/>
      <c r="I311" s="3"/>
      <c r="J311" s="3"/>
      <c r="K311" s="3"/>
      <c r="L311" s="3"/>
      <c r="M311" s="3"/>
      <c r="N311" s="3"/>
      <c r="O311" s="3"/>
      <c r="P311" s="2"/>
      <c r="Q311" s="3"/>
      <c r="R311" s="2"/>
      <c r="S311" s="4"/>
      <c r="T311" s="3"/>
      <c r="U311" s="4"/>
      <c r="V311" s="3"/>
      <c r="W311" s="4"/>
      <c r="X311" s="3"/>
      <c r="Y311" s="3"/>
      <c r="Z311" s="3"/>
      <c r="AA311" s="3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</row>
    <row r="312">
      <c r="A312" s="2"/>
      <c r="B312" s="3"/>
      <c r="C312" s="6"/>
      <c r="D312" s="2"/>
      <c r="E312" s="2"/>
      <c r="F312" s="2"/>
      <c r="G312" s="2"/>
      <c r="H312" s="2"/>
      <c r="I312" s="3"/>
      <c r="J312" s="3"/>
      <c r="K312" s="3"/>
      <c r="L312" s="3"/>
      <c r="M312" s="3"/>
      <c r="N312" s="3"/>
      <c r="O312" s="3"/>
      <c r="P312" s="2"/>
      <c r="Q312" s="3"/>
      <c r="R312" s="2"/>
      <c r="S312" s="4"/>
      <c r="T312" s="3"/>
      <c r="U312" s="4"/>
      <c r="V312" s="3"/>
      <c r="W312" s="4"/>
      <c r="X312" s="3"/>
      <c r="Y312" s="3"/>
      <c r="Z312" s="3"/>
      <c r="AA312" s="3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</row>
    <row r="313">
      <c r="A313" s="2"/>
      <c r="B313" s="3"/>
      <c r="C313" s="6"/>
      <c r="D313" s="2"/>
      <c r="E313" s="2"/>
      <c r="F313" s="2"/>
      <c r="G313" s="2"/>
      <c r="H313" s="2"/>
      <c r="I313" s="3"/>
      <c r="J313" s="3"/>
      <c r="K313" s="3"/>
      <c r="L313" s="3"/>
      <c r="M313" s="3"/>
      <c r="N313" s="3"/>
      <c r="O313" s="3"/>
      <c r="P313" s="2"/>
      <c r="Q313" s="3"/>
      <c r="R313" s="2"/>
      <c r="S313" s="4"/>
      <c r="T313" s="3"/>
      <c r="U313" s="4"/>
      <c r="V313" s="3"/>
      <c r="W313" s="4"/>
      <c r="X313" s="3"/>
      <c r="Y313" s="3"/>
      <c r="Z313" s="3"/>
      <c r="AA313" s="3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</row>
    <row r="314">
      <c r="A314" s="2"/>
      <c r="B314" s="3"/>
      <c r="C314" s="6"/>
      <c r="D314" s="2"/>
      <c r="E314" s="2"/>
      <c r="F314" s="2"/>
      <c r="G314" s="2"/>
      <c r="H314" s="2"/>
      <c r="I314" s="3"/>
      <c r="J314" s="3"/>
      <c r="K314" s="3"/>
      <c r="L314" s="3"/>
      <c r="M314" s="3"/>
      <c r="N314" s="3"/>
      <c r="O314" s="3"/>
      <c r="P314" s="2"/>
      <c r="Q314" s="3"/>
      <c r="R314" s="2"/>
      <c r="S314" s="4"/>
      <c r="T314" s="3"/>
      <c r="U314" s="4"/>
      <c r="V314" s="3"/>
      <c r="W314" s="4"/>
      <c r="X314" s="3"/>
      <c r="Y314" s="3"/>
      <c r="Z314" s="3"/>
      <c r="AA314" s="3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</row>
    <row r="315">
      <c r="A315" s="2"/>
      <c r="B315" s="3"/>
      <c r="C315" s="6"/>
      <c r="D315" s="2"/>
      <c r="E315" s="2"/>
      <c r="F315" s="2"/>
      <c r="G315" s="2"/>
      <c r="H315" s="2"/>
      <c r="I315" s="3"/>
      <c r="J315" s="3"/>
      <c r="K315" s="3"/>
      <c r="L315" s="3"/>
      <c r="M315" s="3"/>
      <c r="N315" s="3"/>
      <c r="O315" s="3"/>
      <c r="P315" s="2"/>
      <c r="Q315" s="3"/>
      <c r="R315" s="2"/>
      <c r="S315" s="4"/>
      <c r="T315" s="3"/>
      <c r="U315" s="4"/>
      <c r="V315" s="3"/>
      <c r="W315" s="4"/>
      <c r="X315" s="3"/>
      <c r="Y315" s="3"/>
      <c r="Z315" s="3"/>
      <c r="AA315" s="3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</row>
    <row r="316">
      <c r="A316" s="2"/>
      <c r="B316" s="3"/>
      <c r="C316" s="6"/>
      <c r="D316" s="2"/>
      <c r="E316" s="2"/>
      <c r="F316" s="2"/>
      <c r="G316" s="2"/>
      <c r="H316" s="2"/>
      <c r="I316" s="3"/>
      <c r="J316" s="3"/>
      <c r="K316" s="3"/>
      <c r="L316" s="3"/>
      <c r="M316" s="3"/>
      <c r="N316" s="3"/>
      <c r="O316" s="3"/>
      <c r="P316" s="2"/>
      <c r="Q316" s="3"/>
      <c r="R316" s="2"/>
      <c r="S316" s="4"/>
      <c r="T316" s="3"/>
      <c r="U316" s="4"/>
      <c r="V316" s="3"/>
      <c r="W316" s="4"/>
      <c r="X316" s="3"/>
      <c r="Y316" s="3"/>
      <c r="Z316" s="3"/>
      <c r="AA316" s="3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</row>
    <row r="317">
      <c r="A317" s="2"/>
      <c r="B317" s="3"/>
      <c r="C317" s="6"/>
      <c r="D317" s="2"/>
      <c r="E317" s="2"/>
      <c r="F317" s="2"/>
      <c r="G317" s="2"/>
      <c r="H317" s="2"/>
      <c r="I317" s="3"/>
      <c r="J317" s="3"/>
      <c r="K317" s="3"/>
      <c r="L317" s="3"/>
      <c r="M317" s="3"/>
      <c r="N317" s="3"/>
      <c r="O317" s="3"/>
      <c r="P317" s="2"/>
      <c r="Q317" s="3"/>
      <c r="R317" s="2"/>
      <c r="S317" s="4"/>
      <c r="T317" s="3"/>
      <c r="U317" s="4"/>
      <c r="V317" s="3"/>
      <c r="W317" s="4"/>
      <c r="X317" s="3"/>
      <c r="Y317" s="3"/>
      <c r="Z317" s="3"/>
      <c r="AA317" s="3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</row>
    <row r="318">
      <c r="A318" s="2"/>
      <c r="B318" s="3"/>
      <c r="C318" s="6"/>
      <c r="D318" s="2"/>
      <c r="E318" s="2"/>
      <c r="F318" s="2"/>
      <c r="G318" s="2"/>
      <c r="H318" s="2"/>
      <c r="I318" s="3"/>
      <c r="J318" s="3"/>
      <c r="K318" s="3"/>
      <c r="L318" s="3"/>
      <c r="M318" s="3"/>
      <c r="N318" s="3"/>
      <c r="O318" s="3"/>
      <c r="P318" s="2"/>
      <c r="Q318" s="3"/>
      <c r="R318" s="2"/>
      <c r="S318" s="4"/>
      <c r="T318" s="3"/>
      <c r="U318" s="4"/>
      <c r="V318" s="3"/>
      <c r="W318" s="4"/>
      <c r="X318" s="3"/>
      <c r="Y318" s="3"/>
      <c r="Z318" s="3"/>
      <c r="AA318" s="3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</row>
    <row r="319">
      <c r="A319" s="2"/>
      <c r="B319" s="3"/>
      <c r="C319" s="6"/>
      <c r="D319" s="2"/>
      <c r="E319" s="2"/>
      <c r="F319" s="2"/>
      <c r="G319" s="2"/>
      <c r="H319" s="2"/>
      <c r="I319" s="3"/>
      <c r="J319" s="3"/>
      <c r="K319" s="3"/>
      <c r="L319" s="3"/>
      <c r="M319" s="3"/>
      <c r="N319" s="3"/>
      <c r="O319" s="3"/>
      <c r="P319" s="2"/>
      <c r="Q319" s="3"/>
      <c r="R319" s="2"/>
      <c r="S319" s="4"/>
      <c r="T319" s="3"/>
      <c r="U319" s="4"/>
      <c r="V319" s="3"/>
      <c r="W319" s="4"/>
      <c r="X319" s="3"/>
      <c r="Y319" s="3"/>
      <c r="Z319" s="3"/>
      <c r="AA319" s="3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</row>
    <row r="320">
      <c r="A320" s="2"/>
      <c r="B320" s="3"/>
      <c r="C320" s="6"/>
      <c r="D320" s="2"/>
      <c r="E320" s="2"/>
      <c r="F320" s="2"/>
      <c r="G320" s="2"/>
      <c r="H320" s="2"/>
      <c r="I320" s="3"/>
      <c r="J320" s="3"/>
      <c r="K320" s="3"/>
      <c r="L320" s="3"/>
      <c r="M320" s="3"/>
      <c r="N320" s="3"/>
      <c r="O320" s="3"/>
      <c r="P320" s="2"/>
      <c r="Q320" s="3"/>
      <c r="R320" s="2"/>
      <c r="S320" s="4"/>
      <c r="T320" s="3"/>
      <c r="U320" s="4"/>
      <c r="V320" s="3"/>
      <c r="W320" s="4"/>
      <c r="X320" s="3"/>
      <c r="Y320" s="3"/>
      <c r="Z320" s="3"/>
      <c r="AA320" s="3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</row>
    <row r="321">
      <c r="A321" s="2"/>
      <c r="B321" s="3"/>
      <c r="C321" s="6"/>
      <c r="D321" s="2"/>
      <c r="E321" s="2"/>
      <c r="F321" s="2"/>
      <c r="G321" s="2"/>
      <c r="H321" s="2"/>
      <c r="I321" s="3"/>
      <c r="J321" s="3"/>
      <c r="K321" s="3"/>
      <c r="L321" s="3"/>
      <c r="M321" s="3"/>
      <c r="N321" s="3"/>
      <c r="O321" s="3"/>
      <c r="P321" s="2"/>
      <c r="Q321" s="3"/>
      <c r="R321" s="2"/>
      <c r="S321" s="4"/>
      <c r="T321" s="3"/>
      <c r="U321" s="4"/>
      <c r="V321" s="3"/>
      <c r="W321" s="4"/>
      <c r="X321" s="3"/>
      <c r="Y321" s="3"/>
      <c r="Z321" s="3"/>
      <c r="AA321" s="3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</row>
    <row r="322">
      <c r="A322" s="2"/>
      <c r="B322" s="3"/>
      <c r="C322" s="6"/>
      <c r="D322" s="2"/>
      <c r="E322" s="2"/>
      <c r="F322" s="2"/>
      <c r="G322" s="2"/>
      <c r="H322" s="2"/>
      <c r="I322" s="3"/>
      <c r="J322" s="3"/>
      <c r="K322" s="3"/>
      <c r="L322" s="3"/>
      <c r="M322" s="3"/>
      <c r="N322" s="3"/>
      <c r="O322" s="3"/>
      <c r="P322" s="2"/>
      <c r="Q322" s="3"/>
      <c r="R322" s="2"/>
      <c r="S322" s="4"/>
      <c r="T322" s="3"/>
      <c r="U322" s="4"/>
      <c r="V322" s="3"/>
      <c r="W322" s="4"/>
      <c r="X322" s="3"/>
      <c r="Y322" s="3"/>
      <c r="Z322" s="3"/>
      <c r="AA322" s="3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</row>
    <row r="323">
      <c r="A323" s="2"/>
      <c r="B323" s="3"/>
      <c r="C323" s="6"/>
      <c r="D323" s="2"/>
      <c r="E323" s="2"/>
      <c r="F323" s="2"/>
      <c r="G323" s="2"/>
      <c r="H323" s="2"/>
      <c r="I323" s="3"/>
      <c r="J323" s="3"/>
      <c r="K323" s="3"/>
      <c r="L323" s="3"/>
      <c r="M323" s="3"/>
      <c r="N323" s="3"/>
      <c r="O323" s="3"/>
      <c r="P323" s="2"/>
      <c r="Q323" s="3"/>
      <c r="R323" s="2"/>
      <c r="S323" s="4"/>
      <c r="T323" s="3"/>
      <c r="U323" s="4"/>
      <c r="V323" s="3"/>
      <c r="W323" s="4"/>
      <c r="X323" s="3"/>
      <c r="Y323" s="3"/>
      <c r="Z323" s="3"/>
      <c r="AA323" s="3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</row>
    <row r="324">
      <c r="A324" s="2"/>
      <c r="B324" s="3"/>
      <c r="C324" s="6"/>
      <c r="D324" s="2"/>
      <c r="E324" s="2"/>
      <c r="F324" s="2"/>
      <c r="G324" s="2"/>
      <c r="H324" s="2"/>
      <c r="I324" s="3"/>
      <c r="J324" s="3"/>
      <c r="K324" s="3"/>
      <c r="L324" s="3"/>
      <c r="M324" s="3"/>
      <c r="N324" s="3"/>
      <c r="O324" s="3"/>
      <c r="P324" s="2"/>
      <c r="Q324" s="3"/>
      <c r="R324" s="2"/>
      <c r="S324" s="4"/>
      <c r="T324" s="3"/>
      <c r="U324" s="4"/>
      <c r="V324" s="3"/>
      <c r="W324" s="4"/>
      <c r="X324" s="3"/>
      <c r="Y324" s="3"/>
      <c r="Z324" s="3"/>
      <c r="AA324" s="3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</row>
    <row r="325">
      <c r="A325" s="2"/>
      <c r="B325" s="3"/>
      <c r="C325" s="6"/>
      <c r="D325" s="2"/>
      <c r="E325" s="2"/>
      <c r="F325" s="2"/>
      <c r="G325" s="2"/>
      <c r="H325" s="2"/>
      <c r="I325" s="3"/>
      <c r="J325" s="3"/>
      <c r="K325" s="3"/>
      <c r="L325" s="3"/>
      <c r="M325" s="3"/>
      <c r="N325" s="3"/>
      <c r="O325" s="3"/>
      <c r="P325" s="2"/>
      <c r="Q325" s="3"/>
      <c r="R325" s="2"/>
      <c r="S325" s="4"/>
      <c r="T325" s="3"/>
      <c r="U325" s="4"/>
      <c r="V325" s="3"/>
      <c r="W325" s="4"/>
      <c r="X325" s="3"/>
      <c r="Y325" s="3"/>
      <c r="Z325" s="3"/>
      <c r="AA325" s="3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</row>
    <row r="326">
      <c r="A326" s="2"/>
      <c r="B326" s="3"/>
      <c r="C326" s="6"/>
      <c r="D326" s="2"/>
      <c r="E326" s="2"/>
      <c r="F326" s="2"/>
      <c r="G326" s="2"/>
      <c r="H326" s="2"/>
      <c r="I326" s="3"/>
      <c r="J326" s="3"/>
      <c r="K326" s="3"/>
      <c r="L326" s="3"/>
      <c r="M326" s="3"/>
      <c r="N326" s="3"/>
      <c r="O326" s="3"/>
      <c r="P326" s="2"/>
      <c r="Q326" s="3"/>
      <c r="R326" s="2"/>
      <c r="S326" s="4"/>
      <c r="T326" s="3"/>
      <c r="U326" s="4"/>
      <c r="V326" s="3"/>
      <c r="W326" s="4"/>
      <c r="X326" s="3"/>
      <c r="Y326" s="3"/>
      <c r="Z326" s="3"/>
      <c r="AA326" s="3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</row>
    <row r="327">
      <c r="A327" s="2"/>
      <c r="B327" s="3"/>
      <c r="C327" s="6"/>
      <c r="D327" s="2"/>
      <c r="E327" s="2"/>
      <c r="F327" s="2"/>
      <c r="G327" s="2"/>
      <c r="H327" s="2"/>
      <c r="I327" s="3"/>
      <c r="J327" s="3"/>
      <c r="K327" s="3"/>
      <c r="L327" s="3"/>
      <c r="M327" s="3"/>
      <c r="N327" s="3"/>
      <c r="O327" s="3"/>
      <c r="P327" s="2"/>
      <c r="Q327" s="3"/>
      <c r="R327" s="2"/>
      <c r="S327" s="4"/>
      <c r="T327" s="3"/>
      <c r="U327" s="4"/>
      <c r="V327" s="3"/>
      <c r="W327" s="4"/>
      <c r="X327" s="3"/>
      <c r="Y327" s="3"/>
      <c r="Z327" s="3"/>
      <c r="AA327" s="3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</row>
    <row r="328">
      <c r="A328" s="2"/>
      <c r="B328" s="3"/>
      <c r="C328" s="6"/>
      <c r="D328" s="2"/>
      <c r="E328" s="2"/>
      <c r="F328" s="2"/>
      <c r="G328" s="2"/>
      <c r="H328" s="2"/>
      <c r="I328" s="3"/>
      <c r="J328" s="3"/>
      <c r="K328" s="3"/>
      <c r="L328" s="3"/>
      <c r="M328" s="3"/>
      <c r="N328" s="3"/>
      <c r="O328" s="3"/>
      <c r="P328" s="2"/>
      <c r="Q328" s="3"/>
      <c r="R328" s="2"/>
      <c r="S328" s="4"/>
      <c r="T328" s="3"/>
      <c r="U328" s="4"/>
      <c r="V328" s="3"/>
      <c r="W328" s="4"/>
      <c r="X328" s="3"/>
      <c r="Y328" s="3"/>
      <c r="Z328" s="3"/>
      <c r="AA328" s="3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</row>
    <row r="329">
      <c r="A329" s="2"/>
      <c r="B329" s="3"/>
      <c r="C329" s="6"/>
      <c r="D329" s="2"/>
      <c r="E329" s="2"/>
      <c r="F329" s="2"/>
      <c r="G329" s="2"/>
      <c r="H329" s="2"/>
      <c r="I329" s="3"/>
      <c r="J329" s="3"/>
      <c r="K329" s="3"/>
      <c r="L329" s="3"/>
      <c r="M329" s="3"/>
      <c r="N329" s="3"/>
      <c r="O329" s="3"/>
      <c r="P329" s="2"/>
      <c r="Q329" s="3"/>
      <c r="R329" s="2"/>
      <c r="S329" s="4"/>
      <c r="T329" s="3"/>
      <c r="U329" s="4"/>
      <c r="V329" s="3"/>
      <c r="W329" s="4"/>
      <c r="X329" s="3"/>
      <c r="Y329" s="3"/>
      <c r="Z329" s="3"/>
      <c r="AA329" s="3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</row>
    <row r="330">
      <c r="A330" s="2"/>
      <c r="B330" s="3"/>
      <c r="C330" s="6"/>
      <c r="D330" s="2"/>
      <c r="E330" s="2"/>
      <c r="F330" s="2"/>
      <c r="G330" s="2"/>
      <c r="H330" s="2"/>
      <c r="I330" s="3"/>
      <c r="J330" s="3"/>
      <c r="K330" s="3"/>
      <c r="L330" s="3"/>
      <c r="M330" s="3"/>
      <c r="N330" s="3"/>
      <c r="O330" s="3"/>
      <c r="P330" s="2"/>
      <c r="Q330" s="3"/>
      <c r="R330" s="2"/>
      <c r="S330" s="4"/>
      <c r="T330" s="3"/>
      <c r="U330" s="4"/>
      <c r="V330" s="3"/>
      <c r="W330" s="4"/>
      <c r="X330" s="3"/>
      <c r="Y330" s="3"/>
      <c r="Z330" s="3"/>
      <c r="AA330" s="3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</row>
    <row r="331">
      <c r="A331" s="2"/>
      <c r="B331" s="3"/>
      <c r="C331" s="6"/>
      <c r="D331" s="2"/>
      <c r="E331" s="2"/>
      <c r="F331" s="2"/>
      <c r="G331" s="2"/>
      <c r="H331" s="2"/>
      <c r="I331" s="3"/>
      <c r="J331" s="3"/>
      <c r="K331" s="3"/>
      <c r="L331" s="3"/>
      <c r="M331" s="3"/>
      <c r="N331" s="3"/>
      <c r="O331" s="3"/>
      <c r="P331" s="2"/>
      <c r="Q331" s="3"/>
      <c r="R331" s="2"/>
      <c r="S331" s="4"/>
      <c r="T331" s="3"/>
      <c r="U331" s="4"/>
      <c r="V331" s="3"/>
      <c r="W331" s="4"/>
      <c r="X331" s="3"/>
      <c r="Y331" s="3"/>
      <c r="Z331" s="3"/>
      <c r="AA331" s="3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</row>
    <row r="332">
      <c r="A332" s="2"/>
      <c r="B332" s="3"/>
      <c r="C332" s="6"/>
      <c r="D332" s="2"/>
      <c r="E332" s="2"/>
      <c r="F332" s="2"/>
      <c r="G332" s="2"/>
      <c r="H332" s="2"/>
      <c r="I332" s="3"/>
      <c r="J332" s="3"/>
      <c r="K332" s="3"/>
      <c r="L332" s="3"/>
      <c r="M332" s="3"/>
      <c r="N332" s="3"/>
      <c r="O332" s="3"/>
      <c r="P332" s="2"/>
      <c r="Q332" s="3"/>
      <c r="R332" s="2"/>
      <c r="S332" s="4"/>
      <c r="T332" s="3"/>
      <c r="U332" s="4"/>
      <c r="V332" s="3"/>
      <c r="W332" s="4"/>
      <c r="X332" s="3"/>
      <c r="Y332" s="3"/>
      <c r="Z332" s="3"/>
      <c r="AA332" s="3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</row>
    <row r="333">
      <c r="A333" s="2"/>
      <c r="B333" s="3"/>
      <c r="C333" s="6"/>
      <c r="D333" s="2"/>
      <c r="E333" s="2"/>
      <c r="F333" s="2"/>
      <c r="G333" s="2"/>
      <c r="H333" s="2"/>
      <c r="I333" s="3"/>
      <c r="J333" s="3"/>
      <c r="K333" s="3"/>
      <c r="L333" s="3"/>
      <c r="M333" s="3"/>
      <c r="N333" s="3"/>
      <c r="O333" s="3"/>
      <c r="P333" s="2"/>
      <c r="Q333" s="3"/>
      <c r="R333" s="2"/>
      <c r="S333" s="4"/>
      <c r="T333" s="3"/>
      <c r="U333" s="4"/>
      <c r="V333" s="3"/>
      <c r="W333" s="4"/>
      <c r="X333" s="3"/>
      <c r="Y333" s="3"/>
      <c r="Z333" s="3"/>
      <c r="AA333" s="3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</row>
    <row r="334">
      <c r="A334" s="2"/>
      <c r="B334" s="3"/>
      <c r="C334" s="6"/>
      <c r="D334" s="2"/>
      <c r="E334" s="2"/>
      <c r="F334" s="2"/>
      <c r="G334" s="2"/>
      <c r="H334" s="2"/>
      <c r="I334" s="3"/>
      <c r="J334" s="3"/>
      <c r="K334" s="3"/>
      <c r="L334" s="3"/>
      <c r="M334" s="3"/>
      <c r="N334" s="3"/>
      <c r="O334" s="3"/>
      <c r="P334" s="2"/>
      <c r="Q334" s="3"/>
      <c r="R334" s="2"/>
      <c r="S334" s="4"/>
      <c r="T334" s="3"/>
      <c r="U334" s="4"/>
      <c r="V334" s="3"/>
      <c r="W334" s="4"/>
      <c r="X334" s="3"/>
      <c r="Y334" s="3"/>
      <c r="Z334" s="3"/>
      <c r="AA334" s="3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</row>
    <row r="335">
      <c r="A335" s="2"/>
      <c r="B335" s="3"/>
      <c r="C335" s="6"/>
      <c r="D335" s="2"/>
      <c r="E335" s="2"/>
      <c r="F335" s="2"/>
      <c r="G335" s="2"/>
      <c r="H335" s="2"/>
      <c r="I335" s="3"/>
      <c r="J335" s="3"/>
      <c r="K335" s="3"/>
      <c r="L335" s="3"/>
      <c r="M335" s="3"/>
      <c r="N335" s="3"/>
      <c r="O335" s="3"/>
      <c r="P335" s="2"/>
      <c r="Q335" s="3"/>
      <c r="R335" s="2"/>
      <c r="S335" s="4"/>
      <c r="T335" s="3"/>
      <c r="U335" s="4"/>
      <c r="V335" s="3"/>
      <c r="W335" s="4"/>
      <c r="X335" s="3"/>
      <c r="Y335" s="3"/>
      <c r="Z335" s="3"/>
      <c r="AA335" s="3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</row>
    <row r="336">
      <c r="A336" s="2"/>
      <c r="B336" s="3"/>
      <c r="C336" s="6"/>
      <c r="D336" s="2"/>
      <c r="E336" s="2"/>
      <c r="F336" s="2"/>
      <c r="G336" s="2"/>
      <c r="H336" s="2"/>
      <c r="I336" s="3"/>
      <c r="J336" s="3"/>
      <c r="K336" s="3"/>
      <c r="L336" s="3"/>
      <c r="M336" s="3"/>
      <c r="N336" s="3"/>
      <c r="O336" s="3"/>
      <c r="P336" s="2"/>
      <c r="Q336" s="3"/>
      <c r="R336" s="2"/>
      <c r="S336" s="4"/>
      <c r="T336" s="3"/>
      <c r="U336" s="4"/>
      <c r="V336" s="3"/>
      <c r="W336" s="4"/>
      <c r="X336" s="3"/>
      <c r="Y336" s="3"/>
      <c r="Z336" s="3"/>
      <c r="AA336" s="3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</row>
    <row r="337">
      <c r="A337" s="2"/>
      <c r="B337" s="3"/>
      <c r="C337" s="6"/>
      <c r="D337" s="2"/>
      <c r="E337" s="2"/>
      <c r="F337" s="2"/>
      <c r="G337" s="2"/>
      <c r="H337" s="2"/>
      <c r="I337" s="3"/>
      <c r="J337" s="3"/>
      <c r="K337" s="3"/>
      <c r="L337" s="3"/>
      <c r="M337" s="3"/>
      <c r="N337" s="3"/>
      <c r="O337" s="3"/>
      <c r="P337" s="2"/>
      <c r="Q337" s="3"/>
      <c r="R337" s="2"/>
      <c r="S337" s="4"/>
      <c r="T337" s="3"/>
      <c r="U337" s="4"/>
      <c r="V337" s="3"/>
      <c r="W337" s="4"/>
      <c r="X337" s="3"/>
      <c r="Y337" s="3"/>
      <c r="Z337" s="3"/>
      <c r="AA337" s="3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</row>
    <row r="338">
      <c r="A338" s="2"/>
      <c r="B338" s="3"/>
      <c r="C338" s="6"/>
      <c r="D338" s="2"/>
      <c r="E338" s="2"/>
      <c r="F338" s="2"/>
      <c r="G338" s="2"/>
      <c r="H338" s="2"/>
      <c r="I338" s="3"/>
      <c r="J338" s="3"/>
      <c r="K338" s="3"/>
      <c r="L338" s="3"/>
      <c r="M338" s="3"/>
      <c r="N338" s="3"/>
      <c r="O338" s="3"/>
      <c r="P338" s="2"/>
      <c r="Q338" s="3"/>
      <c r="R338" s="2"/>
      <c r="S338" s="4"/>
      <c r="T338" s="3"/>
      <c r="U338" s="4"/>
      <c r="V338" s="3"/>
      <c r="W338" s="4"/>
      <c r="X338" s="3"/>
      <c r="Y338" s="3"/>
      <c r="Z338" s="3"/>
      <c r="AA338" s="3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</row>
    <row r="339">
      <c r="A339" s="2"/>
      <c r="B339" s="3"/>
      <c r="C339" s="6"/>
      <c r="D339" s="2"/>
      <c r="E339" s="2"/>
      <c r="F339" s="2"/>
      <c r="G339" s="2"/>
      <c r="H339" s="2"/>
      <c r="I339" s="3"/>
      <c r="J339" s="3"/>
      <c r="K339" s="3"/>
      <c r="L339" s="3"/>
      <c r="M339" s="3"/>
      <c r="N339" s="3"/>
      <c r="O339" s="3"/>
      <c r="P339" s="2"/>
      <c r="Q339" s="3"/>
      <c r="R339" s="2"/>
      <c r="S339" s="4"/>
      <c r="T339" s="3"/>
      <c r="U339" s="4"/>
      <c r="V339" s="3"/>
      <c r="W339" s="4"/>
      <c r="X339" s="3"/>
      <c r="Y339" s="3"/>
      <c r="Z339" s="3"/>
      <c r="AA339" s="3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</row>
    <row r="340">
      <c r="A340" s="2"/>
      <c r="B340" s="3"/>
      <c r="C340" s="6"/>
      <c r="D340" s="2"/>
      <c r="E340" s="2"/>
      <c r="F340" s="2"/>
      <c r="G340" s="2"/>
      <c r="H340" s="2"/>
      <c r="I340" s="3"/>
      <c r="J340" s="3"/>
      <c r="K340" s="3"/>
      <c r="L340" s="3"/>
      <c r="M340" s="3"/>
      <c r="N340" s="3"/>
      <c r="O340" s="3"/>
      <c r="P340" s="2"/>
      <c r="Q340" s="3"/>
      <c r="R340" s="2"/>
      <c r="S340" s="4"/>
      <c r="T340" s="3"/>
      <c r="U340" s="4"/>
      <c r="V340" s="3"/>
      <c r="W340" s="4"/>
      <c r="X340" s="3"/>
      <c r="Y340" s="3"/>
      <c r="Z340" s="3"/>
      <c r="AA340" s="3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</row>
    <row r="341">
      <c r="A341" s="2"/>
      <c r="B341" s="3"/>
      <c r="C341" s="6"/>
      <c r="D341" s="2"/>
      <c r="E341" s="2"/>
      <c r="F341" s="2"/>
      <c r="G341" s="2"/>
      <c r="H341" s="2"/>
      <c r="I341" s="3"/>
      <c r="J341" s="3"/>
      <c r="K341" s="3"/>
      <c r="L341" s="3"/>
      <c r="M341" s="3"/>
      <c r="N341" s="3"/>
      <c r="O341" s="3"/>
      <c r="P341" s="2"/>
      <c r="Q341" s="3"/>
      <c r="R341" s="2"/>
      <c r="S341" s="4"/>
      <c r="T341" s="3"/>
      <c r="U341" s="4"/>
      <c r="V341" s="3"/>
      <c r="W341" s="4"/>
      <c r="X341" s="3"/>
      <c r="Y341" s="3"/>
      <c r="Z341" s="3"/>
      <c r="AA341" s="3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</row>
    <row r="342">
      <c r="A342" s="2"/>
      <c r="B342" s="3"/>
      <c r="C342" s="6"/>
      <c r="D342" s="2"/>
      <c r="E342" s="2"/>
      <c r="F342" s="2"/>
      <c r="G342" s="2"/>
      <c r="H342" s="2"/>
      <c r="I342" s="3"/>
      <c r="J342" s="3"/>
      <c r="K342" s="3"/>
      <c r="L342" s="3"/>
      <c r="M342" s="3"/>
      <c r="N342" s="3"/>
      <c r="O342" s="3"/>
      <c r="P342" s="2"/>
      <c r="Q342" s="3"/>
      <c r="R342" s="2"/>
      <c r="S342" s="4"/>
      <c r="T342" s="3"/>
      <c r="U342" s="4"/>
      <c r="V342" s="3"/>
      <c r="W342" s="4"/>
      <c r="X342" s="3"/>
      <c r="Y342" s="3"/>
      <c r="Z342" s="3"/>
      <c r="AA342" s="3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</row>
    <row r="343">
      <c r="A343" s="2"/>
      <c r="B343" s="3"/>
      <c r="C343" s="6"/>
      <c r="D343" s="2"/>
      <c r="E343" s="2"/>
      <c r="F343" s="2"/>
      <c r="G343" s="2"/>
      <c r="H343" s="2"/>
      <c r="I343" s="3"/>
      <c r="J343" s="3"/>
      <c r="K343" s="3"/>
      <c r="L343" s="3"/>
      <c r="M343" s="3"/>
      <c r="N343" s="3"/>
      <c r="O343" s="3"/>
      <c r="P343" s="2"/>
      <c r="Q343" s="3"/>
      <c r="R343" s="2"/>
      <c r="S343" s="4"/>
      <c r="T343" s="3"/>
      <c r="U343" s="4"/>
      <c r="V343" s="3"/>
      <c r="W343" s="4"/>
      <c r="X343" s="3"/>
      <c r="Y343" s="3"/>
      <c r="Z343" s="3"/>
      <c r="AA343" s="3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</row>
    <row r="344">
      <c r="A344" s="2"/>
      <c r="B344" s="3"/>
      <c r="C344" s="6"/>
      <c r="D344" s="2"/>
      <c r="E344" s="2"/>
      <c r="F344" s="2"/>
      <c r="G344" s="2"/>
      <c r="H344" s="2"/>
      <c r="I344" s="3"/>
      <c r="J344" s="3"/>
      <c r="K344" s="3"/>
      <c r="L344" s="3"/>
      <c r="M344" s="3"/>
      <c r="N344" s="3"/>
      <c r="O344" s="3"/>
      <c r="P344" s="2"/>
      <c r="Q344" s="3"/>
      <c r="R344" s="2"/>
      <c r="S344" s="4"/>
      <c r="T344" s="3"/>
      <c r="U344" s="4"/>
      <c r="V344" s="3"/>
      <c r="W344" s="4"/>
      <c r="X344" s="3"/>
      <c r="Y344" s="3"/>
      <c r="Z344" s="3"/>
      <c r="AA344" s="3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</row>
    <row r="345">
      <c r="A345" s="2"/>
      <c r="B345" s="3"/>
      <c r="C345" s="6"/>
      <c r="D345" s="2"/>
      <c r="E345" s="2"/>
      <c r="F345" s="2"/>
      <c r="G345" s="2"/>
      <c r="H345" s="2"/>
      <c r="I345" s="3"/>
      <c r="J345" s="3"/>
      <c r="K345" s="3"/>
      <c r="L345" s="3"/>
      <c r="M345" s="3"/>
      <c r="N345" s="3"/>
      <c r="O345" s="3"/>
      <c r="P345" s="2"/>
      <c r="Q345" s="3"/>
      <c r="R345" s="2"/>
      <c r="S345" s="4"/>
      <c r="T345" s="3"/>
      <c r="U345" s="4"/>
      <c r="V345" s="3"/>
      <c r="W345" s="4"/>
      <c r="X345" s="3"/>
      <c r="Y345" s="3"/>
      <c r="Z345" s="3"/>
      <c r="AA345" s="3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</row>
    <row r="346">
      <c r="A346" s="2"/>
      <c r="B346" s="3"/>
      <c r="C346" s="6"/>
      <c r="D346" s="2"/>
      <c r="E346" s="2"/>
      <c r="F346" s="2"/>
      <c r="G346" s="2"/>
      <c r="H346" s="2"/>
      <c r="I346" s="3"/>
      <c r="J346" s="3"/>
      <c r="K346" s="3"/>
      <c r="L346" s="3"/>
      <c r="M346" s="3"/>
      <c r="N346" s="3"/>
      <c r="O346" s="3"/>
      <c r="P346" s="2"/>
      <c r="Q346" s="3"/>
      <c r="R346" s="2"/>
      <c r="S346" s="4"/>
      <c r="T346" s="3"/>
      <c r="U346" s="4"/>
      <c r="V346" s="3"/>
      <c r="W346" s="4"/>
      <c r="X346" s="3"/>
      <c r="Y346" s="3"/>
      <c r="Z346" s="3"/>
      <c r="AA346" s="3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</row>
    <row r="347">
      <c r="A347" s="2"/>
      <c r="B347" s="3"/>
      <c r="C347" s="6"/>
      <c r="D347" s="2"/>
      <c r="E347" s="2"/>
      <c r="F347" s="2"/>
      <c r="G347" s="2"/>
      <c r="H347" s="2"/>
      <c r="I347" s="3"/>
      <c r="J347" s="3"/>
      <c r="K347" s="3"/>
      <c r="L347" s="3"/>
      <c r="M347" s="3"/>
      <c r="N347" s="3"/>
      <c r="O347" s="3"/>
      <c r="P347" s="2"/>
      <c r="Q347" s="3"/>
      <c r="R347" s="2"/>
      <c r="S347" s="4"/>
      <c r="T347" s="3"/>
      <c r="U347" s="4"/>
      <c r="V347" s="3"/>
      <c r="W347" s="4"/>
      <c r="X347" s="3"/>
      <c r="Y347" s="3"/>
      <c r="Z347" s="3"/>
      <c r="AA347" s="3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</row>
    <row r="348">
      <c r="A348" s="2"/>
      <c r="B348" s="3"/>
      <c r="C348" s="6"/>
      <c r="D348" s="2"/>
      <c r="E348" s="2"/>
      <c r="F348" s="2"/>
      <c r="G348" s="2"/>
      <c r="H348" s="2"/>
      <c r="I348" s="3"/>
      <c r="J348" s="3"/>
      <c r="K348" s="3"/>
      <c r="L348" s="3"/>
      <c r="M348" s="3"/>
      <c r="N348" s="3"/>
      <c r="O348" s="3"/>
      <c r="P348" s="2"/>
      <c r="Q348" s="3"/>
      <c r="R348" s="2"/>
      <c r="S348" s="4"/>
      <c r="T348" s="3"/>
      <c r="U348" s="4"/>
      <c r="V348" s="3"/>
      <c r="W348" s="4"/>
      <c r="X348" s="3"/>
      <c r="Y348" s="3"/>
      <c r="Z348" s="3"/>
      <c r="AA348" s="3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</row>
    <row r="349">
      <c r="A349" s="2"/>
      <c r="B349" s="3"/>
      <c r="C349" s="6"/>
      <c r="D349" s="2"/>
      <c r="E349" s="2"/>
      <c r="F349" s="2"/>
      <c r="G349" s="2"/>
      <c r="H349" s="2"/>
      <c r="I349" s="3"/>
      <c r="J349" s="3"/>
      <c r="K349" s="3"/>
      <c r="L349" s="3"/>
      <c r="M349" s="3"/>
      <c r="N349" s="3"/>
      <c r="O349" s="3"/>
      <c r="P349" s="2"/>
      <c r="Q349" s="3"/>
      <c r="R349" s="2"/>
      <c r="S349" s="4"/>
      <c r="T349" s="3"/>
      <c r="U349" s="4"/>
      <c r="V349" s="3"/>
      <c r="W349" s="4"/>
      <c r="X349" s="3"/>
      <c r="Y349" s="3"/>
      <c r="Z349" s="3"/>
      <c r="AA349" s="3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</row>
    <row r="350">
      <c r="A350" s="2"/>
      <c r="B350" s="3"/>
      <c r="C350" s="6"/>
      <c r="D350" s="2"/>
      <c r="E350" s="2"/>
      <c r="F350" s="2"/>
      <c r="G350" s="2"/>
      <c r="H350" s="2"/>
      <c r="I350" s="3"/>
      <c r="J350" s="3"/>
      <c r="K350" s="3"/>
      <c r="L350" s="3"/>
      <c r="M350" s="3"/>
      <c r="N350" s="3"/>
      <c r="O350" s="3"/>
      <c r="P350" s="2"/>
      <c r="Q350" s="3"/>
      <c r="R350" s="2"/>
      <c r="S350" s="4"/>
      <c r="T350" s="3"/>
      <c r="U350" s="4"/>
      <c r="V350" s="3"/>
      <c r="W350" s="4"/>
      <c r="X350" s="3"/>
      <c r="Y350" s="3"/>
      <c r="Z350" s="3"/>
      <c r="AA350" s="3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</row>
    <row r="351">
      <c r="A351" s="2"/>
      <c r="B351" s="3"/>
      <c r="C351" s="6"/>
      <c r="D351" s="2"/>
      <c r="E351" s="2"/>
      <c r="F351" s="2"/>
      <c r="G351" s="2"/>
      <c r="H351" s="2"/>
      <c r="I351" s="3"/>
      <c r="J351" s="3"/>
      <c r="K351" s="3"/>
      <c r="L351" s="3"/>
      <c r="M351" s="3"/>
      <c r="N351" s="3"/>
      <c r="O351" s="3"/>
      <c r="P351" s="2"/>
      <c r="Q351" s="3"/>
      <c r="R351" s="2"/>
      <c r="S351" s="4"/>
      <c r="T351" s="3"/>
      <c r="U351" s="4"/>
      <c r="V351" s="3"/>
      <c r="W351" s="4"/>
      <c r="X351" s="3"/>
      <c r="Y351" s="3"/>
      <c r="Z351" s="3"/>
      <c r="AA351" s="3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</row>
    <row r="352">
      <c r="A352" s="2"/>
      <c r="B352" s="3"/>
      <c r="C352" s="6"/>
      <c r="D352" s="2"/>
      <c r="E352" s="2"/>
      <c r="F352" s="2"/>
      <c r="G352" s="2"/>
      <c r="H352" s="2"/>
      <c r="I352" s="3"/>
      <c r="J352" s="3"/>
      <c r="K352" s="3"/>
      <c r="L352" s="3"/>
      <c r="M352" s="3"/>
      <c r="N352" s="3"/>
      <c r="O352" s="3"/>
      <c r="P352" s="2"/>
      <c r="Q352" s="3"/>
      <c r="R352" s="2"/>
      <c r="S352" s="4"/>
      <c r="T352" s="3"/>
      <c r="U352" s="4"/>
      <c r="V352" s="3"/>
      <c r="W352" s="4"/>
      <c r="X352" s="3"/>
      <c r="Y352" s="3"/>
      <c r="Z352" s="3"/>
      <c r="AA352" s="3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</row>
    <row r="353">
      <c r="A353" s="2"/>
      <c r="B353" s="3"/>
      <c r="C353" s="6"/>
      <c r="D353" s="2"/>
      <c r="E353" s="2"/>
      <c r="F353" s="2"/>
      <c r="G353" s="2"/>
      <c r="H353" s="2"/>
      <c r="I353" s="3"/>
      <c r="J353" s="3"/>
      <c r="K353" s="3"/>
      <c r="L353" s="3"/>
      <c r="M353" s="3"/>
      <c r="N353" s="3"/>
      <c r="O353" s="3"/>
      <c r="P353" s="2"/>
      <c r="Q353" s="3"/>
      <c r="R353" s="2"/>
      <c r="S353" s="4"/>
      <c r="T353" s="3"/>
      <c r="U353" s="4"/>
      <c r="V353" s="3"/>
      <c r="W353" s="4"/>
      <c r="X353" s="3"/>
      <c r="Y353" s="3"/>
      <c r="Z353" s="3"/>
      <c r="AA353" s="3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</row>
    <row r="354">
      <c r="A354" s="2"/>
      <c r="B354" s="3"/>
      <c r="C354" s="6"/>
      <c r="D354" s="2"/>
      <c r="E354" s="2"/>
      <c r="F354" s="2"/>
      <c r="G354" s="2"/>
      <c r="H354" s="2"/>
      <c r="I354" s="3"/>
      <c r="J354" s="3"/>
      <c r="K354" s="3"/>
      <c r="L354" s="3"/>
      <c r="M354" s="3"/>
      <c r="N354" s="3"/>
      <c r="O354" s="3"/>
      <c r="P354" s="2"/>
      <c r="Q354" s="3"/>
      <c r="R354" s="2"/>
      <c r="S354" s="4"/>
      <c r="T354" s="3"/>
      <c r="U354" s="4"/>
      <c r="V354" s="3"/>
      <c r="W354" s="4"/>
      <c r="X354" s="3"/>
      <c r="Y354" s="3"/>
      <c r="Z354" s="3"/>
      <c r="AA354" s="3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</row>
    <row r="355">
      <c r="A355" s="2"/>
      <c r="B355" s="3"/>
      <c r="C355" s="6"/>
      <c r="D355" s="2"/>
      <c r="E355" s="2"/>
      <c r="F355" s="2"/>
      <c r="G355" s="2"/>
      <c r="H355" s="2"/>
      <c r="I355" s="3"/>
      <c r="J355" s="3"/>
      <c r="K355" s="3"/>
      <c r="L355" s="3"/>
      <c r="M355" s="3"/>
      <c r="N355" s="3"/>
      <c r="O355" s="3"/>
      <c r="P355" s="2"/>
      <c r="Q355" s="3"/>
      <c r="R355" s="2"/>
      <c r="S355" s="4"/>
      <c r="T355" s="3"/>
      <c r="U355" s="4"/>
      <c r="V355" s="3"/>
      <c r="W355" s="4"/>
      <c r="X355" s="3"/>
      <c r="Y355" s="3"/>
      <c r="Z355" s="3"/>
      <c r="AA355" s="3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</row>
    <row r="356">
      <c r="A356" s="2"/>
      <c r="B356" s="3"/>
      <c r="C356" s="6"/>
      <c r="D356" s="2"/>
      <c r="E356" s="2"/>
      <c r="F356" s="2"/>
      <c r="G356" s="2"/>
      <c r="H356" s="2"/>
      <c r="I356" s="3"/>
      <c r="J356" s="3"/>
      <c r="K356" s="3"/>
      <c r="L356" s="3"/>
      <c r="M356" s="3"/>
      <c r="N356" s="3"/>
      <c r="O356" s="3"/>
      <c r="P356" s="2"/>
      <c r="Q356" s="3"/>
      <c r="R356" s="2"/>
      <c r="S356" s="4"/>
      <c r="T356" s="3"/>
      <c r="U356" s="4"/>
      <c r="V356" s="3"/>
      <c r="W356" s="4"/>
      <c r="X356" s="3"/>
      <c r="Y356" s="3"/>
      <c r="Z356" s="3"/>
      <c r="AA356" s="3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</row>
    <row r="357">
      <c r="A357" s="2"/>
      <c r="B357" s="3"/>
      <c r="C357" s="6"/>
      <c r="D357" s="2"/>
      <c r="E357" s="2"/>
      <c r="F357" s="2"/>
      <c r="G357" s="2"/>
      <c r="H357" s="2"/>
      <c r="I357" s="3"/>
      <c r="J357" s="3"/>
      <c r="K357" s="3"/>
      <c r="L357" s="3"/>
      <c r="M357" s="3"/>
      <c r="N357" s="3"/>
      <c r="O357" s="3"/>
      <c r="P357" s="2"/>
      <c r="Q357" s="3"/>
      <c r="R357" s="2"/>
      <c r="S357" s="4"/>
      <c r="T357" s="3"/>
      <c r="U357" s="4"/>
      <c r="V357" s="3"/>
      <c r="W357" s="4"/>
      <c r="X357" s="3"/>
      <c r="Y357" s="3"/>
      <c r="Z357" s="3"/>
      <c r="AA357" s="3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</row>
    <row r="358">
      <c r="A358" s="2"/>
      <c r="B358" s="3"/>
      <c r="C358" s="6"/>
      <c r="D358" s="2"/>
      <c r="E358" s="2"/>
      <c r="F358" s="2"/>
      <c r="G358" s="2"/>
      <c r="H358" s="2"/>
      <c r="I358" s="3"/>
      <c r="J358" s="3"/>
      <c r="K358" s="3"/>
      <c r="L358" s="3"/>
      <c r="M358" s="3"/>
      <c r="N358" s="3"/>
      <c r="O358" s="3"/>
      <c r="P358" s="2"/>
      <c r="Q358" s="3"/>
      <c r="R358" s="2"/>
      <c r="S358" s="4"/>
      <c r="T358" s="3"/>
      <c r="U358" s="4"/>
      <c r="V358" s="3"/>
      <c r="W358" s="4"/>
      <c r="X358" s="3"/>
      <c r="Y358" s="3"/>
      <c r="Z358" s="3"/>
      <c r="AA358" s="3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</row>
    <row r="359">
      <c r="A359" s="2"/>
      <c r="B359" s="3"/>
      <c r="C359" s="6"/>
      <c r="D359" s="2"/>
      <c r="E359" s="2"/>
      <c r="F359" s="2"/>
      <c r="G359" s="2"/>
      <c r="H359" s="2"/>
      <c r="I359" s="3"/>
      <c r="J359" s="3"/>
      <c r="K359" s="3"/>
      <c r="L359" s="3"/>
      <c r="M359" s="3"/>
      <c r="N359" s="3"/>
      <c r="O359" s="3"/>
      <c r="P359" s="2"/>
      <c r="Q359" s="3"/>
      <c r="R359" s="2"/>
      <c r="S359" s="4"/>
      <c r="T359" s="3"/>
      <c r="U359" s="4"/>
      <c r="V359" s="3"/>
      <c r="W359" s="4"/>
      <c r="X359" s="3"/>
      <c r="Y359" s="3"/>
      <c r="Z359" s="3"/>
      <c r="AA359" s="3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</row>
    <row r="360">
      <c r="A360" s="2"/>
      <c r="B360" s="3"/>
      <c r="C360" s="6"/>
      <c r="D360" s="2"/>
      <c r="E360" s="2"/>
      <c r="F360" s="2"/>
      <c r="G360" s="2"/>
      <c r="H360" s="2"/>
      <c r="I360" s="3"/>
      <c r="J360" s="3"/>
      <c r="K360" s="3"/>
      <c r="L360" s="3"/>
      <c r="M360" s="3"/>
      <c r="N360" s="3"/>
      <c r="O360" s="3"/>
      <c r="P360" s="2"/>
      <c r="Q360" s="3"/>
      <c r="R360" s="2"/>
      <c r="S360" s="4"/>
      <c r="T360" s="3"/>
      <c r="U360" s="4"/>
      <c r="V360" s="3"/>
      <c r="W360" s="4"/>
      <c r="X360" s="3"/>
      <c r="Y360" s="3"/>
      <c r="Z360" s="3"/>
      <c r="AA360" s="3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</row>
    <row r="361">
      <c r="A361" s="2"/>
      <c r="B361" s="3"/>
      <c r="C361" s="6"/>
      <c r="D361" s="2"/>
      <c r="E361" s="2"/>
      <c r="F361" s="2"/>
      <c r="G361" s="2"/>
      <c r="H361" s="2"/>
      <c r="I361" s="3"/>
      <c r="J361" s="3"/>
      <c r="K361" s="3"/>
      <c r="L361" s="3"/>
      <c r="M361" s="3"/>
      <c r="N361" s="3"/>
      <c r="O361" s="3"/>
      <c r="P361" s="2"/>
      <c r="Q361" s="3"/>
      <c r="R361" s="2"/>
      <c r="S361" s="4"/>
      <c r="T361" s="3"/>
      <c r="U361" s="4"/>
      <c r="V361" s="3"/>
      <c r="W361" s="4"/>
      <c r="X361" s="3"/>
      <c r="Y361" s="3"/>
      <c r="Z361" s="3"/>
      <c r="AA361" s="3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</row>
    <row r="362">
      <c r="A362" s="2"/>
      <c r="B362" s="3"/>
      <c r="C362" s="6"/>
      <c r="D362" s="2"/>
      <c r="E362" s="2"/>
      <c r="F362" s="2"/>
      <c r="G362" s="2"/>
      <c r="H362" s="2"/>
      <c r="I362" s="3"/>
      <c r="J362" s="3"/>
      <c r="K362" s="3"/>
      <c r="L362" s="3"/>
      <c r="M362" s="3"/>
      <c r="N362" s="3"/>
      <c r="O362" s="3"/>
      <c r="P362" s="2"/>
      <c r="Q362" s="3"/>
      <c r="R362" s="2"/>
      <c r="S362" s="4"/>
      <c r="T362" s="3"/>
      <c r="U362" s="4"/>
      <c r="V362" s="3"/>
      <c r="W362" s="4"/>
      <c r="X362" s="3"/>
      <c r="Y362" s="3"/>
      <c r="Z362" s="3"/>
      <c r="AA362" s="3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</row>
    <row r="363">
      <c r="A363" s="2"/>
      <c r="B363" s="3"/>
      <c r="C363" s="6"/>
      <c r="D363" s="2"/>
      <c r="E363" s="2"/>
      <c r="F363" s="2"/>
      <c r="G363" s="2"/>
      <c r="H363" s="2"/>
      <c r="I363" s="3"/>
      <c r="J363" s="3"/>
      <c r="K363" s="3"/>
      <c r="L363" s="3"/>
      <c r="M363" s="3"/>
      <c r="N363" s="3"/>
      <c r="O363" s="3"/>
      <c r="P363" s="2"/>
      <c r="Q363" s="3"/>
      <c r="R363" s="2"/>
      <c r="S363" s="4"/>
      <c r="T363" s="3"/>
      <c r="U363" s="4"/>
      <c r="V363" s="3"/>
      <c r="W363" s="4"/>
      <c r="X363" s="3"/>
      <c r="Y363" s="3"/>
      <c r="Z363" s="3"/>
      <c r="AA363" s="3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</row>
    <row r="364">
      <c r="A364" s="2"/>
      <c r="B364" s="3"/>
      <c r="C364" s="6"/>
      <c r="D364" s="2"/>
      <c r="E364" s="2"/>
      <c r="F364" s="2"/>
      <c r="G364" s="2"/>
      <c r="H364" s="2"/>
      <c r="I364" s="3"/>
      <c r="J364" s="3"/>
      <c r="K364" s="3"/>
      <c r="L364" s="3"/>
      <c r="M364" s="3"/>
      <c r="N364" s="3"/>
      <c r="O364" s="3"/>
      <c r="P364" s="2"/>
      <c r="Q364" s="3"/>
      <c r="R364" s="2"/>
      <c r="S364" s="4"/>
      <c r="T364" s="3"/>
      <c r="U364" s="4"/>
      <c r="V364" s="3"/>
      <c r="W364" s="4"/>
      <c r="X364" s="3"/>
      <c r="Y364" s="3"/>
      <c r="Z364" s="3"/>
      <c r="AA364" s="3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</row>
    <row r="365">
      <c r="A365" s="2"/>
      <c r="B365" s="3"/>
      <c r="C365" s="6"/>
      <c r="D365" s="2"/>
      <c r="E365" s="2"/>
      <c r="F365" s="2"/>
      <c r="G365" s="2"/>
      <c r="H365" s="2"/>
      <c r="I365" s="3"/>
      <c r="J365" s="3"/>
      <c r="K365" s="3"/>
      <c r="L365" s="3"/>
      <c r="M365" s="3"/>
      <c r="N365" s="3"/>
      <c r="O365" s="3"/>
      <c r="P365" s="2"/>
      <c r="Q365" s="3"/>
      <c r="R365" s="2"/>
      <c r="S365" s="4"/>
      <c r="T365" s="3"/>
      <c r="U365" s="4"/>
      <c r="V365" s="3"/>
      <c r="W365" s="4"/>
      <c r="X365" s="3"/>
      <c r="Y365" s="3"/>
      <c r="Z365" s="3"/>
      <c r="AA365" s="3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</row>
    <row r="366">
      <c r="A366" s="2"/>
      <c r="B366" s="3"/>
      <c r="C366" s="6"/>
      <c r="D366" s="2"/>
      <c r="E366" s="2"/>
      <c r="F366" s="2"/>
      <c r="G366" s="2"/>
      <c r="H366" s="2"/>
      <c r="I366" s="3"/>
      <c r="J366" s="3"/>
      <c r="K366" s="3"/>
      <c r="L366" s="3"/>
      <c r="M366" s="3"/>
      <c r="N366" s="3"/>
      <c r="O366" s="3"/>
      <c r="P366" s="2"/>
      <c r="Q366" s="3"/>
      <c r="R366" s="2"/>
      <c r="S366" s="4"/>
      <c r="T366" s="3"/>
      <c r="U366" s="4"/>
      <c r="V366" s="3"/>
      <c r="W366" s="4"/>
      <c r="X366" s="3"/>
      <c r="Y366" s="3"/>
      <c r="Z366" s="3"/>
      <c r="AA366" s="3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</row>
    <row r="367">
      <c r="A367" s="2"/>
      <c r="B367" s="3"/>
      <c r="C367" s="6"/>
      <c r="D367" s="2"/>
      <c r="E367" s="2"/>
      <c r="F367" s="2"/>
      <c r="G367" s="2"/>
      <c r="H367" s="2"/>
      <c r="I367" s="3"/>
      <c r="J367" s="3"/>
      <c r="K367" s="3"/>
      <c r="L367" s="3"/>
      <c r="M367" s="3"/>
      <c r="N367" s="3"/>
      <c r="O367" s="3"/>
      <c r="P367" s="2"/>
      <c r="Q367" s="3"/>
      <c r="R367" s="2"/>
      <c r="S367" s="4"/>
      <c r="T367" s="3"/>
      <c r="U367" s="4"/>
      <c r="V367" s="3"/>
      <c r="W367" s="4"/>
      <c r="X367" s="3"/>
      <c r="Y367" s="3"/>
      <c r="Z367" s="3"/>
      <c r="AA367" s="3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</row>
    <row r="368">
      <c r="A368" s="2"/>
      <c r="B368" s="3"/>
      <c r="C368" s="6"/>
      <c r="D368" s="2"/>
      <c r="E368" s="2"/>
      <c r="F368" s="2"/>
      <c r="G368" s="2"/>
      <c r="H368" s="2"/>
      <c r="I368" s="3"/>
      <c r="J368" s="3"/>
      <c r="K368" s="3"/>
      <c r="L368" s="3"/>
      <c r="M368" s="3"/>
      <c r="N368" s="3"/>
      <c r="O368" s="3"/>
      <c r="P368" s="2"/>
      <c r="Q368" s="3"/>
      <c r="R368" s="2"/>
      <c r="S368" s="4"/>
      <c r="T368" s="3"/>
      <c r="U368" s="4"/>
      <c r="V368" s="3"/>
      <c r="W368" s="4"/>
      <c r="X368" s="3"/>
      <c r="Y368" s="3"/>
      <c r="Z368" s="3"/>
      <c r="AA368" s="3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</row>
    <row r="369">
      <c r="A369" s="2"/>
      <c r="B369" s="3"/>
      <c r="C369" s="6"/>
      <c r="D369" s="2"/>
      <c r="E369" s="2"/>
      <c r="F369" s="2"/>
      <c r="G369" s="2"/>
      <c r="H369" s="2"/>
      <c r="I369" s="3"/>
      <c r="J369" s="3"/>
      <c r="K369" s="3"/>
      <c r="L369" s="3"/>
      <c r="M369" s="3"/>
      <c r="N369" s="3"/>
      <c r="O369" s="3"/>
      <c r="P369" s="2"/>
      <c r="Q369" s="3"/>
      <c r="R369" s="2"/>
      <c r="S369" s="4"/>
      <c r="T369" s="3"/>
      <c r="U369" s="4"/>
      <c r="V369" s="3"/>
      <c r="W369" s="4"/>
      <c r="X369" s="3"/>
      <c r="Y369" s="3"/>
      <c r="Z369" s="3"/>
      <c r="AA369" s="3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</row>
    <row r="370">
      <c r="A370" s="2"/>
      <c r="B370" s="3"/>
      <c r="C370" s="6"/>
      <c r="D370" s="2"/>
      <c r="E370" s="2"/>
      <c r="F370" s="2"/>
      <c r="G370" s="2"/>
      <c r="H370" s="2"/>
      <c r="I370" s="3"/>
      <c r="J370" s="3"/>
      <c r="K370" s="3"/>
      <c r="L370" s="3"/>
      <c r="M370" s="3"/>
      <c r="N370" s="3"/>
      <c r="O370" s="3"/>
      <c r="P370" s="2"/>
      <c r="Q370" s="3"/>
      <c r="R370" s="2"/>
      <c r="S370" s="4"/>
      <c r="T370" s="3"/>
      <c r="U370" s="4"/>
      <c r="V370" s="3"/>
      <c r="W370" s="4"/>
      <c r="X370" s="3"/>
      <c r="Y370" s="3"/>
      <c r="Z370" s="3"/>
      <c r="AA370" s="3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</row>
    <row r="371">
      <c r="A371" s="2"/>
      <c r="B371" s="3"/>
      <c r="C371" s="6"/>
      <c r="D371" s="2"/>
      <c r="E371" s="2"/>
      <c r="F371" s="2"/>
      <c r="G371" s="2"/>
      <c r="H371" s="2"/>
      <c r="I371" s="3"/>
      <c r="J371" s="3"/>
      <c r="K371" s="3"/>
      <c r="L371" s="3"/>
      <c r="M371" s="3"/>
      <c r="N371" s="3"/>
      <c r="O371" s="3"/>
      <c r="P371" s="2"/>
      <c r="Q371" s="3"/>
      <c r="R371" s="2"/>
      <c r="S371" s="4"/>
      <c r="T371" s="3"/>
      <c r="U371" s="4"/>
      <c r="V371" s="3"/>
      <c r="W371" s="4"/>
      <c r="X371" s="3"/>
      <c r="Y371" s="3"/>
      <c r="Z371" s="3"/>
      <c r="AA371" s="3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</row>
    <row r="372">
      <c r="A372" s="2"/>
      <c r="B372" s="3"/>
      <c r="C372" s="6"/>
      <c r="D372" s="2"/>
      <c r="E372" s="2"/>
      <c r="F372" s="2"/>
      <c r="G372" s="2"/>
      <c r="H372" s="2"/>
      <c r="I372" s="3"/>
      <c r="J372" s="3"/>
      <c r="K372" s="3"/>
      <c r="L372" s="3"/>
      <c r="M372" s="3"/>
      <c r="N372" s="3"/>
      <c r="O372" s="3"/>
      <c r="P372" s="2"/>
      <c r="Q372" s="3"/>
      <c r="R372" s="2"/>
      <c r="S372" s="4"/>
      <c r="T372" s="3"/>
      <c r="U372" s="4"/>
      <c r="V372" s="3"/>
      <c r="W372" s="4"/>
      <c r="X372" s="3"/>
      <c r="Y372" s="3"/>
      <c r="Z372" s="3"/>
      <c r="AA372" s="3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</row>
    <row r="373">
      <c r="A373" s="2"/>
      <c r="B373" s="3"/>
      <c r="C373" s="6"/>
      <c r="D373" s="2"/>
      <c r="E373" s="2"/>
      <c r="F373" s="2"/>
      <c r="G373" s="2"/>
      <c r="H373" s="2"/>
      <c r="I373" s="3"/>
      <c r="J373" s="3"/>
      <c r="K373" s="3"/>
      <c r="L373" s="3"/>
      <c r="M373" s="3"/>
      <c r="N373" s="3"/>
      <c r="O373" s="3"/>
      <c r="P373" s="2"/>
      <c r="Q373" s="3"/>
      <c r="R373" s="2"/>
      <c r="S373" s="4"/>
      <c r="T373" s="3"/>
      <c r="U373" s="4"/>
      <c r="V373" s="3"/>
      <c r="W373" s="4"/>
      <c r="X373" s="3"/>
      <c r="Y373" s="3"/>
      <c r="Z373" s="3"/>
      <c r="AA373" s="3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</row>
    <row r="374">
      <c r="A374" s="2"/>
      <c r="B374" s="3"/>
      <c r="C374" s="6"/>
      <c r="D374" s="2"/>
      <c r="E374" s="2"/>
      <c r="F374" s="2"/>
      <c r="G374" s="2"/>
      <c r="H374" s="2"/>
      <c r="I374" s="3"/>
      <c r="J374" s="3"/>
      <c r="K374" s="3"/>
      <c r="L374" s="3"/>
      <c r="M374" s="3"/>
      <c r="N374" s="3"/>
      <c r="O374" s="3"/>
      <c r="P374" s="2"/>
      <c r="Q374" s="3"/>
      <c r="R374" s="2"/>
      <c r="S374" s="4"/>
      <c r="T374" s="3"/>
      <c r="U374" s="4"/>
      <c r="V374" s="3"/>
      <c r="W374" s="4"/>
      <c r="X374" s="3"/>
      <c r="Y374" s="3"/>
      <c r="Z374" s="3"/>
      <c r="AA374" s="3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</row>
    <row r="375">
      <c r="A375" s="2"/>
      <c r="B375" s="3"/>
      <c r="C375" s="6"/>
      <c r="D375" s="2"/>
      <c r="E375" s="2"/>
      <c r="F375" s="2"/>
      <c r="G375" s="2"/>
      <c r="H375" s="2"/>
      <c r="I375" s="3"/>
      <c r="J375" s="3"/>
      <c r="K375" s="3"/>
      <c r="L375" s="3"/>
      <c r="M375" s="3"/>
      <c r="N375" s="3"/>
      <c r="O375" s="3"/>
      <c r="P375" s="2"/>
      <c r="Q375" s="3"/>
      <c r="R375" s="2"/>
      <c r="S375" s="4"/>
      <c r="T375" s="3"/>
      <c r="U375" s="4"/>
      <c r="V375" s="3"/>
      <c r="W375" s="4"/>
      <c r="X375" s="3"/>
      <c r="Y375" s="3"/>
      <c r="Z375" s="3"/>
      <c r="AA375" s="3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</row>
    <row r="376">
      <c r="A376" s="2"/>
      <c r="B376" s="3"/>
      <c r="C376" s="6"/>
      <c r="D376" s="2"/>
      <c r="E376" s="2"/>
      <c r="F376" s="2"/>
      <c r="G376" s="2"/>
      <c r="H376" s="2"/>
      <c r="I376" s="3"/>
      <c r="J376" s="3"/>
      <c r="K376" s="3"/>
      <c r="L376" s="3"/>
      <c r="M376" s="3"/>
      <c r="N376" s="3"/>
      <c r="O376" s="3"/>
      <c r="P376" s="2"/>
      <c r="Q376" s="3"/>
      <c r="R376" s="2"/>
      <c r="S376" s="4"/>
      <c r="T376" s="3"/>
      <c r="U376" s="4"/>
      <c r="V376" s="3"/>
      <c r="W376" s="4"/>
      <c r="X376" s="3"/>
      <c r="Y376" s="3"/>
      <c r="Z376" s="3"/>
      <c r="AA376" s="3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</row>
    <row r="377">
      <c r="A377" s="2"/>
      <c r="B377" s="3"/>
      <c r="C377" s="6"/>
      <c r="D377" s="2"/>
      <c r="E377" s="2"/>
      <c r="F377" s="2"/>
      <c r="G377" s="2"/>
      <c r="H377" s="2"/>
      <c r="I377" s="3"/>
      <c r="J377" s="3"/>
      <c r="K377" s="3"/>
      <c r="L377" s="3"/>
      <c r="M377" s="3"/>
      <c r="N377" s="3"/>
      <c r="O377" s="3"/>
      <c r="P377" s="2"/>
      <c r="Q377" s="3"/>
      <c r="R377" s="2"/>
      <c r="S377" s="4"/>
      <c r="T377" s="3"/>
      <c r="U377" s="4"/>
      <c r="V377" s="3"/>
      <c r="W377" s="4"/>
      <c r="X377" s="3"/>
      <c r="Y377" s="3"/>
      <c r="Z377" s="3"/>
      <c r="AA377" s="3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</row>
    <row r="378">
      <c r="A378" s="2"/>
      <c r="B378" s="3"/>
      <c r="C378" s="6"/>
      <c r="D378" s="2"/>
      <c r="E378" s="2"/>
      <c r="F378" s="2"/>
      <c r="G378" s="2"/>
      <c r="H378" s="2"/>
      <c r="I378" s="3"/>
      <c r="J378" s="3"/>
      <c r="K378" s="3"/>
      <c r="L378" s="3"/>
      <c r="M378" s="3"/>
      <c r="N378" s="3"/>
      <c r="O378" s="3"/>
      <c r="P378" s="2"/>
      <c r="Q378" s="3"/>
      <c r="R378" s="2"/>
      <c r="S378" s="4"/>
      <c r="T378" s="3"/>
      <c r="U378" s="4"/>
      <c r="V378" s="3"/>
      <c r="W378" s="4"/>
      <c r="X378" s="3"/>
      <c r="Y378" s="3"/>
      <c r="Z378" s="3"/>
      <c r="AA378" s="3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</row>
    <row r="379">
      <c r="A379" s="2"/>
      <c r="B379" s="3"/>
      <c r="C379" s="6"/>
      <c r="D379" s="2"/>
      <c r="E379" s="2"/>
      <c r="F379" s="2"/>
      <c r="G379" s="2"/>
      <c r="H379" s="2"/>
      <c r="I379" s="3"/>
      <c r="J379" s="3"/>
      <c r="K379" s="3"/>
      <c r="L379" s="3"/>
      <c r="M379" s="3"/>
      <c r="N379" s="3"/>
      <c r="O379" s="3"/>
      <c r="P379" s="2"/>
      <c r="Q379" s="3"/>
      <c r="R379" s="2"/>
      <c r="S379" s="4"/>
      <c r="T379" s="3"/>
      <c r="U379" s="4"/>
      <c r="V379" s="3"/>
      <c r="W379" s="4"/>
      <c r="X379" s="3"/>
      <c r="Y379" s="3"/>
      <c r="Z379" s="3"/>
      <c r="AA379" s="3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</row>
    <row r="380">
      <c r="A380" s="2"/>
      <c r="B380" s="3"/>
      <c r="C380" s="6"/>
      <c r="D380" s="2"/>
      <c r="E380" s="2"/>
      <c r="F380" s="2"/>
      <c r="G380" s="2"/>
      <c r="H380" s="2"/>
      <c r="I380" s="3"/>
      <c r="J380" s="3"/>
      <c r="K380" s="3"/>
      <c r="L380" s="3"/>
      <c r="M380" s="3"/>
      <c r="N380" s="3"/>
      <c r="O380" s="3"/>
      <c r="P380" s="2"/>
      <c r="Q380" s="3"/>
      <c r="R380" s="2"/>
      <c r="S380" s="4"/>
      <c r="T380" s="3"/>
      <c r="U380" s="4"/>
      <c r="V380" s="3"/>
      <c r="W380" s="4"/>
      <c r="X380" s="3"/>
      <c r="Y380" s="3"/>
      <c r="Z380" s="3"/>
      <c r="AA380" s="3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</row>
    <row r="381">
      <c r="A381" s="2"/>
      <c r="B381" s="3"/>
      <c r="C381" s="6"/>
      <c r="D381" s="2"/>
      <c r="E381" s="2"/>
      <c r="F381" s="2"/>
      <c r="G381" s="2"/>
      <c r="H381" s="2"/>
      <c r="I381" s="3"/>
      <c r="J381" s="3"/>
      <c r="K381" s="3"/>
      <c r="L381" s="3"/>
      <c r="M381" s="3"/>
      <c r="N381" s="3"/>
      <c r="O381" s="3"/>
      <c r="P381" s="2"/>
      <c r="Q381" s="3"/>
      <c r="R381" s="2"/>
      <c r="S381" s="4"/>
      <c r="T381" s="3"/>
      <c r="U381" s="4"/>
      <c r="V381" s="3"/>
      <c r="W381" s="4"/>
      <c r="X381" s="3"/>
      <c r="Y381" s="3"/>
      <c r="Z381" s="3"/>
      <c r="AA381" s="3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</row>
    <row r="382">
      <c r="A382" s="2"/>
      <c r="B382" s="3"/>
      <c r="C382" s="6"/>
      <c r="D382" s="2"/>
      <c r="E382" s="2"/>
      <c r="F382" s="2"/>
      <c r="G382" s="2"/>
      <c r="H382" s="2"/>
      <c r="I382" s="3"/>
      <c r="J382" s="3"/>
      <c r="K382" s="3"/>
      <c r="L382" s="3"/>
      <c r="M382" s="3"/>
      <c r="N382" s="3"/>
      <c r="O382" s="3"/>
      <c r="P382" s="2"/>
      <c r="Q382" s="3"/>
      <c r="R382" s="2"/>
      <c r="S382" s="4"/>
      <c r="T382" s="3"/>
      <c r="U382" s="4"/>
      <c r="V382" s="3"/>
      <c r="W382" s="4"/>
      <c r="X382" s="3"/>
      <c r="Y382" s="3"/>
      <c r="Z382" s="3"/>
      <c r="AA382" s="3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</row>
    <row r="383">
      <c r="A383" s="2"/>
      <c r="B383" s="3"/>
      <c r="C383" s="6"/>
      <c r="D383" s="2"/>
      <c r="E383" s="2"/>
      <c r="F383" s="2"/>
      <c r="G383" s="2"/>
      <c r="H383" s="2"/>
      <c r="I383" s="3"/>
      <c r="J383" s="3"/>
      <c r="K383" s="3"/>
      <c r="L383" s="3"/>
      <c r="M383" s="3"/>
      <c r="N383" s="3"/>
      <c r="O383" s="3"/>
      <c r="P383" s="2"/>
      <c r="Q383" s="3"/>
      <c r="R383" s="2"/>
      <c r="S383" s="4"/>
      <c r="T383" s="3"/>
      <c r="U383" s="4"/>
      <c r="V383" s="3"/>
      <c r="W383" s="4"/>
      <c r="X383" s="3"/>
      <c r="Y383" s="3"/>
      <c r="Z383" s="3"/>
      <c r="AA383" s="3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</row>
    <row r="384">
      <c r="A384" s="2"/>
      <c r="B384" s="3"/>
      <c r="C384" s="6"/>
      <c r="D384" s="2"/>
      <c r="E384" s="2"/>
      <c r="F384" s="2"/>
      <c r="G384" s="2"/>
      <c r="H384" s="2"/>
      <c r="I384" s="3"/>
      <c r="J384" s="3"/>
      <c r="K384" s="3"/>
      <c r="L384" s="3"/>
      <c r="M384" s="3"/>
      <c r="N384" s="3"/>
      <c r="O384" s="3"/>
      <c r="P384" s="2"/>
      <c r="Q384" s="3"/>
      <c r="R384" s="2"/>
      <c r="S384" s="4"/>
      <c r="T384" s="3"/>
      <c r="U384" s="4"/>
      <c r="V384" s="3"/>
      <c r="W384" s="4"/>
      <c r="X384" s="3"/>
      <c r="Y384" s="3"/>
      <c r="Z384" s="3"/>
      <c r="AA384" s="3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</row>
    <row r="385">
      <c r="A385" s="2"/>
      <c r="B385" s="3"/>
      <c r="C385" s="6"/>
      <c r="D385" s="2"/>
      <c r="E385" s="2"/>
      <c r="F385" s="2"/>
      <c r="G385" s="2"/>
      <c r="H385" s="2"/>
      <c r="I385" s="3"/>
      <c r="J385" s="3"/>
      <c r="K385" s="3"/>
      <c r="L385" s="3"/>
      <c r="M385" s="3"/>
      <c r="N385" s="3"/>
      <c r="O385" s="3"/>
      <c r="P385" s="2"/>
      <c r="Q385" s="3"/>
      <c r="R385" s="2"/>
      <c r="S385" s="4"/>
      <c r="T385" s="3"/>
      <c r="U385" s="4"/>
      <c r="V385" s="3"/>
      <c r="W385" s="4"/>
      <c r="X385" s="3"/>
      <c r="Y385" s="3"/>
      <c r="Z385" s="3"/>
      <c r="AA385" s="3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</row>
    <row r="386">
      <c r="A386" s="2"/>
      <c r="B386" s="3"/>
      <c r="C386" s="6"/>
      <c r="D386" s="2"/>
      <c r="E386" s="2"/>
      <c r="F386" s="2"/>
      <c r="G386" s="2"/>
      <c r="H386" s="2"/>
      <c r="I386" s="3"/>
      <c r="J386" s="3"/>
      <c r="K386" s="3"/>
      <c r="L386" s="3"/>
      <c r="M386" s="3"/>
      <c r="N386" s="3"/>
      <c r="O386" s="3"/>
      <c r="P386" s="2"/>
      <c r="Q386" s="3"/>
      <c r="R386" s="2"/>
      <c r="S386" s="4"/>
      <c r="T386" s="3"/>
      <c r="U386" s="4"/>
      <c r="V386" s="3"/>
      <c r="W386" s="4"/>
      <c r="X386" s="3"/>
      <c r="Y386" s="3"/>
      <c r="Z386" s="3"/>
      <c r="AA386" s="3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</row>
    <row r="387">
      <c r="A387" s="2"/>
      <c r="B387" s="3"/>
      <c r="C387" s="6"/>
      <c r="D387" s="2"/>
      <c r="E387" s="2"/>
      <c r="F387" s="2"/>
      <c r="G387" s="2"/>
      <c r="H387" s="2"/>
      <c r="I387" s="3"/>
      <c r="J387" s="3"/>
      <c r="K387" s="3"/>
      <c r="L387" s="3"/>
      <c r="M387" s="3"/>
      <c r="N387" s="3"/>
      <c r="O387" s="3"/>
      <c r="P387" s="2"/>
      <c r="Q387" s="3"/>
      <c r="R387" s="2"/>
      <c r="S387" s="4"/>
      <c r="T387" s="3"/>
      <c r="U387" s="4"/>
      <c r="V387" s="3"/>
      <c r="W387" s="4"/>
      <c r="X387" s="3"/>
      <c r="Y387" s="3"/>
      <c r="Z387" s="3"/>
      <c r="AA387" s="3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</row>
    <row r="388">
      <c r="A388" s="2"/>
      <c r="B388" s="3"/>
      <c r="C388" s="6"/>
      <c r="D388" s="2"/>
      <c r="E388" s="2"/>
      <c r="F388" s="2"/>
      <c r="G388" s="2"/>
      <c r="H388" s="2"/>
      <c r="I388" s="3"/>
      <c r="J388" s="3"/>
      <c r="K388" s="3"/>
      <c r="L388" s="3"/>
      <c r="M388" s="3"/>
      <c r="N388" s="3"/>
      <c r="O388" s="3"/>
      <c r="P388" s="2"/>
      <c r="Q388" s="3"/>
      <c r="R388" s="2"/>
      <c r="S388" s="4"/>
      <c r="T388" s="3"/>
      <c r="U388" s="4"/>
      <c r="V388" s="3"/>
      <c r="W388" s="4"/>
      <c r="X388" s="3"/>
      <c r="Y388" s="3"/>
      <c r="Z388" s="3"/>
      <c r="AA388" s="3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</row>
    <row r="389">
      <c r="A389" s="2"/>
      <c r="B389" s="3"/>
      <c r="C389" s="6"/>
      <c r="D389" s="2"/>
      <c r="E389" s="2"/>
      <c r="F389" s="2"/>
      <c r="G389" s="2"/>
      <c r="H389" s="2"/>
      <c r="I389" s="3"/>
      <c r="J389" s="3"/>
      <c r="K389" s="3"/>
      <c r="L389" s="3"/>
      <c r="M389" s="3"/>
      <c r="N389" s="3"/>
      <c r="O389" s="3"/>
      <c r="P389" s="2"/>
      <c r="Q389" s="3"/>
      <c r="R389" s="2"/>
      <c r="S389" s="4"/>
      <c r="T389" s="3"/>
      <c r="U389" s="4"/>
      <c r="V389" s="3"/>
      <c r="W389" s="4"/>
      <c r="X389" s="3"/>
      <c r="Y389" s="3"/>
      <c r="Z389" s="3"/>
      <c r="AA389" s="3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</row>
    <row r="390">
      <c r="A390" s="2"/>
      <c r="B390" s="3"/>
      <c r="C390" s="6"/>
      <c r="D390" s="2"/>
      <c r="E390" s="2"/>
      <c r="F390" s="2"/>
      <c r="G390" s="2"/>
      <c r="H390" s="2"/>
      <c r="I390" s="3"/>
      <c r="J390" s="3"/>
      <c r="K390" s="3"/>
      <c r="L390" s="3"/>
      <c r="M390" s="3"/>
      <c r="N390" s="3"/>
      <c r="O390" s="3"/>
      <c r="P390" s="2"/>
      <c r="Q390" s="3"/>
      <c r="R390" s="2"/>
      <c r="S390" s="4"/>
      <c r="T390" s="3"/>
      <c r="U390" s="4"/>
      <c r="V390" s="3"/>
      <c r="W390" s="4"/>
      <c r="X390" s="3"/>
      <c r="Y390" s="3"/>
      <c r="Z390" s="3"/>
      <c r="AA390" s="3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</row>
    <row r="391">
      <c r="A391" s="2"/>
      <c r="B391" s="3"/>
      <c r="C391" s="6"/>
      <c r="D391" s="2"/>
      <c r="E391" s="2"/>
      <c r="F391" s="2"/>
      <c r="G391" s="2"/>
      <c r="H391" s="2"/>
      <c r="I391" s="3"/>
      <c r="J391" s="3"/>
      <c r="K391" s="3"/>
      <c r="L391" s="3"/>
      <c r="M391" s="3"/>
      <c r="N391" s="3"/>
      <c r="O391" s="3"/>
      <c r="P391" s="2"/>
      <c r="Q391" s="3"/>
      <c r="R391" s="2"/>
      <c r="S391" s="4"/>
      <c r="T391" s="3"/>
      <c r="U391" s="4"/>
      <c r="V391" s="3"/>
      <c r="W391" s="4"/>
      <c r="X391" s="3"/>
      <c r="Y391" s="3"/>
      <c r="Z391" s="3"/>
      <c r="AA391" s="3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</row>
    <row r="392">
      <c r="A392" s="2"/>
      <c r="B392" s="3"/>
      <c r="C392" s="6"/>
      <c r="D392" s="2"/>
      <c r="E392" s="2"/>
      <c r="F392" s="2"/>
      <c r="G392" s="2"/>
      <c r="H392" s="2"/>
      <c r="I392" s="3"/>
      <c r="J392" s="3"/>
      <c r="K392" s="3"/>
      <c r="L392" s="3"/>
      <c r="M392" s="3"/>
      <c r="N392" s="3"/>
      <c r="O392" s="3"/>
      <c r="P392" s="2"/>
      <c r="Q392" s="3"/>
      <c r="R392" s="2"/>
      <c r="S392" s="4"/>
      <c r="T392" s="3"/>
      <c r="U392" s="4"/>
      <c r="V392" s="3"/>
      <c r="W392" s="4"/>
      <c r="X392" s="3"/>
      <c r="Y392" s="3"/>
      <c r="Z392" s="3"/>
      <c r="AA392" s="3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</row>
    <row r="393">
      <c r="A393" s="2"/>
      <c r="B393" s="3"/>
      <c r="C393" s="6"/>
      <c r="D393" s="2"/>
      <c r="E393" s="2"/>
      <c r="F393" s="2"/>
      <c r="G393" s="2"/>
      <c r="H393" s="2"/>
      <c r="I393" s="3"/>
      <c r="J393" s="3"/>
      <c r="K393" s="3"/>
      <c r="L393" s="3"/>
      <c r="M393" s="3"/>
      <c r="N393" s="3"/>
      <c r="O393" s="3"/>
      <c r="P393" s="2"/>
      <c r="Q393" s="3"/>
      <c r="R393" s="2"/>
      <c r="S393" s="4"/>
      <c r="T393" s="3"/>
      <c r="U393" s="4"/>
      <c r="V393" s="3"/>
      <c r="W393" s="4"/>
      <c r="X393" s="3"/>
      <c r="Y393" s="3"/>
      <c r="Z393" s="3"/>
      <c r="AA393" s="3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</row>
    <row r="394">
      <c r="A394" s="2"/>
      <c r="B394" s="3"/>
      <c r="C394" s="6"/>
      <c r="D394" s="2"/>
      <c r="E394" s="2"/>
      <c r="F394" s="2"/>
      <c r="G394" s="2"/>
      <c r="H394" s="2"/>
      <c r="I394" s="3"/>
      <c r="J394" s="3"/>
      <c r="K394" s="3"/>
      <c r="L394" s="3"/>
      <c r="M394" s="3"/>
      <c r="N394" s="3"/>
      <c r="O394" s="3"/>
      <c r="P394" s="2"/>
      <c r="Q394" s="3"/>
      <c r="R394" s="2"/>
      <c r="S394" s="4"/>
      <c r="T394" s="3"/>
      <c r="U394" s="4"/>
      <c r="V394" s="3"/>
      <c r="W394" s="4"/>
      <c r="X394" s="3"/>
      <c r="Y394" s="3"/>
      <c r="Z394" s="3"/>
      <c r="AA394" s="3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</row>
    <row r="395">
      <c r="A395" s="2"/>
      <c r="B395" s="3"/>
      <c r="C395" s="6"/>
      <c r="D395" s="2"/>
      <c r="E395" s="2"/>
      <c r="F395" s="2"/>
      <c r="G395" s="2"/>
      <c r="H395" s="2"/>
      <c r="I395" s="3"/>
      <c r="J395" s="3"/>
      <c r="K395" s="3"/>
      <c r="L395" s="3"/>
      <c r="M395" s="3"/>
      <c r="N395" s="3"/>
      <c r="O395" s="3"/>
      <c r="P395" s="2"/>
      <c r="Q395" s="3"/>
      <c r="R395" s="2"/>
      <c r="S395" s="4"/>
      <c r="T395" s="3"/>
      <c r="U395" s="4"/>
      <c r="V395" s="3"/>
      <c r="W395" s="4"/>
      <c r="X395" s="3"/>
      <c r="Y395" s="3"/>
      <c r="Z395" s="3"/>
      <c r="AA395" s="3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</row>
    <row r="396">
      <c r="A396" s="2"/>
      <c r="B396" s="3"/>
      <c r="C396" s="6"/>
      <c r="D396" s="2"/>
      <c r="E396" s="2"/>
      <c r="F396" s="2"/>
      <c r="G396" s="2"/>
      <c r="H396" s="2"/>
      <c r="I396" s="3"/>
      <c r="J396" s="3"/>
      <c r="K396" s="3"/>
      <c r="L396" s="3"/>
      <c r="M396" s="3"/>
      <c r="N396" s="3"/>
      <c r="O396" s="3"/>
      <c r="P396" s="2"/>
      <c r="Q396" s="3"/>
      <c r="R396" s="2"/>
      <c r="S396" s="4"/>
      <c r="T396" s="3"/>
      <c r="U396" s="4"/>
      <c r="V396" s="3"/>
      <c r="W396" s="4"/>
      <c r="X396" s="3"/>
      <c r="Y396" s="3"/>
      <c r="Z396" s="3"/>
      <c r="AA396" s="3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</row>
    <row r="397">
      <c r="A397" s="2"/>
      <c r="B397" s="3"/>
      <c r="C397" s="6"/>
      <c r="D397" s="2"/>
      <c r="E397" s="2"/>
      <c r="F397" s="2"/>
      <c r="G397" s="2"/>
      <c r="H397" s="2"/>
      <c r="I397" s="3"/>
      <c r="J397" s="3"/>
      <c r="K397" s="3"/>
      <c r="L397" s="3"/>
      <c r="M397" s="3"/>
      <c r="N397" s="3"/>
      <c r="O397" s="3"/>
      <c r="P397" s="2"/>
      <c r="Q397" s="3"/>
      <c r="R397" s="2"/>
      <c r="S397" s="4"/>
      <c r="T397" s="3"/>
      <c r="U397" s="4"/>
      <c r="V397" s="3"/>
      <c r="W397" s="4"/>
      <c r="X397" s="3"/>
      <c r="Y397" s="3"/>
      <c r="Z397" s="3"/>
      <c r="AA397" s="3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</row>
    <row r="398">
      <c r="A398" s="2"/>
      <c r="B398" s="3"/>
      <c r="C398" s="6"/>
      <c r="D398" s="2"/>
      <c r="E398" s="2"/>
      <c r="F398" s="2"/>
      <c r="G398" s="2"/>
      <c r="H398" s="2"/>
      <c r="I398" s="3"/>
      <c r="J398" s="3"/>
      <c r="K398" s="3"/>
      <c r="L398" s="3"/>
      <c r="M398" s="3"/>
      <c r="N398" s="3"/>
      <c r="O398" s="3"/>
      <c r="P398" s="2"/>
      <c r="Q398" s="3"/>
      <c r="R398" s="2"/>
      <c r="S398" s="4"/>
      <c r="T398" s="3"/>
      <c r="U398" s="4"/>
      <c r="V398" s="3"/>
      <c r="W398" s="4"/>
      <c r="X398" s="3"/>
      <c r="Y398" s="3"/>
      <c r="Z398" s="3"/>
      <c r="AA398" s="3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</row>
    <row r="399">
      <c r="A399" s="2"/>
      <c r="B399" s="3"/>
      <c r="C399" s="6"/>
      <c r="D399" s="2"/>
      <c r="E399" s="2"/>
      <c r="F399" s="2"/>
      <c r="G399" s="2"/>
      <c r="H399" s="2"/>
      <c r="I399" s="3"/>
      <c r="J399" s="3"/>
      <c r="K399" s="3"/>
      <c r="L399" s="3"/>
      <c r="M399" s="3"/>
      <c r="N399" s="3"/>
      <c r="O399" s="3"/>
      <c r="P399" s="2"/>
      <c r="Q399" s="3"/>
      <c r="R399" s="2"/>
      <c r="S399" s="4"/>
      <c r="T399" s="3"/>
      <c r="U399" s="4"/>
      <c r="V399" s="3"/>
      <c r="W399" s="4"/>
      <c r="X399" s="3"/>
      <c r="Y399" s="3"/>
      <c r="Z399" s="3"/>
      <c r="AA399" s="3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</row>
    <row r="400">
      <c r="A400" s="2"/>
      <c r="B400" s="3"/>
      <c r="C400" s="6"/>
      <c r="D400" s="2"/>
      <c r="E400" s="2"/>
      <c r="F400" s="2"/>
      <c r="G400" s="2"/>
      <c r="H400" s="2"/>
      <c r="I400" s="3"/>
      <c r="J400" s="3"/>
      <c r="K400" s="3"/>
      <c r="L400" s="3"/>
      <c r="M400" s="3"/>
      <c r="N400" s="3"/>
      <c r="O400" s="3"/>
      <c r="P400" s="2"/>
      <c r="Q400" s="3"/>
      <c r="R400" s="2"/>
      <c r="S400" s="4"/>
      <c r="T400" s="3"/>
      <c r="U400" s="4"/>
      <c r="V400" s="3"/>
      <c r="W400" s="4"/>
      <c r="X400" s="3"/>
      <c r="Y400" s="3"/>
      <c r="Z400" s="3"/>
      <c r="AA400" s="3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</row>
    <row r="401">
      <c r="A401" s="2"/>
      <c r="B401" s="3"/>
      <c r="C401" s="6"/>
      <c r="D401" s="2"/>
      <c r="E401" s="2"/>
      <c r="F401" s="2"/>
      <c r="G401" s="2"/>
      <c r="H401" s="2"/>
      <c r="I401" s="3"/>
      <c r="J401" s="3"/>
      <c r="K401" s="3"/>
      <c r="L401" s="3"/>
      <c r="M401" s="3"/>
      <c r="N401" s="3"/>
      <c r="O401" s="3"/>
      <c r="P401" s="2"/>
      <c r="Q401" s="3"/>
      <c r="R401" s="2"/>
      <c r="S401" s="4"/>
      <c r="T401" s="3"/>
      <c r="U401" s="4"/>
      <c r="V401" s="3"/>
      <c r="W401" s="4"/>
      <c r="X401" s="3"/>
      <c r="Y401" s="3"/>
      <c r="Z401" s="3"/>
      <c r="AA401" s="3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</row>
    <row r="402">
      <c r="A402" s="2"/>
      <c r="B402" s="3"/>
      <c r="C402" s="6"/>
      <c r="D402" s="2"/>
      <c r="E402" s="2"/>
      <c r="F402" s="2"/>
      <c r="G402" s="2"/>
      <c r="H402" s="2"/>
      <c r="I402" s="3"/>
      <c r="J402" s="3"/>
      <c r="K402" s="3"/>
      <c r="L402" s="3"/>
      <c r="M402" s="3"/>
      <c r="N402" s="3"/>
      <c r="O402" s="3"/>
      <c r="P402" s="2"/>
      <c r="Q402" s="3"/>
      <c r="R402" s="2"/>
      <c r="S402" s="4"/>
      <c r="T402" s="3"/>
      <c r="U402" s="4"/>
      <c r="V402" s="3"/>
      <c r="W402" s="4"/>
      <c r="X402" s="3"/>
      <c r="Y402" s="3"/>
      <c r="Z402" s="3"/>
      <c r="AA402" s="3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</row>
    <row r="403">
      <c r="A403" s="2"/>
      <c r="B403" s="3"/>
      <c r="C403" s="6"/>
      <c r="D403" s="2"/>
      <c r="E403" s="2"/>
      <c r="F403" s="2"/>
      <c r="G403" s="2"/>
      <c r="H403" s="2"/>
      <c r="I403" s="3"/>
      <c r="J403" s="3"/>
      <c r="K403" s="3"/>
      <c r="L403" s="3"/>
      <c r="M403" s="3"/>
      <c r="N403" s="3"/>
      <c r="O403" s="3"/>
      <c r="P403" s="2"/>
      <c r="Q403" s="3"/>
      <c r="R403" s="2"/>
      <c r="S403" s="4"/>
      <c r="T403" s="3"/>
      <c r="U403" s="4"/>
      <c r="V403" s="3"/>
      <c r="W403" s="4"/>
      <c r="X403" s="3"/>
      <c r="Y403" s="3"/>
      <c r="Z403" s="3"/>
      <c r="AA403" s="3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</row>
    <row r="404">
      <c r="A404" s="2"/>
      <c r="B404" s="3"/>
      <c r="C404" s="6"/>
      <c r="D404" s="2"/>
      <c r="E404" s="2"/>
      <c r="F404" s="2"/>
      <c r="G404" s="2"/>
      <c r="H404" s="2"/>
      <c r="I404" s="3"/>
      <c r="J404" s="3"/>
      <c r="K404" s="3"/>
      <c r="L404" s="3"/>
      <c r="M404" s="3"/>
      <c r="N404" s="3"/>
      <c r="O404" s="3"/>
      <c r="P404" s="2"/>
      <c r="Q404" s="3"/>
      <c r="R404" s="2"/>
      <c r="S404" s="4"/>
      <c r="T404" s="3"/>
      <c r="U404" s="4"/>
      <c r="V404" s="3"/>
      <c r="W404" s="4"/>
      <c r="X404" s="3"/>
      <c r="Y404" s="3"/>
      <c r="Z404" s="3"/>
      <c r="AA404" s="3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</row>
    <row r="405">
      <c r="A405" s="2"/>
      <c r="B405" s="3"/>
      <c r="C405" s="6"/>
      <c r="D405" s="2"/>
      <c r="E405" s="2"/>
      <c r="F405" s="2"/>
      <c r="G405" s="2"/>
      <c r="H405" s="2"/>
      <c r="I405" s="3"/>
      <c r="J405" s="3"/>
      <c r="K405" s="3"/>
      <c r="L405" s="3"/>
      <c r="M405" s="3"/>
      <c r="N405" s="3"/>
      <c r="O405" s="3"/>
      <c r="P405" s="2"/>
      <c r="Q405" s="3"/>
      <c r="R405" s="2"/>
      <c r="S405" s="4"/>
      <c r="T405" s="3"/>
      <c r="U405" s="4"/>
      <c r="V405" s="3"/>
      <c r="W405" s="4"/>
      <c r="X405" s="3"/>
      <c r="Y405" s="3"/>
      <c r="Z405" s="3"/>
      <c r="AA405" s="3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</row>
    <row r="406">
      <c r="A406" s="2"/>
      <c r="B406" s="3"/>
      <c r="C406" s="6"/>
      <c r="D406" s="2"/>
      <c r="E406" s="2"/>
      <c r="F406" s="2"/>
      <c r="G406" s="2"/>
      <c r="H406" s="2"/>
      <c r="I406" s="3"/>
      <c r="J406" s="3"/>
      <c r="K406" s="3"/>
      <c r="L406" s="3"/>
      <c r="M406" s="3"/>
      <c r="N406" s="3"/>
      <c r="O406" s="3"/>
      <c r="P406" s="2"/>
      <c r="Q406" s="3"/>
      <c r="R406" s="2"/>
      <c r="S406" s="4"/>
      <c r="T406" s="3"/>
      <c r="U406" s="4"/>
      <c r="V406" s="3"/>
      <c r="W406" s="4"/>
      <c r="X406" s="3"/>
      <c r="Y406" s="3"/>
      <c r="Z406" s="3"/>
      <c r="AA406" s="3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</row>
    <row r="407">
      <c r="A407" s="2"/>
      <c r="B407" s="3"/>
      <c r="C407" s="6"/>
      <c r="D407" s="2"/>
      <c r="E407" s="2"/>
      <c r="F407" s="2"/>
      <c r="G407" s="2"/>
      <c r="H407" s="2"/>
      <c r="I407" s="3"/>
      <c r="J407" s="3"/>
      <c r="K407" s="3"/>
      <c r="L407" s="3"/>
      <c r="M407" s="3"/>
      <c r="N407" s="3"/>
      <c r="O407" s="3"/>
      <c r="P407" s="2"/>
      <c r="Q407" s="3"/>
      <c r="R407" s="2"/>
      <c r="S407" s="4"/>
      <c r="T407" s="3"/>
      <c r="U407" s="4"/>
      <c r="V407" s="3"/>
      <c r="W407" s="4"/>
      <c r="X407" s="3"/>
      <c r="Y407" s="3"/>
      <c r="Z407" s="3"/>
      <c r="AA407" s="3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</row>
    <row r="408">
      <c r="A408" s="2"/>
      <c r="B408" s="3"/>
      <c r="C408" s="6"/>
      <c r="D408" s="2"/>
      <c r="E408" s="2"/>
      <c r="F408" s="2"/>
      <c r="G408" s="2"/>
      <c r="H408" s="2"/>
      <c r="I408" s="3"/>
      <c r="J408" s="3"/>
      <c r="K408" s="3"/>
      <c r="L408" s="3"/>
      <c r="M408" s="3"/>
      <c r="N408" s="3"/>
      <c r="O408" s="3"/>
      <c r="P408" s="2"/>
      <c r="Q408" s="3"/>
      <c r="R408" s="2"/>
      <c r="S408" s="4"/>
      <c r="T408" s="3"/>
      <c r="U408" s="4"/>
      <c r="V408" s="3"/>
      <c r="W408" s="4"/>
      <c r="X408" s="3"/>
      <c r="Y408" s="3"/>
      <c r="Z408" s="3"/>
      <c r="AA408" s="3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</row>
    <row r="409">
      <c r="A409" s="2"/>
      <c r="B409" s="3"/>
      <c r="C409" s="6"/>
      <c r="D409" s="2"/>
      <c r="E409" s="2"/>
      <c r="F409" s="2"/>
      <c r="G409" s="2"/>
      <c r="H409" s="2"/>
      <c r="I409" s="3"/>
      <c r="J409" s="3"/>
      <c r="K409" s="3"/>
      <c r="L409" s="3"/>
      <c r="M409" s="3"/>
      <c r="N409" s="3"/>
      <c r="O409" s="3"/>
      <c r="P409" s="2"/>
      <c r="Q409" s="3"/>
      <c r="R409" s="2"/>
      <c r="S409" s="4"/>
      <c r="T409" s="3"/>
      <c r="U409" s="4"/>
      <c r="V409" s="3"/>
      <c r="W409" s="4"/>
      <c r="X409" s="3"/>
      <c r="Y409" s="3"/>
      <c r="Z409" s="3"/>
      <c r="AA409" s="3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</row>
    <row r="410">
      <c r="A410" s="2"/>
      <c r="B410" s="3"/>
      <c r="C410" s="6"/>
      <c r="D410" s="2"/>
      <c r="E410" s="2"/>
      <c r="F410" s="2"/>
      <c r="G410" s="2"/>
      <c r="H410" s="2"/>
      <c r="I410" s="3"/>
      <c r="J410" s="3"/>
      <c r="K410" s="3"/>
      <c r="L410" s="3"/>
      <c r="M410" s="3"/>
      <c r="N410" s="3"/>
      <c r="O410" s="3"/>
      <c r="P410" s="2"/>
      <c r="Q410" s="3"/>
      <c r="R410" s="2"/>
      <c r="S410" s="4"/>
      <c r="T410" s="3"/>
      <c r="U410" s="4"/>
      <c r="V410" s="3"/>
      <c r="W410" s="4"/>
      <c r="X410" s="3"/>
      <c r="Y410" s="3"/>
      <c r="Z410" s="3"/>
      <c r="AA410" s="3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</row>
    <row r="411">
      <c r="A411" s="2"/>
      <c r="B411" s="3"/>
      <c r="C411" s="6"/>
      <c r="D411" s="2"/>
      <c r="E411" s="2"/>
      <c r="F411" s="2"/>
      <c r="G411" s="2"/>
      <c r="H411" s="2"/>
      <c r="I411" s="3"/>
      <c r="J411" s="3"/>
      <c r="K411" s="3"/>
      <c r="L411" s="3"/>
      <c r="M411" s="3"/>
      <c r="N411" s="3"/>
      <c r="O411" s="3"/>
      <c r="P411" s="2"/>
      <c r="Q411" s="3"/>
      <c r="R411" s="2"/>
      <c r="S411" s="4"/>
      <c r="T411" s="3"/>
      <c r="U411" s="4"/>
      <c r="V411" s="3"/>
      <c r="W411" s="4"/>
      <c r="X411" s="3"/>
      <c r="Y411" s="3"/>
      <c r="Z411" s="3"/>
      <c r="AA411" s="3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</row>
    <row r="412">
      <c r="A412" s="2"/>
      <c r="B412" s="3"/>
      <c r="C412" s="6"/>
      <c r="D412" s="2"/>
      <c r="E412" s="2"/>
      <c r="F412" s="2"/>
      <c r="G412" s="2"/>
      <c r="H412" s="2"/>
      <c r="I412" s="3"/>
      <c r="J412" s="3"/>
      <c r="K412" s="3"/>
      <c r="L412" s="3"/>
      <c r="M412" s="3"/>
      <c r="N412" s="3"/>
      <c r="O412" s="3"/>
      <c r="P412" s="2"/>
      <c r="Q412" s="3"/>
      <c r="R412" s="2"/>
      <c r="S412" s="4"/>
      <c r="T412" s="3"/>
      <c r="U412" s="4"/>
      <c r="V412" s="3"/>
      <c r="W412" s="4"/>
      <c r="X412" s="3"/>
      <c r="Y412" s="3"/>
      <c r="Z412" s="3"/>
      <c r="AA412" s="3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</row>
    <row r="413">
      <c r="A413" s="2"/>
      <c r="B413" s="3"/>
      <c r="C413" s="6"/>
      <c r="D413" s="2"/>
      <c r="E413" s="2"/>
      <c r="F413" s="2"/>
      <c r="G413" s="2"/>
      <c r="H413" s="2"/>
      <c r="I413" s="3"/>
      <c r="J413" s="3"/>
      <c r="K413" s="3"/>
      <c r="L413" s="3"/>
      <c r="M413" s="3"/>
      <c r="N413" s="3"/>
      <c r="O413" s="3"/>
      <c r="P413" s="2"/>
      <c r="Q413" s="3"/>
      <c r="R413" s="2"/>
      <c r="S413" s="4"/>
      <c r="T413" s="3"/>
      <c r="U413" s="4"/>
      <c r="V413" s="3"/>
      <c r="W413" s="4"/>
      <c r="X413" s="3"/>
      <c r="Y413" s="3"/>
      <c r="Z413" s="3"/>
      <c r="AA413" s="3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</row>
    <row r="414">
      <c r="A414" s="2"/>
      <c r="B414" s="3"/>
      <c r="C414" s="6"/>
      <c r="D414" s="2"/>
      <c r="E414" s="2"/>
      <c r="F414" s="2"/>
      <c r="G414" s="2"/>
      <c r="H414" s="2"/>
      <c r="I414" s="3"/>
      <c r="J414" s="3"/>
      <c r="K414" s="3"/>
      <c r="L414" s="3"/>
      <c r="M414" s="3"/>
      <c r="N414" s="3"/>
      <c r="O414" s="3"/>
      <c r="P414" s="2"/>
      <c r="Q414" s="3"/>
      <c r="R414" s="2"/>
      <c r="S414" s="4"/>
      <c r="T414" s="3"/>
      <c r="U414" s="4"/>
      <c r="V414" s="3"/>
      <c r="W414" s="4"/>
      <c r="X414" s="3"/>
      <c r="Y414" s="3"/>
      <c r="Z414" s="3"/>
      <c r="AA414" s="3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</row>
    <row r="415">
      <c r="A415" s="2"/>
      <c r="B415" s="3"/>
      <c r="C415" s="6"/>
      <c r="D415" s="2"/>
      <c r="E415" s="2"/>
      <c r="F415" s="2"/>
      <c r="G415" s="2"/>
      <c r="H415" s="2"/>
      <c r="I415" s="3"/>
      <c r="J415" s="3"/>
      <c r="K415" s="3"/>
      <c r="L415" s="3"/>
      <c r="M415" s="3"/>
      <c r="N415" s="3"/>
      <c r="O415" s="3"/>
      <c r="P415" s="2"/>
      <c r="Q415" s="3"/>
      <c r="R415" s="2"/>
      <c r="S415" s="4"/>
      <c r="T415" s="3"/>
      <c r="U415" s="4"/>
      <c r="V415" s="3"/>
      <c r="W415" s="4"/>
      <c r="X415" s="3"/>
      <c r="Y415" s="3"/>
      <c r="Z415" s="3"/>
      <c r="AA415" s="3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</row>
    <row r="416">
      <c r="A416" s="2"/>
      <c r="B416" s="3"/>
      <c r="C416" s="6"/>
      <c r="D416" s="2"/>
      <c r="E416" s="2"/>
      <c r="F416" s="2"/>
      <c r="G416" s="2"/>
      <c r="H416" s="2"/>
      <c r="I416" s="3"/>
      <c r="J416" s="3"/>
      <c r="K416" s="3"/>
      <c r="L416" s="3"/>
      <c r="M416" s="3"/>
      <c r="N416" s="3"/>
      <c r="O416" s="3"/>
      <c r="P416" s="2"/>
      <c r="Q416" s="3"/>
      <c r="R416" s="2"/>
      <c r="S416" s="4"/>
      <c r="T416" s="3"/>
      <c r="U416" s="4"/>
      <c r="V416" s="3"/>
      <c r="W416" s="4"/>
      <c r="X416" s="3"/>
      <c r="Y416" s="3"/>
      <c r="Z416" s="3"/>
      <c r="AA416" s="3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</row>
    <row r="417">
      <c r="A417" s="2"/>
      <c r="B417" s="3"/>
      <c r="C417" s="6"/>
      <c r="D417" s="2"/>
      <c r="E417" s="2"/>
      <c r="F417" s="2"/>
      <c r="G417" s="2"/>
      <c r="H417" s="2"/>
      <c r="I417" s="3"/>
      <c r="J417" s="3"/>
      <c r="K417" s="3"/>
      <c r="L417" s="3"/>
      <c r="M417" s="3"/>
      <c r="N417" s="3"/>
      <c r="O417" s="3"/>
      <c r="P417" s="2"/>
      <c r="Q417" s="3"/>
      <c r="R417" s="2"/>
      <c r="S417" s="4"/>
      <c r="T417" s="3"/>
      <c r="U417" s="4"/>
      <c r="V417" s="3"/>
      <c r="W417" s="4"/>
      <c r="X417" s="3"/>
      <c r="Y417" s="3"/>
      <c r="Z417" s="3"/>
      <c r="AA417" s="3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</row>
    <row r="418">
      <c r="A418" s="2"/>
      <c r="B418" s="3"/>
      <c r="C418" s="6"/>
      <c r="D418" s="2"/>
      <c r="E418" s="2"/>
      <c r="F418" s="2"/>
      <c r="G418" s="2"/>
      <c r="H418" s="2"/>
      <c r="I418" s="3"/>
      <c r="J418" s="3"/>
      <c r="K418" s="3"/>
      <c r="L418" s="3"/>
      <c r="M418" s="3"/>
      <c r="N418" s="3"/>
      <c r="O418" s="3"/>
      <c r="P418" s="2"/>
      <c r="Q418" s="3"/>
      <c r="R418" s="2"/>
      <c r="S418" s="4"/>
      <c r="T418" s="3"/>
      <c r="U418" s="4"/>
      <c r="V418" s="3"/>
      <c r="W418" s="4"/>
      <c r="X418" s="3"/>
      <c r="Y418" s="3"/>
      <c r="Z418" s="3"/>
      <c r="AA418" s="3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</row>
    <row r="419">
      <c r="A419" s="2"/>
      <c r="B419" s="3"/>
      <c r="C419" s="6"/>
      <c r="D419" s="2"/>
      <c r="E419" s="2"/>
      <c r="F419" s="2"/>
      <c r="G419" s="2"/>
      <c r="H419" s="2"/>
      <c r="I419" s="3"/>
      <c r="J419" s="3"/>
      <c r="K419" s="3"/>
      <c r="L419" s="3"/>
      <c r="M419" s="3"/>
      <c r="N419" s="3"/>
      <c r="O419" s="3"/>
      <c r="P419" s="2"/>
      <c r="Q419" s="3"/>
      <c r="R419" s="2"/>
      <c r="S419" s="4"/>
      <c r="T419" s="3"/>
      <c r="U419" s="4"/>
      <c r="V419" s="3"/>
      <c r="W419" s="4"/>
      <c r="X419" s="3"/>
      <c r="Y419" s="3"/>
      <c r="Z419" s="3"/>
      <c r="AA419" s="3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</row>
    <row r="420">
      <c r="A420" s="2"/>
      <c r="B420" s="3"/>
      <c r="C420" s="6"/>
      <c r="D420" s="2"/>
      <c r="E420" s="2"/>
      <c r="F420" s="2"/>
      <c r="G420" s="2"/>
      <c r="H420" s="2"/>
      <c r="I420" s="3"/>
      <c r="J420" s="3"/>
      <c r="K420" s="3"/>
      <c r="L420" s="3"/>
      <c r="M420" s="3"/>
      <c r="N420" s="3"/>
      <c r="O420" s="3"/>
      <c r="P420" s="2"/>
      <c r="Q420" s="3"/>
      <c r="R420" s="2"/>
      <c r="S420" s="4"/>
      <c r="T420" s="3"/>
      <c r="U420" s="4"/>
      <c r="V420" s="3"/>
      <c r="W420" s="4"/>
      <c r="X420" s="3"/>
      <c r="Y420" s="3"/>
      <c r="Z420" s="3"/>
      <c r="AA420" s="3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</row>
    <row r="421">
      <c r="A421" s="2"/>
      <c r="B421" s="3"/>
      <c r="C421" s="6"/>
      <c r="D421" s="2"/>
      <c r="E421" s="2"/>
      <c r="F421" s="2"/>
      <c r="G421" s="2"/>
      <c r="H421" s="2"/>
      <c r="I421" s="3"/>
      <c r="J421" s="3"/>
      <c r="K421" s="3"/>
      <c r="L421" s="3"/>
      <c r="M421" s="3"/>
      <c r="N421" s="3"/>
      <c r="O421" s="3"/>
      <c r="P421" s="2"/>
      <c r="Q421" s="3"/>
      <c r="R421" s="2"/>
      <c r="S421" s="4"/>
      <c r="T421" s="3"/>
      <c r="U421" s="4"/>
      <c r="V421" s="3"/>
      <c r="W421" s="4"/>
      <c r="X421" s="3"/>
      <c r="Y421" s="3"/>
      <c r="Z421" s="3"/>
      <c r="AA421" s="3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</row>
    <row r="422">
      <c r="A422" s="2"/>
      <c r="B422" s="3"/>
      <c r="C422" s="6"/>
      <c r="D422" s="2"/>
      <c r="E422" s="2"/>
      <c r="F422" s="2"/>
      <c r="G422" s="2"/>
      <c r="H422" s="2"/>
      <c r="I422" s="3"/>
      <c r="J422" s="3"/>
      <c r="K422" s="3"/>
      <c r="L422" s="3"/>
      <c r="M422" s="3"/>
      <c r="N422" s="3"/>
      <c r="O422" s="3"/>
      <c r="P422" s="2"/>
      <c r="Q422" s="3"/>
      <c r="R422" s="2"/>
      <c r="S422" s="4"/>
      <c r="T422" s="3"/>
      <c r="U422" s="4"/>
      <c r="V422" s="3"/>
      <c r="W422" s="4"/>
      <c r="X422" s="3"/>
      <c r="Y422" s="3"/>
      <c r="Z422" s="3"/>
      <c r="AA422" s="3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</row>
    <row r="423">
      <c r="A423" s="2"/>
      <c r="B423" s="3"/>
      <c r="C423" s="6"/>
      <c r="D423" s="2"/>
      <c r="E423" s="2"/>
      <c r="F423" s="2"/>
      <c r="G423" s="2"/>
      <c r="H423" s="2"/>
      <c r="I423" s="3"/>
      <c r="J423" s="3"/>
      <c r="K423" s="3"/>
      <c r="L423" s="3"/>
      <c r="M423" s="3"/>
      <c r="N423" s="3"/>
      <c r="O423" s="3"/>
      <c r="P423" s="2"/>
      <c r="Q423" s="3"/>
      <c r="R423" s="2"/>
      <c r="S423" s="4"/>
      <c r="T423" s="3"/>
      <c r="U423" s="4"/>
      <c r="V423" s="3"/>
      <c r="W423" s="4"/>
      <c r="X423" s="3"/>
      <c r="Y423" s="3"/>
      <c r="Z423" s="3"/>
      <c r="AA423" s="3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</row>
    <row r="424">
      <c r="A424" s="2"/>
      <c r="B424" s="3"/>
      <c r="C424" s="6"/>
      <c r="D424" s="2"/>
      <c r="E424" s="2"/>
      <c r="F424" s="2"/>
      <c r="G424" s="2"/>
      <c r="H424" s="2"/>
      <c r="I424" s="3"/>
      <c r="J424" s="3"/>
      <c r="K424" s="3"/>
      <c r="L424" s="3"/>
      <c r="M424" s="3"/>
      <c r="N424" s="3"/>
      <c r="O424" s="3"/>
      <c r="P424" s="2"/>
      <c r="Q424" s="3"/>
      <c r="R424" s="2"/>
      <c r="S424" s="4"/>
      <c r="T424" s="3"/>
      <c r="U424" s="4"/>
      <c r="V424" s="3"/>
      <c r="W424" s="4"/>
      <c r="X424" s="3"/>
      <c r="Y424" s="3"/>
      <c r="Z424" s="3"/>
      <c r="AA424" s="3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</row>
    <row r="425">
      <c r="A425" s="2"/>
      <c r="B425" s="3"/>
      <c r="C425" s="6"/>
      <c r="D425" s="2"/>
      <c r="E425" s="2"/>
      <c r="F425" s="2"/>
      <c r="G425" s="2"/>
      <c r="H425" s="2"/>
      <c r="I425" s="3"/>
      <c r="J425" s="3"/>
      <c r="K425" s="3"/>
      <c r="L425" s="3"/>
      <c r="M425" s="3"/>
      <c r="N425" s="3"/>
      <c r="O425" s="3"/>
      <c r="P425" s="2"/>
      <c r="Q425" s="3"/>
      <c r="R425" s="2"/>
      <c r="S425" s="4"/>
      <c r="T425" s="3"/>
      <c r="U425" s="4"/>
      <c r="V425" s="3"/>
      <c r="W425" s="4"/>
      <c r="X425" s="3"/>
      <c r="Y425" s="3"/>
      <c r="Z425" s="3"/>
      <c r="AA425" s="3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</row>
    <row r="426">
      <c r="A426" s="2"/>
      <c r="B426" s="3"/>
      <c r="C426" s="6"/>
      <c r="D426" s="2"/>
      <c r="E426" s="2"/>
      <c r="F426" s="2"/>
      <c r="G426" s="2"/>
      <c r="H426" s="2"/>
      <c r="I426" s="3"/>
      <c r="J426" s="3"/>
      <c r="K426" s="3"/>
      <c r="L426" s="3"/>
      <c r="M426" s="3"/>
      <c r="N426" s="3"/>
      <c r="O426" s="3"/>
      <c r="P426" s="2"/>
      <c r="Q426" s="3"/>
      <c r="R426" s="2"/>
      <c r="S426" s="4"/>
      <c r="T426" s="3"/>
      <c r="U426" s="4"/>
      <c r="V426" s="3"/>
      <c r="W426" s="4"/>
      <c r="X426" s="3"/>
      <c r="Y426" s="3"/>
      <c r="Z426" s="3"/>
      <c r="AA426" s="3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</row>
    <row r="427">
      <c r="A427" s="2"/>
      <c r="B427" s="3"/>
      <c r="C427" s="6"/>
      <c r="D427" s="2"/>
      <c r="E427" s="2"/>
      <c r="F427" s="2"/>
      <c r="G427" s="2"/>
      <c r="H427" s="2"/>
      <c r="I427" s="3"/>
      <c r="J427" s="3"/>
      <c r="K427" s="3"/>
      <c r="L427" s="3"/>
      <c r="M427" s="3"/>
      <c r="N427" s="3"/>
      <c r="O427" s="3"/>
      <c r="P427" s="2"/>
      <c r="Q427" s="3"/>
      <c r="R427" s="2"/>
      <c r="S427" s="4"/>
      <c r="T427" s="3"/>
      <c r="U427" s="4"/>
      <c r="V427" s="3"/>
      <c r="W427" s="4"/>
      <c r="X427" s="3"/>
      <c r="Y427" s="3"/>
      <c r="Z427" s="3"/>
      <c r="AA427" s="3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</row>
    <row r="428">
      <c r="A428" s="2"/>
      <c r="B428" s="3"/>
      <c r="C428" s="6"/>
      <c r="D428" s="2"/>
      <c r="E428" s="2"/>
      <c r="F428" s="2"/>
      <c r="G428" s="2"/>
      <c r="H428" s="2"/>
      <c r="I428" s="3"/>
      <c r="J428" s="3"/>
      <c r="K428" s="3"/>
      <c r="L428" s="3"/>
      <c r="M428" s="3"/>
      <c r="N428" s="3"/>
      <c r="O428" s="3"/>
      <c r="P428" s="2"/>
      <c r="Q428" s="3"/>
      <c r="R428" s="2"/>
      <c r="S428" s="4"/>
      <c r="T428" s="3"/>
      <c r="U428" s="4"/>
      <c r="V428" s="3"/>
      <c r="W428" s="4"/>
      <c r="X428" s="3"/>
      <c r="Y428" s="3"/>
      <c r="Z428" s="3"/>
      <c r="AA428" s="3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</row>
    <row r="429">
      <c r="A429" s="2"/>
      <c r="B429" s="3"/>
      <c r="C429" s="6"/>
      <c r="D429" s="2"/>
      <c r="E429" s="2"/>
      <c r="F429" s="2"/>
      <c r="G429" s="2"/>
      <c r="H429" s="2"/>
      <c r="I429" s="3"/>
      <c r="J429" s="3"/>
      <c r="K429" s="3"/>
      <c r="L429" s="3"/>
      <c r="M429" s="3"/>
      <c r="N429" s="3"/>
      <c r="O429" s="3"/>
      <c r="P429" s="2"/>
      <c r="Q429" s="3"/>
      <c r="R429" s="2"/>
      <c r="S429" s="4"/>
      <c r="T429" s="3"/>
      <c r="U429" s="4"/>
      <c r="V429" s="3"/>
      <c r="W429" s="4"/>
      <c r="X429" s="3"/>
      <c r="Y429" s="3"/>
      <c r="Z429" s="3"/>
      <c r="AA429" s="3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</row>
    <row r="430">
      <c r="A430" s="2"/>
      <c r="B430" s="3"/>
      <c r="C430" s="6"/>
      <c r="D430" s="2"/>
      <c r="E430" s="2"/>
      <c r="F430" s="2"/>
      <c r="G430" s="2"/>
      <c r="H430" s="2"/>
      <c r="I430" s="3"/>
      <c r="J430" s="3"/>
      <c r="K430" s="3"/>
      <c r="L430" s="3"/>
      <c r="M430" s="3"/>
      <c r="N430" s="3"/>
      <c r="O430" s="3"/>
      <c r="P430" s="2"/>
      <c r="Q430" s="3"/>
      <c r="R430" s="2"/>
      <c r="S430" s="4"/>
      <c r="T430" s="3"/>
      <c r="U430" s="4"/>
      <c r="V430" s="3"/>
      <c r="W430" s="4"/>
      <c r="X430" s="3"/>
      <c r="Y430" s="3"/>
      <c r="Z430" s="3"/>
      <c r="AA430" s="3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</row>
    <row r="431">
      <c r="A431" s="2"/>
      <c r="B431" s="3"/>
      <c r="C431" s="6"/>
      <c r="D431" s="2"/>
      <c r="E431" s="2"/>
      <c r="F431" s="2"/>
      <c r="G431" s="2"/>
      <c r="H431" s="2"/>
      <c r="I431" s="3"/>
      <c r="J431" s="3"/>
      <c r="K431" s="3"/>
      <c r="L431" s="3"/>
      <c r="M431" s="3"/>
      <c r="N431" s="3"/>
      <c r="O431" s="3"/>
      <c r="P431" s="2"/>
      <c r="Q431" s="3"/>
      <c r="R431" s="2"/>
      <c r="S431" s="4"/>
      <c r="T431" s="3"/>
      <c r="U431" s="4"/>
      <c r="V431" s="3"/>
      <c r="W431" s="4"/>
      <c r="X431" s="3"/>
      <c r="Y431" s="3"/>
      <c r="Z431" s="3"/>
      <c r="AA431" s="3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</row>
    <row r="432">
      <c r="A432" s="2"/>
      <c r="B432" s="3"/>
      <c r="C432" s="6"/>
      <c r="D432" s="2"/>
      <c r="E432" s="2"/>
      <c r="F432" s="2"/>
      <c r="G432" s="2"/>
      <c r="H432" s="2"/>
      <c r="I432" s="3"/>
      <c r="J432" s="3"/>
      <c r="K432" s="3"/>
      <c r="L432" s="3"/>
      <c r="M432" s="3"/>
      <c r="N432" s="3"/>
      <c r="O432" s="3"/>
      <c r="P432" s="2"/>
      <c r="Q432" s="3"/>
      <c r="R432" s="2"/>
      <c r="S432" s="4"/>
      <c r="T432" s="3"/>
      <c r="U432" s="4"/>
      <c r="V432" s="3"/>
      <c r="W432" s="4"/>
      <c r="X432" s="3"/>
      <c r="Y432" s="3"/>
      <c r="Z432" s="3"/>
      <c r="AA432" s="3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</row>
    <row r="433">
      <c r="A433" s="2"/>
      <c r="B433" s="3"/>
      <c r="C433" s="6"/>
      <c r="D433" s="2"/>
      <c r="E433" s="2"/>
      <c r="F433" s="2"/>
      <c r="G433" s="2"/>
      <c r="H433" s="2"/>
      <c r="I433" s="3"/>
      <c r="J433" s="3"/>
      <c r="K433" s="3"/>
      <c r="L433" s="3"/>
      <c r="M433" s="3"/>
      <c r="N433" s="3"/>
      <c r="O433" s="3"/>
      <c r="P433" s="2"/>
      <c r="Q433" s="3"/>
      <c r="R433" s="2"/>
      <c r="S433" s="4"/>
      <c r="T433" s="3"/>
      <c r="U433" s="4"/>
      <c r="V433" s="3"/>
      <c r="W433" s="4"/>
      <c r="X433" s="3"/>
      <c r="Y433" s="3"/>
      <c r="Z433" s="3"/>
      <c r="AA433" s="3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</row>
    <row r="434">
      <c r="A434" s="2"/>
      <c r="B434" s="3"/>
      <c r="C434" s="6"/>
      <c r="D434" s="2"/>
      <c r="E434" s="2"/>
      <c r="F434" s="2"/>
      <c r="G434" s="2"/>
      <c r="H434" s="2"/>
      <c r="I434" s="3"/>
      <c r="J434" s="3"/>
      <c r="K434" s="3"/>
      <c r="L434" s="3"/>
      <c r="M434" s="3"/>
      <c r="N434" s="3"/>
      <c r="O434" s="3"/>
      <c r="P434" s="2"/>
      <c r="Q434" s="3"/>
      <c r="R434" s="2"/>
      <c r="S434" s="4"/>
      <c r="T434" s="3"/>
      <c r="U434" s="4"/>
      <c r="V434" s="3"/>
      <c r="W434" s="4"/>
      <c r="X434" s="3"/>
      <c r="Y434" s="3"/>
      <c r="Z434" s="3"/>
      <c r="AA434" s="3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</row>
    <row r="435">
      <c r="A435" s="2"/>
      <c r="B435" s="3"/>
      <c r="C435" s="6"/>
      <c r="D435" s="2"/>
      <c r="E435" s="2"/>
      <c r="F435" s="2"/>
      <c r="G435" s="2"/>
      <c r="H435" s="2"/>
      <c r="I435" s="3"/>
      <c r="J435" s="3"/>
      <c r="K435" s="3"/>
      <c r="L435" s="3"/>
      <c r="M435" s="3"/>
      <c r="N435" s="3"/>
      <c r="O435" s="3"/>
      <c r="P435" s="2"/>
      <c r="Q435" s="3"/>
      <c r="R435" s="2"/>
      <c r="S435" s="4"/>
      <c r="T435" s="3"/>
      <c r="U435" s="4"/>
      <c r="V435" s="3"/>
      <c r="W435" s="4"/>
      <c r="X435" s="3"/>
      <c r="Y435" s="3"/>
      <c r="Z435" s="3"/>
      <c r="AA435" s="3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</row>
    <row r="436">
      <c r="A436" s="2"/>
      <c r="B436" s="3"/>
      <c r="C436" s="6"/>
      <c r="D436" s="2"/>
      <c r="E436" s="2"/>
      <c r="F436" s="2"/>
      <c r="G436" s="2"/>
      <c r="H436" s="2"/>
      <c r="I436" s="3"/>
      <c r="J436" s="3"/>
      <c r="K436" s="3"/>
      <c r="L436" s="3"/>
      <c r="M436" s="3"/>
      <c r="N436" s="3"/>
      <c r="O436" s="3"/>
      <c r="P436" s="2"/>
      <c r="Q436" s="3"/>
      <c r="R436" s="2"/>
      <c r="S436" s="4"/>
      <c r="T436" s="3"/>
      <c r="U436" s="4"/>
      <c r="V436" s="3"/>
      <c r="W436" s="4"/>
      <c r="X436" s="3"/>
      <c r="Y436" s="3"/>
      <c r="Z436" s="3"/>
      <c r="AA436" s="3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</row>
    <row r="437">
      <c r="A437" s="2"/>
      <c r="B437" s="3"/>
      <c r="C437" s="6"/>
      <c r="D437" s="2"/>
      <c r="E437" s="2"/>
      <c r="F437" s="2"/>
      <c r="G437" s="2"/>
      <c r="H437" s="2"/>
      <c r="I437" s="3"/>
      <c r="J437" s="3"/>
      <c r="K437" s="3"/>
      <c r="L437" s="3"/>
      <c r="M437" s="3"/>
      <c r="N437" s="3"/>
      <c r="O437" s="3"/>
      <c r="P437" s="2"/>
      <c r="Q437" s="3"/>
      <c r="R437" s="2"/>
      <c r="S437" s="4"/>
      <c r="T437" s="3"/>
      <c r="U437" s="4"/>
      <c r="V437" s="3"/>
      <c r="W437" s="4"/>
      <c r="X437" s="3"/>
      <c r="Y437" s="3"/>
      <c r="Z437" s="3"/>
      <c r="AA437" s="3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</row>
    <row r="438">
      <c r="A438" s="2"/>
      <c r="B438" s="3"/>
      <c r="C438" s="6"/>
      <c r="D438" s="2"/>
      <c r="E438" s="2"/>
      <c r="F438" s="2"/>
      <c r="G438" s="2"/>
      <c r="H438" s="2"/>
      <c r="I438" s="3"/>
      <c r="J438" s="3"/>
      <c r="K438" s="3"/>
      <c r="L438" s="3"/>
      <c r="M438" s="3"/>
      <c r="N438" s="3"/>
      <c r="O438" s="3"/>
      <c r="P438" s="2"/>
      <c r="Q438" s="3"/>
      <c r="R438" s="2"/>
      <c r="S438" s="4"/>
      <c r="T438" s="3"/>
      <c r="U438" s="4"/>
      <c r="V438" s="3"/>
      <c r="W438" s="4"/>
      <c r="X438" s="3"/>
      <c r="Y438" s="3"/>
      <c r="Z438" s="3"/>
      <c r="AA438" s="3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</row>
    <row r="439">
      <c r="A439" s="2"/>
      <c r="B439" s="3"/>
      <c r="C439" s="6"/>
      <c r="D439" s="2"/>
      <c r="E439" s="2"/>
      <c r="F439" s="2"/>
      <c r="G439" s="2"/>
      <c r="H439" s="2"/>
      <c r="I439" s="3"/>
      <c r="J439" s="3"/>
      <c r="K439" s="3"/>
      <c r="L439" s="3"/>
      <c r="M439" s="3"/>
      <c r="N439" s="3"/>
      <c r="O439" s="3"/>
      <c r="P439" s="2"/>
      <c r="Q439" s="3"/>
      <c r="R439" s="2"/>
      <c r="S439" s="4"/>
      <c r="T439" s="3"/>
      <c r="U439" s="4"/>
      <c r="V439" s="3"/>
      <c r="W439" s="4"/>
      <c r="X439" s="3"/>
      <c r="Y439" s="3"/>
      <c r="Z439" s="3"/>
      <c r="AA439" s="3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</row>
    <row r="440">
      <c r="A440" s="2"/>
      <c r="B440" s="3"/>
      <c r="C440" s="6"/>
      <c r="D440" s="2"/>
      <c r="E440" s="2"/>
      <c r="F440" s="2"/>
      <c r="G440" s="2"/>
      <c r="H440" s="2"/>
      <c r="I440" s="3"/>
      <c r="J440" s="3"/>
      <c r="K440" s="3"/>
      <c r="L440" s="3"/>
      <c r="M440" s="3"/>
      <c r="N440" s="3"/>
      <c r="O440" s="3"/>
      <c r="P440" s="2"/>
      <c r="Q440" s="3"/>
      <c r="R440" s="2"/>
      <c r="S440" s="4"/>
      <c r="T440" s="3"/>
      <c r="U440" s="4"/>
      <c r="V440" s="3"/>
      <c r="W440" s="4"/>
      <c r="X440" s="3"/>
      <c r="Y440" s="3"/>
      <c r="Z440" s="3"/>
      <c r="AA440" s="3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</row>
    <row r="441">
      <c r="A441" s="2"/>
      <c r="B441" s="3"/>
      <c r="C441" s="6"/>
      <c r="D441" s="2"/>
      <c r="E441" s="2"/>
      <c r="F441" s="2"/>
      <c r="G441" s="2"/>
      <c r="H441" s="2"/>
      <c r="I441" s="3"/>
      <c r="J441" s="3"/>
      <c r="K441" s="3"/>
      <c r="L441" s="3"/>
      <c r="M441" s="3"/>
      <c r="N441" s="3"/>
      <c r="O441" s="3"/>
      <c r="P441" s="2"/>
      <c r="Q441" s="3"/>
      <c r="R441" s="2"/>
      <c r="S441" s="4"/>
      <c r="T441" s="3"/>
      <c r="U441" s="4"/>
      <c r="V441" s="3"/>
      <c r="W441" s="4"/>
      <c r="X441" s="3"/>
      <c r="Y441" s="3"/>
      <c r="Z441" s="3"/>
      <c r="AA441" s="3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</row>
    <row r="442">
      <c r="A442" s="2"/>
      <c r="B442" s="3"/>
      <c r="C442" s="6"/>
      <c r="D442" s="2"/>
      <c r="E442" s="2"/>
      <c r="F442" s="2"/>
      <c r="G442" s="2"/>
      <c r="H442" s="2"/>
      <c r="I442" s="3"/>
      <c r="J442" s="3"/>
      <c r="K442" s="3"/>
      <c r="L442" s="3"/>
      <c r="M442" s="3"/>
      <c r="N442" s="3"/>
      <c r="O442" s="3"/>
      <c r="P442" s="2"/>
      <c r="Q442" s="3"/>
      <c r="R442" s="2"/>
      <c r="S442" s="4"/>
      <c r="T442" s="3"/>
      <c r="U442" s="4"/>
      <c r="V442" s="3"/>
      <c r="W442" s="4"/>
      <c r="X442" s="3"/>
      <c r="Y442" s="3"/>
      <c r="Z442" s="3"/>
      <c r="AA442" s="3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</row>
    <row r="443">
      <c r="A443" s="2"/>
      <c r="B443" s="3"/>
      <c r="C443" s="6"/>
      <c r="D443" s="2"/>
      <c r="E443" s="2"/>
      <c r="F443" s="2"/>
      <c r="G443" s="2"/>
      <c r="H443" s="2"/>
      <c r="I443" s="3"/>
      <c r="J443" s="3"/>
      <c r="K443" s="3"/>
      <c r="L443" s="3"/>
      <c r="M443" s="3"/>
      <c r="N443" s="3"/>
      <c r="O443" s="3"/>
      <c r="P443" s="2"/>
      <c r="Q443" s="3"/>
      <c r="R443" s="2"/>
      <c r="S443" s="4"/>
      <c r="T443" s="3"/>
      <c r="U443" s="4"/>
      <c r="V443" s="3"/>
      <c r="W443" s="4"/>
      <c r="X443" s="3"/>
      <c r="Y443" s="3"/>
      <c r="Z443" s="3"/>
      <c r="AA443" s="3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</row>
    <row r="444">
      <c r="A444" s="2"/>
      <c r="B444" s="3"/>
      <c r="C444" s="6"/>
      <c r="D444" s="2"/>
      <c r="E444" s="2"/>
      <c r="F444" s="2"/>
      <c r="G444" s="2"/>
      <c r="H444" s="2"/>
      <c r="I444" s="3"/>
      <c r="J444" s="3"/>
      <c r="K444" s="3"/>
      <c r="L444" s="3"/>
      <c r="M444" s="3"/>
      <c r="N444" s="3"/>
      <c r="O444" s="3"/>
      <c r="P444" s="2"/>
      <c r="Q444" s="3"/>
      <c r="R444" s="2"/>
      <c r="S444" s="4"/>
      <c r="T444" s="3"/>
      <c r="U444" s="4"/>
      <c r="V444" s="3"/>
      <c r="W444" s="4"/>
      <c r="X444" s="3"/>
      <c r="Y444" s="3"/>
      <c r="Z444" s="3"/>
      <c r="AA444" s="3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</row>
    <row r="445">
      <c r="A445" s="2"/>
      <c r="B445" s="3"/>
      <c r="C445" s="6"/>
      <c r="D445" s="2"/>
      <c r="E445" s="2"/>
      <c r="F445" s="2"/>
      <c r="G445" s="2"/>
      <c r="H445" s="2"/>
      <c r="I445" s="3"/>
      <c r="J445" s="3"/>
      <c r="K445" s="3"/>
      <c r="L445" s="3"/>
      <c r="M445" s="3"/>
      <c r="N445" s="3"/>
      <c r="O445" s="3"/>
      <c r="P445" s="2"/>
      <c r="Q445" s="3"/>
      <c r="R445" s="2"/>
      <c r="S445" s="4"/>
      <c r="T445" s="3"/>
      <c r="U445" s="4"/>
      <c r="V445" s="3"/>
      <c r="W445" s="4"/>
      <c r="X445" s="3"/>
      <c r="Y445" s="3"/>
      <c r="Z445" s="3"/>
      <c r="AA445" s="3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</row>
    <row r="446">
      <c r="A446" s="2"/>
      <c r="B446" s="3"/>
      <c r="C446" s="6"/>
      <c r="D446" s="2"/>
      <c r="E446" s="2"/>
      <c r="F446" s="2"/>
      <c r="G446" s="2"/>
      <c r="H446" s="2"/>
      <c r="I446" s="3"/>
      <c r="J446" s="3"/>
      <c r="K446" s="3"/>
      <c r="L446" s="3"/>
      <c r="M446" s="3"/>
      <c r="N446" s="3"/>
      <c r="O446" s="3"/>
      <c r="P446" s="2"/>
      <c r="Q446" s="3"/>
      <c r="R446" s="2"/>
      <c r="S446" s="4"/>
      <c r="T446" s="3"/>
      <c r="U446" s="4"/>
      <c r="V446" s="3"/>
      <c r="W446" s="4"/>
      <c r="X446" s="3"/>
      <c r="Y446" s="3"/>
      <c r="Z446" s="3"/>
      <c r="AA446" s="3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</row>
    <row r="447">
      <c r="A447" s="2"/>
      <c r="B447" s="3"/>
      <c r="C447" s="6"/>
      <c r="D447" s="2"/>
      <c r="E447" s="2"/>
      <c r="F447" s="2"/>
      <c r="G447" s="2"/>
      <c r="H447" s="2"/>
      <c r="I447" s="3"/>
      <c r="J447" s="3"/>
      <c r="K447" s="3"/>
      <c r="L447" s="3"/>
      <c r="M447" s="3"/>
      <c r="N447" s="3"/>
      <c r="O447" s="3"/>
      <c r="P447" s="2"/>
      <c r="Q447" s="3"/>
      <c r="R447" s="2"/>
      <c r="S447" s="4"/>
      <c r="T447" s="3"/>
      <c r="U447" s="4"/>
      <c r="V447" s="3"/>
      <c r="W447" s="4"/>
      <c r="X447" s="3"/>
      <c r="Y447" s="3"/>
      <c r="Z447" s="3"/>
      <c r="AA447" s="3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</row>
    <row r="448">
      <c r="A448" s="2"/>
      <c r="B448" s="3"/>
      <c r="C448" s="6"/>
      <c r="D448" s="2"/>
      <c r="E448" s="2"/>
      <c r="F448" s="2"/>
      <c r="G448" s="2"/>
      <c r="H448" s="2"/>
      <c r="I448" s="3"/>
      <c r="J448" s="3"/>
      <c r="K448" s="3"/>
      <c r="L448" s="3"/>
      <c r="M448" s="3"/>
      <c r="N448" s="3"/>
      <c r="O448" s="3"/>
      <c r="P448" s="2"/>
      <c r="Q448" s="3"/>
      <c r="R448" s="2"/>
      <c r="S448" s="4"/>
      <c r="T448" s="3"/>
      <c r="U448" s="4"/>
      <c r="V448" s="3"/>
      <c r="W448" s="4"/>
      <c r="X448" s="3"/>
      <c r="Y448" s="3"/>
      <c r="Z448" s="3"/>
      <c r="AA448" s="3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</row>
    <row r="449">
      <c r="A449" s="2"/>
      <c r="B449" s="3"/>
      <c r="C449" s="6"/>
      <c r="D449" s="2"/>
      <c r="E449" s="2"/>
      <c r="F449" s="2"/>
      <c r="G449" s="2"/>
      <c r="H449" s="2"/>
      <c r="I449" s="3"/>
      <c r="J449" s="3"/>
      <c r="K449" s="3"/>
      <c r="L449" s="3"/>
      <c r="M449" s="3"/>
      <c r="N449" s="3"/>
      <c r="O449" s="3"/>
      <c r="P449" s="2"/>
      <c r="Q449" s="3"/>
      <c r="R449" s="2"/>
      <c r="S449" s="4"/>
      <c r="T449" s="3"/>
      <c r="U449" s="4"/>
      <c r="V449" s="3"/>
      <c r="W449" s="4"/>
      <c r="X449" s="3"/>
      <c r="Y449" s="3"/>
      <c r="Z449" s="3"/>
      <c r="AA449" s="3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</row>
    <row r="450">
      <c r="A450" s="2"/>
      <c r="B450" s="3"/>
      <c r="C450" s="6"/>
      <c r="D450" s="2"/>
      <c r="E450" s="2"/>
      <c r="F450" s="2"/>
      <c r="G450" s="2"/>
      <c r="H450" s="2"/>
      <c r="I450" s="3"/>
      <c r="J450" s="3"/>
      <c r="K450" s="3"/>
      <c r="L450" s="3"/>
      <c r="M450" s="3"/>
      <c r="N450" s="3"/>
      <c r="O450" s="3"/>
      <c r="P450" s="2"/>
      <c r="Q450" s="3"/>
      <c r="R450" s="2"/>
      <c r="S450" s="4"/>
      <c r="T450" s="3"/>
      <c r="U450" s="4"/>
      <c r="V450" s="3"/>
      <c r="W450" s="4"/>
      <c r="X450" s="3"/>
      <c r="Y450" s="3"/>
      <c r="Z450" s="3"/>
      <c r="AA450" s="3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</row>
    <row r="451">
      <c r="A451" s="2"/>
      <c r="B451" s="3"/>
      <c r="C451" s="6"/>
      <c r="D451" s="2"/>
      <c r="E451" s="2"/>
      <c r="F451" s="2"/>
      <c r="G451" s="2"/>
      <c r="H451" s="2"/>
      <c r="I451" s="3"/>
      <c r="J451" s="3"/>
      <c r="K451" s="3"/>
      <c r="L451" s="3"/>
      <c r="M451" s="3"/>
      <c r="N451" s="3"/>
      <c r="O451" s="3"/>
      <c r="P451" s="2"/>
      <c r="Q451" s="3"/>
      <c r="R451" s="2"/>
      <c r="S451" s="4"/>
      <c r="T451" s="3"/>
      <c r="U451" s="4"/>
      <c r="V451" s="3"/>
      <c r="W451" s="4"/>
      <c r="X451" s="3"/>
      <c r="Y451" s="3"/>
      <c r="Z451" s="3"/>
      <c r="AA451" s="3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</row>
    <row r="452">
      <c r="A452" s="2"/>
      <c r="B452" s="3"/>
      <c r="C452" s="6"/>
      <c r="D452" s="2"/>
      <c r="E452" s="2"/>
      <c r="F452" s="2"/>
      <c r="G452" s="2"/>
      <c r="H452" s="2"/>
      <c r="I452" s="3"/>
      <c r="J452" s="3"/>
      <c r="K452" s="3"/>
      <c r="L452" s="3"/>
      <c r="M452" s="3"/>
      <c r="N452" s="3"/>
      <c r="O452" s="3"/>
      <c r="P452" s="2"/>
      <c r="Q452" s="3"/>
      <c r="R452" s="2"/>
      <c r="S452" s="4"/>
      <c r="T452" s="3"/>
      <c r="U452" s="4"/>
      <c r="V452" s="3"/>
      <c r="W452" s="4"/>
      <c r="X452" s="3"/>
      <c r="Y452" s="3"/>
      <c r="Z452" s="3"/>
      <c r="AA452" s="3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</row>
    <row r="453">
      <c r="A453" s="2"/>
      <c r="B453" s="3"/>
      <c r="C453" s="6"/>
      <c r="D453" s="2"/>
      <c r="E453" s="2"/>
      <c r="F453" s="2"/>
      <c r="G453" s="2"/>
      <c r="H453" s="2"/>
      <c r="I453" s="3"/>
      <c r="J453" s="3"/>
      <c r="K453" s="3"/>
      <c r="L453" s="3"/>
      <c r="M453" s="3"/>
      <c r="N453" s="3"/>
      <c r="O453" s="3"/>
      <c r="P453" s="2"/>
      <c r="Q453" s="3"/>
      <c r="R453" s="2"/>
      <c r="S453" s="4"/>
      <c r="T453" s="3"/>
      <c r="U453" s="4"/>
      <c r="V453" s="3"/>
      <c r="W453" s="4"/>
      <c r="X453" s="3"/>
      <c r="Y453" s="3"/>
      <c r="Z453" s="3"/>
      <c r="AA453" s="3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</row>
    <row r="454">
      <c r="A454" s="2"/>
      <c r="B454" s="3"/>
      <c r="C454" s="6"/>
      <c r="D454" s="2"/>
      <c r="E454" s="2"/>
      <c r="F454" s="2"/>
      <c r="G454" s="2"/>
      <c r="H454" s="2"/>
      <c r="I454" s="3"/>
      <c r="J454" s="3"/>
      <c r="K454" s="3"/>
      <c r="L454" s="3"/>
      <c r="M454" s="3"/>
      <c r="N454" s="3"/>
      <c r="O454" s="3"/>
      <c r="P454" s="2"/>
      <c r="Q454" s="3"/>
      <c r="R454" s="2"/>
      <c r="S454" s="4"/>
      <c r="T454" s="3"/>
      <c r="U454" s="4"/>
      <c r="V454" s="3"/>
      <c r="W454" s="4"/>
      <c r="X454" s="3"/>
      <c r="Y454" s="3"/>
      <c r="Z454" s="3"/>
      <c r="AA454" s="3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</row>
    <row r="455">
      <c r="A455" s="2"/>
      <c r="B455" s="3"/>
      <c r="C455" s="6"/>
      <c r="D455" s="2"/>
      <c r="E455" s="2"/>
      <c r="F455" s="2"/>
      <c r="G455" s="2"/>
      <c r="H455" s="2"/>
      <c r="I455" s="3"/>
      <c r="J455" s="3"/>
      <c r="K455" s="3"/>
      <c r="L455" s="3"/>
      <c r="M455" s="3"/>
      <c r="N455" s="3"/>
      <c r="O455" s="3"/>
      <c r="P455" s="2"/>
      <c r="Q455" s="3"/>
      <c r="R455" s="2"/>
      <c r="S455" s="4"/>
      <c r="T455" s="3"/>
      <c r="U455" s="4"/>
      <c r="V455" s="3"/>
      <c r="W455" s="4"/>
      <c r="X455" s="3"/>
      <c r="Y455" s="3"/>
      <c r="Z455" s="3"/>
      <c r="AA455" s="3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</row>
    <row r="456">
      <c r="A456" s="2"/>
      <c r="B456" s="3"/>
      <c r="C456" s="6"/>
      <c r="D456" s="2"/>
      <c r="E456" s="2"/>
      <c r="F456" s="2"/>
      <c r="G456" s="2"/>
      <c r="H456" s="2"/>
      <c r="I456" s="3"/>
      <c r="J456" s="3"/>
      <c r="K456" s="3"/>
      <c r="L456" s="3"/>
      <c r="M456" s="3"/>
      <c r="N456" s="3"/>
      <c r="O456" s="3"/>
      <c r="P456" s="2"/>
      <c r="Q456" s="3"/>
      <c r="R456" s="2"/>
      <c r="S456" s="4"/>
      <c r="T456" s="3"/>
      <c r="U456" s="4"/>
      <c r="V456" s="3"/>
      <c r="W456" s="4"/>
      <c r="X456" s="3"/>
      <c r="Y456" s="3"/>
      <c r="Z456" s="3"/>
      <c r="AA456" s="3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</row>
    <row r="457">
      <c r="A457" s="2"/>
      <c r="B457" s="3"/>
      <c r="C457" s="6"/>
      <c r="D457" s="2"/>
      <c r="E457" s="2"/>
      <c r="F457" s="2"/>
      <c r="G457" s="2"/>
      <c r="H457" s="2"/>
      <c r="I457" s="3"/>
      <c r="J457" s="3"/>
      <c r="K457" s="3"/>
      <c r="L457" s="3"/>
      <c r="M457" s="3"/>
      <c r="N457" s="3"/>
      <c r="O457" s="3"/>
      <c r="P457" s="2"/>
      <c r="Q457" s="3"/>
      <c r="R457" s="2"/>
      <c r="S457" s="4"/>
      <c r="T457" s="3"/>
      <c r="U457" s="4"/>
      <c r="V457" s="3"/>
      <c r="W457" s="4"/>
      <c r="X457" s="3"/>
      <c r="Y457" s="3"/>
      <c r="Z457" s="3"/>
      <c r="AA457" s="3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</row>
    <row r="458">
      <c r="A458" s="2"/>
      <c r="B458" s="3"/>
      <c r="C458" s="6"/>
      <c r="D458" s="2"/>
      <c r="E458" s="2"/>
      <c r="F458" s="2"/>
      <c r="G458" s="2"/>
      <c r="H458" s="2"/>
      <c r="I458" s="3"/>
      <c r="J458" s="3"/>
      <c r="K458" s="3"/>
      <c r="L458" s="3"/>
      <c r="M458" s="3"/>
      <c r="N458" s="3"/>
      <c r="O458" s="3"/>
      <c r="P458" s="2"/>
      <c r="Q458" s="3"/>
      <c r="R458" s="2"/>
      <c r="S458" s="4"/>
      <c r="T458" s="3"/>
      <c r="U458" s="4"/>
      <c r="V458" s="3"/>
      <c r="W458" s="4"/>
      <c r="X458" s="3"/>
      <c r="Y458" s="3"/>
      <c r="Z458" s="3"/>
      <c r="AA458" s="3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</row>
    <row r="459">
      <c r="A459" s="2"/>
      <c r="B459" s="3"/>
      <c r="C459" s="6"/>
      <c r="D459" s="2"/>
      <c r="E459" s="2"/>
      <c r="F459" s="2"/>
      <c r="G459" s="2"/>
      <c r="H459" s="2"/>
      <c r="I459" s="3"/>
      <c r="J459" s="3"/>
      <c r="K459" s="3"/>
      <c r="L459" s="3"/>
      <c r="M459" s="3"/>
      <c r="N459" s="3"/>
      <c r="O459" s="3"/>
      <c r="P459" s="2"/>
      <c r="Q459" s="3"/>
      <c r="R459" s="2"/>
      <c r="S459" s="4"/>
      <c r="T459" s="3"/>
      <c r="U459" s="4"/>
      <c r="V459" s="3"/>
      <c r="W459" s="4"/>
      <c r="X459" s="3"/>
      <c r="Y459" s="3"/>
      <c r="Z459" s="3"/>
      <c r="AA459" s="3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</row>
    <row r="460">
      <c r="A460" s="2"/>
      <c r="B460" s="3"/>
      <c r="C460" s="6"/>
      <c r="D460" s="2"/>
      <c r="E460" s="2"/>
      <c r="F460" s="2"/>
      <c r="G460" s="2"/>
      <c r="H460" s="2"/>
      <c r="I460" s="3"/>
      <c r="J460" s="3"/>
      <c r="K460" s="3"/>
      <c r="L460" s="3"/>
      <c r="M460" s="3"/>
      <c r="N460" s="3"/>
      <c r="O460" s="3"/>
      <c r="P460" s="2"/>
      <c r="Q460" s="3"/>
      <c r="R460" s="2"/>
      <c r="S460" s="4"/>
      <c r="T460" s="3"/>
      <c r="U460" s="4"/>
      <c r="V460" s="3"/>
      <c r="W460" s="4"/>
      <c r="X460" s="3"/>
      <c r="Y460" s="3"/>
      <c r="Z460" s="3"/>
      <c r="AA460" s="3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</row>
    <row r="461">
      <c r="A461" s="2"/>
      <c r="B461" s="3"/>
      <c r="C461" s="6"/>
      <c r="D461" s="2"/>
      <c r="E461" s="2"/>
      <c r="F461" s="2"/>
      <c r="G461" s="2"/>
      <c r="H461" s="2"/>
      <c r="I461" s="3"/>
      <c r="J461" s="3"/>
      <c r="K461" s="3"/>
      <c r="L461" s="3"/>
      <c r="M461" s="3"/>
      <c r="N461" s="3"/>
      <c r="O461" s="3"/>
      <c r="P461" s="2"/>
      <c r="Q461" s="3"/>
      <c r="R461" s="2"/>
      <c r="S461" s="4"/>
      <c r="T461" s="3"/>
      <c r="U461" s="4"/>
      <c r="V461" s="3"/>
      <c r="W461" s="4"/>
      <c r="X461" s="3"/>
      <c r="Y461" s="3"/>
      <c r="Z461" s="3"/>
      <c r="AA461" s="3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</row>
    <row r="462">
      <c r="A462" s="2"/>
      <c r="B462" s="3"/>
      <c r="C462" s="6"/>
      <c r="D462" s="2"/>
      <c r="E462" s="2"/>
      <c r="F462" s="2"/>
      <c r="G462" s="2"/>
      <c r="H462" s="2"/>
      <c r="I462" s="3"/>
      <c r="J462" s="3"/>
      <c r="K462" s="3"/>
      <c r="L462" s="3"/>
      <c r="M462" s="3"/>
      <c r="N462" s="3"/>
      <c r="O462" s="3"/>
      <c r="P462" s="2"/>
      <c r="Q462" s="3"/>
      <c r="R462" s="2"/>
      <c r="S462" s="4"/>
      <c r="T462" s="3"/>
      <c r="U462" s="4"/>
      <c r="V462" s="3"/>
      <c r="W462" s="4"/>
      <c r="X462" s="3"/>
      <c r="Y462" s="3"/>
      <c r="Z462" s="3"/>
      <c r="AA462" s="3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</row>
    <row r="463">
      <c r="A463" s="2"/>
      <c r="B463" s="3"/>
      <c r="C463" s="6"/>
      <c r="D463" s="2"/>
      <c r="E463" s="2"/>
      <c r="F463" s="2"/>
      <c r="G463" s="2"/>
      <c r="H463" s="2"/>
      <c r="I463" s="3"/>
      <c r="J463" s="3"/>
      <c r="K463" s="3"/>
      <c r="L463" s="3"/>
      <c r="M463" s="3"/>
      <c r="N463" s="3"/>
      <c r="O463" s="3"/>
      <c r="P463" s="2"/>
      <c r="Q463" s="3"/>
      <c r="R463" s="2"/>
      <c r="S463" s="4"/>
      <c r="T463" s="3"/>
      <c r="U463" s="4"/>
      <c r="V463" s="3"/>
      <c r="W463" s="4"/>
      <c r="X463" s="3"/>
      <c r="Y463" s="3"/>
      <c r="Z463" s="3"/>
      <c r="AA463" s="3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</row>
    <row r="464">
      <c r="A464" s="2"/>
      <c r="B464" s="3"/>
      <c r="C464" s="6"/>
      <c r="D464" s="2"/>
      <c r="E464" s="2"/>
      <c r="F464" s="2"/>
      <c r="G464" s="2"/>
      <c r="H464" s="2"/>
      <c r="I464" s="3"/>
      <c r="J464" s="3"/>
      <c r="K464" s="3"/>
      <c r="L464" s="3"/>
      <c r="M464" s="3"/>
      <c r="N464" s="3"/>
      <c r="O464" s="3"/>
      <c r="P464" s="2"/>
      <c r="Q464" s="3"/>
      <c r="R464" s="2"/>
      <c r="S464" s="4"/>
      <c r="T464" s="3"/>
      <c r="U464" s="4"/>
      <c r="V464" s="3"/>
      <c r="W464" s="4"/>
      <c r="X464" s="3"/>
      <c r="Y464" s="3"/>
      <c r="Z464" s="3"/>
      <c r="AA464" s="3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</row>
    <row r="465">
      <c r="A465" s="2"/>
      <c r="B465" s="3"/>
      <c r="C465" s="6"/>
      <c r="D465" s="2"/>
      <c r="E465" s="2"/>
      <c r="F465" s="2"/>
      <c r="G465" s="2"/>
      <c r="H465" s="2"/>
      <c r="I465" s="3"/>
      <c r="J465" s="3"/>
      <c r="K465" s="3"/>
      <c r="L465" s="3"/>
      <c r="M465" s="3"/>
      <c r="N465" s="3"/>
      <c r="O465" s="3"/>
      <c r="P465" s="2"/>
      <c r="Q465" s="3"/>
      <c r="R465" s="2"/>
      <c r="S465" s="4"/>
      <c r="T465" s="3"/>
      <c r="U465" s="4"/>
      <c r="V465" s="3"/>
      <c r="W465" s="4"/>
      <c r="X465" s="3"/>
      <c r="Y465" s="3"/>
      <c r="Z465" s="3"/>
      <c r="AA465" s="3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</row>
    <row r="466">
      <c r="A466" s="2"/>
      <c r="B466" s="3"/>
      <c r="C466" s="6"/>
      <c r="D466" s="2"/>
      <c r="E466" s="2"/>
      <c r="F466" s="2"/>
      <c r="G466" s="2"/>
      <c r="H466" s="2"/>
      <c r="I466" s="3"/>
      <c r="J466" s="3"/>
      <c r="K466" s="3"/>
      <c r="L466" s="3"/>
      <c r="M466" s="3"/>
      <c r="N466" s="3"/>
      <c r="O466" s="3"/>
      <c r="P466" s="2"/>
      <c r="Q466" s="3"/>
      <c r="R466" s="2"/>
      <c r="S466" s="4"/>
      <c r="T466" s="3"/>
      <c r="U466" s="4"/>
      <c r="V466" s="3"/>
      <c r="W466" s="4"/>
      <c r="X466" s="3"/>
      <c r="Y466" s="3"/>
      <c r="Z466" s="3"/>
      <c r="AA466" s="3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</row>
    <row r="467">
      <c r="A467" s="2"/>
      <c r="B467" s="3"/>
      <c r="C467" s="6"/>
      <c r="D467" s="2"/>
      <c r="E467" s="2"/>
      <c r="F467" s="2"/>
      <c r="G467" s="2"/>
      <c r="H467" s="2"/>
      <c r="I467" s="3"/>
      <c r="J467" s="3"/>
      <c r="K467" s="3"/>
      <c r="L467" s="3"/>
      <c r="M467" s="3"/>
      <c r="N467" s="3"/>
      <c r="O467" s="3"/>
      <c r="P467" s="2"/>
      <c r="Q467" s="3"/>
      <c r="R467" s="2"/>
      <c r="S467" s="4"/>
      <c r="T467" s="3"/>
      <c r="U467" s="4"/>
      <c r="V467" s="3"/>
      <c r="W467" s="4"/>
      <c r="X467" s="3"/>
      <c r="Y467" s="3"/>
      <c r="Z467" s="3"/>
      <c r="AA467" s="3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</row>
    <row r="468">
      <c r="A468" s="2"/>
      <c r="B468" s="3"/>
      <c r="C468" s="6"/>
      <c r="D468" s="2"/>
      <c r="E468" s="2"/>
      <c r="F468" s="2"/>
      <c r="G468" s="2"/>
      <c r="H468" s="2"/>
      <c r="I468" s="3"/>
      <c r="J468" s="3"/>
      <c r="K468" s="3"/>
      <c r="L468" s="3"/>
      <c r="M468" s="3"/>
      <c r="N468" s="3"/>
      <c r="O468" s="3"/>
      <c r="P468" s="2"/>
      <c r="Q468" s="3"/>
      <c r="R468" s="2"/>
      <c r="S468" s="4"/>
      <c r="T468" s="3"/>
      <c r="U468" s="4"/>
      <c r="V468" s="3"/>
      <c r="W468" s="4"/>
      <c r="X468" s="3"/>
      <c r="Y468" s="3"/>
      <c r="Z468" s="3"/>
      <c r="AA468" s="3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</row>
    <row r="469">
      <c r="A469" s="2"/>
      <c r="B469" s="3"/>
      <c r="C469" s="6"/>
      <c r="D469" s="2"/>
      <c r="E469" s="2"/>
      <c r="F469" s="2"/>
      <c r="G469" s="2"/>
      <c r="H469" s="2"/>
      <c r="I469" s="3"/>
      <c r="J469" s="3"/>
      <c r="K469" s="3"/>
      <c r="L469" s="3"/>
      <c r="M469" s="3"/>
      <c r="N469" s="3"/>
      <c r="O469" s="3"/>
      <c r="P469" s="2"/>
      <c r="Q469" s="3"/>
      <c r="R469" s="2"/>
      <c r="S469" s="4"/>
      <c r="T469" s="3"/>
      <c r="U469" s="4"/>
      <c r="V469" s="3"/>
      <c r="W469" s="4"/>
      <c r="X469" s="3"/>
      <c r="Y469" s="3"/>
      <c r="Z469" s="3"/>
      <c r="AA469" s="3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</row>
    <row r="470">
      <c r="A470" s="2"/>
      <c r="B470" s="3"/>
      <c r="C470" s="6"/>
      <c r="D470" s="2"/>
      <c r="E470" s="2"/>
      <c r="F470" s="2"/>
      <c r="G470" s="2"/>
      <c r="H470" s="2"/>
      <c r="I470" s="3"/>
      <c r="J470" s="3"/>
      <c r="K470" s="3"/>
      <c r="L470" s="3"/>
      <c r="M470" s="3"/>
      <c r="N470" s="3"/>
      <c r="O470" s="3"/>
      <c r="P470" s="2"/>
      <c r="Q470" s="3"/>
      <c r="R470" s="2"/>
      <c r="S470" s="4"/>
      <c r="T470" s="3"/>
      <c r="U470" s="4"/>
      <c r="V470" s="3"/>
      <c r="W470" s="4"/>
      <c r="X470" s="3"/>
      <c r="Y470" s="3"/>
      <c r="Z470" s="3"/>
      <c r="AA470" s="3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</row>
    <row r="471">
      <c r="A471" s="2"/>
      <c r="B471" s="3"/>
      <c r="C471" s="6"/>
      <c r="D471" s="2"/>
      <c r="E471" s="2"/>
      <c r="F471" s="2"/>
      <c r="G471" s="2"/>
      <c r="H471" s="2"/>
      <c r="I471" s="3"/>
      <c r="J471" s="3"/>
      <c r="K471" s="3"/>
      <c r="L471" s="3"/>
      <c r="M471" s="3"/>
      <c r="N471" s="3"/>
      <c r="O471" s="3"/>
      <c r="P471" s="2"/>
      <c r="Q471" s="3"/>
      <c r="R471" s="2"/>
      <c r="S471" s="4"/>
      <c r="T471" s="3"/>
      <c r="U471" s="4"/>
      <c r="V471" s="3"/>
      <c r="W471" s="4"/>
      <c r="X471" s="3"/>
      <c r="Y471" s="3"/>
      <c r="Z471" s="3"/>
      <c r="AA471" s="3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</row>
    <row r="472">
      <c r="A472" s="2"/>
      <c r="B472" s="3"/>
      <c r="C472" s="6"/>
      <c r="D472" s="2"/>
      <c r="E472" s="2"/>
      <c r="F472" s="2"/>
      <c r="G472" s="2"/>
      <c r="H472" s="2"/>
      <c r="I472" s="3"/>
      <c r="J472" s="3"/>
      <c r="K472" s="3"/>
      <c r="L472" s="3"/>
      <c r="M472" s="3"/>
      <c r="N472" s="3"/>
      <c r="O472" s="3"/>
      <c r="P472" s="2"/>
      <c r="Q472" s="3"/>
      <c r="R472" s="2"/>
      <c r="S472" s="4"/>
      <c r="T472" s="3"/>
      <c r="U472" s="4"/>
      <c r="V472" s="3"/>
      <c r="W472" s="4"/>
      <c r="X472" s="3"/>
      <c r="Y472" s="3"/>
      <c r="Z472" s="3"/>
      <c r="AA472" s="3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</row>
    <row r="473">
      <c r="A473" s="2"/>
      <c r="B473" s="3"/>
      <c r="C473" s="6"/>
      <c r="D473" s="2"/>
      <c r="E473" s="2"/>
      <c r="F473" s="2"/>
      <c r="G473" s="2"/>
      <c r="H473" s="2"/>
      <c r="I473" s="3"/>
      <c r="J473" s="3"/>
      <c r="K473" s="3"/>
      <c r="L473" s="3"/>
      <c r="M473" s="3"/>
      <c r="N473" s="3"/>
      <c r="O473" s="3"/>
      <c r="P473" s="2"/>
      <c r="Q473" s="3"/>
      <c r="R473" s="2"/>
      <c r="S473" s="4"/>
      <c r="T473" s="3"/>
      <c r="U473" s="4"/>
      <c r="V473" s="3"/>
      <c r="W473" s="4"/>
      <c r="X473" s="3"/>
      <c r="Y473" s="3"/>
      <c r="Z473" s="3"/>
      <c r="AA473" s="3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</row>
    <row r="474">
      <c r="A474" s="2"/>
      <c r="B474" s="3"/>
      <c r="C474" s="6"/>
      <c r="D474" s="2"/>
      <c r="E474" s="2"/>
      <c r="F474" s="2"/>
      <c r="G474" s="2"/>
      <c r="H474" s="2"/>
      <c r="I474" s="3"/>
      <c r="J474" s="3"/>
      <c r="K474" s="3"/>
      <c r="L474" s="3"/>
      <c r="M474" s="3"/>
      <c r="N474" s="3"/>
      <c r="O474" s="3"/>
      <c r="P474" s="2"/>
      <c r="Q474" s="3"/>
      <c r="R474" s="2"/>
      <c r="S474" s="4"/>
      <c r="T474" s="3"/>
      <c r="U474" s="4"/>
      <c r="V474" s="3"/>
      <c r="W474" s="4"/>
      <c r="X474" s="3"/>
      <c r="Y474" s="3"/>
      <c r="Z474" s="3"/>
      <c r="AA474" s="3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</row>
    <row r="475">
      <c r="A475" s="256"/>
      <c r="B475" s="256"/>
      <c r="C475" s="257"/>
      <c r="D475" s="257"/>
      <c r="E475" s="257"/>
      <c r="F475" s="257"/>
      <c r="G475" s="257"/>
      <c r="H475" s="257"/>
      <c r="I475" s="256"/>
      <c r="J475" s="256"/>
      <c r="K475" s="256"/>
      <c r="L475" s="256"/>
      <c r="M475" s="256"/>
      <c r="N475" s="256"/>
      <c r="O475" s="256"/>
      <c r="P475" s="256"/>
      <c r="Q475" s="256"/>
      <c r="R475" s="256"/>
      <c r="S475" s="256"/>
      <c r="T475" s="256"/>
      <c r="U475" s="256"/>
      <c r="V475" s="256"/>
      <c r="W475" s="256"/>
      <c r="X475" s="256"/>
      <c r="Y475" s="256"/>
      <c r="Z475" s="256"/>
      <c r="AA475" s="256"/>
      <c r="AB475" s="256"/>
      <c r="AC475" s="256"/>
      <c r="AD475" s="256"/>
      <c r="AE475" s="256"/>
      <c r="AF475" s="256"/>
      <c r="AG475" s="256"/>
      <c r="AH475" s="256"/>
      <c r="AI475" s="256"/>
      <c r="AJ475" s="256"/>
      <c r="AK475" s="256"/>
      <c r="AL475" s="256"/>
      <c r="AM475" s="256"/>
      <c r="AN475" s="256"/>
      <c r="AO475" s="256"/>
      <c r="AP475" s="256"/>
      <c r="AQ475" s="256"/>
      <c r="AR475" s="256"/>
    </row>
    <row r="476">
      <c r="A476" s="256"/>
      <c r="B476" s="256"/>
      <c r="C476" s="257"/>
      <c r="D476" s="257"/>
      <c r="E476" s="257"/>
      <c r="F476" s="257"/>
      <c r="G476" s="257"/>
      <c r="H476" s="257"/>
      <c r="I476" s="256"/>
      <c r="J476" s="256"/>
      <c r="K476" s="256"/>
      <c r="L476" s="256"/>
      <c r="M476" s="256"/>
      <c r="N476" s="256"/>
      <c r="O476" s="256"/>
      <c r="P476" s="256"/>
      <c r="Q476" s="256"/>
      <c r="R476" s="256"/>
      <c r="S476" s="256"/>
      <c r="T476" s="256"/>
      <c r="U476" s="256"/>
      <c r="V476" s="256"/>
      <c r="W476" s="256"/>
      <c r="X476" s="256"/>
      <c r="Y476" s="256"/>
      <c r="Z476" s="256"/>
      <c r="AA476" s="256"/>
      <c r="AB476" s="256"/>
      <c r="AC476" s="256"/>
      <c r="AD476" s="256"/>
      <c r="AE476" s="256"/>
      <c r="AF476" s="256"/>
      <c r="AG476" s="256"/>
      <c r="AH476" s="256"/>
      <c r="AI476" s="256"/>
      <c r="AJ476" s="256"/>
      <c r="AK476" s="256"/>
      <c r="AL476" s="256"/>
      <c r="AM476" s="256"/>
      <c r="AN476" s="256"/>
      <c r="AO476" s="256"/>
      <c r="AP476" s="256"/>
      <c r="AQ476" s="256"/>
      <c r="AR476" s="256"/>
    </row>
    <row r="477">
      <c r="A477" s="256"/>
      <c r="B477" s="256"/>
      <c r="C477" s="257"/>
      <c r="D477" s="257"/>
      <c r="E477" s="257"/>
      <c r="F477" s="257"/>
      <c r="G477" s="257"/>
      <c r="H477" s="257"/>
      <c r="I477" s="256"/>
      <c r="J477" s="256"/>
      <c r="K477" s="256"/>
      <c r="L477" s="256"/>
      <c r="M477" s="256"/>
      <c r="N477" s="256"/>
      <c r="O477" s="256"/>
      <c r="P477" s="256"/>
      <c r="Q477" s="256"/>
      <c r="R477" s="256"/>
      <c r="S477" s="256"/>
      <c r="T477" s="256"/>
      <c r="U477" s="256"/>
      <c r="V477" s="256"/>
      <c r="W477" s="256"/>
      <c r="X477" s="256"/>
      <c r="Y477" s="256"/>
      <c r="Z477" s="256"/>
      <c r="AA477" s="256"/>
      <c r="AB477" s="256"/>
      <c r="AC477" s="256"/>
      <c r="AD477" s="256"/>
      <c r="AE477" s="256"/>
      <c r="AF477" s="256"/>
      <c r="AG477" s="256"/>
      <c r="AH477" s="256"/>
      <c r="AI477" s="256"/>
      <c r="AJ477" s="256"/>
      <c r="AK477" s="256"/>
      <c r="AL477" s="256"/>
      <c r="AM477" s="256"/>
      <c r="AN477" s="256"/>
      <c r="AO477" s="256"/>
      <c r="AP477" s="256"/>
      <c r="AQ477" s="256"/>
      <c r="AR477" s="256"/>
    </row>
    <row r="478">
      <c r="A478" s="256"/>
      <c r="B478" s="256"/>
      <c r="C478" s="257"/>
      <c r="D478" s="257"/>
      <c r="E478" s="257"/>
      <c r="F478" s="257"/>
      <c r="G478" s="257"/>
      <c r="H478" s="257"/>
      <c r="I478" s="256"/>
      <c r="J478" s="256"/>
      <c r="K478" s="256"/>
      <c r="L478" s="256"/>
      <c r="M478" s="256"/>
      <c r="N478" s="256"/>
      <c r="O478" s="256"/>
      <c r="P478" s="256"/>
      <c r="Q478" s="256"/>
      <c r="R478" s="256"/>
      <c r="S478" s="256"/>
      <c r="T478" s="256"/>
      <c r="U478" s="256"/>
      <c r="V478" s="256"/>
      <c r="W478" s="256"/>
      <c r="X478" s="256"/>
      <c r="Y478" s="256"/>
      <c r="Z478" s="256"/>
      <c r="AA478" s="256"/>
      <c r="AB478" s="256"/>
      <c r="AC478" s="256"/>
      <c r="AD478" s="256"/>
      <c r="AE478" s="256"/>
      <c r="AF478" s="256"/>
      <c r="AG478" s="256"/>
      <c r="AH478" s="256"/>
      <c r="AI478" s="256"/>
      <c r="AJ478" s="256"/>
      <c r="AK478" s="256"/>
      <c r="AL478" s="256"/>
      <c r="AM478" s="256"/>
      <c r="AN478" s="256"/>
      <c r="AO478" s="256"/>
      <c r="AP478" s="256"/>
      <c r="AQ478" s="256"/>
      <c r="AR478" s="256"/>
    </row>
    <row r="479">
      <c r="A479" s="256"/>
      <c r="B479" s="256"/>
      <c r="C479" s="257"/>
      <c r="D479" s="257"/>
      <c r="E479" s="257"/>
      <c r="F479" s="257"/>
      <c r="G479" s="257"/>
      <c r="H479" s="257"/>
      <c r="I479" s="256"/>
      <c r="J479" s="256"/>
      <c r="K479" s="256"/>
      <c r="L479" s="256"/>
      <c r="M479" s="256"/>
      <c r="N479" s="256"/>
      <c r="O479" s="256"/>
      <c r="P479" s="256"/>
      <c r="Q479" s="256"/>
      <c r="R479" s="256"/>
      <c r="S479" s="256"/>
      <c r="T479" s="256"/>
      <c r="U479" s="256"/>
      <c r="V479" s="256"/>
      <c r="W479" s="256"/>
      <c r="X479" s="256"/>
      <c r="Y479" s="256"/>
      <c r="Z479" s="256"/>
      <c r="AA479" s="256"/>
      <c r="AB479" s="256"/>
      <c r="AC479" s="256"/>
      <c r="AD479" s="256"/>
      <c r="AE479" s="256"/>
      <c r="AF479" s="256"/>
      <c r="AG479" s="256"/>
      <c r="AH479" s="256"/>
      <c r="AI479" s="256"/>
      <c r="AJ479" s="256"/>
      <c r="AK479" s="256"/>
      <c r="AL479" s="256"/>
      <c r="AM479" s="256"/>
      <c r="AN479" s="256"/>
      <c r="AO479" s="256"/>
      <c r="AP479" s="256"/>
      <c r="AQ479" s="256"/>
      <c r="AR479" s="256"/>
    </row>
    <row r="480">
      <c r="A480" s="256"/>
      <c r="B480" s="256"/>
      <c r="C480" s="257"/>
      <c r="D480" s="257"/>
      <c r="E480" s="257"/>
      <c r="F480" s="257"/>
      <c r="G480" s="257"/>
      <c r="H480" s="257"/>
      <c r="I480" s="256"/>
      <c r="J480" s="256"/>
      <c r="K480" s="256"/>
      <c r="L480" s="256"/>
      <c r="M480" s="256"/>
      <c r="N480" s="256"/>
      <c r="O480" s="256"/>
      <c r="P480" s="256"/>
      <c r="Q480" s="256"/>
      <c r="R480" s="256"/>
      <c r="S480" s="256"/>
      <c r="T480" s="256"/>
      <c r="U480" s="256"/>
      <c r="V480" s="256"/>
      <c r="W480" s="256"/>
      <c r="X480" s="256"/>
      <c r="Y480" s="256"/>
      <c r="Z480" s="256"/>
      <c r="AA480" s="256"/>
      <c r="AB480" s="256"/>
      <c r="AC480" s="256"/>
      <c r="AD480" s="256"/>
      <c r="AE480" s="256"/>
      <c r="AF480" s="256"/>
      <c r="AG480" s="256"/>
      <c r="AH480" s="256"/>
      <c r="AI480" s="256"/>
      <c r="AJ480" s="256"/>
      <c r="AK480" s="256"/>
      <c r="AL480" s="256"/>
      <c r="AM480" s="256"/>
      <c r="AN480" s="256"/>
      <c r="AO480" s="256"/>
      <c r="AP480" s="256"/>
      <c r="AQ480" s="256"/>
      <c r="AR480" s="256"/>
    </row>
    <row r="481">
      <c r="A481" s="256"/>
      <c r="B481" s="256"/>
      <c r="C481" s="257"/>
      <c r="D481" s="257"/>
      <c r="E481" s="257"/>
      <c r="F481" s="257"/>
      <c r="G481" s="257"/>
      <c r="H481" s="257"/>
      <c r="I481" s="256"/>
      <c r="J481" s="256"/>
      <c r="K481" s="256"/>
      <c r="L481" s="256"/>
      <c r="M481" s="256"/>
      <c r="N481" s="256"/>
      <c r="O481" s="256"/>
      <c r="P481" s="256"/>
      <c r="Q481" s="256"/>
      <c r="R481" s="256"/>
      <c r="S481" s="256"/>
      <c r="T481" s="256"/>
      <c r="U481" s="256"/>
      <c r="V481" s="256"/>
      <c r="W481" s="256"/>
      <c r="X481" s="256"/>
      <c r="Y481" s="256"/>
      <c r="Z481" s="256"/>
      <c r="AA481" s="256"/>
      <c r="AB481" s="256"/>
      <c r="AC481" s="256"/>
      <c r="AD481" s="256"/>
      <c r="AE481" s="256"/>
      <c r="AF481" s="256"/>
      <c r="AG481" s="256"/>
      <c r="AH481" s="256"/>
      <c r="AI481" s="256"/>
      <c r="AJ481" s="256"/>
      <c r="AK481" s="256"/>
      <c r="AL481" s="256"/>
      <c r="AM481" s="256"/>
      <c r="AN481" s="256"/>
      <c r="AO481" s="256"/>
      <c r="AP481" s="256"/>
      <c r="AQ481" s="256"/>
      <c r="AR481" s="256"/>
    </row>
    <row r="482">
      <c r="A482" s="256"/>
      <c r="B482" s="256"/>
      <c r="C482" s="257"/>
      <c r="D482" s="257"/>
      <c r="E482" s="257"/>
      <c r="F482" s="257"/>
      <c r="G482" s="257"/>
      <c r="H482" s="257"/>
      <c r="I482" s="256"/>
      <c r="J482" s="256"/>
      <c r="K482" s="256"/>
      <c r="L482" s="256"/>
      <c r="M482" s="256"/>
      <c r="N482" s="256"/>
      <c r="O482" s="256"/>
      <c r="P482" s="256"/>
      <c r="Q482" s="256"/>
      <c r="R482" s="256"/>
      <c r="S482" s="256"/>
      <c r="T482" s="256"/>
      <c r="U482" s="256"/>
      <c r="V482" s="256"/>
      <c r="W482" s="256"/>
      <c r="X482" s="256"/>
      <c r="Y482" s="256"/>
      <c r="Z482" s="256"/>
      <c r="AA482" s="256"/>
      <c r="AB482" s="256"/>
      <c r="AC482" s="256"/>
      <c r="AD482" s="256"/>
      <c r="AE482" s="256"/>
      <c r="AF482" s="256"/>
      <c r="AG482" s="256"/>
      <c r="AH482" s="256"/>
      <c r="AI482" s="256"/>
      <c r="AJ482" s="256"/>
      <c r="AK482" s="256"/>
      <c r="AL482" s="256"/>
      <c r="AM482" s="256"/>
      <c r="AN482" s="256"/>
      <c r="AO482" s="256"/>
      <c r="AP482" s="256"/>
      <c r="AQ482" s="256"/>
      <c r="AR482" s="256"/>
    </row>
    <row r="483">
      <c r="A483" s="256"/>
      <c r="B483" s="256"/>
      <c r="C483" s="257"/>
      <c r="D483" s="257"/>
      <c r="E483" s="257"/>
      <c r="F483" s="257"/>
      <c r="G483" s="257"/>
      <c r="H483" s="257"/>
      <c r="I483" s="256"/>
      <c r="J483" s="256"/>
      <c r="K483" s="256"/>
      <c r="L483" s="256"/>
      <c r="M483" s="256"/>
      <c r="N483" s="256"/>
      <c r="O483" s="256"/>
      <c r="P483" s="256"/>
      <c r="Q483" s="256"/>
      <c r="R483" s="256"/>
      <c r="S483" s="256"/>
      <c r="T483" s="256"/>
      <c r="U483" s="256"/>
      <c r="V483" s="256"/>
      <c r="W483" s="256"/>
      <c r="X483" s="256"/>
      <c r="Y483" s="256"/>
      <c r="Z483" s="256"/>
      <c r="AA483" s="256"/>
      <c r="AB483" s="256"/>
      <c r="AC483" s="256"/>
      <c r="AD483" s="256"/>
      <c r="AE483" s="256"/>
      <c r="AF483" s="256"/>
      <c r="AG483" s="256"/>
      <c r="AH483" s="256"/>
      <c r="AI483" s="256"/>
      <c r="AJ483" s="256"/>
      <c r="AK483" s="256"/>
      <c r="AL483" s="256"/>
      <c r="AM483" s="256"/>
      <c r="AN483" s="256"/>
      <c r="AO483" s="256"/>
      <c r="AP483" s="256"/>
      <c r="AQ483" s="256"/>
      <c r="AR483" s="256"/>
    </row>
    <row r="484">
      <c r="A484" s="256"/>
      <c r="B484" s="256"/>
      <c r="C484" s="257"/>
      <c r="D484" s="257"/>
      <c r="E484" s="257"/>
      <c r="F484" s="257"/>
      <c r="G484" s="257"/>
      <c r="H484" s="257"/>
      <c r="I484" s="256"/>
      <c r="J484" s="256"/>
      <c r="K484" s="256"/>
      <c r="L484" s="256"/>
      <c r="M484" s="256"/>
      <c r="N484" s="256"/>
      <c r="O484" s="256"/>
      <c r="P484" s="256"/>
      <c r="Q484" s="256"/>
      <c r="R484" s="256"/>
      <c r="S484" s="256"/>
      <c r="T484" s="256"/>
      <c r="U484" s="256"/>
      <c r="V484" s="256"/>
      <c r="W484" s="256"/>
      <c r="X484" s="256"/>
      <c r="Y484" s="256"/>
      <c r="Z484" s="256"/>
      <c r="AA484" s="256"/>
      <c r="AB484" s="256"/>
      <c r="AC484" s="256"/>
      <c r="AD484" s="256"/>
      <c r="AE484" s="256"/>
      <c r="AF484" s="256"/>
      <c r="AG484" s="256"/>
      <c r="AH484" s="256"/>
      <c r="AI484" s="256"/>
      <c r="AJ484" s="256"/>
      <c r="AK484" s="256"/>
      <c r="AL484" s="256"/>
      <c r="AM484" s="256"/>
      <c r="AN484" s="256"/>
      <c r="AO484" s="256"/>
      <c r="AP484" s="256"/>
      <c r="AQ484" s="256"/>
      <c r="AR484" s="256"/>
    </row>
    <row r="485">
      <c r="A485" s="256"/>
      <c r="B485" s="256"/>
      <c r="C485" s="257"/>
      <c r="D485" s="257"/>
      <c r="E485" s="257"/>
      <c r="F485" s="257"/>
      <c r="G485" s="257"/>
      <c r="H485" s="257"/>
      <c r="I485" s="256"/>
      <c r="J485" s="256"/>
      <c r="K485" s="256"/>
      <c r="L485" s="256"/>
      <c r="M485" s="256"/>
      <c r="N485" s="256"/>
      <c r="O485" s="256"/>
      <c r="P485" s="256"/>
      <c r="Q485" s="256"/>
      <c r="R485" s="256"/>
      <c r="S485" s="256"/>
      <c r="T485" s="256"/>
      <c r="U485" s="256"/>
      <c r="V485" s="256"/>
      <c r="W485" s="256"/>
      <c r="X485" s="256"/>
      <c r="Y485" s="256"/>
      <c r="Z485" s="256"/>
      <c r="AA485" s="256"/>
      <c r="AB485" s="256"/>
      <c r="AC485" s="256"/>
      <c r="AD485" s="256"/>
      <c r="AE485" s="256"/>
      <c r="AF485" s="256"/>
      <c r="AG485" s="256"/>
      <c r="AH485" s="256"/>
      <c r="AI485" s="256"/>
      <c r="AJ485" s="256"/>
      <c r="AK485" s="256"/>
      <c r="AL485" s="256"/>
      <c r="AM485" s="256"/>
      <c r="AN485" s="256"/>
      <c r="AO485" s="256"/>
      <c r="AP485" s="256"/>
      <c r="AQ485" s="256"/>
      <c r="AR485" s="256"/>
    </row>
    <row r="486">
      <c r="A486" s="256"/>
      <c r="B486" s="256"/>
      <c r="C486" s="257"/>
      <c r="D486" s="257"/>
      <c r="E486" s="257"/>
      <c r="F486" s="257"/>
      <c r="G486" s="257"/>
      <c r="H486" s="257"/>
      <c r="I486" s="256"/>
      <c r="J486" s="256"/>
      <c r="K486" s="256"/>
      <c r="L486" s="256"/>
      <c r="M486" s="256"/>
      <c r="N486" s="256"/>
      <c r="O486" s="256"/>
      <c r="P486" s="256"/>
      <c r="Q486" s="256"/>
      <c r="R486" s="256"/>
      <c r="S486" s="256"/>
      <c r="T486" s="256"/>
      <c r="U486" s="256"/>
      <c r="V486" s="256"/>
      <c r="W486" s="256"/>
      <c r="X486" s="256"/>
      <c r="Y486" s="256"/>
      <c r="Z486" s="256"/>
      <c r="AA486" s="256"/>
      <c r="AB486" s="256"/>
      <c r="AC486" s="256"/>
      <c r="AD486" s="256"/>
      <c r="AE486" s="256"/>
      <c r="AF486" s="256"/>
      <c r="AG486" s="256"/>
      <c r="AH486" s="256"/>
      <c r="AI486" s="256"/>
      <c r="AJ486" s="256"/>
      <c r="AK486" s="256"/>
      <c r="AL486" s="256"/>
      <c r="AM486" s="256"/>
      <c r="AN486" s="256"/>
      <c r="AO486" s="256"/>
      <c r="AP486" s="256"/>
      <c r="AQ486" s="256"/>
      <c r="AR486" s="256"/>
    </row>
    <row r="487">
      <c r="A487" s="256"/>
      <c r="B487" s="256"/>
      <c r="C487" s="257"/>
      <c r="D487" s="257"/>
      <c r="E487" s="257"/>
      <c r="F487" s="257"/>
      <c r="G487" s="257"/>
      <c r="H487" s="257"/>
      <c r="I487" s="256"/>
      <c r="J487" s="256"/>
      <c r="K487" s="256"/>
      <c r="L487" s="256"/>
      <c r="M487" s="256"/>
      <c r="N487" s="256"/>
      <c r="O487" s="256"/>
      <c r="P487" s="256"/>
      <c r="Q487" s="256"/>
      <c r="R487" s="256"/>
      <c r="S487" s="256"/>
      <c r="T487" s="256"/>
      <c r="U487" s="256"/>
      <c r="V487" s="256"/>
      <c r="W487" s="256"/>
      <c r="X487" s="256"/>
      <c r="Y487" s="256"/>
      <c r="Z487" s="256"/>
      <c r="AA487" s="256"/>
      <c r="AB487" s="256"/>
      <c r="AC487" s="256"/>
      <c r="AD487" s="256"/>
      <c r="AE487" s="256"/>
      <c r="AF487" s="256"/>
      <c r="AG487" s="256"/>
      <c r="AH487" s="256"/>
      <c r="AI487" s="256"/>
      <c r="AJ487" s="256"/>
      <c r="AK487" s="256"/>
      <c r="AL487" s="256"/>
      <c r="AM487" s="256"/>
      <c r="AN487" s="256"/>
      <c r="AO487" s="256"/>
      <c r="AP487" s="256"/>
      <c r="AQ487" s="256"/>
      <c r="AR487" s="256"/>
    </row>
    <row r="488">
      <c r="A488" s="256"/>
      <c r="B488" s="256"/>
      <c r="C488" s="257"/>
      <c r="D488" s="257"/>
      <c r="E488" s="257"/>
      <c r="F488" s="257"/>
      <c r="G488" s="257"/>
      <c r="H488" s="257"/>
      <c r="I488" s="256"/>
      <c r="J488" s="256"/>
      <c r="K488" s="256"/>
      <c r="L488" s="256"/>
      <c r="M488" s="256"/>
      <c r="N488" s="256"/>
      <c r="O488" s="256"/>
      <c r="P488" s="256"/>
      <c r="Q488" s="256"/>
      <c r="R488" s="256"/>
      <c r="S488" s="256"/>
      <c r="T488" s="256"/>
      <c r="U488" s="256"/>
      <c r="V488" s="256"/>
      <c r="W488" s="256"/>
      <c r="X488" s="256"/>
      <c r="Y488" s="256"/>
      <c r="Z488" s="256"/>
      <c r="AA488" s="256"/>
      <c r="AB488" s="256"/>
      <c r="AC488" s="256"/>
      <c r="AD488" s="256"/>
      <c r="AE488" s="256"/>
      <c r="AF488" s="256"/>
      <c r="AG488" s="256"/>
      <c r="AH488" s="256"/>
      <c r="AI488" s="256"/>
      <c r="AJ488" s="256"/>
      <c r="AK488" s="256"/>
      <c r="AL488" s="256"/>
      <c r="AM488" s="256"/>
      <c r="AN488" s="256"/>
      <c r="AO488" s="256"/>
      <c r="AP488" s="256"/>
      <c r="AQ488" s="256"/>
      <c r="AR488" s="256"/>
    </row>
    <row r="489">
      <c r="A489" s="256"/>
      <c r="B489" s="256"/>
      <c r="C489" s="257"/>
      <c r="D489" s="257"/>
      <c r="E489" s="257"/>
      <c r="F489" s="257"/>
      <c r="G489" s="257"/>
      <c r="H489" s="257"/>
      <c r="I489" s="256"/>
      <c r="J489" s="256"/>
      <c r="K489" s="256"/>
      <c r="L489" s="256"/>
      <c r="M489" s="256"/>
      <c r="N489" s="256"/>
      <c r="O489" s="256"/>
      <c r="P489" s="256"/>
      <c r="Q489" s="256"/>
      <c r="R489" s="256"/>
      <c r="S489" s="256"/>
      <c r="T489" s="256"/>
      <c r="U489" s="256"/>
      <c r="V489" s="256"/>
      <c r="W489" s="256"/>
      <c r="X489" s="256"/>
      <c r="Y489" s="256"/>
      <c r="Z489" s="256"/>
      <c r="AA489" s="256"/>
      <c r="AB489" s="256"/>
      <c r="AC489" s="256"/>
      <c r="AD489" s="256"/>
      <c r="AE489" s="256"/>
      <c r="AF489" s="256"/>
      <c r="AG489" s="256"/>
      <c r="AH489" s="256"/>
      <c r="AI489" s="256"/>
      <c r="AJ489" s="256"/>
      <c r="AK489" s="256"/>
      <c r="AL489" s="256"/>
      <c r="AM489" s="256"/>
      <c r="AN489" s="256"/>
      <c r="AO489" s="256"/>
      <c r="AP489" s="256"/>
      <c r="AQ489" s="256"/>
      <c r="AR489" s="256"/>
    </row>
    <row r="490">
      <c r="A490" s="256"/>
      <c r="B490" s="256"/>
      <c r="C490" s="257"/>
      <c r="D490" s="257"/>
      <c r="E490" s="257"/>
      <c r="F490" s="257"/>
      <c r="G490" s="257"/>
      <c r="H490" s="257"/>
      <c r="I490" s="256"/>
      <c r="J490" s="256"/>
      <c r="K490" s="256"/>
      <c r="L490" s="256"/>
      <c r="M490" s="256"/>
      <c r="N490" s="256"/>
      <c r="O490" s="256"/>
      <c r="P490" s="256"/>
      <c r="Q490" s="256"/>
      <c r="R490" s="256"/>
      <c r="S490" s="256"/>
      <c r="T490" s="256"/>
      <c r="U490" s="256"/>
      <c r="V490" s="256"/>
      <c r="W490" s="256"/>
      <c r="X490" s="256"/>
      <c r="Y490" s="256"/>
      <c r="Z490" s="256"/>
      <c r="AA490" s="256"/>
      <c r="AB490" s="256"/>
      <c r="AC490" s="256"/>
      <c r="AD490" s="256"/>
      <c r="AE490" s="256"/>
      <c r="AF490" s="256"/>
      <c r="AG490" s="256"/>
      <c r="AH490" s="256"/>
      <c r="AI490" s="256"/>
      <c r="AJ490" s="256"/>
      <c r="AK490" s="256"/>
      <c r="AL490" s="256"/>
      <c r="AM490" s="256"/>
      <c r="AN490" s="256"/>
      <c r="AO490" s="256"/>
      <c r="AP490" s="256"/>
      <c r="AQ490" s="256"/>
      <c r="AR490" s="256"/>
    </row>
    <row r="491">
      <c r="A491" s="256"/>
      <c r="B491" s="256"/>
      <c r="C491" s="257"/>
      <c r="D491" s="257"/>
      <c r="E491" s="257"/>
      <c r="F491" s="257"/>
      <c r="G491" s="257"/>
      <c r="H491" s="257"/>
      <c r="I491" s="256"/>
      <c r="J491" s="256"/>
      <c r="K491" s="256"/>
      <c r="L491" s="256"/>
      <c r="M491" s="256"/>
      <c r="N491" s="256"/>
      <c r="O491" s="256"/>
      <c r="P491" s="256"/>
      <c r="Q491" s="256"/>
      <c r="R491" s="256"/>
      <c r="S491" s="256"/>
      <c r="T491" s="256"/>
      <c r="U491" s="256"/>
      <c r="V491" s="256"/>
      <c r="W491" s="256"/>
      <c r="X491" s="256"/>
      <c r="Y491" s="256"/>
      <c r="Z491" s="256"/>
      <c r="AA491" s="256"/>
      <c r="AB491" s="256"/>
      <c r="AC491" s="256"/>
      <c r="AD491" s="256"/>
      <c r="AE491" s="256"/>
      <c r="AF491" s="256"/>
      <c r="AG491" s="256"/>
      <c r="AH491" s="256"/>
      <c r="AI491" s="256"/>
      <c r="AJ491" s="256"/>
      <c r="AK491" s="256"/>
      <c r="AL491" s="256"/>
      <c r="AM491" s="256"/>
      <c r="AN491" s="256"/>
      <c r="AO491" s="256"/>
      <c r="AP491" s="256"/>
      <c r="AQ491" s="256"/>
      <c r="AR491" s="256"/>
    </row>
    <row r="492">
      <c r="A492" s="256"/>
      <c r="B492" s="256"/>
      <c r="C492" s="257"/>
      <c r="D492" s="257"/>
      <c r="E492" s="257"/>
      <c r="F492" s="257"/>
      <c r="G492" s="257"/>
      <c r="H492" s="257"/>
      <c r="I492" s="256"/>
      <c r="J492" s="256"/>
      <c r="K492" s="256"/>
      <c r="L492" s="256"/>
      <c r="M492" s="256"/>
      <c r="N492" s="256"/>
      <c r="O492" s="256"/>
      <c r="P492" s="256"/>
      <c r="Q492" s="256"/>
      <c r="R492" s="256"/>
      <c r="S492" s="256"/>
      <c r="T492" s="256"/>
      <c r="U492" s="256"/>
      <c r="V492" s="256"/>
      <c r="W492" s="256"/>
      <c r="X492" s="256"/>
      <c r="Y492" s="256"/>
      <c r="Z492" s="256"/>
      <c r="AA492" s="256"/>
      <c r="AB492" s="256"/>
      <c r="AC492" s="256"/>
      <c r="AD492" s="256"/>
      <c r="AE492" s="256"/>
      <c r="AF492" s="256"/>
      <c r="AG492" s="256"/>
      <c r="AH492" s="256"/>
      <c r="AI492" s="256"/>
      <c r="AJ492" s="256"/>
      <c r="AK492" s="256"/>
      <c r="AL492" s="256"/>
      <c r="AM492" s="256"/>
      <c r="AN492" s="256"/>
      <c r="AO492" s="256"/>
      <c r="AP492" s="256"/>
      <c r="AQ492" s="256"/>
      <c r="AR492" s="256"/>
    </row>
    <row r="493">
      <c r="A493" s="256"/>
      <c r="B493" s="256"/>
      <c r="C493" s="257"/>
      <c r="D493" s="257"/>
      <c r="E493" s="257"/>
      <c r="F493" s="257"/>
      <c r="G493" s="257"/>
      <c r="H493" s="257"/>
      <c r="I493" s="256"/>
      <c r="J493" s="256"/>
      <c r="K493" s="256"/>
      <c r="L493" s="256"/>
      <c r="M493" s="256"/>
      <c r="N493" s="256"/>
      <c r="O493" s="256"/>
      <c r="P493" s="256"/>
      <c r="Q493" s="256"/>
      <c r="R493" s="256"/>
      <c r="S493" s="256"/>
      <c r="T493" s="256"/>
      <c r="U493" s="256"/>
      <c r="V493" s="256"/>
      <c r="W493" s="256"/>
      <c r="X493" s="256"/>
      <c r="Y493" s="256"/>
      <c r="Z493" s="256"/>
      <c r="AA493" s="256"/>
      <c r="AB493" s="256"/>
      <c r="AC493" s="256"/>
      <c r="AD493" s="256"/>
      <c r="AE493" s="256"/>
      <c r="AF493" s="256"/>
      <c r="AG493" s="256"/>
      <c r="AH493" s="256"/>
      <c r="AI493" s="256"/>
      <c r="AJ493" s="256"/>
      <c r="AK493" s="256"/>
      <c r="AL493" s="256"/>
      <c r="AM493" s="256"/>
      <c r="AN493" s="256"/>
      <c r="AO493" s="256"/>
      <c r="AP493" s="256"/>
      <c r="AQ493" s="256"/>
      <c r="AR493" s="256"/>
    </row>
    <row r="494">
      <c r="A494" s="256"/>
      <c r="B494" s="256"/>
      <c r="C494" s="257"/>
      <c r="D494" s="257"/>
      <c r="E494" s="257"/>
      <c r="F494" s="257"/>
      <c r="G494" s="257"/>
      <c r="H494" s="257"/>
      <c r="I494" s="256"/>
      <c r="J494" s="256"/>
      <c r="K494" s="256"/>
      <c r="L494" s="256"/>
      <c r="M494" s="256"/>
      <c r="N494" s="256"/>
      <c r="O494" s="256"/>
      <c r="P494" s="256"/>
      <c r="Q494" s="256"/>
      <c r="R494" s="256"/>
      <c r="S494" s="256"/>
      <c r="T494" s="256"/>
      <c r="U494" s="256"/>
      <c r="V494" s="256"/>
      <c r="W494" s="256"/>
      <c r="X494" s="256"/>
      <c r="Y494" s="256"/>
      <c r="Z494" s="256"/>
      <c r="AA494" s="256"/>
      <c r="AB494" s="256"/>
      <c r="AC494" s="256"/>
      <c r="AD494" s="256"/>
      <c r="AE494" s="256"/>
      <c r="AF494" s="256"/>
      <c r="AG494" s="256"/>
      <c r="AH494" s="256"/>
      <c r="AI494" s="256"/>
      <c r="AJ494" s="256"/>
      <c r="AK494" s="256"/>
      <c r="AL494" s="256"/>
      <c r="AM494" s="256"/>
      <c r="AN494" s="256"/>
      <c r="AO494" s="256"/>
      <c r="AP494" s="256"/>
      <c r="AQ494" s="256"/>
      <c r="AR494" s="256"/>
    </row>
    <row r="495">
      <c r="A495" s="256"/>
      <c r="B495" s="256"/>
      <c r="C495" s="257"/>
      <c r="D495" s="257"/>
      <c r="E495" s="257"/>
      <c r="F495" s="257"/>
      <c r="G495" s="257"/>
      <c r="H495" s="257"/>
      <c r="I495" s="256"/>
      <c r="J495" s="256"/>
      <c r="K495" s="256"/>
      <c r="L495" s="256"/>
      <c r="M495" s="256"/>
      <c r="N495" s="256"/>
      <c r="O495" s="256"/>
      <c r="P495" s="256"/>
      <c r="Q495" s="256"/>
      <c r="R495" s="256"/>
      <c r="S495" s="256"/>
      <c r="T495" s="256"/>
      <c r="U495" s="256"/>
      <c r="V495" s="256"/>
      <c r="W495" s="256"/>
      <c r="X495" s="256"/>
      <c r="Y495" s="256"/>
      <c r="Z495" s="256"/>
      <c r="AA495" s="256"/>
      <c r="AB495" s="256"/>
      <c r="AC495" s="256"/>
      <c r="AD495" s="256"/>
      <c r="AE495" s="256"/>
      <c r="AF495" s="256"/>
      <c r="AG495" s="256"/>
      <c r="AH495" s="256"/>
      <c r="AI495" s="256"/>
      <c r="AJ495" s="256"/>
      <c r="AK495" s="256"/>
      <c r="AL495" s="256"/>
      <c r="AM495" s="256"/>
      <c r="AN495" s="256"/>
      <c r="AO495" s="256"/>
      <c r="AP495" s="256"/>
      <c r="AQ495" s="256"/>
      <c r="AR495" s="256"/>
    </row>
    <row r="496">
      <c r="A496" s="256"/>
      <c r="B496" s="256"/>
      <c r="C496" s="257"/>
      <c r="D496" s="257"/>
      <c r="E496" s="257"/>
      <c r="F496" s="257"/>
      <c r="G496" s="257"/>
      <c r="H496" s="257"/>
      <c r="I496" s="256"/>
      <c r="J496" s="256"/>
      <c r="K496" s="256"/>
      <c r="L496" s="256"/>
      <c r="M496" s="256"/>
      <c r="N496" s="256"/>
      <c r="O496" s="256"/>
      <c r="P496" s="256"/>
      <c r="Q496" s="256"/>
      <c r="R496" s="256"/>
      <c r="S496" s="256"/>
      <c r="T496" s="256"/>
      <c r="U496" s="256"/>
      <c r="V496" s="256"/>
      <c r="W496" s="256"/>
      <c r="X496" s="256"/>
      <c r="Y496" s="256"/>
      <c r="Z496" s="256"/>
      <c r="AA496" s="256"/>
      <c r="AB496" s="256"/>
      <c r="AC496" s="256"/>
      <c r="AD496" s="256"/>
      <c r="AE496" s="256"/>
      <c r="AF496" s="256"/>
      <c r="AG496" s="256"/>
      <c r="AH496" s="256"/>
      <c r="AI496" s="256"/>
      <c r="AJ496" s="256"/>
      <c r="AK496" s="256"/>
      <c r="AL496" s="256"/>
      <c r="AM496" s="256"/>
      <c r="AN496" s="256"/>
      <c r="AO496" s="256"/>
      <c r="AP496" s="256"/>
      <c r="AQ496" s="256"/>
      <c r="AR496" s="256"/>
    </row>
    <row r="497">
      <c r="A497" s="256"/>
      <c r="B497" s="256"/>
      <c r="C497" s="257"/>
      <c r="D497" s="257"/>
      <c r="E497" s="257"/>
      <c r="F497" s="257"/>
      <c r="G497" s="257"/>
      <c r="H497" s="257"/>
      <c r="I497" s="256"/>
      <c r="J497" s="256"/>
      <c r="K497" s="256"/>
      <c r="L497" s="256"/>
      <c r="M497" s="256"/>
      <c r="N497" s="256"/>
      <c r="O497" s="256"/>
      <c r="P497" s="256"/>
      <c r="Q497" s="256"/>
      <c r="R497" s="256"/>
      <c r="S497" s="256"/>
      <c r="T497" s="256"/>
      <c r="U497" s="256"/>
      <c r="V497" s="256"/>
      <c r="W497" s="256"/>
      <c r="X497" s="256"/>
      <c r="Y497" s="256"/>
      <c r="Z497" s="256"/>
      <c r="AA497" s="256"/>
      <c r="AB497" s="256"/>
      <c r="AC497" s="256"/>
      <c r="AD497" s="256"/>
      <c r="AE497" s="256"/>
      <c r="AF497" s="256"/>
      <c r="AG497" s="256"/>
      <c r="AH497" s="256"/>
      <c r="AI497" s="256"/>
      <c r="AJ497" s="256"/>
      <c r="AK497" s="256"/>
      <c r="AL497" s="256"/>
      <c r="AM497" s="256"/>
      <c r="AN497" s="256"/>
      <c r="AO497" s="256"/>
      <c r="AP497" s="256"/>
      <c r="AQ497" s="256"/>
      <c r="AR497" s="256"/>
    </row>
    <row r="498">
      <c r="A498" s="256"/>
      <c r="B498" s="256"/>
      <c r="C498" s="257"/>
      <c r="D498" s="257"/>
      <c r="E498" s="257"/>
      <c r="F498" s="257"/>
      <c r="G498" s="257"/>
      <c r="H498" s="257"/>
      <c r="I498" s="256"/>
      <c r="J498" s="256"/>
      <c r="K498" s="256"/>
      <c r="L498" s="256"/>
      <c r="M498" s="256"/>
      <c r="N498" s="256"/>
      <c r="O498" s="256"/>
      <c r="P498" s="256"/>
      <c r="Q498" s="256"/>
      <c r="R498" s="256"/>
      <c r="S498" s="256"/>
      <c r="T498" s="256"/>
      <c r="U498" s="256"/>
      <c r="V498" s="256"/>
      <c r="W498" s="256"/>
      <c r="X498" s="256"/>
      <c r="Y498" s="256"/>
      <c r="Z498" s="256"/>
      <c r="AA498" s="256"/>
      <c r="AB498" s="256"/>
      <c r="AC498" s="256"/>
      <c r="AD498" s="256"/>
      <c r="AE498" s="256"/>
      <c r="AF498" s="256"/>
      <c r="AG498" s="256"/>
      <c r="AH498" s="256"/>
      <c r="AI498" s="256"/>
      <c r="AJ498" s="256"/>
      <c r="AK498" s="256"/>
      <c r="AL498" s="256"/>
      <c r="AM498" s="256"/>
      <c r="AN498" s="256"/>
      <c r="AO498" s="256"/>
      <c r="AP498" s="256"/>
      <c r="AQ498" s="256"/>
      <c r="AR498" s="256"/>
    </row>
    <row r="499">
      <c r="A499" s="256"/>
      <c r="B499" s="256"/>
      <c r="C499" s="257"/>
      <c r="D499" s="257"/>
      <c r="E499" s="257"/>
      <c r="F499" s="257"/>
      <c r="G499" s="257"/>
      <c r="H499" s="257"/>
      <c r="I499" s="256"/>
      <c r="J499" s="256"/>
      <c r="K499" s="256"/>
      <c r="L499" s="256"/>
      <c r="M499" s="256"/>
      <c r="N499" s="256"/>
      <c r="O499" s="256"/>
      <c r="P499" s="256"/>
      <c r="Q499" s="256"/>
      <c r="R499" s="256"/>
      <c r="S499" s="256"/>
      <c r="T499" s="256"/>
      <c r="U499" s="256"/>
      <c r="V499" s="256"/>
      <c r="W499" s="256"/>
      <c r="X499" s="256"/>
      <c r="Y499" s="256"/>
      <c r="Z499" s="256"/>
      <c r="AA499" s="256"/>
      <c r="AB499" s="256"/>
      <c r="AC499" s="256"/>
      <c r="AD499" s="256"/>
      <c r="AE499" s="256"/>
      <c r="AF499" s="256"/>
      <c r="AG499" s="256"/>
      <c r="AH499" s="256"/>
      <c r="AI499" s="256"/>
      <c r="AJ499" s="256"/>
      <c r="AK499" s="256"/>
      <c r="AL499" s="256"/>
      <c r="AM499" s="256"/>
      <c r="AN499" s="256"/>
      <c r="AO499" s="256"/>
      <c r="AP499" s="256"/>
      <c r="AQ499" s="256"/>
      <c r="AR499" s="256"/>
    </row>
    <row r="500">
      <c r="A500" s="256"/>
      <c r="B500" s="256"/>
      <c r="C500" s="257"/>
      <c r="D500" s="257"/>
      <c r="E500" s="257"/>
      <c r="F500" s="257"/>
      <c r="G500" s="257"/>
      <c r="H500" s="257"/>
      <c r="I500" s="256"/>
      <c r="J500" s="256"/>
      <c r="K500" s="256"/>
      <c r="L500" s="256"/>
      <c r="M500" s="256"/>
      <c r="N500" s="256"/>
      <c r="O500" s="256"/>
      <c r="P500" s="256"/>
      <c r="Q500" s="256"/>
      <c r="R500" s="256"/>
      <c r="S500" s="256"/>
      <c r="T500" s="256"/>
      <c r="U500" s="256"/>
      <c r="V500" s="256"/>
      <c r="W500" s="256"/>
      <c r="X500" s="256"/>
      <c r="Y500" s="256"/>
      <c r="Z500" s="256"/>
      <c r="AA500" s="256"/>
      <c r="AB500" s="256"/>
      <c r="AC500" s="256"/>
      <c r="AD500" s="256"/>
      <c r="AE500" s="256"/>
      <c r="AF500" s="256"/>
      <c r="AG500" s="256"/>
      <c r="AH500" s="256"/>
      <c r="AI500" s="256"/>
      <c r="AJ500" s="256"/>
      <c r="AK500" s="256"/>
      <c r="AL500" s="256"/>
      <c r="AM500" s="256"/>
      <c r="AN500" s="256"/>
      <c r="AO500" s="256"/>
      <c r="AP500" s="256"/>
      <c r="AQ500" s="256"/>
      <c r="AR500" s="256"/>
    </row>
    <row r="501">
      <c r="A501" s="256"/>
      <c r="B501" s="256"/>
      <c r="C501" s="257"/>
      <c r="D501" s="257"/>
      <c r="E501" s="257"/>
      <c r="F501" s="257"/>
      <c r="G501" s="257"/>
      <c r="H501" s="257"/>
      <c r="I501" s="256"/>
      <c r="J501" s="256"/>
      <c r="K501" s="256"/>
      <c r="L501" s="256"/>
      <c r="M501" s="256"/>
      <c r="N501" s="256"/>
      <c r="O501" s="256"/>
      <c r="P501" s="256"/>
      <c r="Q501" s="256"/>
      <c r="R501" s="256"/>
      <c r="S501" s="256"/>
      <c r="T501" s="256"/>
      <c r="U501" s="256"/>
      <c r="V501" s="256"/>
      <c r="W501" s="256"/>
      <c r="X501" s="256"/>
      <c r="Y501" s="256"/>
      <c r="Z501" s="256"/>
      <c r="AA501" s="256"/>
      <c r="AB501" s="256"/>
      <c r="AC501" s="256"/>
      <c r="AD501" s="256"/>
      <c r="AE501" s="256"/>
      <c r="AF501" s="256"/>
      <c r="AG501" s="256"/>
      <c r="AH501" s="256"/>
      <c r="AI501" s="256"/>
      <c r="AJ501" s="256"/>
      <c r="AK501" s="256"/>
      <c r="AL501" s="256"/>
      <c r="AM501" s="256"/>
      <c r="AN501" s="256"/>
      <c r="AO501" s="256"/>
      <c r="AP501" s="256"/>
      <c r="AQ501" s="256"/>
      <c r="AR501" s="256"/>
    </row>
    <row r="502">
      <c r="A502" s="256"/>
      <c r="B502" s="256"/>
      <c r="C502" s="257"/>
      <c r="D502" s="257"/>
      <c r="E502" s="257"/>
      <c r="F502" s="257"/>
      <c r="G502" s="257"/>
      <c r="H502" s="257"/>
      <c r="I502" s="256"/>
      <c r="J502" s="256"/>
      <c r="K502" s="256"/>
      <c r="L502" s="256"/>
      <c r="M502" s="256"/>
      <c r="N502" s="256"/>
      <c r="O502" s="256"/>
      <c r="P502" s="256"/>
      <c r="Q502" s="256"/>
      <c r="R502" s="256"/>
      <c r="S502" s="256"/>
      <c r="T502" s="256"/>
      <c r="U502" s="256"/>
      <c r="V502" s="256"/>
      <c r="W502" s="256"/>
      <c r="X502" s="256"/>
      <c r="Y502" s="256"/>
      <c r="Z502" s="256"/>
      <c r="AA502" s="256"/>
      <c r="AB502" s="256"/>
      <c r="AC502" s="256"/>
      <c r="AD502" s="256"/>
      <c r="AE502" s="256"/>
      <c r="AF502" s="256"/>
      <c r="AG502" s="256"/>
      <c r="AH502" s="256"/>
      <c r="AI502" s="256"/>
      <c r="AJ502" s="256"/>
      <c r="AK502" s="256"/>
      <c r="AL502" s="256"/>
      <c r="AM502" s="256"/>
      <c r="AN502" s="256"/>
      <c r="AO502" s="256"/>
      <c r="AP502" s="256"/>
      <c r="AQ502" s="256"/>
      <c r="AR502" s="256"/>
    </row>
    <row r="503">
      <c r="A503" s="256"/>
      <c r="B503" s="256"/>
      <c r="C503" s="257"/>
      <c r="D503" s="257"/>
      <c r="E503" s="257"/>
      <c r="F503" s="257"/>
      <c r="G503" s="257"/>
      <c r="H503" s="257"/>
      <c r="I503" s="256"/>
      <c r="J503" s="256"/>
      <c r="K503" s="256"/>
      <c r="L503" s="256"/>
      <c r="M503" s="256"/>
      <c r="N503" s="256"/>
      <c r="O503" s="256"/>
      <c r="P503" s="256"/>
      <c r="Q503" s="256"/>
      <c r="R503" s="256"/>
      <c r="S503" s="256"/>
      <c r="T503" s="256"/>
      <c r="U503" s="256"/>
      <c r="V503" s="256"/>
      <c r="W503" s="256"/>
      <c r="X503" s="256"/>
      <c r="Y503" s="256"/>
      <c r="Z503" s="256"/>
      <c r="AA503" s="256"/>
      <c r="AB503" s="256"/>
      <c r="AC503" s="256"/>
      <c r="AD503" s="256"/>
      <c r="AE503" s="256"/>
      <c r="AF503" s="256"/>
      <c r="AG503" s="256"/>
      <c r="AH503" s="256"/>
      <c r="AI503" s="256"/>
      <c r="AJ503" s="256"/>
      <c r="AK503" s="256"/>
      <c r="AL503" s="256"/>
      <c r="AM503" s="256"/>
      <c r="AN503" s="256"/>
      <c r="AO503" s="256"/>
      <c r="AP503" s="256"/>
      <c r="AQ503" s="256"/>
      <c r="AR503" s="256"/>
    </row>
    <row r="504">
      <c r="A504" s="256"/>
      <c r="B504" s="256"/>
      <c r="C504" s="257"/>
      <c r="D504" s="257"/>
      <c r="E504" s="257"/>
      <c r="F504" s="257"/>
      <c r="G504" s="257"/>
      <c r="H504" s="257"/>
      <c r="I504" s="256"/>
      <c r="J504" s="256"/>
      <c r="K504" s="256"/>
      <c r="L504" s="256"/>
      <c r="M504" s="256"/>
      <c r="N504" s="256"/>
      <c r="O504" s="256"/>
      <c r="P504" s="256"/>
      <c r="Q504" s="256"/>
      <c r="R504" s="256"/>
      <c r="S504" s="256"/>
      <c r="T504" s="256"/>
      <c r="U504" s="256"/>
      <c r="V504" s="256"/>
      <c r="W504" s="256"/>
      <c r="X504" s="256"/>
      <c r="Y504" s="256"/>
      <c r="Z504" s="256"/>
      <c r="AA504" s="256"/>
      <c r="AB504" s="256"/>
      <c r="AC504" s="256"/>
      <c r="AD504" s="256"/>
      <c r="AE504" s="256"/>
      <c r="AF504" s="256"/>
      <c r="AG504" s="256"/>
      <c r="AH504" s="256"/>
      <c r="AI504" s="256"/>
      <c r="AJ504" s="256"/>
      <c r="AK504" s="256"/>
      <c r="AL504" s="256"/>
      <c r="AM504" s="256"/>
      <c r="AN504" s="256"/>
      <c r="AO504" s="256"/>
      <c r="AP504" s="256"/>
      <c r="AQ504" s="256"/>
      <c r="AR504" s="256"/>
    </row>
    <row r="505">
      <c r="A505" s="256"/>
      <c r="B505" s="256"/>
      <c r="C505" s="257"/>
      <c r="D505" s="257"/>
      <c r="E505" s="257"/>
      <c r="F505" s="257"/>
      <c r="G505" s="257"/>
      <c r="H505" s="257"/>
      <c r="I505" s="256"/>
      <c r="J505" s="256"/>
      <c r="K505" s="256"/>
      <c r="L505" s="256"/>
      <c r="M505" s="256"/>
      <c r="N505" s="256"/>
      <c r="O505" s="256"/>
      <c r="P505" s="256"/>
      <c r="Q505" s="256"/>
      <c r="R505" s="256"/>
      <c r="S505" s="256"/>
      <c r="T505" s="256"/>
      <c r="U505" s="256"/>
      <c r="V505" s="256"/>
      <c r="W505" s="256"/>
      <c r="X505" s="256"/>
      <c r="Y505" s="256"/>
      <c r="Z505" s="256"/>
      <c r="AA505" s="256"/>
      <c r="AB505" s="256"/>
      <c r="AC505" s="256"/>
      <c r="AD505" s="256"/>
      <c r="AE505" s="256"/>
      <c r="AF505" s="256"/>
      <c r="AG505" s="256"/>
      <c r="AH505" s="256"/>
      <c r="AI505" s="256"/>
      <c r="AJ505" s="256"/>
      <c r="AK505" s="256"/>
      <c r="AL505" s="256"/>
      <c r="AM505" s="256"/>
      <c r="AN505" s="256"/>
      <c r="AO505" s="256"/>
      <c r="AP505" s="256"/>
      <c r="AQ505" s="256"/>
      <c r="AR505" s="256"/>
    </row>
    <row r="506">
      <c r="A506" s="256"/>
      <c r="B506" s="256"/>
      <c r="C506" s="257"/>
      <c r="D506" s="257"/>
      <c r="E506" s="257"/>
      <c r="F506" s="257"/>
      <c r="G506" s="257"/>
      <c r="H506" s="257"/>
      <c r="I506" s="256"/>
      <c r="J506" s="256"/>
      <c r="K506" s="256"/>
      <c r="L506" s="256"/>
      <c r="M506" s="256"/>
      <c r="N506" s="256"/>
      <c r="O506" s="256"/>
      <c r="P506" s="256"/>
      <c r="Q506" s="256"/>
      <c r="R506" s="256"/>
      <c r="S506" s="256"/>
      <c r="T506" s="256"/>
      <c r="U506" s="256"/>
      <c r="V506" s="256"/>
      <c r="W506" s="256"/>
      <c r="X506" s="256"/>
      <c r="Y506" s="256"/>
      <c r="Z506" s="256"/>
      <c r="AA506" s="256"/>
      <c r="AB506" s="256"/>
      <c r="AC506" s="256"/>
      <c r="AD506" s="256"/>
      <c r="AE506" s="256"/>
      <c r="AF506" s="256"/>
      <c r="AG506" s="256"/>
      <c r="AH506" s="256"/>
      <c r="AI506" s="256"/>
      <c r="AJ506" s="256"/>
      <c r="AK506" s="256"/>
      <c r="AL506" s="256"/>
      <c r="AM506" s="256"/>
      <c r="AN506" s="256"/>
      <c r="AO506" s="256"/>
      <c r="AP506" s="256"/>
      <c r="AQ506" s="256"/>
      <c r="AR506" s="256"/>
    </row>
    <row r="507">
      <c r="A507" s="256"/>
      <c r="B507" s="256"/>
      <c r="C507" s="257"/>
      <c r="D507" s="257"/>
      <c r="E507" s="257"/>
      <c r="F507" s="257"/>
      <c r="G507" s="257"/>
      <c r="H507" s="257"/>
      <c r="I507" s="256"/>
      <c r="J507" s="256"/>
      <c r="K507" s="256"/>
      <c r="L507" s="256"/>
      <c r="M507" s="256"/>
      <c r="N507" s="256"/>
      <c r="O507" s="256"/>
      <c r="P507" s="256"/>
      <c r="Q507" s="256"/>
      <c r="R507" s="256"/>
      <c r="S507" s="256"/>
      <c r="T507" s="256"/>
      <c r="U507" s="256"/>
      <c r="V507" s="256"/>
      <c r="W507" s="256"/>
      <c r="X507" s="256"/>
      <c r="Y507" s="256"/>
      <c r="Z507" s="256"/>
      <c r="AA507" s="256"/>
      <c r="AB507" s="256"/>
      <c r="AC507" s="256"/>
      <c r="AD507" s="256"/>
      <c r="AE507" s="256"/>
      <c r="AF507" s="256"/>
      <c r="AG507" s="256"/>
      <c r="AH507" s="256"/>
      <c r="AI507" s="256"/>
      <c r="AJ507" s="256"/>
      <c r="AK507" s="256"/>
      <c r="AL507" s="256"/>
      <c r="AM507" s="256"/>
      <c r="AN507" s="256"/>
      <c r="AO507" s="256"/>
      <c r="AP507" s="256"/>
      <c r="AQ507" s="256"/>
      <c r="AR507" s="256"/>
    </row>
    <row r="508">
      <c r="A508" s="256"/>
      <c r="B508" s="256"/>
      <c r="C508" s="257"/>
      <c r="D508" s="257"/>
      <c r="E508" s="257"/>
      <c r="F508" s="257"/>
      <c r="G508" s="257"/>
      <c r="H508" s="257"/>
      <c r="I508" s="256"/>
      <c r="J508" s="256"/>
      <c r="K508" s="256"/>
      <c r="L508" s="256"/>
      <c r="M508" s="256"/>
      <c r="N508" s="256"/>
      <c r="O508" s="256"/>
      <c r="P508" s="256"/>
      <c r="Q508" s="256"/>
      <c r="R508" s="256"/>
      <c r="S508" s="256"/>
      <c r="T508" s="256"/>
      <c r="U508" s="256"/>
      <c r="V508" s="256"/>
      <c r="W508" s="256"/>
      <c r="X508" s="256"/>
      <c r="Y508" s="256"/>
      <c r="Z508" s="256"/>
      <c r="AA508" s="256"/>
      <c r="AB508" s="256"/>
      <c r="AC508" s="256"/>
      <c r="AD508" s="256"/>
      <c r="AE508" s="256"/>
      <c r="AF508" s="256"/>
      <c r="AG508" s="256"/>
      <c r="AH508" s="256"/>
      <c r="AI508" s="256"/>
      <c r="AJ508" s="256"/>
      <c r="AK508" s="256"/>
      <c r="AL508" s="256"/>
      <c r="AM508" s="256"/>
      <c r="AN508" s="256"/>
      <c r="AO508" s="256"/>
      <c r="AP508" s="256"/>
      <c r="AQ508" s="256"/>
      <c r="AR508" s="256"/>
    </row>
    <row r="509">
      <c r="A509" s="256"/>
      <c r="B509" s="256"/>
      <c r="C509" s="257"/>
      <c r="D509" s="257"/>
      <c r="E509" s="257"/>
      <c r="F509" s="257"/>
      <c r="G509" s="257"/>
      <c r="H509" s="257"/>
      <c r="I509" s="256"/>
      <c r="J509" s="256"/>
      <c r="K509" s="256"/>
      <c r="L509" s="256"/>
      <c r="M509" s="256"/>
      <c r="N509" s="256"/>
      <c r="O509" s="256"/>
      <c r="P509" s="256"/>
      <c r="Q509" s="256"/>
      <c r="R509" s="256"/>
      <c r="S509" s="256"/>
      <c r="T509" s="256"/>
      <c r="U509" s="256"/>
      <c r="V509" s="256"/>
      <c r="W509" s="256"/>
      <c r="X509" s="256"/>
      <c r="Y509" s="256"/>
      <c r="Z509" s="256"/>
      <c r="AA509" s="256"/>
      <c r="AB509" s="256"/>
      <c r="AC509" s="256"/>
      <c r="AD509" s="256"/>
      <c r="AE509" s="256"/>
      <c r="AF509" s="256"/>
      <c r="AG509" s="256"/>
      <c r="AH509" s="256"/>
      <c r="AI509" s="256"/>
      <c r="AJ509" s="256"/>
      <c r="AK509" s="256"/>
      <c r="AL509" s="256"/>
      <c r="AM509" s="256"/>
      <c r="AN509" s="256"/>
      <c r="AO509" s="256"/>
      <c r="AP509" s="256"/>
      <c r="AQ509" s="256"/>
      <c r="AR509" s="256"/>
    </row>
    <row r="510">
      <c r="A510" s="256"/>
      <c r="B510" s="256"/>
      <c r="C510" s="257"/>
      <c r="D510" s="257"/>
      <c r="E510" s="257"/>
      <c r="F510" s="257"/>
      <c r="G510" s="257"/>
      <c r="H510" s="257"/>
      <c r="I510" s="256"/>
      <c r="J510" s="256"/>
      <c r="K510" s="256"/>
      <c r="L510" s="256"/>
      <c r="M510" s="256"/>
      <c r="N510" s="256"/>
      <c r="O510" s="256"/>
      <c r="P510" s="256"/>
      <c r="Q510" s="256"/>
      <c r="R510" s="256"/>
      <c r="S510" s="256"/>
      <c r="T510" s="256"/>
      <c r="U510" s="256"/>
      <c r="V510" s="256"/>
      <c r="W510" s="256"/>
      <c r="X510" s="256"/>
      <c r="Y510" s="256"/>
      <c r="Z510" s="256"/>
      <c r="AA510" s="256"/>
      <c r="AB510" s="256"/>
      <c r="AC510" s="256"/>
      <c r="AD510" s="256"/>
      <c r="AE510" s="256"/>
      <c r="AF510" s="256"/>
      <c r="AG510" s="256"/>
      <c r="AH510" s="256"/>
      <c r="AI510" s="256"/>
      <c r="AJ510" s="256"/>
      <c r="AK510" s="256"/>
      <c r="AL510" s="256"/>
      <c r="AM510" s="256"/>
      <c r="AN510" s="256"/>
      <c r="AO510" s="256"/>
      <c r="AP510" s="256"/>
      <c r="AQ510" s="256"/>
      <c r="AR510" s="256"/>
    </row>
    <row r="511">
      <c r="A511" s="256"/>
      <c r="B511" s="256"/>
      <c r="C511" s="257"/>
      <c r="D511" s="257"/>
      <c r="E511" s="257"/>
      <c r="F511" s="257"/>
      <c r="G511" s="257"/>
      <c r="H511" s="257"/>
      <c r="I511" s="256"/>
      <c r="J511" s="256"/>
      <c r="K511" s="256"/>
      <c r="L511" s="256"/>
      <c r="M511" s="256"/>
      <c r="N511" s="256"/>
      <c r="O511" s="256"/>
      <c r="P511" s="256"/>
      <c r="Q511" s="256"/>
      <c r="R511" s="256"/>
      <c r="S511" s="256"/>
      <c r="T511" s="256"/>
      <c r="U511" s="256"/>
      <c r="V511" s="256"/>
      <c r="W511" s="256"/>
      <c r="X511" s="256"/>
      <c r="Y511" s="256"/>
      <c r="Z511" s="256"/>
      <c r="AA511" s="256"/>
      <c r="AB511" s="256"/>
      <c r="AC511" s="256"/>
      <c r="AD511" s="256"/>
      <c r="AE511" s="256"/>
      <c r="AF511" s="256"/>
      <c r="AG511" s="256"/>
      <c r="AH511" s="256"/>
      <c r="AI511" s="256"/>
      <c r="AJ511" s="256"/>
      <c r="AK511" s="256"/>
      <c r="AL511" s="256"/>
      <c r="AM511" s="256"/>
      <c r="AN511" s="256"/>
      <c r="AO511" s="256"/>
      <c r="AP511" s="256"/>
      <c r="AQ511" s="256"/>
      <c r="AR511" s="256"/>
    </row>
    <row r="512">
      <c r="A512" s="256"/>
      <c r="B512" s="256"/>
      <c r="C512" s="257"/>
      <c r="D512" s="257"/>
      <c r="E512" s="257"/>
      <c r="F512" s="257"/>
      <c r="G512" s="257"/>
      <c r="H512" s="257"/>
      <c r="I512" s="256"/>
      <c r="J512" s="256"/>
      <c r="K512" s="256"/>
      <c r="L512" s="256"/>
      <c r="M512" s="256"/>
      <c r="N512" s="256"/>
      <c r="O512" s="256"/>
      <c r="P512" s="256"/>
      <c r="Q512" s="256"/>
      <c r="R512" s="256"/>
      <c r="S512" s="256"/>
      <c r="T512" s="256"/>
      <c r="U512" s="256"/>
      <c r="V512" s="256"/>
      <c r="W512" s="256"/>
      <c r="X512" s="256"/>
      <c r="Y512" s="256"/>
      <c r="Z512" s="256"/>
      <c r="AA512" s="256"/>
      <c r="AB512" s="256"/>
      <c r="AC512" s="256"/>
      <c r="AD512" s="256"/>
      <c r="AE512" s="256"/>
      <c r="AF512" s="256"/>
      <c r="AG512" s="256"/>
      <c r="AH512" s="256"/>
      <c r="AI512" s="256"/>
      <c r="AJ512" s="256"/>
      <c r="AK512" s="256"/>
      <c r="AL512" s="256"/>
      <c r="AM512" s="256"/>
      <c r="AN512" s="256"/>
      <c r="AO512" s="256"/>
      <c r="AP512" s="256"/>
      <c r="AQ512" s="256"/>
      <c r="AR512" s="256"/>
    </row>
    <row r="513">
      <c r="A513" s="256"/>
      <c r="B513" s="256"/>
      <c r="C513" s="257"/>
      <c r="D513" s="257"/>
      <c r="E513" s="257"/>
      <c r="F513" s="257"/>
      <c r="G513" s="257"/>
      <c r="H513" s="257"/>
      <c r="I513" s="256"/>
      <c r="J513" s="256"/>
      <c r="K513" s="256"/>
      <c r="L513" s="256"/>
      <c r="M513" s="256"/>
      <c r="N513" s="256"/>
      <c r="O513" s="256"/>
      <c r="P513" s="256"/>
      <c r="Q513" s="256"/>
      <c r="R513" s="256"/>
      <c r="S513" s="256"/>
      <c r="T513" s="256"/>
      <c r="U513" s="256"/>
      <c r="V513" s="256"/>
      <c r="W513" s="256"/>
      <c r="X513" s="256"/>
      <c r="Y513" s="256"/>
      <c r="Z513" s="256"/>
      <c r="AA513" s="256"/>
      <c r="AB513" s="256"/>
      <c r="AC513" s="256"/>
      <c r="AD513" s="256"/>
      <c r="AE513" s="256"/>
      <c r="AF513" s="256"/>
      <c r="AG513" s="256"/>
      <c r="AH513" s="256"/>
      <c r="AI513" s="256"/>
      <c r="AJ513" s="256"/>
      <c r="AK513" s="256"/>
      <c r="AL513" s="256"/>
      <c r="AM513" s="256"/>
      <c r="AN513" s="256"/>
      <c r="AO513" s="256"/>
      <c r="AP513" s="256"/>
      <c r="AQ513" s="256"/>
      <c r="AR513" s="256"/>
    </row>
    <row r="514">
      <c r="A514" s="256"/>
      <c r="B514" s="256"/>
      <c r="C514" s="257"/>
      <c r="D514" s="257"/>
      <c r="E514" s="257"/>
      <c r="F514" s="257"/>
      <c r="G514" s="257"/>
      <c r="H514" s="257"/>
      <c r="I514" s="256"/>
      <c r="J514" s="256"/>
      <c r="K514" s="256"/>
      <c r="L514" s="256"/>
      <c r="M514" s="256"/>
      <c r="N514" s="256"/>
      <c r="O514" s="256"/>
      <c r="P514" s="256"/>
      <c r="Q514" s="256"/>
      <c r="R514" s="256"/>
      <c r="S514" s="256"/>
      <c r="T514" s="256"/>
      <c r="U514" s="256"/>
      <c r="V514" s="256"/>
      <c r="W514" s="256"/>
      <c r="X514" s="256"/>
      <c r="Y514" s="256"/>
      <c r="Z514" s="256"/>
      <c r="AA514" s="256"/>
      <c r="AB514" s="256"/>
      <c r="AC514" s="256"/>
      <c r="AD514" s="256"/>
      <c r="AE514" s="256"/>
      <c r="AF514" s="256"/>
      <c r="AG514" s="256"/>
      <c r="AH514" s="256"/>
      <c r="AI514" s="256"/>
      <c r="AJ514" s="256"/>
      <c r="AK514" s="256"/>
      <c r="AL514" s="256"/>
      <c r="AM514" s="256"/>
      <c r="AN514" s="256"/>
      <c r="AO514" s="256"/>
      <c r="AP514" s="256"/>
      <c r="AQ514" s="256"/>
      <c r="AR514" s="256"/>
    </row>
    <row r="515">
      <c r="A515" s="256"/>
      <c r="B515" s="256"/>
      <c r="C515" s="257"/>
      <c r="D515" s="257"/>
      <c r="E515" s="257"/>
      <c r="F515" s="257"/>
      <c r="G515" s="257"/>
      <c r="H515" s="257"/>
      <c r="I515" s="256"/>
      <c r="J515" s="256"/>
      <c r="K515" s="256"/>
      <c r="L515" s="256"/>
      <c r="M515" s="256"/>
      <c r="N515" s="256"/>
      <c r="O515" s="256"/>
      <c r="P515" s="256"/>
      <c r="Q515" s="256"/>
      <c r="R515" s="256"/>
      <c r="S515" s="256"/>
      <c r="T515" s="256"/>
      <c r="U515" s="256"/>
      <c r="V515" s="256"/>
      <c r="W515" s="256"/>
      <c r="X515" s="256"/>
      <c r="Y515" s="256"/>
      <c r="Z515" s="256"/>
      <c r="AA515" s="256"/>
      <c r="AB515" s="256"/>
      <c r="AC515" s="256"/>
      <c r="AD515" s="256"/>
      <c r="AE515" s="256"/>
      <c r="AF515" s="256"/>
      <c r="AG515" s="256"/>
      <c r="AH515" s="256"/>
      <c r="AI515" s="256"/>
      <c r="AJ515" s="256"/>
      <c r="AK515" s="256"/>
      <c r="AL515" s="256"/>
      <c r="AM515" s="256"/>
      <c r="AN515" s="256"/>
      <c r="AO515" s="256"/>
      <c r="AP515" s="256"/>
      <c r="AQ515" s="256"/>
      <c r="AR515" s="256"/>
    </row>
    <row r="516">
      <c r="A516" s="256"/>
      <c r="B516" s="256"/>
      <c r="C516" s="257"/>
      <c r="D516" s="257"/>
      <c r="E516" s="257"/>
      <c r="F516" s="257"/>
      <c r="G516" s="257"/>
      <c r="H516" s="257"/>
      <c r="I516" s="256"/>
      <c r="J516" s="256"/>
      <c r="K516" s="256"/>
      <c r="L516" s="256"/>
      <c r="M516" s="256"/>
      <c r="N516" s="256"/>
      <c r="O516" s="256"/>
      <c r="P516" s="256"/>
      <c r="Q516" s="256"/>
      <c r="R516" s="256"/>
      <c r="S516" s="256"/>
      <c r="T516" s="256"/>
      <c r="U516" s="256"/>
      <c r="V516" s="256"/>
      <c r="W516" s="256"/>
      <c r="X516" s="256"/>
      <c r="Y516" s="256"/>
      <c r="Z516" s="256"/>
      <c r="AA516" s="256"/>
      <c r="AB516" s="256"/>
      <c r="AC516" s="256"/>
      <c r="AD516" s="256"/>
      <c r="AE516" s="256"/>
      <c r="AF516" s="256"/>
      <c r="AG516" s="256"/>
      <c r="AH516" s="256"/>
      <c r="AI516" s="256"/>
      <c r="AJ516" s="256"/>
      <c r="AK516" s="256"/>
      <c r="AL516" s="256"/>
      <c r="AM516" s="256"/>
      <c r="AN516" s="256"/>
      <c r="AO516" s="256"/>
      <c r="AP516" s="256"/>
      <c r="AQ516" s="256"/>
      <c r="AR516" s="256"/>
    </row>
    <row r="517">
      <c r="A517" s="256"/>
      <c r="B517" s="256"/>
      <c r="C517" s="257"/>
      <c r="D517" s="257"/>
      <c r="E517" s="257"/>
      <c r="F517" s="257"/>
      <c r="G517" s="257"/>
      <c r="H517" s="257"/>
      <c r="I517" s="256"/>
      <c r="J517" s="256"/>
      <c r="K517" s="256"/>
      <c r="L517" s="256"/>
      <c r="M517" s="256"/>
      <c r="N517" s="256"/>
      <c r="O517" s="256"/>
      <c r="P517" s="256"/>
      <c r="Q517" s="256"/>
      <c r="R517" s="256"/>
      <c r="S517" s="256"/>
      <c r="T517" s="256"/>
      <c r="U517" s="256"/>
      <c r="V517" s="256"/>
      <c r="W517" s="256"/>
      <c r="X517" s="256"/>
      <c r="Y517" s="256"/>
      <c r="Z517" s="256"/>
      <c r="AA517" s="256"/>
      <c r="AB517" s="256"/>
      <c r="AC517" s="256"/>
      <c r="AD517" s="256"/>
      <c r="AE517" s="256"/>
      <c r="AF517" s="256"/>
      <c r="AG517" s="256"/>
      <c r="AH517" s="256"/>
      <c r="AI517" s="256"/>
      <c r="AJ517" s="256"/>
      <c r="AK517" s="256"/>
      <c r="AL517" s="256"/>
      <c r="AM517" s="256"/>
      <c r="AN517" s="256"/>
      <c r="AO517" s="256"/>
      <c r="AP517" s="256"/>
      <c r="AQ517" s="256"/>
      <c r="AR517" s="256"/>
    </row>
    <row r="518">
      <c r="A518" s="256"/>
      <c r="B518" s="256"/>
      <c r="C518" s="257"/>
      <c r="D518" s="257"/>
      <c r="E518" s="257"/>
      <c r="F518" s="257"/>
      <c r="G518" s="257"/>
      <c r="H518" s="257"/>
      <c r="I518" s="256"/>
      <c r="J518" s="256"/>
      <c r="K518" s="256"/>
      <c r="L518" s="256"/>
      <c r="M518" s="256"/>
      <c r="N518" s="256"/>
      <c r="O518" s="256"/>
      <c r="P518" s="256"/>
      <c r="Q518" s="256"/>
      <c r="R518" s="256"/>
      <c r="S518" s="256"/>
      <c r="T518" s="256"/>
      <c r="U518" s="256"/>
      <c r="V518" s="256"/>
      <c r="W518" s="256"/>
      <c r="X518" s="256"/>
      <c r="Y518" s="256"/>
      <c r="Z518" s="256"/>
      <c r="AA518" s="256"/>
      <c r="AB518" s="256"/>
      <c r="AC518" s="256"/>
      <c r="AD518" s="256"/>
      <c r="AE518" s="256"/>
      <c r="AF518" s="256"/>
      <c r="AG518" s="256"/>
      <c r="AH518" s="256"/>
      <c r="AI518" s="256"/>
      <c r="AJ518" s="256"/>
      <c r="AK518" s="256"/>
      <c r="AL518" s="256"/>
      <c r="AM518" s="256"/>
      <c r="AN518" s="256"/>
      <c r="AO518" s="256"/>
      <c r="AP518" s="256"/>
      <c r="AQ518" s="256"/>
      <c r="AR518" s="256"/>
    </row>
    <row r="519">
      <c r="A519" s="256"/>
      <c r="B519" s="256"/>
      <c r="C519" s="257"/>
      <c r="D519" s="257"/>
      <c r="E519" s="257"/>
      <c r="F519" s="257"/>
      <c r="G519" s="257"/>
      <c r="H519" s="257"/>
      <c r="I519" s="256"/>
      <c r="J519" s="256"/>
      <c r="K519" s="256"/>
      <c r="L519" s="256"/>
      <c r="M519" s="256"/>
      <c r="N519" s="256"/>
      <c r="O519" s="256"/>
      <c r="P519" s="256"/>
      <c r="Q519" s="256"/>
      <c r="R519" s="256"/>
      <c r="S519" s="256"/>
      <c r="T519" s="256"/>
      <c r="U519" s="256"/>
      <c r="V519" s="256"/>
      <c r="W519" s="256"/>
      <c r="X519" s="256"/>
      <c r="Y519" s="256"/>
      <c r="Z519" s="256"/>
      <c r="AA519" s="256"/>
      <c r="AB519" s="256"/>
      <c r="AC519" s="256"/>
      <c r="AD519" s="256"/>
      <c r="AE519" s="256"/>
      <c r="AF519" s="256"/>
      <c r="AG519" s="256"/>
      <c r="AH519" s="256"/>
      <c r="AI519" s="256"/>
      <c r="AJ519" s="256"/>
      <c r="AK519" s="256"/>
      <c r="AL519" s="256"/>
      <c r="AM519" s="256"/>
      <c r="AN519" s="256"/>
      <c r="AO519" s="256"/>
      <c r="AP519" s="256"/>
      <c r="AQ519" s="256"/>
      <c r="AR519" s="256"/>
    </row>
    <row r="520">
      <c r="A520" s="256"/>
      <c r="B520" s="256"/>
      <c r="C520" s="257"/>
      <c r="D520" s="257"/>
      <c r="E520" s="257"/>
      <c r="F520" s="257"/>
      <c r="G520" s="257"/>
      <c r="H520" s="257"/>
      <c r="I520" s="256"/>
      <c r="J520" s="256"/>
      <c r="K520" s="256"/>
      <c r="L520" s="256"/>
      <c r="M520" s="256"/>
      <c r="N520" s="256"/>
      <c r="O520" s="256"/>
      <c r="P520" s="256"/>
      <c r="Q520" s="256"/>
      <c r="R520" s="256"/>
      <c r="S520" s="256"/>
      <c r="T520" s="256"/>
      <c r="U520" s="256"/>
      <c r="V520" s="256"/>
      <c r="W520" s="256"/>
      <c r="X520" s="256"/>
      <c r="Y520" s="256"/>
      <c r="Z520" s="256"/>
      <c r="AA520" s="256"/>
      <c r="AB520" s="256"/>
      <c r="AC520" s="256"/>
      <c r="AD520" s="256"/>
      <c r="AE520" s="256"/>
      <c r="AF520" s="256"/>
      <c r="AG520" s="256"/>
      <c r="AH520" s="256"/>
      <c r="AI520" s="256"/>
      <c r="AJ520" s="256"/>
      <c r="AK520" s="256"/>
      <c r="AL520" s="256"/>
      <c r="AM520" s="256"/>
      <c r="AN520" s="256"/>
      <c r="AO520" s="256"/>
      <c r="AP520" s="256"/>
      <c r="AQ520" s="256"/>
      <c r="AR520" s="256"/>
    </row>
    <row r="521">
      <c r="A521" s="256"/>
      <c r="B521" s="256"/>
      <c r="C521" s="257"/>
      <c r="D521" s="257"/>
      <c r="E521" s="257"/>
      <c r="F521" s="257"/>
      <c r="G521" s="257"/>
      <c r="H521" s="257"/>
      <c r="I521" s="256"/>
      <c r="J521" s="256"/>
      <c r="K521" s="256"/>
      <c r="L521" s="256"/>
      <c r="M521" s="256"/>
      <c r="N521" s="256"/>
      <c r="O521" s="256"/>
      <c r="P521" s="256"/>
      <c r="Q521" s="256"/>
      <c r="R521" s="256"/>
      <c r="S521" s="256"/>
      <c r="T521" s="256"/>
      <c r="U521" s="256"/>
      <c r="V521" s="256"/>
      <c r="W521" s="256"/>
      <c r="X521" s="256"/>
      <c r="Y521" s="256"/>
      <c r="Z521" s="256"/>
      <c r="AA521" s="256"/>
      <c r="AB521" s="256"/>
      <c r="AC521" s="256"/>
      <c r="AD521" s="256"/>
      <c r="AE521" s="256"/>
      <c r="AF521" s="256"/>
      <c r="AG521" s="256"/>
      <c r="AH521" s="256"/>
      <c r="AI521" s="256"/>
      <c r="AJ521" s="256"/>
      <c r="AK521" s="256"/>
      <c r="AL521" s="256"/>
      <c r="AM521" s="256"/>
      <c r="AN521" s="256"/>
      <c r="AO521" s="256"/>
      <c r="AP521" s="256"/>
      <c r="AQ521" s="256"/>
      <c r="AR521" s="256"/>
    </row>
    <row r="522">
      <c r="A522" s="256"/>
      <c r="B522" s="256"/>
      <c r="C522" s="257"/>
      <c r="D522" s="257"/>
      <c r="E522" s="257"/>
      <c r="F522" s="257"/>
      <c r="G522" s="257"/>
      <c r="H522" s="257"/>
      <c r="I522" s="256"/>
      <c r="J522" s="256"/>
      <c r="K522" s="256"/>
      <c r="L522" s="256"/>
      <c r="M522" s="256"/>
      <c r="N522" s="256"/>
      <c r="O522" s="256"/>
      <c r="P522" s="256"/>
      <c r="Q522" s="256"/>
      <c r="R522" s="256"/>
      <c r="S522" s="256"/>
      <c r="T522" s="256"/>
      <c r="U522" s="256"/>
      <c r="V522" s="256"/>
      <c r="W522" s="256"/>
      <c r="X522" s="256"/>
      <c r="Y522" s="256"/>
      <c r="Z522" s="256"/>
      <c r="AA522" s="256"/>
      <c r="AB522" s="256"/>
      <c r="AC522" s="256"/>
      <c r="AD522" s="256"/>
      <c r="AE522" s="256"/>
      <c r="AF522" s="256"/>
      <c r="AG522" s="256"/>
      <c r="AH522" s="256"/>
      <c r="AI522" s="256"/>
      <c r="AJ522" s="256"/>
      <c r="AK522" s="256"/>
      <c r="AL522" s="256"/>
      <c r="AM522" s="256"/>
      <c r="AN522" s="256"/>
      <c r="AO522" s="256"/>
      <c r="AP522" s="256"/>
      <c r="AQ522" s="256"/>
      <c r="AR522" s="256"/>
    </row>
    <row r="523">
      <c r="A523" s="256"/>
      <c r="B523" s="256"/>
      <c r="C523" s="257"/>
      <c r="D523" s="257"/>
      <c r="E523" s="257"/>
      <c r="F523" s="257"/>
      <c r="G523" s="257"/>
      <c r="H523" s="257"/>
      <c r="I523" s="256"/>
      <c r="J523" s="256"/>
      <c r="K523" s="256"/>
      <c r="L523" s="256"/>
      <c r="M523" s="256"/>
      <c r="N523" s="256"/>
      <c r="O523" s="256"/>
      <c r="P523" s="256"/>
      <c r="Q523" s="256"/>
      <c r="R523" s="256"/>
      <c r="S523" s="256"/>
      <c r="T523" s="256"/>
      <c r="U523" s="256"/>
      <c r="V523" s="256"/>
      <c r="W523" s="256"/>
      <c r="X523" s="256"/>
      <c r="Y523" s="256"/>
      <c r="Z523" s="256"/>
      <c r="AA523" s="256"/>
      <c r="AB523" s="256"/>
      <c r="AC523" s="256"/>
      <c r="AD523" s="256"/>
      <c r="AE523" s="256"/>
      <c r="AF523" s="256"/>
      <c r="AG523" s="256"/>
      <c r="AH523" s="256"/>
      <c r="AI523" s="256"/>
      <c r="AJ523" s="256"/>
      <c r="AK523" s="256"/>
      <c r="AL523" s="256"/>
      <c r="AM523" s="256"/>
      <c r="AN523" s="256"/>
      <c r="AO523" s="256"/>
      <c r="AP523" s="256"/>
      <c r="AQ523" s="256"/>
      <c r="AR523" s="256"/>
    </row>
    <row r="524">
      <c r="A524" s="256"/>
      <c r="B524" s="256"/>
      <c r="C524" s="257"/>
      <c r="D524" s="257"/>
      <c r="E524" s="257"/>
      <c r="F524" s="257"/>
      <c r="G524" s="257"/>
      <c r="H524" s="257"/>
      <c r="I524" s="256"/>
      <c r="J524" s="256"/>
      <c r="K524" s="256"/>
      <c r="L524" s="256"/>
      <c r="M524" s="256"/>
      <c r="N524" s="256"/>
      <c r="O524" s="256"/>
      <c r="P524" s="256"/>
      <c r="Q524" s="256"/>
      <c r="R524" s="256"/>
      <c r="S524" s="256"/>
      <c r="T524" s="256"/>
      <c r="U524" s="256"/>
      <c r="V524" s="256"/>
      <c r="W524" s="256"/>
      <c r="X524" s="256"/>
      <c r="Y524" s="256"/>
      <c r="Z524" s="256"/>
      <c r="AA524" s="256"/>
      <c r="AB524" s="256"/>
      <c r="AC524" s="256"/>
      <c r="AD524" s="256"/>
      <c r="AE524" s="256"/>
      <c r="AF524" s="256"/>
      <c r="AG524" s="256"/>
      <c r="AH524" s="256"/>
      <c r="AI524" s="256"/>
      <c r="AJ524" s="256"/>
      <c r="AK524" s="256"/>
      <c r="AL524" s="256"/>
      <c r="AM524" s="256"/>
      <c r="AN524" s="256"/>
      <c r="AO524" s="256"/>
      <c r="AP524" s="256"/>
      <c r="AQ524" s="256"/>
      <c r="AR524" s="256"/>
    </row>
    <row r="525">
      <c r="A525" s="256"/>
      <c r="B525" s="256"/>
      <c r="C525" s="257"/>
      <c r="D525" s="257"/>
      <c r="E525" s="257"/>
      <c r="F525" s="257"/>
      <c r="G525" s="257"/>
      <c r="H525" s="257"/>
      <c r="I525" s="256"/>
      <c r="J525" s="256"/>
      <c r="K525" s="256"/>
      <c r="L525" s="256"/>
      <c r="M525" s="256"/>
      <c r="N525" s="256"/>
      <c r="O525" s="256"/>
      <c r="P525" s="256"/>
      <c r="Q525" s="256"/>
      <c r="R525" s="256"/>
      <c r="S525" s="256"/>
      <c r="T525" s="256"/>
      <c r="U525" s="256"/>
      <c r="V525" s="256"/>
      <c r="W525" s="256"/>
      <c r="X525" s="256"/>
      <c r="Y525" s="256"/>
      <c r="Z525" s="256"/>
      <c r="AA525" s="256"/>
      <c r="AB525" s="256"/>
      <c r="AC525" s="256"/>
      <c r="AD525" s="256"/>
      <c r="AE525" s="256"/>
      <c r="AF525" s="256"/>
      <c r="AG525" s="256"/>
      <c r="AH525" s="256"/>
      <c r="AI525" s="256"/>
      <c r="AJ525" s="256"/>
      <c r="AK525" s="256"/>
      <c r="AL525" s="256"/>
      <c r="AM525" s="256"/>
      <c r="AN525" s="256"/>
      <c r="AO525" s="256"/>
      <c r="AP525" s="256"/>
      <c r="AQ525" s="256"/>
      <c r="AR525" s="256"/>
    </row>
    <row r="526">
      <c r="A526" s="256"/>
      <c r="B526" s="256"/>
      <c r="C526" s="257"/>
      <c r="D526" s="257"/>
      <c r="E526" s="257"/>
      <c r="F526" s="257"/>
      <c r="G526" s="257"/>
      <c r="H526" s="257"/>
      <c r="I526" s="256"/>
      <c r="J526" s="256"/>
      <c r="K526" s="256"/>
      <c r="L526" s="256"/>
      <c r="M526" s="256"/>
      <c r="N526" s="256"/>
      <c r="O526" s="256"/>
      <c r="P526" s="256"/>
      <c r="Q526" s="256"/>
      <c r="R526" s="256"/>
      <c r="S526" s="256"/>
      <c r="T526" s="256"/>
      <c r="U526" s="256"/>
      <c r="V526" s="256"/>
      <c r="W526" s="256"/>
      <c r="X526" s="256"/>
      <c r="Y526" s="256"/>
      <c r="Z526" s="256"/>
      <c r="AA526" s="256"/>
      <c r="AB526" s="256"/>
      <c r="AC526" s="256"/>
      <c r="AD526" s="256"/>
      <c r="AE526" s="256"/>
      <c r="AF526" s="256"/>
      <c r="AG526" s="256"/>
      <c r="AH526" s="256"/>
      <c r="AI526" s="256"/>
      <c r="AJ526" s="256"/>
      <c r="AK526" s="256"/>
      <c r="AL526" s="256"/>
      <c r="AM526" s="256"/>
      <c r="AN526" s="256"/>
      <c r="AO526" s="256"/>
      <c r="AP526" s="256"/>
      <c r="AQ526" s="256"/>
      <c r="AR526" s="256"/>
    </row>
    <row r="527">
      <c r="A527" s="256"/>
      <c r="B527" s="256"/>
      <c r="C527" s="257"/>
      <c r="D527" s="257"/>
      <c r="E527" s="257"/>
      <c r="F527" s="257"/>
      <c r="G527" s="257"/>
      <c r="H527" s="257"/>
      <c r="I527" s="256"/>
      <c r="J527" s="256"/>
      <c r="K527" s="256"/>
      <c r="L527" s="256"/>
      <c r="M527" s="256"/>
      <c r="N527" s="256"/>
      <c r="O527" s="256"/>
      <c r="P527" s="256"/>
      <c r="Q527" s="256"/>
      <c r="R527" s="256"/>
      <c r="S527" s="256"/>
      <c r="T527" s="256"/>
      <c r="U527" s="256"/>
      <c r="V527" s="256"/>
      <c r="W527" s="256"/>
      <c r="X527" s="256"/>
      <c r="Y527" s="256"/>
      <c r="Z527" s="256"/>
      <c r="AA527" s="256"/>
      <c r="AB527" s="256"/>
      <c r="AC527" s="256"/>
      <c r="AD527" s="256"/>
      <c r="AE527" s="256"/>
      <c r="AF527" s="256"/>
      <c r="AG527" s="256"/>
      <c r="AH527" s="256"/>
      <c r="AI527" s="256"/>
      <c r="AJ527" s="256"/>
      <c r="AK527" s="256"/>
      <c r="AL527" s="256"/>
      <c r="AM527" s="256"/>
      <c r="AN527" s="256"/>
      <c r="AO527" s="256"/>
      <c r="AP527" s="256"/>
      <c r="AQ527" s="256"/>
      <c r="AR527" s="256"/>
    </row>
    <row r="528">
      <c r="A528" s="256"/>
      <c r="B528" s="256"/>
      <c r="C528" s="257"/>
      <c r="D528" s="257"/>
      <c r="E528" s="257"/>
      <c r="F528" s="257"/>
      <c r="G528" s="257"/>
      <c r="H528" s="257"/>
      <c r="I528" s="256"/>
      <c r="J528" s="256"/>
      <c r="K528" s="256"/>
      <c r="L528" s="256"/>
      <c r="M528" s="256"/>
      <c r="N528" s="256"/>
      <c r="O528" s="256"/>
      <c r="P528" s="256"/>
      <c r="Q528" s="256"/>
      <c r="R528" s="256"/>
      <c r="S528" s="256"/>
      <c r="T528" s="256"/>
      <c r="U528" s="256"/>
      <c r="V528" s="256"/>
      <c r="W528" s="256"/>
      <c r="X528" s="256"/>
      <c r="Y528" s="256"/>
      <c r="Z528" s="256"/>
      <c r="AA528" s="256"/>
      <c r="AB528" s="256"/>
      <c r="AC528" s="256"/>
      <c r="AD528" s="256"/>
      <c r="AE528" s="256"/>
      <c r="AF528" s="256"/>
      <c r="AG528" s="256"/>
      <c r="AH528" s="256"/>
      <c r="AI528" s="256"/>
      <c r="AJ528" s="256"/>
      <c r="AK528" s="256"/>
      <c r="AL528" s="256"/>
      <c r="AM528" s="256"/>
      <c r="AN528" s="256"/>
      <c r="AO528" s="256"/>
      <c r="AP528" s="256"/>
      <c r="AQ528" s="256"/>
      <c r="AR528" s="256"/>
    </row>
    <row r="529">
      <c r="A529" s="256"/>
      <c r="B529" s="256"/>
      <c r="C529" s="257"/>
      <c r="D529" s="257"/>
      <c r="E529" s="257"/>
      <c r="F529" s="257"/>
      <c r="G529" s="257"/>
      <c r="H529" s="257"/>
      <c r="I529" s="256"/>
      <c r="J529" s="256"/>
      <c r="K529" s="256"/>
      <c r="L529" s="256"/>
      <c r="M529" s="256"/>
      <c r="N529" s="256"/>
      <c r="O529" s="256"/>
      <c r="P529" s="256"/>
      <c r="Q529" s="256"/>
      <c r="R529" s="256"/>
      <c r="S529" s="256"/>
      <c r="T529" s="256"/>
      <c r="U529" s="256"/>
      <c r="V529" s="256"/>
      <c r="W529" s="256"/>
      <c r="X529" s="256"/>
      <c r="Y529" s="256"/>
      <c r="Z529" s="256"/>
      <c r="AA529" s="256"/>
      <c r="AB529" s="256"/>
      <c r="AC529" s="256"/>
      <c r="AD529" s="256"/>
      <c r="AE529" s="256"/>
      <c r="AF529" s="256"/>
      <c r="AG529" s="256"/>
      <c r="AH529" s="256"/>
      <c r="AI529" s="256"/>
      <c r="AJ529" s="256"/>
      <c r="AK529" s="256"/>
      <c r="AL529" s="256"/>
      <c r="AM529" s="256"/>
      <c r="AN529" s="256"/>
      <c r="AO529" s="256"/>
      <c r="AP529" s="256"/>
      <c r="AQ529" s="256"/>
      <c r="AR529" s="256"/>
    </row>
    <row r="530">
      <c r="A530" s="256"/>
      <c r="B530" s="256"/>
      <c r="C530" s="257"/>
      <c r="D530" s="257"/>
      <c r="E530" s="257"/>
      <c r="F530" s="257"/>
      <c r="G530" s="257"/>
      <c r="H530" s="257"/>
      <c r="I530" s="256"/>
      <c r="J530" s="256"/>
      <c r="K530" s="256"/>
      <c r="L530" s="256"/>
      <c r="M530" s="256"/>
      <c r="N530" s="256"/>
      <c r="O530" s="256"/>
      <c r="P530" s="256"/>
      <c r="Q530" s="256"/>
      <c r="R530" s="256"/>
      <c r="S530" s="256"/>
      <c r="T530" s="256"/>
      <c r="U530" s="256"/>
      <c r="V530" s="256"/>
      <c r="W530" s="256"/>
      <c r="X530" s="256"/>
      <c r="Y530" s="256"/>
      <c r="Z530" s="256"/>
      <c r="AA530" s="256"/>
      <c r="AB530" s="256"/>
      <c r="AC530" s="256"/>
      <c r="AD530" s="256"/>
      <c r="AE530" s="256"/>
      <c r="AF530" s="256"/>
      <c r="AG530" s="256"/>
      <c r="AH530" s="256"/>
      <c r="AI530" s="256"/>
      <c r="AJ530" s="256"/>
      <c r="AK530" s="256"/>
      <c r="AL530" s="256"/>
      <c r="AM530" s="256"/>
      <c r="AN530" s="256"/>
      <c r="AO530" s="256"/>
      <c r="AP530" s="256"/>
      <c r="AQ530" s="256"/>
      <c r="AR530" s="256"/>
    </row>
    <row r="531">
      <c r="A531" s="256"/>
      <c r="B531" s="256"/>
      <c r="C531" s="257"/>
      <c r="D531" s="257"/>
      <c r="E531" s="257"/>
      <c r="F531" s="257"/>
      <c r="G531" s="257"/>
      <c r="H531" s="257"/>
      <c r="I531" s="256"/>
      <c r="J531" s="256"/>
      <c r="K531" s="256"/>
      <c r="L531" s="256"/>
      <c r="M531" s="256"/>
      <c r="N531" s="256"/>
      <c r="O531" s="256"/>
      <c r="P531" s="256"/>
      <c r="Q531" s="256"/>
      <c r="R531" s="256"/>
      <c r="S531" s="256"/>
      <c r="T531" s="256"/>
      <c r="U531" s="256"/>
      <c r="V531" s="256"/>
      <c r="W531" s="256"/>
      <c r="X531" s="256"/>
      <c r="Y531" s="256"/>
      <c r="Z531" s="256"/>
      <c r="AA531" s="256"/>
      <c r="AB531" s="256"/>
      <c r="AC531" s="256"/>
      <c r="AD531" s="256"/>
      <c r="AE531" s="256"/>
      <c r="AF531" s="256"/>
      <c r="AG531" s="256"/>
      <c r="AH531" s="256"/>
      <c r="AI531" s="256"/>
      <c r="AJ531" s="256"/>
      <c r="AK531" s="256"/>
      <c r="AL531" s="256"/>
      <c r="AM531" s="256"/>
      <c r="AN531" s="256"/>
      <c r="AO531" s="256"/>
      <c r="AP531" s="256"/>
      <c r="AQ531" s="256"/>
      <c r="AR531" s="256"/>
    </row>
    <row r="532">
      <c r="A532" s="256"/>
      <c r="B532" s="256"/>
      <c r="C532" s="257"/>
      <c r="D532" s="257"/>
      <c r="E532" s="257"/>
      <c r="F532" s="257"/>
      <c r="G532" s="257"/>
      <c r="H532" s="257"/>
      <c r="I532" s="256"/>
      <c r="J532" s="256"/>
      <c r="K532" s="256"/>
      <c r="L532" s="256"/>
      <c r="M532" s="256"/>
      <c r="N532" s="256"/>
      <c r="O532" s="256"/>
      <c r="P532" s="256"/>
      <c r="Q532" s="256"/>
      <c r="R532" s="256"/>
      <c r="S532" s="256"/>
      <c r="T532" s="256"/>
      <c r="U532" s="256"/>
      <c r="V532" s="256"/>
      <c r="W532" s="256"/>
      <c r="X532" s="256"/>
      <c r="Y532" s="256"/>
      <c r="Z532" s="256"/>
      <c r="AA532" s="256"/>
      <c r="AB532" s="256"/>
      <c r="AC532" s="256"/>
      <c r="AD532" s="256"/>
      <c r="AE532" s="256"/>
      <c r="AF532" s="256"/>
      <c r="AG532" s="256"/>
      <c r="AH532" s="256"/>
      <c r="AI532" s="256"/>
      <c r="AJ532" s="256"/>
      <c r="AK532" s="256"/>
      <c r="AL532" s="256"/>
      <c r="AM532" s="256"/>
      <c r="AN532" s="256"/>
      <c r="AO532" s="256"/>
      <c r="AP532" s="256"/>
      <c r="AQ532" s="256"/>
      <c r="AR532" s="256"/>
    </row>
    <row r="533">
      <c r="A533" s="256"/>
      <c r="B533" s="256"/>
      <c r="C533" s="257"/>
      <c r="D533" s="257"/>
      <c r="E533" s="257"/>
      <c r="F533" s="257"/>
      <c r="G533" s="257"/>
      <c r="H533" s="257"/>
      <c r="I533" s="256"/>
      <c r="J533" s="256"/>
      <c r="K533" s="256"/>
      <c r="L533" s="256"/>
      <c r="M533" s="256"/>
      <c r="N533" s="256"/>
      <c r="O533" s="256"/>
      <c r="P533" s="256"/>
      <c r="Q533" s="256"/>
      <c r="R533" s="256"/>
      <c r="S533" s="256"/>
      <c r="T533" s="256"/>
      <c r="U533" s="256"/>
      <c r="V533" s="256"/>
      <c r="W533" s="256"/>
      <c r="X533" s="256"/>
      <c r="Y533" s="256"/>
      <c r="Z533" s="256"/>
      <c r="AA533" s="256"/>
      <c r="AB533" s="256"/>
      <c r="AC533" s="256"/>
      <c r="AD533" s="256"/>
      <c r="AE533" s="256"/>
      <c r="AF533" s="256"/>
      <c r="AG533" s="256"/>
      <c r="AH533" s="256"/>
      <c r="AI533" s="256"/>
      <c r="AJ533" s="256"/>
      <c r="AK533" s="256"/>
      <c r="AL533" s="256"/>
      <c r="AM533" s="256"/>
      <c r="AN533" s="256"/>
      <c r="AO533" s="256"/>
      <c r="AP533" s="256"/>
      <c r="AQ533" s="256"/>
      <c r="AR533" s="256"/>
    </row>
    <row r="534">
      <c r="A534" s="256"/>
      <c r="B534" s="256"/>
      <c r="C534" s="257"/>
      <c r="D534" s="257"/>
      <c r="E534" s="257"/>
      <c r="F534" s="257"/>
      <c r="G534" s="257"/>
      <c r="H534" s="257"/>
      <c r="I534" s="256"/>
      <c r="J534" s="256"/>
      <c r="K534" s="256"/>
      <c r="L534" s="256"/>
      <c r="M534" s="256"/>
      <c r="N534" s="256"/>
      <c r="O534" s="256"/>
      <c r="P534" s="256"/>
      <c r="Q534" s="256"/>
      <c r="R534" s="256"/>
      <c r="S534" s="256"/>
      <c r="T534" s="256"/>
      <c r="U534" s="256"/>
      <c r="V534" s="256"/>
      <c r="W534" s="256"/>
      <c r="X534" s="256"/>
      <c r="Y534" s="256"/>
      <c r="Z534" s="256"/>
      <c r="AA534" s="256"/>
      <c r="AB534" s="256"/>
      <c r="AC534" s="256"/>
      <c r="AD534" s="256"/>
      <c r="AE534" s="256"/>
      <c r="AF534" s="256"/>
      <c r="AG534" s="256"/>
      <c r="AH534" s="256"/>
      <c r="AI534" s="256"/>
      <c r="AJ534" s="256"/>
      <c r="AK534" s="256"/>
      <c r="AL534" s="256"/>
      <c r="AM534" s="256"/>
      <c r="AN534" s="256"/>
      <c r="AO534" s="256"/>
      <c r="AP534" s="256"/>
      <c r="AQ534" s="256"/>
      <c r="AR534" s="256"/>
    </row>
    <row r="535">
      <c r="A535" s="256"/>
      <c r="B535" s="256"/>
      <c r="C535" s="257"/>
      <c r="D535" s="257"/>
      <c r="E535" s="257"/>
      <c r="F535" s="257"/>
      <c r="G535" s="257"/>
      <c r="H535" s="257"/>
      <c r="I535" s="256"/>
      <c r="J535" s="256"/>
      <c r="K535" s="256"/>
      <c r="L535" s="256"/>
      <c r="M535" s="256"/>
      <c r="N535" s="256"/>
      <c r="O535" s="256"/>
      <c r="P535" s="256"/>
      <c r="Q535" s="256"/>
      <c r="R535" s="256"/>
      <c r="S535" s="256"/>
      <c r="T535" s="256"/>
      <c r="U535" s="256"/>
      <c r="V535" s="256"/>
      <c r="W535" s="256"/>
      <c r="X535" s="256"/>
      <c r="Y535" s="256"/>
      <c r="Z535" s="256"/>
      <c r="AA535" s="256"/>
      <c r="AB535" s="256"/>
      <c r="AC535" s="256"/>
      <c r="AD535" s="256"/>
      <c r="AE535" s="256"/>
      <c r="AF535" s="256"/>
      <c r="AG535" s="256"/>
      <c r="AH535" s="256"/>
      <c r="AI535" s="256"/>
      <c r="AJ535" s="256"/>
      <c r="AK535" s="256"/>
      <c r="AL535" s="256"/>
      <c r="AM535" s="256"/>
      <c r="AN535" s="256"/>
      <c r="AO535" s="256"/>
      <c r="AP535" s="256"/>
      <c r="AQ535" s="256"/>
      <c r="AR535" s="256"/>
    </row>
    <row r="536">
      <c r="A536" s="256"/>
      <c r="B536" s="256"/>
      <c r="C536" s="257"/>
      <c r="D536" s="257"/>
      <c r="E536" s="257"/>
      <c r="F536" s="257"/>
      <c r="G536" s="257"/>
      <c r="H536" s="257"/>
      <c r="I536" s="256"/>
      <c r="J536" s="256"/>
      <c r="K536" s="256"/>
      <c r="L536" s="256"/>
      <c r="M536" s="256"/>
      <c r="N536" s="256"/>
      <c r="O536" s="256"/>
      <c r="P536" s="256"/>
      <c r="Q536" s="256"/>
      <c r="R536" s="256"/>
      <c r="S536" s="256"/>
      <c r="T536" s="256"/>
      <c r="U536" s="256"/>
      <c r="V536" s="256"/>
      <c r="W536" s="256"/>
      <c r="X536" s="256"/>
      <c r="Y536" s="256"/>
      <c r="Z536" s="256"/>
      <c r="AA536" s="256"/>
      <c r="AB536" s="256"/>
      <c r="AC536" s="256"/>
      <c r="AD536" s="256"/>
      <c r="AE536" s="256"/>
      <c r="AF536" s="256"/>
      <c r="AG536" s="256"/>
      <c r="AH536" s="256"/>
      <c r="AI536" s="256"/>
      <c r="AJ536" s="256"/>
      <c r="AK536" s="256"/>
      <c r="AL536" s="256"/>
      <c r="AM536" s="256"/>
      <c r="AN536" s="256"/>
      <c r="AO536" s="256"/>
      <c r="AP536" s="256"/>
      <c r="AQ536" s="256"/>
      <c r="AR536" s="256"/>
    </row>
    <row r="537">
      <c r="A537" s="256"/>
      <c r="B537" s="256"/>
      <c r="C537" s="257"/>
      <c r="D537" s="257"/>
      <c r="E537" s="257"/>
      <c r="F537" s="257"/>
      <c r="G537" s="257"/>
      <c r="H537" s="257"/>
      <c r="I537" s="256"/>
      <c r="J537" s="256"/>
      <c r="K537" s="256"/>
      <c r="L537" s="256"/>
      <c r="M537" s="256"/>
      <c r="N537" s="256"/>
      <c r="O537" s="256"/>
      <c r="P537" s="256"/>
      <c r="Q537" s="256"/>
      <c r="R537" s="256"/>
      <c r="S537" s="256"/>
      <c r="T537" s="256"/>
      <c r="U537" s="256"/>
      <c r="V537" s="256"/>
      <c r="W537" s="256"/>
      <c r="X537" s="256"/>
      <c r="Y537" s="256"/>
      <c r="Z537" s="256"/>
      <c r="AA537" s="256"/>
      <c r="AB537" s="256"/>
      <c r="AC537" s="256"/>
      <c r="AD537" s="256"/>
      <c r="AE537" s="256"/>
      <c r="AF537" s="256"/>
      <c r="AG537" s="256"/>
      <c r="AH537" s="256"/>
      <c r="AI537" s="256"/>
      <c r="AJ537" s="256"/>
      <c r="AK537" s="256"/>
      <c r="AL537" s="256"/>
      <c r="AM537" s="256"/>
      <c r="AN537" s="256"/>
      <c r="AO537" s="256"/>
      <c r="AP537" s="256"/>
      <c r="AQ537" s="256"/>
      <c r="AR537" s="256"/>
    </row>
    <row r="538">
      <c r="A538" s="256"/>
      <c r="B538" s="256"/>
      <c r="C538" s="257"/>
      <c r="D538" s="257"/>
      <c r="E538" s="257"/>
      <c r="F538" s="257"/>
      <c r="G538" s="257"/>
      <c r="H538" s="257"/>
      <c r="I538" s="256"/>
      <c r="J538" s="256"/>
      <c r="K538" s="256"/>
      <c r="L538" s="256"/>
      <c r="M538" s="256"/>
      <c r="N538" s="256"/>
      <c r="O538" s="256"/>
      <c r="P538" s="256"/>
      <c r="Q538" s="256"/>
      <c r="R538" s="256"/>
      <c r="S538" s="256"/>
      <c r="T538" s="256"/>
      <c r="U538" s="256"/>
      <c r="V538" s="256"/>
      <c r="W538" s="256"/>
      <c r="X538" s="256"/>
      <c r="Y538" s="256"/>
      <c r="Z538" s="256"/>
      <c r="AA538" s="256"/>
      <c r="AB538" s="256"/>
      <c r="AC538" s="256"/>
      <c r="AD538" s="256"/>
      <c r="AE538" s="256"/>
      <c r="AF538" s="256"/>
      <c r="AG538" s="256"/>
      <c r="AH538" s="256"/>
      <c r="AI538" s="256"/>
      <c r="AJ538" s="256"/>
      <c r="AK538" s="256"/>
      <c r="AL538" s="256"/>
      <c r="AM538" s="256"/>
      <c r="AN538" s="256"/>
      <c r="AO538" s="256"/>
      <c r="AP538" s="256"/>
      <c r="AQ538" s="256"/>
      <c r="AR538" s="256"/>
    </row>
    <row r="539">
      <c r="A539" s="256"/>
      <c r="B539" s="256"/>
      <c r="C539" s="257"/>
      <c r="D539" s="257"/>
      <c r="E539" s="257"/>
      <c r="F539" s="257"/>
      <c r="G539" s="257"/>
      <c r="H539" s="257"/>
      <c r="I539" s="256"/>
      <c r="J539" s="256"/>
      <c r="K539" s="256"/>
      <c r="L539" s="256"/>
      <c r="M539" s="256"/>
      <c r="N539" s="256"/>
      <c r="O539" s="256"/>
      <c r="P539" s="256"/>
      <c r="Q539" s="256"/>
      <c r="R539" s="256"/>
      <c r="S539" s="256"/>
      <c r="T539" s="256"/>
      <c r="U539" s="256"/>
      <c r="V539" s="256"/>
      <c r="W539" s="256"/>
      <c r="X539" s="256"/>
      <c r="Y539" s="256"/>
      <c r="Z539" s="256"/>
      <c r="AA539" s="256"/>
      <c r="AB539" s="256"/>
      <c r="AC539" s="256"/>
      <c r="AD539" s="256"/>
      <c r="AE539" s="256"/>
      <c r="AF539" s="256"/>
      <c r="AG539" s="256"/>
      <c r="AH539" s="256"/>
      <c r="AI539" s="256"/>
      <c r="AJ539" s="256"/>
      <c r="AK539" s="256"/>
      <c r="AL539" s="256"/>
      <c r="AM539" s="256"/>
      <c r="AN539" s="256"/>
      <c r="AO539" s="256"/>
      <c r="AP539" s="256"/>
      <c r="AQ539" s="256"/>
      <c r="AR539" s="256"/>
    </row>
    <row r="540">
      <c r="A540" s="256"/>
      <c r="B540" s="256"/>
      <c r="C540" s="257"/>
      <c r="D540" s="257"/>
      <c r="E540" s="257"/>
      <c r="F540" s="257"/>
      <c r="G540" s="257"/>
      <c r="H540" s="257"/>
      <c r="I540" s="256"/>
      <c r="J540" s="256"/>
      <c r="K540" s="256"/>
      <c r="L540" s="256"/>
      <c r="M540" s="256"/>
      <c r="N540" s="256"/>
      <c r="O540" s="256"/>
      <c r="P540" s="256"/>
      <c r="Q540" s="256"/>
      <c r="R540" s="256"/>
      <c r="S540" s="256"/>
      <c r="T540" s="256"/>
      <c r="U540" s="256"/>
      <c r="V540" s="256"/>
      <c r="W540" s="256"/>
      <c r="X540" s="256"/>
      <c r="Y540" s="256"/>
      <c r="Z540" s="256"/>
      <c r="AA540" s="256"/>
      <c r="AB540" s="256"/>
      <c r="AC540" s="256"/>
      <c r="AD540" s="256"/>
      <c r="AE540" s="256"/>
      <c r="AF540" s="256"/>
      <c r="AG540" s="256"/>
      <c r="AH540" s="256"/>
      <c r="AI540" s="256"/>
      <c r="AJ540" s="256"/>
      <c r="AK540" s="256"/>
      <c r="AL540" s="256"/>
      <c r="AM540" s="256"/>
      <c r="AN540" s="256"/>
      <c r="AO540" s="256"/>
      <c r="AP540" s="256"/>
      <c r="AQ540" s="256"/>
      <c r="AR540" s="256"/>
    </row>
    <row r="541">
      <c r="A541" s="256"/>
      <c r="B541" s="256"/>
      <c r="C541" s="257"/>
      <c r="D541" s="257"/>
      <c r="E541" s="257"/>
      <c r="F541" s="257"/>
      <c r="G541" s="257"/>
      <c r="H541" s="257"/>
      <c r="I541" s="256"/>
      <c r="J541" s="256"/>
      <c r="K541" s="256"/>
      <c r="L541" s="256"/>
      <c r="M541" s="256"/>
      <c r="N541" s="256"/>
      <c r="O541" s="256"/>
      <c r="P541" s="256"/>
      <c r="Q541" s="256"/>
      <c r="R541" s="256"/>
      <c r="S541" s="256"/>
      <c r="T541" s="256"/>
      <c r="U541" s="256"/>
      <c r="V541" s="256"/>
      <c r="W541" s="256"/>
      <c r="X541" s="256"/>
      <c r="Y541" s="256"/>
      <c r="Z541" s="256"/>
      <c r="AA541" s="256"/>
      <c r="AB541" s="256"/>
      <c r="AC541" s="256"/>
      <c r="AD541" s="256"/>
      <c r="AE541" s="256"/>
      <c r="AF541" s="256"/>
      <c r="AG541" s="256"/>
      <c r="AH541" s="256"/>
      <c r="AI541" s="256"/>
      <c r="AJ541" s="256"/>
      <c r="AK541" s="256"/>
      <c r="AL541" s="256"/>
      <c r="AM541" s="256"/>
      <c r="AN541" s="256"/>
      <c r="AO541" s="256"/>
      <c r="AP541" s="256"/>
      <c r="AQ541" s="256"/>
      <c r="AR541" s="256"/>
    </row>
    <row r="542">
      <c r="A542" s="256"/>
      <c r="B542" s="256"/>
      <c r="C542" s="257"/>
      <c r="D542" s="257"/>
      <c r="E542" s="257"/>
      <c r="F542" s="257"/>
      <c r="G542" s="257"/>
      <c r="H542" s="257"/>
      <c r="I542" s="256"/>
      <c r="J542" s="256"/>
      <c r="K542" s="256"/>
      <c r="L542" s="256"/>
      <c r="M542" s="256"/>
      <c r="N542" s="256"/>
      <c r="O542" s="256"/>
      <c r="P542" s="256"/>
      <c r="Q542" s="256"/>
      <c r="R542" s="256"/>
      <c r="S542" s="256"/>
      <c r="T542" s="256"/>
      <c r="U542" s="256"/>
      <c r="V542" s="256"/>
      <c r="W542" s="256"/>
      <c r="X542" s="256"/>
      <c r="Y542" s="256"/>
      <c r="Z542" s="256"/>
      <c r="AA542" s="256"/>
      <c r="AB542" s="256"/>
      <c r="AC542" s="256"/>
      <c r="AD542" s="256"/>
      <c r="AE542" s="256"/>
      <c r="AF542" s="256"/>
      <c r="AG542" s="256"/>
      <c r="AH542" s="256"/>
      <c r="AI542" s="256"/>
      <c r="AJ542" s="256"/>
      <c r="AK542" s="256"/>
      <c r="AL542" s="256"/>
      <c r="AM542" s="256"/>
      <c r="AN542" s="256"/>
      <c r="AO542" s="256"/>
      <c r="AP542" s="256"/>
      <c r="AQ542" s="256"/>
      <c r="AR542" s="256"/>
    </row>
    <row r="543">
      <c r="A543" s="256"/>
      <c r="B543" s="256"/>
      <c r="C543" s="257"/>
      <c r="D543" s="257"/>
      <c r="E543" s="257"/>
      <c r="F543" s="257"/>
      <c r="G543" s="257"/>
      <c r="H543" s="257"/>
      <c r="I543" s="256"/>
      <c r="J543" s="256"/>
      <c r="K543" s="256"/>
      <c r="L543" s="256"/>
      <c r="M543" s="256"/>
      <c r="N543" s="256"/>
      <c r="O543" s="256"/>
      <c r="P543" s="256"/>
      <c r="Q543" s="256"/>
      <c r="R543" s="256"/>
      <c r="S543" s="256"/>
      <c r="T543" s="256"/>
      <c r="U543" s="256"/>
      <c r="V543" s="256"/>
      <c r="W543" s="256"/>
      <c r="X543" s="256"/>
      <c r="Y543" s="256"/>
      <c r="Z543" s="256"/>
      <c r="AA543" s="256"/>
      <c r="AB543" s="256"/>
      <c r="AC543" s="256"/>
      <c r="AD543" s="256"/>
      <c r="AE543" s="256"/>
      <c r="AF543" s="256"/>
      <c r="AG543" s="256"/>
      <c r="AH543" s="256"/>
      <c r="AI543" s="256"/>
      <c r="AJ543" s="256"/>
      <c r="AK543" s="256"/>
      <c r="AL543" s="256"/>
      <c r="AM543" s="256"/>
      <c r="AN543" s="256"/>
      <c r="AO543" s="256"/>
      <c r="AP543" s="256"/>
      <c r="AQ543" s="256"/>
      <c r="AR543" s="256"/>
    </row>
    <row r="544">
      <c r="A544" s="256"/>
      <c r="B544" s="256"/>
      <c r="C544" s="257"/>
      <c r="D544" s="257"/>
      <c r="E544" s="257"/>
      <c r="F544" s="257"/>
      <c r="G544" s="257"/>
      <c r="H544" s="257"/>
      <c r="I544" s="256"/>
      <c r="J544" s="256"/>
      <c r="K544" s="256"/>
      <c r="L544" s="256"/>
      <c r="M544" s="256"/>
      <c r="N544" s="256"/>
      <c r="O544" s="256"/>
      <c r="P544" s="256"/>
      <c r="Q544" s="256"/>
      <c r="R544" s="256"/>
      <c r="S544" s="256"/>
      <c r="T544" s="256"/>
      <c r="U544" s="256"/>
      <c r="V544" s="256"/>
      <c r="W544" s="256"/>
      <c r="X544" s="256"/>
      <c r="Y544" s="256"/>
      <c r="Z544" s="256"/>
      <c r="AA544" s="256"/>
      <c r="AB544" s="256"/>
      <c r="AC544" s="256"/>
      <c r="AD544" s="256"/>
      <c r="AE544" s="256"/>
      <c r="AF544" s="256"/>
      <c r="AG544" s="256"/>
      <c r="AH544" s="256"/>
      <c r="AI544" s="256"/>
      <c r="AJ544" s="256"/>
      <c r="AK544" s="256"/>
      <c r="AL544" s="256"/>
      <c r="AM544" s="256"/>
      <c r="AN544" s="256"/>
      <c r="AO544" s="256"/>
      <c r="AP544" s="256"/>
      <c r="AQ544" s="256"/>
      <c r="AR544" s="256"/>
    </row>
    <row r="545">
      <c r="A545" s="256"/>
      <c r="B545" s="256"/>
      <c r="C545" s="257"/>
      <c r="D545" s="257"/>
      <c r="E545" s="257"/>
      <c r="F545" s="257"/>
      <c r="G545" s="257"/>
      <c r="H545" s="257"/>
      <c r="I545" s="256"/>
      <c r="J545" s="256"/>
      <c r="K545" s="256"/>
      <c r="L545" s="256"/>
      <c r="M545" s="256"/>
      <c r="N545" s="256"/>
      <c r="O545" s="256"/>
      <c r="P545" s="256"/>
      <c r="Q545" s="256"/>
      <c r="R545" s="256"/>
      <c r="S545" s="256"/>
      <c r="T545" s="256"/>
      <c r="U545" s="256"/>
      <c r="V545" s="256"/>
      <c r="W545" s="256"/>
      <c r="X545" s="256"/>
      <c r="Y545" s="256"/>
      <c r="Z545" s="256"/>
      <c r="AA545" s="256"/>
      <c r="AB545" s="256"/>
      <c r="AC545" s="256"/>
      <c r="AD545" s="256"/>
      <c r="AE545" s="256"/>
      <c r="AF545" s="256"/>
      <c r="AG545" s="256"/>
      <c r="AH545" s="256"/>
      <c r="AI545" s="256"/>
      <c r="AJ545" s="256"/>
      <c r="AK545" s="256"/>
      <c r="AL545" s="256"/>
      <c r="AM545" s="256"/>
      <c r="AN545" s="256"/>
      <c r="AO545" s="256"/>
      <c r="AP545" s="256"/>
      <c r="AQ545" s="256"/>
      <c r="AR545" s="256"/>
    </row>
    <row r="546">
      <c r="A546" s="256"/>
      <c r="B546" s="256"/>
      <c r="C546" s="257"/>
      <c r="D546" s="257"/>
      <c r="E546" s="257"/>
      <c r="F546" s="257"/>
      <c r="G546" s="257"/>
      <c r="H546" s="257"/>
      <c r="I546" s="256"/>
      <c r="J546" s="256"/>
      <c r="K546" s="256"/>
      <c r="L546" s="256"/>
      <c r="M546" s="256"/>
      <c r="N546" s="256"/>
      <c r="O546" s="256"/>
      <c r="P546" s="256"/>
      <c r="Q546" s="256"/>
      <c r="R546" s="256"/>
      <c r="S546" s="256"/>
      <c r="T546" s="256"/>
      <c r="U546" s="256"/>
      <c r="V546" s="256"/>
      <c r="W546" s="256"/>
      <c r="X546" s="256"/>
      <c r="Y546" s="256"/>
      <c r="Z546" s="256"/>
      <c r="AA546" s="256"/>
      <c r="AB546" s="256"/>
      <c r="AC546" s="256"/>
      <c r="AD546" s="256"/>
      <c r="AE546" s="256"/>
      <c r="AF546" s="256"/>
      <c r="AG546" s="256"/>
      <c r="AH546" s="256"/>
      <c r="AI546" s="256"/>
      <c r="AJ546" s="256"/>
      <c r="AK546" s="256"/>
      <c r="AL546" s="256"/>
      <c r="AM546" s="256"/>
      <c r="AN546" s="256"/>
      <c r="AO546" s="256"/>
      <c r="AP546" s="256"/>
      <c r="AQ546" s="256"/>
      <c r="AR546" s="256"/>
    </row>
    <row r="547">
      <c r="A547" s="256"/>
      <c r="B547" s="256"/>
      <c r="C547" s="257"/>
      <c r="D547" s="257"/>
      <c r="E547" s="257"/>
      <c r="F547" s="257"/>
      <c r="G547" s="257"/>
      <c r="H547" s="257"/>
      <c r="I547" s="256"/>
      <c r="J547" s="256"/>
      <c r="K547" s="256"/>
      <c r="L547" s="256"/>
      <c r="M547" s="256"/>
      <c r="N547" s="256"/>
      <c r="O547" s="256"/>
      <c r="P547" s="256"/>
      <c r="Q547" s="256"/>
      <c r="R547" s="256"/>
      <c r="S547" s="256"/>
      <c r="T547" s="256"/>
      <c r="U547" s="256"/>
      <c r="V547" s="256"/>
      <c r="W547" s="256"/>
      <c r="X547" s="256"/>
      <c r="Y547" s="256"/>
      <c r="Z547" s="256"/>
      <c r="AA547" s="256"/>
      <c r="AB547" s="256"/>
      <c r="AC547" s="256"/>
      <c r="AD547" s="256"/>
      <c r="AE547" s="256"/>
      <c r="AF547" s="256"/>
      <c r="AG547" s="256"/>
      <c r="AH547" s="256"/>
      <c r="AI547" s="256"/>
      <c r="AJ547" s="256"/>
      <c r="AK547" s="256"/>
      <c r="AL547" s="256"/>
      <c r="AM547" s="256"/>
      <c r="AN547" s="256"/>
      <c r="AO547" s="256"/>
      <c r="AP547" s="256"/>
      <c r="AQ547" s="256"/>
      <c r="AR547" s="256"/>
    </row>
    <row r="548">
      <c r="A548" s="256"/>
      <c r="B548" s="256"/>
      <c r="C548" s="257"/>
      <c r="D548" s="257"/>
      <c r="E548" s="257"/>
      <c r="F548" s="257"/>
      <c r="G548" s="257"/>
      <c r="H548" s="257"/>
      <c r="I548" s="256"/>
      <c r="J548" s="256"/>
      <c r="K548" s="256"/>
      <c r="L548" s="256"/>
      <c r="M548" s="256"/>
      <c r="N548" s="256"/>
      <c r="O548" s="256"/>
      <c r="P548" s="256"/>
      <c r="Q548" s="256"/>
      <c r="R548" s="256"/>
      <c r="S548" s="256"/>
      <c r="T548" s="256"/>
      <c r="U548" s="256"/>
      <c r="V548" s="256"/>
      <c r="W548" s="256"/>
      <c r="X548" s="256"/>
      <c r="Y548" s="256"/>
      <c r="Z548" s="256"/>
      <c r="AA548" s="256"/>
      <c r="AB548" s="256"/>
      <c r="AC548" s="256"/>
      <c r="AD548" s="256"/>
      <c r="AE548" s="256"/>
      <c r="AF548" s="256"/>
      <c r="AG548" s="256"/>
      <c r="AH548" s="256"/>
      <c r="AI548" s="256"/>
      <c r="AJ548" s="256"/>
      <c r="AK548" s="256"/>
      <c r="AL548" s="256"/>
      <c r="AM548" s="256"/>
      <c r="AN548" s="256"/>
      <c r="AO548" s="256"/>
      <c r="AP548" s="256"/>
      <c r="AQ548" s="256"/>
      <c r="AR548" s="256"/>
    </row>
    <row r="549">
      <c r="A549" s="256"/>
      <c r="B549" s="256"/>
      <c r="C549" s="257"/>
      <c r="D549" s="257"/>
      <c r="E549" s="257"/>
      <c r="F549" s="257"/>
      <c r="G549" s="257"/>
      <c r="H549" s="257"/>
      <c r="I549" s="256"/>
      <c r="J549" s="256"/>
      <c r="K549" s="256"/>
      <c r="L549" s="256"/>
      <c r="M549" s="256"/>
      <c r="N549" s="256"/>
      <c r="O549" s="256"/>
      <c r="P549" s="256"/>
      <c r="Q549" s="256"/>
      <c r="R549" s="256"/>
      <c r="S549" s="256"/>
      <c r="T549" s="256"/>
      <c r="U549" s="256"/>
      <c r="V549" s="256"/>
      <c r="W549" s="256"/>
      <c r="X549" s="256"/>
      <c r="Y549" s="256"/>
      <c r="Z549" s="256"/>
      <c r="AA549" s="256"/>
      <c r="AB549" s="256"/>
      <c r="AC549" s="256"/>
      <c r="AD549" s="256"/>
      <c r="AE549" s="256"/>
      <c r="AF549" s="256"/>
      <c r="AG549" s="256"/>
      <c r="AH549" s="256"/>
      <c r="AI549" s="256"/>
      <c r="AJ549" s="256"/>
      <c r="AK549" s="256"/>
      <c r="AL549" s="256"/>
      <c r="AM549" s="256"/>
      <c r="AN549" s="256"/>
      <c r="AO549" s="256"/>
      <c r="AP549" s="256"/>
      <c r="AQ549" s="256"/>
      <c r="AR549" s="256"/>
    </row>
    <row r="550">
      <c r="A550" s="256"/>
      <c r="B550" s="256"/>
      <c r="C550" s="257"/>
      <c r="D550" s="257"/>
      <c r="E550" s="257"/>
      <c r="F550" s="257"/>
      <c r="G550" s="257"/>
      <c r="H550" s="257"/>
      <c r="I550" s="256"/>
      <c r="J550" s="256"/>
      <c r="K550" s="256"/>
      <c r="L550" s="256"/>
      <c r="M550" s="256"/>
      <c r="N550" s="256"/>
      <c r="O550" s="256"/>
      <c r="P550" s="256"/>
      <c r="Q550" s="256"/>
      <c r="R550" s="256"/>
      <c r="S550" s="256"/>
      <c r="T550" s="256"/>
      <c r="U550" s="256"/>
      <c r="V550" s="256"/>
      <c r="W550" s="256"/>
      <c r="X550" s="256"/>
      <c r="Y550" s="256"/>
      <c r="Z550" s="256"/>
      <c r="AA550" s="256"/>
      <c r="AB550" s="256"/>
      <c r="AC550" s="256"/>
      <c r="AD550" s="256"/>
      <c r="AE550" s="256"/>
      <c r="AF550" s="256"/>
      <c r="AG550" s="256"/>
      <c r="AH550" s="256"/>
      <c r="AI550" s="256"/>
      <c r="AJ550" s="256"/>
      <c r="AK550" s="256"/>
      <c r="AL550" s="256"/>
      <c r="AM550" s="256"/>
      <c r="AN550" s="256"/>
      <c r="AO550" s="256"/>
      <c r="AP550" s="256"/>
      <c r="AQ550" s="256"/>
      <c r="AR550" s="256"/>
    </row>
    <row r="551">
      <c r="A551" s="256"/>
      <c r="B551" s="256"/>
      <c r="C551" s="257"/>
      <c r="D551" s="257"/>
      <c r="E551" s="257"/>
      <c r="F551" s="257"/>
      <c r="G551" s="257"/>
      <c r="H551" s="257"/>
      <c r="I551" s="256"/>
      <c r="J551" s="256"/>
      <c r="K551" s="256"/>
      <c r="L551" s="256"/>
      <c r="M551" s="256"/>
      <c r="N551" s="256"/>
      <c r="O551" s="256"/>
      <c r="P551" s="256"/>
      <c r="Q551" s="256"/>
      <c r="R551" s="256"/>
      <c r="S551" s="256"/>
      <c r="T551" s="256"/>
      <c r="U551" s="256"/>
      <c r="V551" s="256"/>
      <c r="W551" s="256"/>
      <c r="X551" s="256"/>
      <c r="Y551" s="256"/>
      <c r="Z551" s="256"/>
      <c r="AA551" s="256"/>
      <c r="AB551" s="256"/>
      <c r="AC551" s="256"/>
      <c r="AD551" s="256"/>
      <c r="AE551" s="256"/>
      <c r="AF551" s="256"/>
      <c r="AG551" s="256"/>
      <c r="AH551" s="256"/>
      <c r="AI551" s="256"/>
      <c r="AJ551" s="256"/>
      <c r="AK551" s="256"/>
      <c r="AL551" s="256"/>
      <c r="AM551" s="256"/>
      <c r="AN551" s="256"/>
      <c r="AO551" s="256"/>
      <c r="AP551" s="256"/>
      <c r="AQ551" s="256"/>
      <c r="AR551" s="256"/>
    </row>
    <row r="552">
      <c r="A552" s="256"/>
      <c r="B552" s="256"/>
      <c r="C552" s="257"/>
      <c r="D552" s="257"/>
      <c r="E552" s="257"/>
      <c r="F552" s="257"/>
      <c r="G552" s="257"/>
      <c r="H552" s="257"/>
      <c r="I552" s="256"/>
      <c r="J552" s="256"/>
      <c r="K552" s="256"/>
      <c r="L552" s="256"/>
      <c r="M552" s="256"/>
      <c r="N552" s="256"/>
      <c r="O552" s="256"/>
      <c r="P552" s="256"/>
      <c r="Q552" s="256"/>
      <c r="R552" s="256"/>
      <c r="S552" s="256"/>
      <c r="T552" s="256"/>
      <c r="U552" s="256"/>
      <c r="V552" s="256"/>
      <c r="W552" s="256"/>
      <c r="X552" s="256"/>
      <c r="Y552" s="256"/>
      <c r="Z552" s="256"/>
      <c r="AA552" s="256"/>
      <c r="AB552" s="256"/>
      <c r="AC552" s="256"/>
      <c r="AD552" s="256"/>
      <c r="AE552" s="256"/>
      <c r="AF552" s="256"/>
      <c r="AG552" s="256"/>
      <c r="AH552" s="256"/>
      <c r="AI552" s="256"/>
      <c r="AJ552" s="256"/>
      <c r="AK552" s="256"/>
      <c r="AL552" s="256"/>
      <c r="AM552" s="256"/>
      <c r="AN552" s="256"/>
      <c r="AO552" s="256"/>
      <c r="AP552" s="256"/>
      <c r="AQ552" s="256"/>
      <c r="AR552" s="256"/>
    </row>
    <row r="553">
      <c r="A553" s="256"/>
      <c r="B553" s="256"/>
      <c r="C553" s="257"/>
      <c r="D553" s="257"/>
      <c r="E553" s="257"/>
      <c r="F553" s="257"/>
      <c r="G553" s="257"/>
      <c r="H553" s="257"/>
      <c r="I553" s="256"/>
      <c r="J553" s="256"/>
      <c r="K553" s="256"/>
      <c r="L553" s="256"/>
      <c r="M553" s="256"/>
      <c r="N553" s="256"/>
      <c r="O553" s="256"/>
      <c r="P553" s="256"/>
      <c r="Q553" s="256"/>
      <c r="R553" s="256"/>
      <c r="S553" s="256"/>
      <c r="T553" s="256"/>
      <c r="U553" s="256"/>
      <c r="V553" s="256"/>
      <c r="W553" s="256"/>
      <c r="X553" s="256"/>
      <c r="Y553" s="256"/>
      <c r="Z553" s="256"/>
      <c r="AA553" s="256"/>
      <c r="AB553" s="256"/>
      <c r="AC553" s="256"/>
      <c r="AD553" s="256"/>
      <c r="AE553" s="256"/>
      <c r="AF553" s="256"/>
      <c r="AG553" s="256"/>
      <c r="AH553" s="256"/>
      <c r="AI553" s="256"/>
      <c r="AJ553" s="256"/>
      <c r="AK553" s="256"/>
      <c r="AL553" s="256"/>
      <c r="AM553" s="256"/>
      <c r="AN553" s="256"/>
      <c r="AO553" s="256"/>
      <c r="AP553" s="256"/>
      <c r="AQ553" s="256"/>
      <c r="AR553" s="256"/>
    </row>
    <row r="554">
      <c r="A554" s="256"/>
      <c r="B554" s="256"/>
      <c r="C554" s="257"/>
      <c r="D554" s="257"/>
      <c r="E554" s="257"/>
      <c r="F554" s="257"/>
      <c r="G554" s="257"/>
      <c r="H554" s="257"/>
      <c r="I554" s="256"/>
      <c r="J554" s="256"/>
      <c r="K554" s="256"/>
      <c r="L554" s="256"/>
      <c r="M554" s="256"/>
      <c r="N554" s="256"/>
      <c r="O554" s="256"/>
      <c r="P554" s="256"/>
      <c r="Q554" s="256"/>
      <c r="R554" s="256"/>
      <c r="S554" s="256"/>
      <c r="T554" s="256"/>
      <c r="U554" s="256"/>
      <c r="V554" s="256"/>
      <c r="W554" s="256"/>
      <c r="X554" s="256"/>
      <c r="Y554" s="256"/>
      <c r="Z554" s="256"/>
      <c r="AA554" s="256"/>
      <c r="AB554" s="256"/>
      <c r="AC554" s="256"/>
      <c r="AD554" s="256"/>
      <c r="AE554" s="256"/>
      <c r="AF554" s="256"/>
      <c r="AG554" s="256"/>
      <c r="AH554" s="256"/>
      <c r="AI554" s="256"/>
      <c r="AJ554" s="256"/>
      <c r="AK554" s="256"/>
      <c r="AL554" s="256"/>
      <c r="AM554" s="256"/>
      <c r="AN554" s="256"/>
      <c r="AO554" s="256"/>
      <c r="AP554" s="256"/>
      <c r="AQ554" s="256"/>
      <c r="AR554" s="256"/>
    </row>
    <row r="555">
      <c r="A555" s="256"/>
      <c r="B555" s="256"/>
      <c r="C555" s="257"/>
      <c r="D555" s="257"/>
      <c r="E555" s="257"/>
      <c r="F555" s="257"/>
      <c r="G555" s="257"/>
      <c r="H555" s="257"/>
      <c r="I555" s="256"/>
      <c r="J555" s="256"/>
      <c r="K555" s="256"/>
      <c r="L555" s="256"/>
      <c r="M555" s="256"/>
      <c r="N555" s="256"/>
      <c r="O555" s="256"/>
      <c r="P555" s="256"/>
      <c r="Q555" s="256"/>
      <c r="R555" s="256"/>
      <c r="S555" s="256"/>
      <c r="T555" s="256"/>
      <c r="U555" s="256"/>
      <c r="V555" s="256"/>
      <c r="W555" s="256"/>
      <c r="X555" s="256"/>
      <c r="Y555" s="256"/>
      <c r="Z555" s="256"/>
      <c r="AA555" s="256"/>
      <c r="AB555" s="256"/>
      <c r="AC555" s="256"/>
      <c r="AD555" s="256"/>
      <c r="AE555" s="256"/>
      <c r="AF555" s="256"/>
      <c r="AG555" s="256"/>
      <c r="AH555" s="256"/>
      <c r="AI555" s="256"/>
      <c r="AJ555" s="256"/>
      <c r="AK555" s="256"/>
      <c r="AL555" s="256"/>
      <c r="AM555" s="256"/>
      <c r="AN555" s="256"/>
      <c r="AO555" s="256"/>
      <c r="AP555" s="256"/>
      <c r="AQ555" s="256"/>
      <c r="AR555" s="256"/>
    </row>
    <row r="556">
      <c r="A556" s="256"/>
      <c r="B556" s="256"/>
      <c r="C556" s="257"/>
      <c r="D556" s="257"/>
      <c r="E556" s="257"/>
      <c r="F556" s="257"/>
      <c r="G556" s="257"/>
      <c r="H556" s="257"/>
      <c r="I556" s="256"/>
      <c r="J556" s="256"/>
      <c r="K556" s="256"/>
      <c r="L556" s="256"/>
      <c r="M556" s="256"/>
      <c r="N556" s="256"/>
      <c r="O556" s="256"/>
      <c r="P556" s="256"/>
      <c r="Q556" s="256"/>
      <c r="R556" s="256"/>
      <c r="S556" s="256"/>
      <c r="T556" s="256"/>
      <c r="U556" s="256"/>
      <c r="V556" s="256"/>
      <c r="W556" s="256"/>
      <c r="X556" s="256"/>
      <c r="Y556" s="256"/>
      <c r="Z556" s="256"/>
      <c r="AA556" s="256"/>
      <c r="AB556" s="256"/>
      <c r="AC556" s="256"/>
      <c r="AD556" s="256"/>
      <c r="AE556" s="256"/>
      <c r="AF556" s="256"/>
      <c r="AG556" s="256"/>
      <c r="AH556" s="256"/>
      <c r="AI556" s="256"/>
      <c r="AJ556" s="256"/>
      <c r="AK556" s="256"/>
      <c r="AL556" s="256"/>
      <c r="AM556" s="256"/>
      <c r="AN556" s="256"/>
      <c r="AO556" s="256"/>
      <c r="AP556" s="256"/>
      <c r="AQ556" s="256"/>
      <c r="AR556" s="256"/>
    </row>
    <row r="557">
      <c r="A557" s="256"/>
      <c r="B557" s="256"/>
      <c r="C557" s="257"/>
      <c r="D557" s="257"/>
      <c r="E557" s="257"/>
      <c r="F557" s="257"/>
      <c r="G557" s="257"/>
      <c r="H557" s="257"/>
      <c r="I557" s="256"/>
      <c r="J557" s="256"/>
      <c r="K557" s="256"/>
      <c r="L557" s="256"/>
      <c r="M557" s="256"/>
      <c r="N557" s="256"/>
      <c r="O557" s="256"/>
      <c r="P557" s="256"/>
      <c r="Q557" s="256"/>
      <c r="R557" s="256"/>
      <c r="S557" s="256"/>
      <c r="T557" s="256"/>
      <c r="U557" s="256"/>
      <c r="V557" s="256"/>
      <c r="W557" s="256"/>
      <c r="X557" s="256"/>
      <c r="Y557" s="256"/>
      <c r="Z557" s="256"/>
      <c r="AA557" s="256"/>
      <c r="AB557" s="256"/>
      <c r="AC557" s="256"/>
      <c r="AD557" s="256"/>
      <c r="AE557" s="256"/>
      <c r="AF557" s="256"/>
      <c r="AG557" s="256"/>
      <c r="AH557" s="256"/>
      <c r="AI557" s="256"/>
      <c r="AJ557" s="256"/>
      <c r="AK557" s="256"/>
      <c r="AL557" s="256"/>
      <c r="AM557" s="256"/>
      <c r="AN557" s="256"/>
      <c r="AO557" s="256"/>
      <c r="AP557" s="256"/>
      <c r="AQ557" s="256"/>
      <c r="AR557" s="256"/>
    </row>
    <row r="558">
      <c r="A558" s="256"/>
      <c r="B558" s="256"/>
      <c r="C558" s="257"/>
      <c r="D558" s="257"/>
      <c r="E558" s="257"/>
      <c r="F558" s="257"/>
      <c r="G558" s="257"/>
      <c r="H558" s="257"/>
      <c r="I558" s="256"/>
      <c r="J558" s="256"/>
      <c r="K558" s="256"/>
      <c r="L558" s="256"/>
      <c r="M558" s="256"/>
      <c r="N558" s="256"/>
      <c r="O558" s="256"/>
      <c r="P558" s="256"/>
      <c r="Q558" s="256"/>
      <c r="R558" s="256"/>
      <c r="S558" s="256"/>
      <c r="T558" s="256"/>
      <c r="U558" s="256"/>
      <c r="V558" s="256"/>
      <c r="W558" s="256"/>
      <c r="X558" s="256"/>
      <c r="Y558" s="256"/>
      <c r="Z558" s="256"/>
      <c r="AA558" s="256"/>
      <c r="AB558" s="256"/>
      <c r="AC558" s="256"/>
      <c r="AD558" s="256"/>
      <c r="AE558" s="256"/>
      <c r="AF558" s="256"/>
      <c r="AG558" s="256"/>
      <c r="AH558" s="256"/>
      <c r="AI558" s="256"/>
      <c r="AJ558" s="256"/>
      <c r="AK558" s="256"/>
      <c r="AL558" s="256"/>
      <c r="AM558" s="256"/>
      <c r="AN558" s="256"/>
      <c r="AO558" s="256"/>
      <c r="AP558" s="256"/>
      <c r="AQ558" s="256"/>
      <c r="AR558" s="256"/>
    </row>
    <row r="559">
      <c r="A559" s="256"/>
      <c r="B559" s="256"/>
      <c r="C559" s="257"/>
      <c r="D559" s="257"/>
      <c r="E559" s="257"/>
      <c r="F559" s="257"/>
      <c r="G559" s="257"/>
      <c r="H559" s="257"/>
      <c r="I559" s="256"/>
      <c r="J559" s="256"/>
      <c r="K559" s="256"/>
      <c r="L559" s="256"/>
      <c r="M559" s="256"/>
      <c r="N559" s="256"/>
      <c r="O559" s="256"/>
      <c r="P559" s="256"/>
      <c r="Q559" s="256"/>
      <c r="R559" s="256"/>
      <c r="S559" s="256"/>
      <c r="T559" s="256"/>
      <c r="U559" s="256"/>
      <c r="V559" s="256"/>
      <c r="W559" s="256"/>
      <c r="X559" s="256"/>
      <c r="Y559" s="256"/>
      <c r="Z559" s="256"/>
      <c r="AA559" s="256"/>
      <c r="AB559" s="256"/>
      <c r="AC559" s="256"/>
      <c r="AD559" s="256"/>
      <c r="AE559" s="256"/>
      <c r="AF559" s="256"/>
      <c r="AG559" s="256"/>
      <c r="AH559" s="256"/>
      <c r="AI559" s="256"/>
      <c r="AJ559" s="256"/>
      <c r="AK559" s="256"/>
      <c r="AL559" s="256"/>
      <c r="AM559" s="256"/>
      <c r="AN559" s="256"/>
      <c r="AO559" s="256"/>
      <c r="AP559" s="256"/>
      <c r="AQ559" s="256"/>
      <c r="AR559" s="256"/>
    </row>
    <row r="560">
      <c r="A560" s="256"/>
      <c r="B560" s="256"/>
      <c r="C560" s="257"/>
      <c r="D560" s="257"/>
      <c r="E560" s="257"/>
      <c r="F560" s="257"/>
      <c r="G560" s="257"/>
      <c r="H560" s="257"/>
      <c r="I560" s="256"/>
      <c r="J560" s="256"/>
      <c r="K560" s="256"/>
      <c r="L560" s="256"/>
      <c r="M560" s="256"/>
      <c r="N560" s="256"/>
      <c r="O560" s="256"/>
      <c r="P560" s="256"/>
      <c r="Q560" s="256"/>
      <c r="R560" s="256"/>
      <c r="S560" s="256"/>
      <c r="T560" s="256"/>
      <c r="U560" s="256"/>
      <c r="V560" s="256"/>
      <c r="W560" s="256"/>
      <c r="X560" s="256"/>
      <c r="Y560" s="256"/>
      <c r="Z560" s="256"/>
      <c r="AA560" s="256"/>
      <c r="AB560" s="256"/>
      <c r="AC560" s="256"/>
      <c r="AD560" s="256"/>
      <c r="AE560" s="256"/>
      <c r="AF560" s="256"/>
      <c r="AG560" s="256"/>
      <c r="AH560" s="256"/>
      <c r="AI560" s="256"/>
      <c r="AJ560" s="256"/>
      <c r="AK560" s="256"/>
      <c r="AL560" s="256"/>
      <c r="AM560" s="256"/>
      <c r="AN560" s="256"/>
      <c r="AO560" s="256"/>
      <c r="AP560" s="256"/>
      <c r="AQ560" s="256"/>
      <c r="AR560" s="256"/>
    </row>
    <row r="561">
      <c r="A561" s="256"/>
      <c r="B561" s="256"/>
      <c r="C561" s="257"/>
      <c r="D561" s="257"/>
      <c r="E561" s="257"/>
      <c r="F561" s="257"/>
      <c r="G561" s="257"/>
      <c r="H561" s="257"/>
      <c r="I561" s="256"/>
      <c r="J561" s="256"/>
      <c r="K561" s="256"/>
      <c r="L561" s="256"/>
      <c r="M561" s="256"/>
      <c r="N561" s="256"/>
      <c r="O561" s="256"/>
      <c r="P561" s="256"/>
      <c r="Q561" s="256"/>
      <c r="R561" s="256"/>
      <c r="S561" s="256"/>
      <c r="T561" s="256"/>
      <c r="U561" s="256"/>
      <c r="V561" s="256"/>
      <c r="W561" s="256"/>
      <c r="X561" s="256"/>
      <c r="Y561" s="256"/>
      <c r="Z561" s="256"/>
      <c r="AA561" s="256"/>
      <c r="AB561" s="256"/>
      <c r="AC561" s="256"/>
      <c r="AD561" s="256"/>
      <c r="AE561" s="256"/>
      <c r="AF561" s="256"/>
      <c r="AG561" s="256"/>
      <c r="AH561" s="256"/>
      <c r="AI561" s="256"/>
      <c r="AJ561" s="256"/>
      <c r="AK561" s="256"/>
      <c r="AL561" s="256"/>
      <c r="AM561" s="256"/>
      <c r="AN561" s="256"/>
      <c r="AO561" s="256"/>
      <c r="AP561" s="256"/>
      <c r="AQ561" s="256"/>
      <c r="AR561" s="256"/>
    </row>
    <row r="562">
      <c r="A562" s="256"/>
      <c r="B562" s="256"/>
      <c r="C562" s="257"/>
      <c r="D562" s="257"/>
      <c r="E562" s="257"/>
      <c r="F562" s="257"/>
      <c r="G562" s="257"/>
      <c r="H562" s="257"/>
      <c r="I562" s="256"/>
      <c r="J562" s="256"/>
      <c r="K562" s="256"/>
      <c r="L562" s="256"/>
      <c r="M562" s="256"/>
      <c r="N562" s="256"/>
      <c r="O562" s="256"/>
      <c r="P562" s="256"/>
      <c r="Q562" s="256"/>
      <c r="R562" s="256"/>
      <c r="S562" s="256"/>
      <c r="T562" s="256"/>
      <c r="U562" s="256"/>
      <c r="V562" s="256"/>
      <c r="W562" s="256"/>
      <c r="X562" s="256"/>
      <c r="Y562" s="256"/>
      <c r="Z562" s="256"/>
      <c r="AA562" s="256"/>
      <c r="AB562" s="256"/>
      <c r="AC562" s="256"/>
      <c r="AD562" s="256"/>
      <c r="AE562" s="256"/>
      <c r="AF562" s="256"/>
      <c r="AG562" s="256"/>
      <c r="AH562" s="256"/>
      <c r="AI562" s="256"/>
      <c r="AJ562" s="256"/>
      <c r="AK562" s="256"/>
      <c r="AL562" s="256"/>
      <c r="AM562" s="256"/>
      <c r="AN562" s="256"/>
      <c r="AO562" s="256"/>
      <c r="AP562" s="256"/>
      <c r="AQ562" s="256"/>
      <c r="AR562" s="256"/>
    </row>
    <row r="563">
      <c r="A563" s="256"/>
      <c r="B563" s="256"/>
      <c r="C563" s="257"/>
      <c r="D563" s="257"/>
      <c r="E563" s="257"/>
      <c r="F563" s="257"/>
      <c r="G563" s="257"/>
      <c r="H563" s="257"/>
      <c r="I563" s="256"/>
      <c r="J563" s="256"/>
      <c r="K563" s="256"/>
      <c r="L563" s="256"/>
      <c r="M563" s="256"/>
      <c r="N563" s="256"/>
      <c r="O563" s="256"/>
      <c r="P563" s="256"/>
      <c r="Q563" s="256"/>
      <c r="R563" s="256"/>
      <c r="S563" s="256"/>
      <c r="T563" s="256"/>
      <c r="U563" s="256"/>
      <c r="V563" s="256"/>
      <c r="W563" s="256"/>
      <c r="X563" s="256"/>
      <c r="Y563" s="256"/>
      <c r="Z563" s="256"/>
      <c r="AA563" s="256"/>
      <c r="AB563" s="256"/>
      <c r="AC563" s="256"/>
      <c r="AD563" s="256"/>
      <c r="AE563" s="256"/>
      <c r="AF563" s="256"/>
      <c r="AG563" s="256"/>
      <c r="AH563" s="256"/>
      <c r="AI563" s="256"/>
      <c r="AJ563" s="256"/>
      <c r="AK563" s="256"/>
      <c r="AL563" s="256"/>
      <c r="AM563" s="256"/>
      <c r="AN563" s="256"/>
      <c r="AO563" s="256"/>
      <c r="AP563" s="256"/>
      <c r="AQ563" s="256"/>
      <c r="AR563" s="256"/>
    </row>
    <row r="564">
      <c r="A564" s="256"/>
      <c r="B564" s="256"/>
      <c r="C564" s="257"/>
      <c r="D564" s="257"/>
      <c r="E564" s="257"/>
      <c r="F564" s="257"/>
      <c r="G564" s="257"/>
      <c r="H564" s="257"/>
      <c r="I564" s="256"/>
      <c r="J564" s="256"/>
      <c r="K564" s="256"/>
      <c r="L564" s="256"/>
      <c r="M564" s="256"/>
      <c r="N564" s="256"/>
      <c r="O564" s="256"/>
      <c r="P564" s="256"/>
      <c r="Q564" s="256"/>
      <c r="R564" s="256"/>
      <c r="S564" s="256"/>
      <c r="T564" s="256"/>
      <c r="U564" s="256"/>
      <c r="V564" s="256"/>
      <c r="W564" s="256"/>
      <c r="X564" s="256"/>
      <c r="Y564" s="256"/>
      <c r="Z564" s="256"/>
      <c r="AA564" s="256"/>
      <c r="AB564" s="256"/>
      <c r="AC564" s="256"/>
      <c r="AD564" s="256"/>
      <c r="AE564" s="256"/>
      <c r="AF564" s="256"/>
      <c r="AG564" s="256"/>
      <c r="AH564" s="256"/>
      <c r="AI564" s="256"/>
      <c r="AJ564" s="256"/>
      <c r="AK564" s="256"/>
      <c r="AL564" s="256"/>
      <c r="AM564" s="256"/>
      <c r="AN564" s="256"/>
      <c r="AO564" s="256"/>
      <c r="AP564" s="256"/>
      <c r="AQ564" s="256"/>
      <c r="AR564" s="256"/>
    </row>
    <row r="565">
      <c r="A565" s="256"/>
      <c r="B565" s="256"/>
      <c r="C565" s="257"/>
      <c r="D565" s="257"/>
      <c r="E565" s="257"/>
      <c r="F565" s="257"/>
      <c r="G565" s="257"/>
      <c r="H565" s="257"/>
      <c r="I565" s="256"/>
      <c r="J565" s="256"/>
      <c r="K565" s="256"/>
      <c r="L565" s="256"/>
      <c r="M565" s="256"/>
      <c r="N565" s="256"/>
      <c r="O565" s="256"/>
      <c r="P565" s="256"/>
      <c r="Q565" s="256"/>
      <c r="R565" s="256"/>
      <c r="S565" s="256"/>
      <c r="T565" s="256"/>
      <c r="U565" s="256"/>
      <c r="V565" s="256"/>
      <c r="W565" s="256"/>
      <c r="X565" s="256"/>
      <c r="Y565" s="256"/>
      <c r="Z565" s="256"/>
      <c r="AA565" s="256"/>
      <c r="AB565" s="256"/>
      <c r="AC565" s="256"/>
      <c r="AD565" s="256"/>
      <c r="AE565" s="256"/>
      <c r="AF565" s="256"/>
      <c r="AG565" s="256"/>
      <c r="AH565" s="256"/>
      <c r="AI565" s="256"/>
      <c r="AJ565" s="256"/>
      <c r="AK565" s="256"/>
      <c r="AL565" s="256"/>
      <c r="AM565" s="256"/>
      <c r="AN565" s="256"/>
      <c r="AO565" s="256"/>
      <c r="AP565" s="256"/>
      <c r="AQ565" s="256"/>
      <c r="AR565" s="256"/>
    </row>
    <row r="566">
      <c r="A566" s="256"/>
      <c r="B566" s="256"/>
      <c r="C566" s="257"/>
      <c r="D566" s="257"/>
      <c r="E566" s="257"/>
      <c r="F566" s="257"/>
      <c r="G566" s="257"/>
      <c r="H566" s="257"/>
      <c r="I566" s="256"/>
      <c r="J566" s="256"/>
      <c r="K566" s="256"/>
      <c r="L566" s="256"/>
      <c r="M566" s="256"/>
      <c r="N566" s="256"/>
      <c r="O566" s="256"/>
      <c r="P566" s="256"/>
      <c r="Q566" s="256"/>
      <c r="R566" s="256"/>
      <c r="S566" s="256"/>
      <c r="T566" s="256"/>
      <c r="U566" s="256"/>
      <c r="V566" s="256"/>
      <c r="W566" s="256"/>
      <c r="X566" s="256"/>
      <c r="Y566" s="256"/>
      <c r="Z566" s="256"/>
      <c r="AA566" s="256"/>
      <c r="AB566" s="256"/>
      <c r="AC566" s="256"/>
      <c r="AD566" s="256"/>
      <c r="AE566" s="256"/>
      <c r="AF566" s="256"/>
      <c r="AG566" s="256"/>
      <c r="AH566" s="256"/>
      <c r="AI566" s="256"/>
      <c r="AJ566" s="256"/>
      <c r="AK566" s="256"/>
      <c r="AL566" s="256"/>
      <c r="AM566" s="256"/>
      <c r="AN566" s="256"/>
      <c r="AO566" s="256"/>
      <c r="AP566" s="256"/>
      <c r="AQ566" s="256"/>
      <c r="AR566" s="256"/>
    </row>
    <row r="567">
      <c r="A567" s="256"/>
      <c r="B567" s="256"/>
      <c r="C567" s="257"/>
      <c r="D567" s="257"/>
      <c r="E567" s="257"/>
      <c r="F567" s="257"/>
      <c r="G567" s="257"/>
      <c r="H567" s="257"/>
      <c r="I567" s="256"/>
      <c r="J567" s="256"/>
      <c r="K567" s="256"/>
      <c r="L567" s="256"/>
      <c r="M567" s="256"/>
      <c r="N567" s="256"/>
      <c r="O567" s="256"/>
      <c r="P567" s="256"/>
      <c r="Q567" s="256"/>
      <c r="R567" s="256"/>
      <c r="S567" s="256"/>
      <c r="T567" s="256"/>
      <c r="U567" s="256"/>
      <c r="V567" s="256"/>
      <c r="W567" s="256"/>
      <c r="X567" s="256"/>
      <c r="Y567" s="256"/>
      <c r="Z567" s="256"/>
      <c r="AA567" s="256"/>
      <c r="AB567" s="256"/>
      <c r="AC567" s="256"/>
      <c r="AD567" s="256"/>
      <c r="AE567" s="256"/>
      <c r="AF567" s="256"/>
      <c r="AG567" s="256"/>
      <c r="AH567" s="256"/>
      <c r="AI567" s="256"/>
      <c r="AJ567" s="256"/>
      <c r="AK567" s="256"/>
      <c r="AL567" s="256"/>
      <c r="AM567" s="256"/>
      <c r="AN567" s="256"/>
      <c r="AO567" s="256"/>
      <c r="AP567" s="256"/>
      <c r="AQ567" s="256"/>
      <c r="AR567" s="256"/>
    </row>
    <row r="568">
      <c r="A568" s="256"/>
      <c r="B568" s="256"/>
      <c r="C568" s="257"/>
      <c r="D568" s="257"/>
      <c r="E568" s="257"/>
      <c r="F568" s="257"/>
      <c r="G568" s="257"/>
      <c r="H568" s="257"/>
      <c r="I568" s="256"/>
      <c r="J568" s="256"/>
      <c r="K568" s="256"/>
      <c r="L568" s="256"/>
      <c r="M568" s="256"/>
      <c r="N568" s="256"/>
      <c r="O568" s="256"/>
      <c r="P568" s="256"/>
      <c r="Q568" s="256"/>
      <c r="R568" s="256"/>
      <c r="S568" s="256"/>
      <c r="T568" s="256"/>
      <c r="U568" s="256"/>
      <c r="V568" s="256"/>
      <c r="W568" s="256"/>
      <c r="X568" s="256"/>
      <c r="Y568" s="256"/>
      <c r="Z568" s="256"/>
      <c r="AA568" s="256"/>
      <c r="AB568" s="256"/>
      <c r="AC568" s="256"/>
      <c r="AD568" s="256"/>
      <c r="AE568" s="256"/>
      <c r="AF568" s="256"/>
      <c r="AG568" s="256"/>
      <c r="AH568" s="256"/>
      <c r="AI568" s="256"/>
      <c r="AJ568" s="256"/>
      <c r="AK568" s="256"/>
      <c r="AL568" s="256"/>
      <c r="AM568" s="256"/>
      <c r="AN568" s="256"/>
      <c r="AO568" s="256"/>
      <c r="AP568" s="256"/>
      <c r="AQ568" s="256"/>
      <c r="AR568" s="256"/>
    </row>
    <row r="569">
      <c r="A569" s="256"/>
      <c r="B569" s="256"/>
      <c r="C569" s="257"/>
      <c r="D569" s="257"/>
      <c r="E569" s="257"/>
      <c r="F569" s="257"/>
      <c r="G569" s="257"/>
      <c r="H569" s="257"/>
      <c r="I569" s="256"/>
      <c r="J569" s="256"/>
      <c r="K569" s="256"/>
      <c r="L569" s="256"/>
      <c r="M569" s="256"/>
      <c r="N569" s="256"/>
      <c r="O569" s="256"/>
      <c r="P569" s="256"/>
      <c r="Q569" s="256"/>
      <c r="R569" s="256"/>
      <c r="S569" s="256"/>
      <c r="T569" s="256"/>
      <c r="U569" s="256"/>
      <c r="V569" s="256"/>
      <c r="W569" s="256"/>
      <c r="X569" s="256"/>
      <c r="Y569" s="256"/>
      <c r="Z569" s="256"/>
      <c r="AA569" s="256"/>
      <c r="AB569" s="256"/>
      <c r="AC569" s="256"/>
      <c r="AD569" s="256"/>
      <c r="AE569" s="256"/>
      <c r="AF569" s="256"/>
      <c r="AG569" s="256"/>
      <c r="AH569" s="256"/>
      <c r="AI569" s="256"/>
      <c r="AJ569" s="256"/>
      <c r="AK569" s="256"/>
      <c r="AL569" s="256"/>
      <c r="AM569" s="256"/>
      <c r="AN569" s="256"/>
      <c r="AO569" s="256"/>
      <c r="AP569" s="256"/>
      <c r="AQ569" s="256"/>
      <c r="AR569" s="256"/>
    </row>
    <row r="570">
      <c r="A570" s="256"/>
      <c r="B570" s="256"/>
      <c r="C570" s="257"/>
      <c r="D570" s="257"/>
      <c r="E570" s="257"/>
      <c r="F570" s="257"/>
      <c r="G570" s="257"/>
      <c r="H570" s="257"/>
      <c r="I570" s="256"/>
      <c r="J570" s="256"/>
      <c r="K570" s="256"/>
      <c r="L570" s="256"/>
      <c r="M570" s="256"/>
      <c r="N570" s="256"/>
      <c r="O570" s="256"/>
      <c r="P570" s="256"/>
      <c r="Q570" s="256"/>
      <c r="R570" s="256"/>
      <c r="S570" s="256"/>
      <c r="T570" s="256"/>
      <c r="U570" s="256"/>
      <c r="V570" s="256"/>
      <c r="W570" s="256"/>
      <c r="X570" s="256"/>
      <c r="Y570" s="256"/>
      <c r="Z570" s="256"/>
      <c r="AA570" s="256"/>
      <c r="AB570" s="256"/>
      <c r="AC570" s="256"/>
      <c r="AD570" s="256"/>
      <c r="AE570" s="256"/>
      <c r="AF570" s="256"/>
      <c r="AG570" s="256"/>
      <c r="AH570" s="256"/>
      <c r="AI570" s="256"/>
      <c r="AJ570" s="256"/>
      <c r="AK570" s="256"/>
      <c r="AL570" s="256"/>
      <c r="AM570" s="256"/>
      <c r="AN570" s="256"/>
      <c r="AO570" s="256"/>
      <c r="AP570" s="256"/>
      <c r="AQ570" s="256"/>
      <c r="AR570" s="256"/>
    </row>
    <row r="571">
      <c r="A571" s="256"/>
      <c r="B571" s="256"/>
      <c r="C571" s="257"/>
      <c r="D571" s="257"/>
      <c r="E571" s="257"/>
      <c r="F571" s="257"/>
      <c r="G571" s="257"/>
      <c r="H571" s="257"/>
      <c r="I571" s="256"/>
      <c r="J571" s="256"/>
      <c r="K571" s="256"/>
      <c r="L571" s="256"/>
      <c r="M571" s="256"/>
      <c r="N571" s="256"/>
      <c r="O571" s="256"/>
      <c r="P571" s="256"/>
      <c r="Q571" s="256"/>
      <c r="R571" s="256"/>
      <c r="S571" s="256"/>
      <c r="T571" s="256"/>
      <c r="U571" s="256"/>
      <c r="V571" s="256"/>
      <c r="W571" s="256"/>
      <c r="X571" s="256"/>
      <c r="Y571" s="256"/>
      <c r="Z571" s="256"/>
      <c r="AA571" s="256"/>
      <c r="AB571" s="256"/>
      <c r="AC571" s="256"/>
      <c r="AD571" s="256"/>
      <c r="AE571" s="256"/>
      <c r="AF571" s="256"/>
      <c r="AG571" s="256"/>
      <c r="AH571" s="256"/>
      <c r="AI571" s="256"/>
      <c r="AJ571" s="256"/>
      <c r="AK571" s="256"/>
      <c r="AL571" s="256"/>
      <c r="AM571" s="256"/>
      <c r="AN571" s="256"/>
      <c r="AO571" s="256"/>
      <c r="AP571" s="256"/>
      <c r="AQ571" s="256"/>
      <c r="AR571" s="256"/>
    </row>
    <row r="572">
      <c r="A572" s="256"/>
      <c r="B572" s="256"/>
      <c r="C572" s="257"/>
      <c r="D572" s="257"/>
      <c r="E572" s="257"/>
      <c r="F572" s="257"/>
      <c r="G572" s="257"/>
      <c r="H572" s="257"/>
      <c r="I572" s="256"/>
      <c r="J572" s="256"/>
      <c r="K572" s="256"/>
      <c r="L572" s="256"/>
      <c r="M572" s="256"/>
      <c r="N572" s="256"/>
      <c r="O572" s="256"/>
      <c r="P572" s="256"/>
      <c r="Q572" s="256"/>
      <c r="R572" s="256"/>
      <c r="S572" s="256"/>
      <c r="T572" s="256"/>
      <c r="U572" s="256"/>
      <c r="V572" s="256"/>
      <c r="W572" s="256"/>
      <c r="X572" s="256"/>
      <c r="Y572" s="256"/>
      <c r="Z572" s="256"/>
      <c r="AA572" s="256"/>
      <c r="AB572" s="256"/>
      <c r="AC572" s="256"/>
      <c r="AD572" s="256"/>
      <c r="AE572" s="256"/>
      <c r="AF572" s="256"/>
      <c r="AG572" s="256"/>
      <c r="AH572" s="256"/>
      <c r="AI572" s="256"/>
      <c r="AJ572" s="256"/>
      <c r="AK572" s="256"/>
      <c r="AL572" s="256"/>
      <c r="AM572" s="256"/>
      <c r="AN572" s="256"/>
      <c r="AO572" s="256"/>
      <c r="AP572" s="256"/>
      <c r="AQ572" s="256"/>
      <c r="AR572" s="256"/>
    </row>
    <row r="573">
      <c r="A573" s="256"/>
      <c r="B573" s="256"/>
      <c r="C573" s="257"/>
      <c r="D573" s="257"/>
      <c r="E573" s="257"/>
      <c r="F573" s="257"/>
      <c r="G573" s="257"/>
      <c r="H573" s="257"/>
      <c r="I573" s="256"/>
      <c r="J573" s="256"/>
      <c r="K573" s="256"/>
      <c r="L573" s="256"/>
      <c r="M573" s="256"/>
      <c r="N573" s="256"/>
      <c r="O573" s="256"/>
      <c r="P573" s="256"/>
      <c r="Q573" s="256"/>
      <c r="R573" s="256"/>
      <c r="S573" s="256"/>
      <c r="T573" s="256"/>
      <c r="U573" s="256"/>
      <c r="V573" s="256"/>
      <c r="W573" s="256"/>
      <c r="X573" s="256"/>
      <c r="Y573" s="256"/>
      <c r="Z573" s="256"/>
      <c r="AA573" s="256"/>
      <c r="AB573" s="256"/>
      <c r="AC573" s="256"/>
      <c r="AD573" s="256"/>
      <c r="AE573" s="256"/>
      <c r="AF573" s="256"/>
      <c r="AG573" s="256"/>
      <c r="AH573" s="256"/>
      <c r="AI573" s="256"/>
      <c r="AJ573" s="256"/>
      <c r="AK573" s="256"/>
      <c r="AL573" s="256"/>
      <c r="AM573" s="256"/>
      <c r="AN573" s="256"/>
      <c r="AO573" s="256"/>
      <c r="AP573" s="256"/>
      <c r="AQ573" s="256"/>
      <c r="AR573" s="256"/>
    </row>
    <row r="574">
      <c r="A574" s="256"/>
      <c r="B574" s="256"/>
      <c r="C574" s="257"/>
      <c r="D574" s="257"/>
      <c r="E574" s="257"/>
      <c r="F574" s="257"/>
      <c r="G574" s="257"/>
      <c r="H574" s="257"/>
      <c r="I574" s="256"/>
      <c r="J574" s="256"/>
      <c r="K574" s="256"/>
      <c r="L574" s="256"/>
      <c r="M574" s="256"/>
      <c r="N574" s="256"/>
      <c r="O574" s="256"/>
      <c r="P574" s="256"/>
      <c r="Q574" s="256"/>
      <c r="R574" s="256"/>
      <c r="S574" s="256"/>
      <c r="T574" s="256"/>
      <c r="U574" s="256"/>
      <c r="V574" s="256"/>
      <c r="W574" s="256"/>
      <c r="X574" s="256"/>
      <c r="Y574" s="256"/>
      <c r="Z574" s="256"/>
      <c r="AA574" s="256"/>
      <c r="AB574" s="256"/>
      <c r="AC574" s="256"/>
      <c r="AD574" s="256"/>
      <c r="AE574" s="256"/>
      <c r="AF574" s="256"/>
      <c r="AG574" s="256"/>
      <c r="AH574" s="256"/>
      <c r="AI574" s="256"/>
      <c r="AJ574" s="256"/>
      <c r="AK574" s="256"/>
      <c r="AL574" s="256"/>
      <c r="AM574" s="256"/>
      <c r="AN574" s="256"/>
      <c r="AO574" s="256"/>
      <c r="AP574" s="256"/>
      <c r="AQ574" s="256"/>
      <c r="AR574" s="256"/>
    </row>
    <row r="575">
      <c r="A575" s="256"/>
      <c r="B575" s="256"/>
      <c r="C575" s="257"/>
      <c r="D575" s="257"/>
      <c r="E575" s="257"/>
      <c r="F575" s="257"/>
      <c r="G575" s="257"/>
      <c r="H575" s="257"/>
      <c r="I575" s="256"/>
      <c r="J575" s="256"/>
      <c r="K575" s="256"/>
      <c r="L575" s="256"/>
      <c r="M575" s="256"/>
      <c r="N575" s="256"/>
      <c r="O575" s="256"/>
      <c r="P575" s="256"/>
      <c r="Q575" s="256"/>
      <c r="R575" s="256"/>
      <c r="S575" s="256"/>
      <c r="T575" s="256"/>
      <c r="U575" s="256"/>
      <c r="V575" s="256"/>
      <c r="W575" s="256"/>
      <c r="X575" s="256"/>
      <c r="Y575" s="256"/>
      <c r="Z575" s="256"/>
      <c r="AA575" s="256"/>
      <c r="AB575" s="256"/>
      <c r="AC575" s="256"/>
      <c r="AD575" s="256"/>
      <c r="AE575" s="256"/>
      <c r="AF575" s="256"/>
      <c r="AG575" s="256"/>
      <c r="AH575" s="256"/>
      <c r="AI575" s="256"/>
      <c r="AJ575" s="256"/>
      <c r="AK575" s="256"/>
      <c r="AL575" s="256"/>
      <c r="AM575" s="256"/>
      <c r="AN575" s="256"/>
      <c r="AO575" s="256"/>
      <c r="AP575" s="256"/>
      <c r="AQ575" s="256"/>
      <c r="AR575" s="256"/>
    </row>
    <row r="576">
      <c r="A576" s="256"/>
      <c r="B576" s="256"/>
      <c r="C576" s="257"/>
      <c r="D576" s="257"/>
      <c r="E576" s="257"/>
      <c r="F576" s="257"/>
      <c r="G576" s="257"/>
      <c r="H576" s="257"/>
      <c r="I576" s="256"/>
      <c r="J576" s="256"/>
      <c r="K576" s="256"/>
      <c r="L576" s="256"/>
      <c r="M576" s="256"/>
      <c r="N576" s="256"/>
      <c r="O576" s="256"/>
      <c r="P576" s="256"/>
      <c r="Q576" s="256"/>
      <c r="R576" s="256"/>
      <c r="S576" s="256"/>
      <c r="T576" s="256"/>
      <c r="U576" s="256"/>
      <c r="V576" s="256"/>
      <c r="W576" s="256"/>
      <c r="X576" s="256"/>
      <c r="Y576" s="256"/>
      <c r="Z576" s="256"/>
      <c r="AA576" s="256"/>
      <c r="AB576" s="256"/>
      <c r="AC576" s="256"/>
      <c r="AD576" s="256"/>
      <c r="AE576" s="256"/>
      <c r="AF576" s="256"/>
      <c r="AG576" s="256"/>
      <c r="AH576" s="256"/>
      <c r="AI576" s="256"/>
      <c r="AJ576" s="256"/>
      <c r="AK576" s="256"/>
      <c r="AL576" s="256"/>
      <c r="AM576" s="256"/>
      <c r="AN576" s="256"/>
      <c r="AO576" s="256"/>
      <c r="AP576" s="256"/>
      <c r="AQ576" s="256"/>
      <c r="AR576" s="256"/>
    </row>
    <row r="577">
      <c r="A577" s="256"/>
      <c r="B577" s="256"/>
      <c r="C577" s="257"/>
      <c r="D577" s="257"/>
      <c r="E577" s="257"/>
      <c r="F577" s="257"/>
      <c r="G577" s="257"/>
      <c r="H577" s="257"/>
      <c r="I577" s="256"/>
      <c r="J577" s="256"/>
      <c r="K577" s="256"/>
      <c r="L577" s="256"/>
      <c r="M577" s="256"/>
      <c r="N577" s="256"/>
      <c r="O577" s="256"/>
      <c r="P577" s="256"/>
      <c r="Q577" s="256"/>
      <c r="R577" s="256"/>
      <c r="S577" s="256"/>
      <c r="T577" s="256"/>
      <c r="U577" s="256"/>
      <c r="V577" s="256"/>
      <c r="W577" s="256"/>
      <c r="X577" s="256"/>
      <c r="Y577" s="256"/>
      <c r="Z577" s="256"/>
      <c r="AA577" s="256"/>
      <c r="AB577" s="256"/>
      <c r="AC577" s="256"/>
      <c r="AD577" s="256"/>
      <c r="AE577" s="256"/>
      <c r="AF577" s="256"/>
      <c r="AG577" s="256"/>
      <c r="AH577" s="256"/>
      <c r="AI577" s="256"/>
      <c r="AJ577" s="256"/>
      <c r="AK577" s="256"/>
      <c r="AL577" s="256"/>
      <c r="AM577" s="256"/>
      <c r="AN577" s="256"/>
      <c r="AO577" s="256"/>
      <c r="AP577" s="256"/>
      <c r="AQ577" s="256"/>
      <c r="AR577" s="256"/>
    </row>
    <row r="578">
      <c r="A578" s="256"/>
      <c r="B578" s="256"/>
      <c r="C578" s="257"/>
      <c r="D578" s="257"/>
      <c r="E578" s="257"/>
      <c r="F578" s="257"/>
      <c r="G578" s="257"/>
      <c r="H578" s="257"/>
      <c r="I578" s="256"/>
      <c r="J578" s="256"/>
      <c r="K578" s="256"/>
      <c r="L578" s="256"/>
      <c r="M578" s="256"/>
      <c r="N578" s="256"/>
      <c r="O578" s="256"/>
      <c r="P578" s="256"/>
      <c r="Q578" s="256"/>
      <c r="R578" s="256"/>
      <c r="S578" s="256"/>
      <c r="T578" s="256"/>
      <c r="U578" s="256"/>
      <c r="V578" s="256"/>
      <c r="W578" s="256"/>
      <c r="X578" s="256"/>
      <c r="Y578" s="256"/>
      <c r="Z578" s="256"/>
      <c r="AA578" s="256"/>
      <c r="AB578" s="256"/>
      <c r="AC578" s="256"/>
      <c r="AD578" s="256"/>
      <c r="AE578" s="256"/>
      <c r="AF578" s="256"/>
      <c r="AG578" s="256"/>
      <c r="AH578" s="256"/>
      <c r="AI578" s="256"/>
      <c r="AJ578" s="256"/>
      <c r="AK578" s="256"/>
      <c r="AL578" s="256"/>
      <c r="AM578" s="256"/>
      <c r="AN578" s="256"/>
      <c r="AO578" s="256"/>
      <c r="AP578" s="256"/>
      <c r="AQ578" s="256"/>
      <c r="AR578" s="256"/>
    </row>
    <row r="579">
      <c r="A579" s="256"/>
      <c r="B579" s="256"/>
      <c r="C579" s="257"/>
      <c r="D579" s="257"/>
      <c r="E579" s="257"/>
      <c r="F579" s="257"/>
      <c r="G579" s="257"/>
      <c r="H579" s="257"/>
      <c r="I579" s="256"/>
      <c r="J579" s="256"/>
      <c r="K579" s="256"/>
      <c r="L579" s="256"/>
      <c r="M579" s="256"/>
      <c r="N579" s="256"/>
      <c r="O579" s="256"/>
      <c r="P579" s="256"/>
      <c r="Q579" s="256"/>
      <c r="R579" s="256"/>
      <c r="S579" s="256"/>
      <c r="T579" s="256"/>
      <c r="U579" s="256"/>
      <c r="V579" s="256"/>
      <c r="W579" s="256"/>
      <c r="X579" s="256"/>
      <c r="Y579" s="256"/>
      <c r="Z579" s="256"/>
      <c r="AA579" s="256"/>
      <c r="AB579" s="256"/>
      <c r="AC579" s="256"/>
      <c r="AD579" s="256"/>
      <c r="AE579" s="256"/>
      <c r="AF579" s="256"/>
      <c r="AG579" s="256"/>
      <c r="AH579" s="256"/>
      <c r="AI579" s="256"/>
      <c r="AJ579" s="256"/>
      <c r="AK579" s="256"/>
      <c r="AL579" s="256"/>
      <c r="AM579" s="256"/>
      <c r="AN579" s="256"/>
      <c r="AO579" s="256"/>
      <c r="AP579" s="256"/>
      <c r="AQ579" s="256"/>
      <c r="AR579" s="256"/>
    </row>
    <row r="580">
      <c r="A580" s="256"/>
      <c r="B580" s="256"/>
      <c r="C580" s="257"/>
      <c r="D580" s="257"/>
      <c r="E580" s="257"/>
      <c r="F580" s="257"/>
      <c r="G580" s="257"/>
      <c r="H580" s="257"/>
      <c r="I580" s="256"/>
      <c r="J580" s="256"/>
      <c r="K580" s="256"/>
      <c r="L580" s="256"/>
      <c r="M580" s="256"/>
      <c r="N580" s="256"/>
      <c r="O580" s="256"/>
      <c r="P580" s="256"/>
      <c r="Q580" s="256"/>
      <c r="R580" s="256"/>
      <c r="S580" s="256"/>
      <c r="T580" s="256"/>
      <c r="U580" s="256"/>
      <c r="V580" s="256"/>
      <c r="W580" s="256"/>
      <c r="X580" s="256"/>
      <c r="Y580" s="256"/>
      <c r="Z580" s="256"/>
      <c r="AA580" s="256"/>
      <c r="AB580" s="256"/>
      <c r="AC580" s="256"/>
      <c r="AD580" s="256"/>
      <c r="AE580" s="256"/>
      <c r="AF580" s="256"/>
      <c r="AG580" s="256"/>
      <c r="AH580" s="256"/>
      <c r="AI580" s="256"/>
      <c r="AJ580" s="256"/>
      <c r="AK580" s="256"/>
      <c r="AL580" s="256"/>
      <c r="AM580" s="256"/>
      <c r="AN580" s="256"/>
      <c r="AO580" s="256"/>
      <c r="AP580" s="256"/>
      <c r="AQ580" s="256"/>
      <c r="AR580" s="256"/>
    </row>
    <row r="581">
      <c r="A581" s="256"/>
      <c r="B581" s="256"/>
      <c r="C581" s="257"/>
      <c r="D581" s="257"/>
      <c r="E581" s="257"/>
      <c r="F581" s="257"/>
      <c r="G581" s="257"/>
      <c r="H581" s="257"/>
      <c r="I581" s="256"/>
      <c r="J581" s="256"/>
      <c r="K581" s="256"/>
      <c r="L581" s="256"/>
      <c r="M581" s="256"/>
      <c r="N581" s="256"/>
      <c r="O581" s="256"/>
      <c r="P581" s="256"/>
      <c r="Q581" s="256"/>
      <c r="R581" s="256"/>
      <c r="S581" s="256"/>
      <c r="T581" s="256"/>
      <c r="U581" s="256"/>
      <c r="V581" s="256"/>
      <c r="W581" s="256"/>
      <c r="X581" s="256"/>
      <c r="Y581" s="256"/>
      <c r="Z581" s="256"/>
      <c r="AA581" s="256"/>
      <c r="AB581" s="256"/>
      <c r="AC581" s="256"/>
      <c r="AD581" s="256"/>
      <c r="AE581" s="256"/>
      <c r="AF581" s="256"/>
      <c r="AG581" s="256"/>
      <c r="AH581" s="256"/>
      <c r="AI581" s="256"/>
      <c r="AJ581" s="256"/>
      <c r="AK581" s="256"/>
      <c r="AL581" s="256"/>
      <c r="AM581" s="256"/>
      <c r="AN581" s="256"/>
      <c r="AO581" s="256"/>
      <c r="AP581" s="256"/>
      <c r="AQ581" s="256"/>
      <c r="AR581" s="256"/>
    </row>
    <row r="582">
      <c r="A582" s="256"/>
      <c r="B582" s="256"/>
      <c r="C582" s="257"/>
      <c r="D582" s="257"/>
      <c r="E582" s="257"/>
      <c r="F582" s="257"/>
      <c r="G582" s="257"/>
      <c r="H582" s="257"/>
      <c r="I582" s="256"/>
      <c r="J582" s="256"/>
      <c r="K582" s="256"/>
      <c r="L582" s="256"/>
      <c r="M582" s="256"/>
      <c r="N582" s="256"/>
      <c r="O582" s="256"/>
      <c r="P582" s="256"/>
      <c r="Q582" s="256"/>
      <c r="R582" s="256"/>
      <c r="S582" s="256"/>
      <c r="T582" s="256"/>
      <c r="U582" s="256"/>
      <c r="V582" s="256"/>
      <c r="W582" s="256"/>
      <c r="X582" s="256"/>
      <c r="Y582" s="256"/>
      <c r="Z582" s="256"/>
      <c r="AA582" s="256"/>
      <c r="AB582" s="256"/>
      <c r="AC582" s="256"/>
      <c r="AD582" s="256"/>
      <c r="AE582" s="256"/>
      <c r="AF582" s="256"/>
      <c r="AG582" s="256"/>
      <c r="AH582" s="256"/>
      <c r="AI582" s="256"/>
      <c r="AJ582" s="256"/>
      <c r="AK582" s="256"/>
      <c r="AL582" s="256"/>
      <c r="AM582" s="256"/>
      <c r="AN582" s="256"/>
      <c r="AO582" s="256"/>
      <c r="AP582" s="256"/>
      <c r="AQ582" s="256"/>
      <c r="AR582" s="256"/>
    </row>
    <row r="583">
      <c r="A583" s="256"/>
      <c r="B583" s="256"/>
      <c r="C583" s="257"/>
      <c r="D583" s="257"/>
      <c r="E583" s="257"/>
      <c r="F583" s="257"/>
      <c r="G583" s="257"/>
      <c r="H583" s="257"/>
      <c r="I583" s="256"/>
      <c r="J583" s="256"/>
      <c r="K583" s="256"/>
      <c r="L583" s="256"/>
      <c r="M583" s="256"/>
      <c r="N583" s="256"/>
      <c r="O583" s="256"/>
      <c r="P583" s="256"/>
      <c r="Q583" s="256"/>
      <c r="R583" s="256"/>
      <c r="S583" s="256"/>
      <c r="T583" s="256"/>
      <c r="U583" s="256"/>
      <c r="V583" s="256"/>
      <c r="W583" s="256"/>
      <c r="X583" s="256"/>
      <c r="Y583" s="256"/>
      <c r="Z583" s="256"/>
      <c r="AA583" s="256"/>
      <c r="AB583" s="256"/>
      <c r="AC583" s="256"/>
      <c r="AD583" s="256"/>
      <c r="AE583" s="256"/>
      <c r="AF583" s="256"/>
      <c r="AG583" s="256"/>
      <c r="AH583" s="256"/>
      <c r="AI583" s="256"/>
      <c r="AJ583" s="256"/>
      <c r="AK583" s="256"/>
      <c r="AL583" s="256"/>
      <c r="AM583" s="256"/>
      <c r="AN583" s="256"/>
      <c r="AO583" s="256"/>
      <c r="AP583" s="256"/>
      <c r="AQ583" s="256"/>
      <c r="AR583" s="256"/>
    </row>
    <row r="584">
      <c r="A584" s="256"/>
      <c r="B584" s="256"/>
      <c r="C584" s="257"/>
      <c r="D584" s="257"/>
      <c r="E584" s="257"/>
      <c r="F584" s="257"/>
      <c r="G584" s="257"/>
      <c r="H584" s="257"/>
      <c r="I584" s="256"/>
      <c r="J584" s="256"/>
      <c r="K584" s="256"/>
      <c r="L584" s="256"/>
      <c r="M584" s="256"/>
      <c r="N584" s="256"/>
      <c r="O584" s="256"/>
      <c r="P584" s="256"/>
      <c r="Q584" s="256"/>
      <c r="R584" s="256"/>
      <c r="S584" s="256"/>
      <c r="T584" s="256"/>
      <c r="U584" s="256"/>
      <c r="V584" s="256"/>
      <c r="W584" s="256"/>
      <c r="X584" s="256"/>
      <c r="Y584" s="256"/>
      <c r="Z584" s="256"/>
      <c r="AA584" s="256"/>
      <c r="AB584" s="256"/>
      <c r="AC584" s="256"/>
      <c r="AD584" s="256"/>
      <c r="AE584" s="256"/>
      <c r="AF584" s="256"/>
      <c r="AG584" s="256"/>
      <c r="AH584" s="256"/>
      <c r="AI584" s="256"/>
      <c r="AJ584" s="256"/>
      <c r="AK584" s="256"/>
      <c r="AL584" s="256"/>
      <c r="AM584" s="256"/>
      <c r="AN584" s="256"/>
      <c r="AO584" s="256"/>
      <c r="AP584" s="256"/>
      <c r="AQ584" s="256"/>
      <c r="AR584" s="256"/>
    </row>
    <row r="585">
      <c r="A585" s="256"/>
      <c r="B585" s="256"/>
      <c r="C585" s="257"/>
      <c r="D585" s="257"/>
      <c r="E585" s="257"/>
      <c r="F585" s="257"/>
      <c r="G585" s="257"/>
      <c r="H585" s="257"/>
      <c r="I585" s="256"/>
      <c r="J585" s="256"/>
      <c r="K585" s="256"/>
      <c r="L585" s="256"/>
      <c r="M585" s="256"/>
      <c r="N585" s="256"/>
      <c r="O585" s="256"/>
      <c r="P585" s="256"/>
      <c r="Q585" s="256"/>
      <c r="R585" s="256"/>
      <c r="S585" s="256"/>
      <c r="T585" s="256"/>
      <c r="U585" s="256"/>
      <c r="V585" s="256"/>
      <c r="W585" s="256"/>
      <c r="X585" s="256"/>
      <c r="Y585" s="256"/>
      <c r="Z585" s="256"/>
      <c r="AA585" s="256"/>
      <c r="AB585" s="256"/>
      <c r="AC585" s="256"/>
      <c r="AD585" s="256"/>
      <c r="AE585" s="256"/>
      <c r="AF585" s="256"/>
      <c r="AG585" s="256"/>
      <c r="AH585" s="256"/>
      <c r="AI585" s="256"/>
      <c r="AJ585" s="256"/>
      <c r="AK585" s="256"/>
      <c r="AL585" s="256"/>
      <c r="AM585" s="256"/>
      <c r="AN585" s="256"/>
      <c r="AO585" s="256"/>
      <c r="AP585" s="256"/>
      <c r="AQ585" s="256"/>
      <c r="AR585" s="256"/>
    </row>
    <row r="586">
      <c r="A586" s="256"/>
      <c r="B586" s="256"/>
      <c r="C586" s="257"/>
      <c r="D586" s="257"/>
      <c r="E586" s="257"/>
      <c r="F586" s="257"/>
      <c r="G586" s="257"/>
      <c r="H586" s="257"/>
      <c r="I586" s="256"/>
      <c r="J586" s="256"/>
      <c r="K586" s="256"/>
      <c r="L586" s="256"/>
      <c r="M586" s="256"/>
      <c r="N586" s="256"/>
      <c r="O586" s="256"/>
      <c r="P586" s="256"/>
      <c r="Q586" s="256"/>
      <c r="R586" s="256"/>
      <c r="S586" s="256"/>
      <c r="T586" s="256"/>
      <c r="U586" s="256"/>
      <c r="V586" s="256"/>
      <c r="W586" s="256"/>
      <c r="X586" s="256"/>
      <c r="Y586" s="256"/>
      <c r="Z586" s="256"/>
      <c r="AA586" s="256"/>
      <c r="AB586" s="256"/>
      <c r="AC586" s="256"/>
      <c r="AD586" s="256"/>
      <c r="AE586" s="256"/>
      <c r="AF586" s="256"/>
      <c r="AG586" s="256"/>
      <c r="AH586" s="256"/>
      <c r="AI586" s="256"/>
      <c r="AJ586" s="256"/>
      <c r="AK586" s="256"/>
      <c r="AL586" s="256"/>
      <c r="AM586" s="256"/>
      <c r="AN586" s="256"/>
      <c r="AO586" s="256"/>
      <c r="AP586" s="256"/>
      <c r="AQ586" s="256"/>
      <c r="AR586" s="256"/>
    </row>
    <row r="587">
      <c r="A587" s="256"/>
      <c r="B587" s="256"/>
      <c r="C587" s="257"/>
      <c r="D587" s="257"/>
      <c r="E587" s="257"/>
      <c r="F587" s="257"/>
      <c r="G587" s="257"/>
      <c r="H587" s="257"/>
      <c r="I587" s="256"/>
      <c r="J587" s="256"/>
      <c r="K587" s="256"/>
      <c r="L587" s="256"/>
      <c r="M587" s="256"/>
      <c r="N587" s="256"/>
      <c r="O587" s="256"/>
      <c r="P587" s="256"/>
      <c r="Q587" s="256"/>
      <c r="R587" s="256"/>
      <c r="S587" s="256"/>
      <c r="T587" s="256"/>
      <c r="U587" s="256"/>
      <c r="V587" s="256"/>
      <c r="W587" s="256"/>
      <c r="X587" s="256"/>
      <c r="Y587" s="256"/>
      <c r="Z587" s="256"/>
      <c r="AA587" s="256"/>
      <c r="AB587" s="256"/>
      <c r="AC587" s="256"/>
      <c r="AD587" s="256"/>
      <c r="AE587" s="256"/>
      <c r="AF587" s="256"/>
      <c r="AG587" s="256"/>
      <c r="AH587" s="256"/>
      <c r="AI587" s="256"/>
      <c r="AJ587" s="256"/>
      <c r="AK587" s="256"/>
      <c r="AL587" s="256"/>
      <c r="AM587" s="256"/>
      <c r="AN587" s="256"/>
      <c r="AO587" s="256"/>
      <c r="AP587" s="256"/>
      <c r="AQ587" s="256"/>
      <c r="AR587" s="256"/>
    </row>
    <row r="588">
      <c r="A588" s="256"/>
      <c r="B588" s="256"/>
      <c r="C588" s="257"/>
      <c r="D588" s="257"/>
      <c r="E588" s="257"/>
      <c r="F588" s="257"/>
      <c r="G588" s="257"/>
      <c r="H588" s="257"/>
      <c r="I588" s="256"/>
      <c r="J588" s="256"/>
      <c r="K588" s="256"/>
      <c r="L588" s="256"/>
      <c r="M588" s="256"/>
      <c r="N588" s="256"/>
      <c r="O588" s="256"/>
      <c r="P588" s="256"/>
      <c r="Q588" s="256"/>
      <c r="R588" s="256"/>
      <c r="S588" s="256"/>
      <c r="T588" s="256"/>
      <c r="U588" s="256"/>
      <c r="V588" s="256"/>
      <c r="W588" s="256"/>
      <c r="X588" s="256"/>
      <c r="Y588" s="256"/>
      <c r="Z588" s="256"/>
      <c r="AA588" s="256"/>
      <c r="AB588" s="256"/>
      <c r="AC588" s="256"/>
      <c r="AD588" s="256"/>
      <c r="AE588" s="256"/>
      <c r="AF588" s="256"/>
      <c r="AG588" s="256"/>
      <c r="AH588" s="256"/>
      <c r="AI588" s="256"/>
      <c r="AJ588" s="256"/>
      <c r="AK588" s="256"/>
      <c r="AL588" s="256"/>
      <c r="AM588" s="256"/>
      <c r="AN588" s="256"/>
      <c r="AO588" s="256"/>
      <c r="AP588" s="256"/>
      <c r="AQ588" s="256"/>
      <c r="AR588" s="256"/>
    </row>
    <row r="589">
      <c r="A589" s="256"/>
      <c r="B589" s="256"/>
      <c r="C589" s="257"/>
      <c r="D589" s="257"/>
      <c r="E589" s="257"/>
      <c r="F589" s="257"/>
      <c r="G589" s="257"/>
      <c r="H589" s="257"/>
      <c r="I589" s="256"/>
      <c r="J589" s="256"/>
      <c r="K589" s="256"/>
      <c r="L589" s="256"/>
      <c r="M589" s="256"/>
      <c r="N589" s="256"/>
      <c r="O589" s="256"/>
      <c r="P589" s="256"/>
      <c r="Q589" s="256"/>
      <c r="R589" s="256"/>
      <c r="S589" s="256"/>
      <c r="T589" s="256"/>
      <c r="U589" s="256"/>
      <c r="V589" s="256"/>
      <c r="W589" s="256"/>
      <c r="X589" s="256"/>
      <c r="Y589" s="256"/>
      <c r="Z589" s="256"/>
      <c r="AA589" s="256"/>
      <c r="AB589" s="256"/>
      <c r="AC589" s="256"/>
      <c r="AD589" s="256"/>
      <c r="AE589" s="256"/>
      <c r="AF589" s="256"/>
      <c r="AG589" s="256"/>
      <c r="AH589" s="256"/>
      <c r="AI589" s="256"/>
      <c r="AJ589" s="256"/>
      <c r="AK589" s="256"/>
      <c r="AL589" s="256"/>
      <c r="AM589" s="256"/>
      <c r="AN589" s="256"/>
      <c r="AO589" s="256"/>
      <c r="AP589" s="256"/>
      <c r="AQ589" s="256"/>
      <c r="AR589" s="256"/>
    </row>
    <row r="590">
      <c r="A590" s="256"/>
      <c r="B590" s="256"/>
      <c r="C590" s="257"/>
      <c r="D590" s="257"/>
      <c r="E590" s="257"/>
      <c r="F590" s="257"/>
      <c r="G590" s="257"/>
      <c r="H590" s="257"/>
      <c r="I590" s="256"/>
      <c r="J590" s="256"/>
      <c r="K590" s="256"/>
      <c r="L590" s="256"/>
      <c r="M590" s="256"/>
      <c r="N590" s="256"/>
      <c r="O590" s="256"/>
      <c r="P590" s="256"/>
      <c r="Q590" s="256"/>
      <c r="R590" s="256"/>
      <c r="S590" s="256"/>
      <c r="T590" s="256"/>
      <c r="U590" s="256"/>
      <c r="V590" s="256"/>
      <c r="W590" s="256"/>
      <c r="X590" s="256"/>
      <c r="Y590" s="256"/>
      <c r="Z590" s="256"/>
      <c r="AA590" s="256"/>
      <c r="AB590" s="256"/>
      <c r="AC590" s="256"/>
      <c r="AD590" s="256"/>
      <c r="AE590" s="256"/>
      <c r="AF590" s="256"/>
      <c r="AG590" s="256"/>
      <c r="AH590" s="256"/>
      <c r="AI590" s="256"/>
      <c r="AJ590" s="256"/>
      <c r="AK590" s="256"/>
      <c r="AL590" s="256"/>
      <c r="AM590" s="256"/>
      <c r="AN590" s="256"/>
      <c r="AO590" s="256"/>
      <c r="AP590" s="256"/>
      <c r="AQ590" s="256"/>
      <c r="AR590" s="256"/>
    </row>
    <row r="591">
      <c r="A591" s="256"/>
      <c r="B591" s="256"/>
      <c r="C591" s="257"/>
      <c r="D591" s="257"/>
      <c r="E591" s="257"/>
      <c r="F591" s="257"/>
      <c r="G591" s="257"/>
      <c r="H591" s="257"/>
      <c r="I591" s="256"/>
      <c r="J591" s="256"/>
      <c r="K591" s="256"/>
      <c r="L591" s="256"/>
      <c r="M591" s="256"/>
      <c r="N591" s="256"/>
      <c r="O591" s="256"/>
      <c r="P591" s="256"/>
      <c r="Q591" s="256"/>
      <c r="R591" s="256"/>
      <c r="S591" s="256"/>
      <c r="T591" s="256"/>
      <c r="U591" s="256"/>
      <c r="V591" s="256"/>
      <c r="W591" s="256"/>
      <c r="X591" s="256"/>
      <c r="Y591" s="256"/>
      <c r="Z591" s="256"/>
      <c r="AA591" s="256"/>
      <c r="AB591" s="256"/>
      <c r="AC591" s="256"/>
      <c r="AD591" s="256"/>
      <c r="AE591" s="256"/>
      <c r="AF591" s="256"/>
      <c r="AG591" s="256"/>
      <c r="AH591" s="256"/>
      <c r="AI591" s="256"/>
      <c r="AJ591" s="256"/>
      <c r="AK591" s="256"/>
      <c r="AL591" s="256"/>
      <c r="AM591" s="256"/>
      <c r="AN591" s="256"/>
      <c r="AO591" s="256"/>
      <c r="AP591" s="256"/>
      <c r="AQ591" s="256"/>
      <c r="AR591" s="256"/>
    </row>
    <row r="592">
      <c r="A592" s="256"/>
      <c r="B592" s="256"/>
      <c r="C592" s="257"/>
      <c r="D592" s="257"/>
      <c r="E592" s="257"/>
      <c r="F592" s="257"/>
      <c r="G592" s="257"/>
      <c r="H592" s="257"/>
      <c r="I592" s="256"/>
      <c r="J592" s="256"/>
      <c r="K592" s="256"/>
      <c r="L592" s="256"/>
      <c r="M592" s="256"/>
      <c r="N592" s="256"/>
      <c r="O592" s="256"/>
      <c r="P592" s="256"/>
      <c r="Q592" s="256"/>
      <c r="R592" s="256"/>
      <c r="S592" s="256"/>
      <c r="T592" s="256"/>
      <c r="U592" s="256"/>
      <c r="V592" s="256"/>
      <c r="W592" s="256"/>
      <c r="X592" s="256"/>
      <c r="Y592" s="256"/>
      <c r="Z592" s="256"/>
      <c r="AA592" s="256"/>
      <c r="AB592" s="256"/>
      <c r="AC592" s="256"/>
      <c r="AD592" s="256"/>
      <c r="AE592" s="256"/>
      <c r="AF592" s="256"/>
      <c r="AG592" s="256"/>
      <c r="AH592" s="256"/>
      <c r="AI592" s="256"/>
      <c r="AJ592" s="256"/>
      <c r="AK592" s="256"/>
      <c r="AL592" s="256"/>
      <c r="AM592" s="256"/>
      <c r="AN592" s="256"/>
      <c r="AO592" s="256"/>
      <c r="AP592" s="256"/>
      <c r="AQ592" s="256"/>
      <c r="AR592" s="256"/>
    </row>
    <row r="593">
      <c r="A593" s="256"/>
      <c r="B593" s="256"/>
      <c r="C593" s="257"/>
      <c r="D593" s="257"/>
      <c r="E593" s="257"/>
      <c r="F593" s="257"/>
      <c r="G593" s="257"/>
      <c r="H593" s="257"/>
      <c r="I593" s="256"/>
      <c r="J593" s="256"/>
      <c r="K593" s="256"/>
      <c r="L593" s="256"/>
      <c r="M593" s="256"/>
      <c r="N593" s="256"/>
      <c r="O593" s="256"/>
      <c r="P593" s="256"/>
      <c r="Q593" s="256"/>
      <c r="R593" s="256"/>
      <c r="S593" s="256"/>
      <c r="T593" s="256"/>
      <c r="U593" s="256"/>
      <c r="V593" s="256"/>
      <c r="W593" s="256"/>
      <c r="X593" s="256"/>
      <c r="Y593" s="256"/>
      <c r="Z593" s="256"/>
      <c r="AA593" s="256"/>
      <c r="AB593" s="256"/>
      <c r="AC593" s="256"/>
      <c r="AD593" s="256"/>
      <c r="AE593" s="256"/>
      <c r="AF593" s="256"/>
      <c r="AG593" s="256"/>
      <c r="AH593" s="256"/>
      <c r="AI593" s="256"/>
      <c r="AJ593" s="256"/>
      <c r="AK593" s="256"/>
      <c r="AL593" s="256"/>
      <c r="AM593" s="256"/>
      <c r="AN593" s="256"/>
      <c r="AO593" s="256"/>
      <c r="AP593" s="256"/>
      <c r="AQ593" s="256"/>
      <c r="AR593" s="256"/>
    </row>
    <row r="594">
      <c r="A594" s="256"/>
      <c r="B594" s="256"/>
      <c r="C594" s="257"/>
      <c r="D594" s="257"/>
      <c r="E594" s="257"/>
      <c r="F594" s="257"/>
      <c r="G594" s="257"/>
      <c r="H594" s="257"/>
      <c r="I594" s="256"/>
      <c r="J594" s="256"/>
      <c r="K594" s="256"/>
      <c r="L594" s="256"/>
      <c r="M594" s="256"/>
      <c r="N594" s="256"/>
      <c r="O594" s="256"/>
      <c r="P594" s="256"/>
      <c r="Q594" s="256"/>
      <c r="R594" s="256"/>
      <c r="S594" s="256"/>
      <c r="T594" s="256"/>
      <c r="U594" s="256"/>
      <c r="V594" s="256"/>
      <c r="W594" s="256"/>
      <c r="X594" s="256"/>
      <c r="Y594" s="256"/>
      <c r="Z594" s="256"/>
      <c r="AA594" s="256"/>
      <c r="AB594" s="256"/>
      <c r="AC594" s="256"/>
      <c r="AD594" s="256"/>
      <c r="AE594" s="256"/>
      <c r="AF594" s="256"/>
      <c r="AG594" s="256"/>
      <c r="AH594" s="256"/>
      <c r="AI594" s="256"/>
      <c r="AJ594" s="256"/>
      <c r="AK594" s="256"/>
      <c r="AL594" s="256"/>
      <c r="AM594" s="256"/>
      <c r="AN594" s="256"/>
      <c r="AO594" s="256"/>
      <c r="AP594" s="256"/>
      <c r="AQ594" s="256"/>
      <c r="AR594" s="256"/>
    </row>
    <row r="595">
      <c r="A595" s="256"/>
      <c r="B595" s="256"/>
      <c r="C595" s="257"/>
      <c r="D595" s="257"/>
      <c r="E595" s="257"/>
      <c r="F595" s="257"/>
      <c r="G595" s="257"/>
      <c r="H595" s="257"/>
      <c r="I595" s="256"/>
      <c r="J595" s="256"/>
      <c r="K595" s="256"/>
      <c r="L595" s="256"/>
      <c r="M595" s="256"/>
      <c r="N595" s="256"/>
      <c r="O595" s="256"/>
      <c r="P595" s="256"/>
      <c r="Q595" s="256"/>
      <c r="R595" s="256"/>
      <c r="S595" s="256"/>
      <c r="T595" s="256"/>
      <c r="U595" s="256"/>
      <c r="V595" s="256"/>
      <c r="W595" s="256"/>
      <c r="X595" s="256"/>
      <c r="Y595" s="256"/>
      <c r="Z595" s="256"/>
      <c r="AA595" s="256"/>
      <c r="AB595" s="256"/>
      <c r="AC595" s="256"/>
      <c r="AD595" s="256"/>
      <c r="AE595" s="256"/>
      <c r="AF595" s="256"/>
      <c r="AG595" s="256"/>
      <c r="AH595" s="256"/>
      <c r="AI595" s="256"/>
      <c r="AJ595" s="256"/>
      <c r="AK595" s="256"/>
      <c r="AL595" s="256"/>
      <c r="AM595" s="256"/>
      <c r="AN595" s="256"/>
      <c r="AO595" s="256"/>
      <c r="AP595" s="256"/>
      <c r="AQ595" s="256"/>
      <c r="AR595" s="256"/>
    </row>
    <row r="596">
      <c r="A596" s="256"/>
      <c r="B596" s="256"/>
      <c r="C596" s="257"/>
      <c r="D596" s="257"/>
      <c r="E596" s="257"/>
      <c r="F596" s="257"/>
      <c r="G596" s="257"/>
      <c r="H596" s="257"/>
      <c r="I596" s="256"/>
      <c r="J596" s="256"/>
      <c r="K596" s="256"/>
      <c r="L596" s="256"/>
      <c r="M596" s="256"/>
      <c r="N596" s="256"/>
      <c r="O596" s="256"/>
      <c r="P596" s="256"/>
      <c r="Q596" s="256"/>
      <c r="R596" s="256"/>
      <c r="S596" s="256"/>
      <c r="T596" s="256"/>
      <c r="U596" s="256"/>
      <c r="V596" s="256"/>
      <c r="W596" s="256"/>
      <c r="X596" s="256"/>
      <c r="Y596" s="256"/>
      <c r="Z596" s="256"/>
      <c r="AA596" s="256"/>
      <c r="AB596" s="256"/>
      <c r="AC596" s="256"/>
      <c r="AD596" s="256"/>
      <c r="AE596" s="256"/>
      <c r="AF596" s="256"/>
      <c r="AG596" s="256"/>
      <c r="AH596" s="256"/>
      <c r="AI596" s="256"/>
      <c r="AJ596" s="256"/>
      <c r="AK596" s="256"/>
      <c r="AL596" s="256"/>
      <c r="AM596" s="256"/>
      <c r="AN596" s="256"/>
      <c r="AO596" s="256"/>
      <c r="AP596" s="256"/>
      <c r="AQ596" s="256"/>
      <c r="AR596" s="256"/>
    </row>
    <row r="597">
      <c r="A597" s="256"/>
      <c r="B597" s="256"/>
      <c r="C597" s="257"/>
      <c r="D597" s="257"/>
      <c r="E597" s="257"/>
      <c r="F597" s="257"/>
      <c r="G597" s="257"/>
      <c r="H597" s="257"/>
      <c r="I597" s="256"/>
      <c r="J597" s="256"/>
      <c r="K597" s="256"/>
      <c r="L597" s="256"/>
      <c r="M597" s="256"/>
      <c r="N597" s="256"/>
      <c r="O597" s="256"/>
      <c r="P597" s="256"/>
      <c r="Q597" s="256"/>
      <c r="R597" s="256"/>
      <c r="S597" s="256"/>
      <c r="T597" s="256"/>
      <c r="U597" s="256"/>
      <c r="V597" s="256"/>
      <c r="W597" s="256"/>
      <c r="X597" s="256"/>
      <c r="Y597" s="256"/>
      <c r="Z597" s="256"/>
      <c r="AA597" s="256"/>
      <c r="AB597" s="256"/>
      <c r="AC597" s="256"/>
      <c r="AD597" s="256"/>
      <c r="AE597" s="256"/>
      <c r="AF597" s="256"/>
      <c r="AG597" s="256"/>
      <c r="AH597" s="256"/>
      <c r="AI597" s="256"/>
      <c r="AJ597" s="256"/>
      <c r="AK597" s="256"/>
      <c r="AL597" s="256"/>
      <c r="AM597" s="256"/>
      <c r="AN597" s="256"/>
      <c r="AO597" s="256"/>
      <c r="AP597" s="256"/>
      <c r="AQ597" s="256"/>
      <c r="AR597" s="256"/>
    </row>
    <row r="598">
      <c r="A598" s="256"/>
      <c r="B598" s="256"/>
      <c r="C598" s="257"/>
      <c r="D598" s="257"/>
      <c r="E598" s="257"/>
      <c r="F598" s="257"/>
      <c r="G598" s="257"/>
      <c r="H598" s="257"/>
      <c r="I598" s="256"/>
      <c r="J598" s="256"/>
      <c r="K598" s="256"/>
      <c r="L598" s="256"/>
      <c r="M598" s="256"/>
      <c r="N598" s="256"/>
      <c r="O598" s="256"/>
      <c r="P598" s="256"/>
      <c r="Q598" s="256"/>
      <c r="R598" s="256"/>
      <c r="S598" s="256"/>
      <c r="T598" s="256"/>
      <c r="U598" s="256"/>
      <c r="V598" s="256"/>
      <c r="W598" s="256"/>
      <c r="X598" s="256"/>
      <c r="Y598" s="256"/>
      <c r="Z598" s="256"/>
      <c r="AA598" s="256"/>
      <c r="AB598" s="256"/>
      <c r="AC598" s="256"/>
      <c r="AD598" s="256"/>
      <c r="AE598" s="256"/>
      <c r="AF598" s="256"/>
      <c r="AG598" s="256"/>
      <c r="AH598" s="256"/>
      <c r="AI598" s="256"/>
      <c r="AJ598" s="256"/>
      <c r="AK598" s="256"/>
      <c r="AL598" s="256"/>
      <c r="AM598" s="256"/>
      <c r="AN598" s="256"/>
      <c r="AO598" s="256"/>
      <c r="AP598" s="256"/>
      <c r="AQ598" s="256"/>
      <c r="AR598" s="256"/>
    </row>
    <row r="599">
      <c r="A599" s="256"/>
      <c r="B599" s="256"/>
      <c r="C599" s="257"/>
      <c r="D599" s="257"/>
      <c r="E599" s="257"/>
      <c r="F599" s="257"/>
      <c r="G599" s="257"/>
      <c r="H599" s="257"/>
      <c r="I599" s="256"/>
      <c r="J599" s="256"/>
      <c r="K599" s="256"/>
      <c r="L599" s="256"/>
      <c r="M599" s="256"/>
      <c r="N599" s="256"/>
      <c r="O599" s="256"/>
      <c r="P599" s="256"/>
      <c r="Q599" s="256"/>
      <c r="R599" s="256"/>
      <c r="S599" s="256"/>
      <c r="T599" s="256"/>
      <c r="U599" s="256"/>
      <c r="V599" s="256"/>
      <c r="W599" s="256"/>
      <c r="X599" s="256"/>
      <c r="Y599" s="256"/>
      <c r="Z599" s="256"/>
      <c r="AA599" s="256"/>
      <c r="AB599" s="256"/>
      <c r="AC599" s="256"/>
      <c r="AD599" s="256"/>
      <c r="AE599" s="256"/>
      <c r="AF599" s="256"/>
      <c r="AG599" s="256"/>
      <c r="AH599" s="256"/>
      <c r="AI599" s="256"/>
      <c r="AJ599" s="256"/>
      <c r="AK599" s="256"/>
      <c r="AL599" s="256"/>
      <c r="AM599" s="256"/>
      <c r="AN599" s="256"/>
      <c r="AO599" s="256"/>
      <c r="AP599" s="256"/>
      <c r="AQ599" s="256"/>
      <c r="AR599" s="256"/>
    </row>
    <row r="600">
      <c r="A600" s="256"/>
      <c r="B600" s="256"/>
      <c r="C600" s="257"/>
      <c r="D600" s="257"/>
      <c r="E600" s="257"/>
      <c r="F600" s="257"/>
      <c r="G600" s="257"/>
      <c r="H600" s="257"/>
      <c r="I600" s="256"/>
      <c r="J600" s="256"/>
      <c r="K600" s="256"/>
      <c r="L600" s="256"/>
      <c r="M600" s="256"/>
      <c r="N600" s="256"/>
      <c r="O600" s="256"/>
      <c r="P600" s="256"/>
      <c r="Q600" s="256"/>
      <c r="R600" s="256"/>
      <c r="S600" s="256"/>
      <c r="T600" s="256"/>
      <c r="U600" s="256"/>
      <c r="V600" s="256"/>
      <c r="W600" s="256"/>
      <c r="X600" s="256"/>
      <c r="Y600" s="256"/>
      <c r="Z600" s="256"/>
      <c r="AA600" s="256"/>
      <c r="AB600" s="256"/>
      <c r="AC600" s="256"/>
      <c r="AD600" s="256"/>
      <c r="AE600" s="256"/>
      <c r="AF600" s="256"/>
      <c r="AG600" s="256"/>
      <c r="AH600" s="256"/>
      <c r="AI600" s="256"/>
      <c r="AJ600" s="256"/>
      <c r="AK600" s="256"/>
      <c r="AL600" s="256"/>
      <c r="AM600" s="256"/>
      <c r="AN600" s="256"/>
      <c r="AO600" s="256"/>
      <c r="AP600" s="256"/>
      <c r="AQ600" s="256"/>
      <c r="AR600" s="256"/>
    </row>
    <row r="601">
      <c r="A601" s="256"/>
      <c r="B601" s="256"/>
      <c r="C601" s="257"/>
      <c r="D601" s="257"/>
      <c r="E601" s="257"/>
      <c r="F601" s="257"/>
      <c r="G601" s="257"/>
      <c r="H601" s="257"/>
      <c r="I601" s="256"/>
      <c r="J601" s="256"/>
      <c r="K601" s="256"/>
      <c r="L601" s="256"/>
      <c r="M601" s="256"/>
      <c r="N601" s="256"/>
      <c r="O601" s="256"/>
      <c r="P601" s="256"/>
      <c r="Q601" s="256"/>
      <c r="R601" s="256"/>
      <c r="S601" s="256"/>
      <c r="T601" s="256"/>
      <c r="U601" s="256"/>
      <c r="V601" s="256"/>
      <c r="W601" s="256"/>
      <c r="X601" s="256"/>
      <c r="Y601" s="256"/>
      <c r="Z601" s="256"/>
      <c r="AA601" s="256"/>
      <c r="AB601" s="256"/>
      <c r="AC601" s="256"/>
      <c r="AD601" s="256"/>
      <c r="AE601" s="256"/>
      <c r="AF601" s="256"/>
      <c r="AG601" s="256"/>
      <c r="AH601" s="256"/>
      <c r="AI601" s="256"/>
      <c r="AJ601" s="256"/>
      <c r="AK601" s="256"/>
      <c r="AL601" s="256"/>
      <c r="AM601" s="256"/>
      <c r="AN601" s="256"/>
      <c r="AO601" s="256"/>
      <c r="AP601" s="256"/>
      <c r="AQ601" s="256"/>
      <c r="AR601" s="256"/>
    </row>
    <row r="602">
      <c r="A602" s="256"/>
      <c r="B602" s="256"/>
      <c r="C602" s="257"/>
      <c r="D602" s="257"/>
      <c r="E602" s="257"/>
      <c r="F602" s="257"/>
      <c r="G602" s="257"/>
      <c r="H602" s="257"/>
      <c r="I602" s="256"/>
      <c r="J602" s="256"/>
      <c r="K602" s="256"/>
      <c r="L602" s="256"/>
      <c r="M602" s="256"/>
      <c r="N602" s="256"/>
      <c r="O602" s="256"/>
      <c r="P602" s="256"/>
      <c r="Q602" s="256"/>
      <c r="R602" s="256"/>
      <c r="S602" s="256"/>
      <c r="T602" s="256"/>
      <c r="U602" s="256"/>
      <c r="V602" s="256"/>
      <c r="W602" s="256"/>
      <c r="X602" s="256"/>
      <c r="Y602" s="256"/>
      <c r="Z602" s="256"/>
      <c r="AA602" s="256"/>
      <c r="AB602" s="256"/>
      <c r="AC602" s="256"/>
      <c r="AD602" s="256"/>
      <c r="AE602" s="256"/>
      <c r="AF602" s="256"/>
      <c r="AG602" s="256"/>
      <c r="AH602" s="256"/>
      <c r="AI602" s="256"/>
      <c r="AJ602" s="256"/>
      <c r="AK602" s="256"/>
      <c r="AL602" s="256"/>
      <c r="AM602" s="256"/>
      <c r="AN602" s="256"/>
      <c r="AO602" s="256"/>
      <c r="AP602" s="256"/>
      <c r="AQ602" s="256"/>
      <c r="AR602" s="256"/>
    </row>
    <row r="603">
      <c r="A603" s="256"/>
      <c r="B603" s="256"/>
      <c r="C603" s="257"/>
      <c r="D603" s="257"/>
      <c r="E603" s="257"/>
      <c r="F603" s="257"/>
      <c r="G603" s="257"/>
      <c r="H603" s="257"/>
      <c r="I603" s="256"/>
      <c r="J603" s="256"/>
      <c r="K603" s="256"/>
      <c r="L603" s="256"/>
      <c r="M603" s="256"/>
      <c r="N603" s="256"/>
      <c r="O603" s="256"/>
      <c r="P603" s="256"/>
      <c r="Q603" s="256"/>
      <c r="R603" s="256"/>
      <c r="S603" s="256"/>
      <c r="T603" s="256"/>
      <c r="U603" s="256"/>
      <c r="V603" s="256"/>
      <c r="W603" s="256"/>
      <c r="X603" s="256"/>
      <c r="Y603" s="256"/>
      <c r="Z603" s="256"/>
      <c r="AA603" s="256"/>
      <c r="AB603" s="256"/>
      <c r="AC603" s="256"/>
      <c r="AD603" s="256"/>
      <c r="AE603" s="256"/>
      <c r="AF603" s="256"/>
      <c r="AG603" s="256"/>
      <c r="AH603" s="256"/>
      <c r="AI603" s="256"/>
      <c r="AJ603" s="256"/>
      <c r="AK603" s="256"/>
      <c r="AL603" s="256"/>
      <c r="AM603" s="256"/>
      <c r="AN603" s="256"/>
      <c r="AO603" s="256"/>
      <c r="AP603" s="256"/>
      <c r="AQ603" s="256"/>
      <c r="AR603" s="256"/>
    </row>
    <row r="604">
      <c r="A604" s="256"/>
      <c r="B604" s="256"/>
      <c r="C604" s="257"/>
      <c r="D604" s="257"/>
      <c r="E604" s="257"/>
      <c r="F604" s="257"/>
      <c r="G604" s="257"/>
      <c r="H604" s="257"/>
      <c r="I604" s="256"/>
      <c r="J604" s="256"/>
      <c r="K604" s="256"/>
      <c r="L604" s="256"/>
      <c r="M604" s="256"/>
      <c r="N604" s="256"/>
      <c r="O604" s="256"/>
      <c r="P604" s="256"/>
      <c r="Q604" s="256"/>
      <c r="R604" s="256"/>
      <c r="S604" s="256"/>
      <c r="T604" s="256"/>
      <c r="U604" s="256"/>
      <c r="V604" s="256"/>
      <c r="W604" s="256"/>
      <c r="X604" s="256"/>
      <c r="Y604" s="256"/>
      <c r="Z604" s="256"/>
      <c r="AA604" s="256"/>
      <c r="AB604" s="256"/>
      <c r="AC604" s="256"/>
      <c r="AD604" s="256"/>
      <c r="AE604" s="256"/>
      <c r="AF604" s="256"/>
      <c r="AG604" s="256"/>
      <c r="AH604" s="256"/>
      <c r="AI604" s="256"/>
      <c r="AJ604" s="256"/>
      <c r="AK604" s="256"/>
      <c r="AL604" s="256"/>
      <c r="AM604" s="256"/>
      <c r="AN604" s="256"/>
      <c r="AO604" s="256"/>
      <c r="AP604" s="256"/>
      <c r="AQ604" s="256"/>
      <c r="AR604" s="256"/>
    </row>
    <row r="605">
      <c r="A605" s="256"/>
      <c r="B605" s="256"/>
      <c r="C605" s="257"/>
      <c r="D605" s="257"/>
      <c r="E605" s="257"/>
      <c r="F605" s="257"/>
      <c r="G605" s="257"/>
      <c r="H605" s="257"/>
      <c r="I605" s="256"/>
      <c r="J605" s="256"/>
      <c r="K605" s="256"/>
      <c r="L605" s="256"/>
      <c r="M605" s="256"/>
      <c r="N605" s="256"/>
      <c r="O605" s="256"/>
      <c r="P605" s="256"/>
      <c r="Q605" s="256"/>
      <c r="R605" s="256"/>
      <c r="S605" s="256"/>
      <c r="T605" s="256"/>
      <c r="U605" s="256"/>
      <c r="V605" s="256"/>
      <c r="W605" s="256"/>
      <c r="X605" s="256"/>
      <c r="Y605" s="256"/>
      <c r="Z605" s="256"/>
      <c r="AA605" s="256"/>
      <c r="AB605" s="256"/>
      <c r="AC605" s="256"/>
      <c r="AD605" s="256"/>
      <c r="AE605" s="256"/>
      <c r="AF605" s="256"/>
      <c r="AG605" s="256"/>
      <c r="AH605" s="256"/>
      <c r="AI605" s="256"/>
      <c r="AJ605" s="256"/>
      <c r="AK605" s="256"/>
      <c r="AL605" s="256"/>
      <c r="AM605" s="256"/>
      <c r="AN605" s="256"/>
      <c r="AO605" s="256"/>
      <c r="AP605" s="256"/>
      <c r="AQ605" s="256"/>
      <c r="AR605" s="256"/>
    </row>
    <row r="606">
      <c r="A606" s="256"/>
      <c r="B606" s="256"/>
      <c r="C606" s="257"/>
      <c r="D606" s="257"/>
      <c r="E606" s="257"/>
      <c r="F606" s="257"/>
      <c r="G606" s="257"/>
      <c r="H606" s="257"/>
      <c r="I606" s="256"/>
      <c r="J606" s="256"/>
      <c r="K606" s="256"/>
      <c r="L606" s="256"/>
      <c r="M606" s="256"/>
      <c r="N606" s="256"/>
      <c r="O606" s="256"/>
      <c r="P606" s="256"/>
      <c r="Q606" s="256"/>
      <c r="R606" s="256"/>
      <c r="S606" s="256"/>
      <c r="T606" s="256"/>
      <c r="U606" s="256"/>
      <c r="V606" s="256"/>
      <c r="W606" s="256"/>
      <c r="X606" s="256"/>
      <c r="Y606" s="256"/>
      <c r="Z606" s="256"/>
      <c r="AA606" s="256"/>
      <c r="AB606" s="256"/>
      <c r="AC606" s="256"/>
      <c r="AD606" s="256"/>
      <c r="AE606" s="256"/>
      <c r="AF606" s="256"/>
      <c r="AG606" s="256"/>
      <c r="AH606" s="256"/>
      <c r="AI606" s="256"/>
      <c r="AJ606" s="256"/>
      <c r="AK606" s="256"/>
      <c r="AL606" s="256"/>
      <c r="AM606" s="256"/>
      <c r="AN606" s="256"/>
      <c r="AO606" s="256"/>
      <c r="AP606" s="256"/>
      <c r="AQ606" s="256"/>
      <c r="AR606" s="256"/>
    </row>
    <row r="607">
      <c r="A607" s="256"/>
      <c r="B607" s="256"/>
      <c r="C607" s="257"/>
      <c r="D607" s="257"/>
      <c r="E607" s="257"/>
      <c r="F607" s="257"/>
      <c r="G607" s="257"/>
      <c r="H607" s="257"/>
      <c r="I607" s="256"/>
      <c r="J607" s="256"/>
      <c r="K607" s="256"/>
      <c r="L607" s="256"/>
      <c r="M607" s="256"/>
      <c r="N607" s="256"/>
      <c r="O607" s="256"/>
      <c r="P607" s="256"/>
      <c r="Q607" s="256"/>
      <c r="R607" s="256"/>
      <c r="S607" s="256"/>
      <c r="T607" s="256"/>
      <c r="U607" s="256"/>
      <c r="V607" s="256"/>
      <c r="W607" s="256"/>
      <c r="X607" s="256"/>
      <c r="Y607" s="256"/>
      <c r="Z607" s="256"/>
      <c r="AA607" s="256"/>
      <c r="AB607" s="256"/>
      <c r="AC607" s="256"/>
      <c r="AD607" s="256"/>
      <c r="AE607" s="256"/>
      <c r="AF607" s="256"/>
      <c r="AG607" s="256"/>
      <c r="AH607" s="256"/>
      <c r="AI607" s="256"/>
      <c r="AJ607" s="256"/>
      <c r="AK607" s="256"/>
      <c r="AL607" s="256"/>
      <c r="AM607" s="256"/>
      <c r="AN607" s="256"/>
      <c r="AO607" s="256"/>
      <c r="AP607" s="256"/>
      <c r="AQ607" s="256"/>
      <c r="AR607" s="256"/>
    </row>
    <row r="608">
      <c r="A608" s="256"/>
      <c r="B608" s="256"/>
      <c r="C608" s="257"/>
      <c r="D608" s="257"/>
      <c r="E608" s="257"/>
      <c r="F608" s="257"/>
      <c r="G608" s="257"/>
      <c r="H608" s="257"/>
      <c r="I608" s="256"/>
      <c r="J608" s="256"/>
      <c r="K608" s="256"/>
      <c r="L608" s="256"/>
      <c r="M608" s="256"/>
      <c r="N608" s="256"/>
      <c r="O608" s="256"/>
      <c r="P608" s="256"/>
      <c r="Q608" s="256"/>
      <c r="R608" s="256"/>
      <c r="S608" s="256"/>
      <c r="T608" s="256"/>
      <c r="U608" s="256"/>
      <c r="V608" s="256"/>
      <c r="W608" s="256"/>
      <c r="X608" s="256"/>
      <c r="Y608" s="256"/>
      <c r="Z608" s="256"/>
      <c r="AA608" s="256"/>
      <c r="AB608" s="256"/>
      <c r="AC608" s="256"/>
      <c r="AD608" s="256"/>
      <c r="AE608" s="256"/>
      <c r="AF608" s="256"/>
      <c r="AG608" s="256"/>
      <c r="AH608" s="256"/>
      <c r="AI608" s="256"/>
      <c r="AJ608" s="256"/>
      <c r="AK608" s="256"/>
      <c r="AL608" s="256"/>
      <c r="AM608" s="256"/>
      <c r="AN608" s="256"/>
      <c r="AO608" s="256"/>
      <c r="AP608" s="256"/>
      <c r="AQ608" s="256"/>
      <c r="AR608" s="256"/>
    </row>
    <row r="609">
      <c r="A609" s="256"/>
      <c r="B609" s="256"/>
      <c r="C609" s="257"/>
      <c r="D609" s="257"/>
      <c r="E609" s="257"/>
      <c r="F609" s="257"/>
      <c r="G609" s="257"/>
      <c r="H609" s="257"/>
      <c r="I609" s="256"/>
      <c r="J609" s="256"/>
      <c r="K609" s="256"/>
      <c r="L609" s="256"/>
      <c r="M609" s="256"/>
      <c r="N609" s="256"/>
      <c r="O609" s="256"/>
      <c r="P609" s="256"/>
      <c r="Q609" s="256"/>
      <c r="R609" s="256"/>
      <c r="S609" s="256"/>
      <c r="T609" s="256"/>
      <c r="U609" s="256"/>
      <c r="V609" s="256"/>
      <c r="W609" s="256"/>
      <c r="X609" s="256"/>
      <c r="Y609" s="256"/>
      <c r="Z609" s="256"/>
      <c r="AA609" s="256"/>
      <c r="AB609" s="256"/>
      <c r="AC609" s="256"/>
      <c r="AD609" s="256"/>
      <c r="AE609" s="256"/>
      <c r="AF609" s="256"/>
      <c r="AG609" s="256"/>
      <c r="AH609" s="256"/>
      <c r="AI609" s="256"/>
      <c r="AJ609" s="256"/>
      <c r="AK609" s="256"/>
      <c r="AL609" s="256"/>
      <c r="AM609" s="256"/>
      <c r="AN609" s="256"/>
      <c r="AO609" s="256"/>
      <c r="AP609" s="256"/>
      <c r="AQ609" s="256"/>
      <c r="AR609" s="256"/>
    </row>
    <row r="610">
      <c r="A610" s="256"/>
      <c r="B610" s="256"/>
      <c r="C610" s="257"/>
      <c r="D610" s="257"/>
      <c r="E610" s="257"/>
      <c r="F610" s="257"/>
      <c r="G610" s="257"/>
      <c r="H610" s="257"/>
      <c r="I610" s="256"/>
      <c r="J610" s="256"/>
      <c r="K610" s="256"/>
      <c r="L610" s="256"/>
      <c r="M610" s="256"/>
      <c r="N610" s="256"/>
      <c r="O610" s="256"/>
      <c r="P610" s="256"/>
      <c r="Q610" s="256"/>
      <c r="R610" s="256"/>
      <c r="S610" s="256"/>
      <c r="T610" s="256"/>
      <c r="U610" s="256"/>
      <c r="V610" s="256"/>
      <c r="W610" s="256"/>
      <c r="X610" s="256"/>
      <c r="Y610" s="256"/>
      <c r="Z610" s="256"/>
      <c r="AA610" s="256"/>
      <c r="AB610" s="256"/>
      <c r="AC610" s="256"/>
      <c r="AD610" s="256"/>
      <c r="AE610" s="256"/>
      <c r="AF610" s="256"/>
      <c r="AG610" s="256"/>
      <c r="AH610" s="256"/>
      <c r="AI610" s="256"/>
      <c r="AJ610" s="256"/>
      <c r="AK610" s="256"/>
      <c r="AL610" s="256"/>
      <c r="AM610" s="256"/>
      <c r="AN610" s="256"/>
      <c r="AO610" s="256"/>
      <c r="AP610" s="256"/>
      <c r="AQ610" s="256"/>
      <c r="AR610" s="256"/>
    </row>
    <row r="611">
      <c r="A611" s="256"/>
      <c r="B611" s="256"/>
      <c r="C611" s="257"/>
      <c r="D611" s="257"/>
      <c r="E611" s="257"/>
      <c r="F611" s="257"/>
      <c r="G611" s="257"/>
      <c r="H611" s="257"/>
      <c r="I611" s="256"/>
      <c r="J611" s="256"/>
      <c r="K611" s="256"/>
      <c r="L611" s="256"/>
      <c r="M611" s="256"/>
      <c r="N611" s="256"/>
      <c r="O611" s="256"/>
      <c r="P611" s="256"/>
      <c r="Q611" s="256"/>
      <c r="R611" s="256"/>
      <c r="S611" s="256"/>
      <c r="T611" s="256"/>
      <c r="U611" s="256"/>
      <c r="V611" s="256"/>
      <c r="W611" s="256"/>
      <c r="X611" s="256"/>
      <c r="Y611" s="256"/>
      <c r="Z611" s="256"/>
      <c r="AA611" s="256"/>
      <c r="AB611" s="256"/>
      <c r="AC611" s="256"/>
      <c r="AD611" s="256"/>
      <c r="AE611" s="256"/>
      <c r="AF611" s="256"/>
      <c r="AG611" s="256"/>
      <c r="AH611" s="256"/>
      <c r="AI611" s="256"/>
      <c r="AJ611" s="256"/>
      <c r="AK611" s="256"/>
      <c r="AL611" s="256"/>
      <c r="AM611" s="256"/>
      <c r="AN611" s="256"/>
      <c r="AO611" s="256"/>
      <c r="AP611" s="256"/>
      <c r="AQ611" s="256"/>
      <c r="AR611" s="256"/>
    </row>
    <row r="612">
      <c r="A612" s="256"/>
      <c r="B612" s="256"/>
      <c r="C612" s="257"/>
      <c r="D612" s="257"/>
      <c r="E612" s="257"/>
      <c r="F612" s="257"/>
      <c r="G612" s="257"/>
      <c r="H612" s="257"/>
      <c r="I612" s="256"/>
      <c r="J612" s="256"/>
      <c r="K612" s="256"/>
      <c r="L612" s="256"/>
      <c r="M612" s="256"/>
      <c r="N612" s="256"/>
      <c r="O612" s="256"/>
      <c r="P612" s="256"/>
      <c r="Q612" s="256"/>
      <c r="R612" s="256"/>
      <c r="S612" s="256"/>
      <c r="T612" s="256"/>
      <c r="U612" s="256"/>
      <c r="V612" s="256"/>
      <c r="W612" s="256"/>
      <c r="X612" s="256"/>
      <c r="Y612" s="256"/>
      <c r="Z612" s="256"/>
      <c r="AA612" s="256"/>
      <c r="AB612" s="256"/>
      <c r="AC612" s="256"/>
      <c r="AD612" s="256"/>
      <c r="AE612" s="256"/>
      <c r="AF612" s="256"/>
      <c r="AG612" s="256"/>
      <c r="AH612" s="256"/>
      <c r="AI612" s="256"/>
      <c r="AJ612" s="256"/>
      <c r="AK612" s="256"/>
      <c r="AL612" s="256"/>
      <c r="AM612" s="256"/>
      <c r="AN612" s="256"/>
      <c r="AO612" s="256"/>
      <c r="AP612" s="256"/>
      <c r="AQ612" s="256"/>
      <c r="AR612" s="256"/>
    </row>
    <row r="613">
      <c r="A613" s="256"/>
      <c r="B613" s="256"/>
      <c r="C613" s="257"/>
      <c r="D613" s="257"/>
      <c r="E613" s="257"/>
      <c r="F613" s="257"/>
      <c r="G613" s="257"/>
      <c r="H613" s="257"/>
      <c r="I613" s="256"/>
      <c r="J613" s="256"/>
      <c r="K613" s="256"/>
      <c r="L613" s="256"/>
      <c r="M613" s="256"/>
      <c r="N613" s="256"/>
      <c r="O613" s="256"/>
      <c r="P613" s="256"/>
      <c r="Q613" s="256"/>
      <c r="R613" s="256"/>
      <c r="S613" s="256"/>
      <c r="T613" s="256"/>
      <c r="U613" s="256"/>
      <c r="V613" s="256"/>
      <c r="W613" s="256"/>
      <c r="X613" s="256"/>
      <c r="Y613" s="256"/>
      <c r="Z613" s="256"/>
      <c r="AA613" s="256"/>
      <c r="AB613" s="256"/>
      <c r="AC613" s="256"/>
      <c r="AD613" s="256"/>
      <c r="AE613" s="256"/>
      <c r="AF613" s="256"/>
      <c r="AG613" s="256"/>
      <c r="AH613" s="256"/>
      <c r="AI613" s="256"/>
      <c r="AJ613" s="256"/>
      <c r="AK613" s="256"/>
      <c r="AL613" s="256"/>
      <c r="AM613" s="256"/>
      <c r="AN613" s="256"/>
      <c r="AO613" s="256"/>
      <c r="AP613" s="256"/>
      <c r="AQ613" s="256"/>
      <c r="AR613" s="256"/>
    </row>
    <row r="614">
      <c r="A614" s="256"/>
      <c r="B614" s="256"/>
      <c r="C614" s="257"/>
      <c r="D614" s="257"/>
      <c r="E614" s="257"/>
      <c r="F614" s="257"/>
      <c r="G614" s="257"/>
      <c r="H614" s="257"/>
      <c r="I614" s="256"/>
      <c r="J614" s="256"/>
      <c r="K614" s="256"/>
      <c r="L614" s="256"/>
      <c r="M614" s="256"/>
      <c r="N614" s="256"/>
      <c r="O614" s="256"/>
      <c r="P614" s="256"/>
      <c r="Q614" s="256"/>
      <c r="R614" s="256"/>
      <c r="S614" s="256"/>
      <c r="T614" s="256"/>
      <c r="U614" s="256"/>
      <c r="V614" s="256"/>
      <c r="W614" s="256"/>
      <c r="X614" s="256"/>
      <c r="Y614" s="256"/>
      <c r="Z614" s="256"/>
      <c r="AA614" s="256"/>
      <c r="AB614" s="256"/>
      <c r="AC614" s="256"/>
      <c r="AD614" s="256"/>
      <c r="AE614" s="256"/>
      <c r="AF614" s="256"/>
      <c r="AG614" s="256"/>
      <c r="AH614" s="256"/>
      <c r="AI614" s="256"/>
      <c r="AJ614" s="256"/>
      <c r="AK614" s="256"/>
      <c r="AL614" s="256"/>
      <c r="AM614" s="256"/>
      <c r="AN614" s="256"/>
      <c r="AO614" s="256"/>
      <c r="AP614" s="256"/>
      <c r="AQ614" s="256"/>
      <c r="AR614" s="256"/>
    </row>
    <row r="615">
      <c r="A615" s="256"/>
      <c r="B615" s="256"/>
      <c r="C615" s="257"/>
      <c r="D615" s="257"/>
      <c r="E615" s="257"/>
      <c r="F615" s="257"/>
      <c r="G615" s="257"/>
      <c r="H615" s="257"/>
      <c r="I615" s="256"/>
      <c r="J615" s="256"/>
      <c r="K615" s="256"/>
      <c r="L615" s="256"/>
      <c r="M615" s="256"/>
      <c r="N615" s="256"/>
      <c r="O615" s="256"/>
      <c r="P615" s="256"/>
      <c r="Q615" s="256"/>
      <c r="R615" s="256"/>
      <c r="S615" s="256"/>
      <c r="T615" s="256"/>
      <c r="U615" s="256"/>
      <c r="V615" s="256"/>
      <c r="W615" s="256"/>
      <c r="X615" s="256"/>
      <c r="Y615" s="256"/>
      <c r="Z615" s="256"/>
      <c r="AA615" s="256"/>
      <c r="AB615" s="256"/>
      <c r="AC615" s="256"/>
      <c r="AD615" s="256"/>
      <c r="AE615" s="256"/>
      <c r="AF615" s="256"/>
      <c r="AG615" s="256"/>
      <c r="AH615" s="256"/>
      <c r="AI615" s="256"/>
      <c r="AJ615" s="256"/>
      <c r="AK615" s="256"/>
      <c r="AL615" s="256"/>
      <c r="AM615" s="256"/>
      <c r="AN615" s="256"/>
      <c r="AO615" s="256"/>
      <c r="AP615" s="256"/>
      <c r="AQ615" s="256"/>
      <c r="AR615" s="256"/>
    </row>
    <row r="616">
      <c r="A616" s="256"/>
      <c r="B616" s="256"/>
      <c r="C616" s="257"/>
      <c r="D616" s="257"/>
      <c r="E616" s="257"/>
      <c r="F616" s="257"/>
      <c r="G616" s="257"/>
      <c r="H616" s="257"/>
      <c r="I616" s="256"/>
      <c r="J616" s="256"/>
      <c r="K616" s="256"/>
      <c r="L616" s="256"/>
      <c r="M616" s="256"/>
      <c r="N616" s="256"/>
      <c r="O616" s="256"/>
      <c r="P616" s="256"/>
      <c r="Q616" s="256"/>
      <c r="R616" s="256"/>
      <c r="S616" s="256"/>
      <c r="T616" s="256"/>
      <c r="U616" s="256"/>
      <c r="V616" s="256"/>
      <c r="W616" s="256"/>
      <c r="X616" s="256"/>
      <c r="Y616" s="256"/>
      <c r="Z616" s="256"/>
      <c r="AA616" s="256"/>
      <c r="AB616" s="256"/>
      <c r="AC616" s="256"/>
      <c r="AD616" s="256"/>
      <c r="AE616" s="256"/>
      <c r="AF616" s="256"/>
      <c r="AG616" s="256"/>
      <c r="AH616" s="256"/>
      <c r="AI616" s="256"/>
      <c r="AJ616" s="256"/>
      <c r="AK616" s="256"/>
      <c r="AL616" s="256"/>
      <c r="AM616" s="256"/>
      <c r="AN616" s="256"/>
      <c r="AO616" s="256"/>
      <c r="AP616" s="256"/>
      <c r="AQ616" s="256"/>
      <c r="AR616" s="256"/>
    </row>
    <row r="617">
      <c r="A617" s="256"/>
      <c r="B617" s="256"/>
      <c r="C617" s="257"/>
      <c r="D617" s="257"/>
      <c r="E617" s="257"/>
      <c r="F617" s="257"/>
      <c r="G617" s="257"/>
      <c r="H617" s="257"/>
      <c r="I617" s="256"/>
      <c r="J617" s="256"/>
      <c r="K617" s="256"/>
      <c r="L617" s="256"/>
      <c r="M617" s="256"/>
      <c r="N617" s="256"/>
      <c r="O617" s="256"/>
      <c r="P617" s="256"/>
      <c r="Q617" s="256"/>
      <c r="R617" s="256"/>
      <c r="S617" s="256"/>
      <c r="T617" s="256"/>
      <c r="U617" s="256"/>
      <c r="V617" s="256"/>
      <c r="W617" s="256"/>
      <c r="X617" s="256"/>
      <c r="Y617" s="256"/>
      <c r="Z617" s="256"/>
      <c r="AA617" s="256"/>
      <c r="AB617" s="256"/>
      <c r="AC617" s="256"/>
      <c r="AD617" s="256"/>
      <c r="AE617" s="256"/>
      <c r="AF617" s="256"/>
      <c r="AG617" s="256"/>
      <c r="AH617" s="256"/>
      <c r="AI617" s="256"/>
      <c r="AJ617" s="256"/>
      <c r="AK617" s="256"/>
      <c r="AL617" s="256"/>
      <c r="AM617" s="256"/>
      <c r="AN617" s="256"/>
      <c r="AO617" s="256"/>
      <c r="AP617" s="256"/>
      <c r="AQ617" s="256"/>
      <c r="AR617" s="256"/>
    </row>
    <row r="618">
      <c r="A618" s="256"/>
      <c r="B618" s="256"/>
      <c r="C618" s="257"/>
      <c r="D618" s="257"/>
      <c r="E618" s="257"/>
      <c r="F618" s="257"/>
      <c r="G618" s="257"/>
      <c r="H618" s="257"/>
      <c r="I618" s="256"/>
      <c r="J618" s="256"/>
      <c r="K618" s="256"/>
      <c r="L618" s="256"/>
      <c r="M618" s="256"/>
      <c r="N618" s="256"/>
      <c r="O618" s="256"/>
      <c r="P618" s="256"/>
      <c r="Q618" s="256"/>
      <c r="R618" s="256"/>
      <c r="S618" s="256"/>
      <c r="T618" s="256"/>
      <c r="U618" s="256"/>
      <c r="V618" s="256"/>
      <c r="W618" s="256"/>
      <c r="X618" s="256"/>
      <c r="Y618" s="256"/>
      <c r="Z618" s="256"/>
      <c r="AA618" s="256"/>
      <c r="AB618" s="256"/>
      <c r="AC618" s="256"/>
      <c r="AD618" s="256"/>
      <c r="AE618" s="256"/>
      <c r="AF618" s="256"/>
      <c r="AG618" s="256"/>
      <c r="AH618" s="256"/>
      <c r="AI618" s="256"/>
      <c r="AJ618" s="256"/>
      <c r="AK618" s="256"/>
      <c r="AL618" s="256"/>
      <c r="AM618" s="256"/>
      <c r="AN618" s="256"/>
      <c r="AO618" s="256"/>
      <c r="AP618" s="256"/>
      <c r="AQ618" s="256"/>
      <c r="AR618" s="256"/>
    </row>
    <row r="619">
      <c r="A619" s="256"/>
      <c r="B619" s="256"/>
      <c r="C619" s="257"/>
      <c r="D619" s="257"/>
      <c r="E619" s="257"/>
      <c r="F619" s="257"/>
      <c r="G619" s="257"/>
      <c r="H619" s="257"/>
      <c r="I619" s="256"/>
      <c r="J619" s="256"/>
      <c r="K619" s="256"/>
      <c r="L619" s="256"/>
      <c r="M619" s="256"/>
      <c r="N619" s="256"/>
      <c r="O619" s="256"/>
      <c r="P619" s="256"/>
      <c r="Q619" s="256"/>
      <c r="R619" s="256"/>
      <c r="S619" s="256"/>
      <c r="T619" s="256"/>
      <c r="U619" s="256"/>
      <c r="V619" s="256"/>
      <c r="W619" s="256"/>
      <c r="X619" s="256"/>
      <c r="Y619" s="256"/>
      <c r="Z619" s="256"/>
      <c r="AA619" s="256"/>
      <c r="AB619" s="256"/>
      <c r="AC619" s="256"/>
      <c r="AD619" s="256"/>
      <c r="AE619" s="256"/>
      <c r="AF619" s="256"/>
      <c r="AG619" s="256"/>
      <c r="AH619" s="256"/>
      <c r="AI619" s="256"/>
      <c r="AJ619" s="256"/>
      <c r="AK619" s="256"/>
      <c r="AL619" s="256"/>
      <c r="AM619" s="256"/>
      <c r="AN619" s="256"/>
      <c r="AO619" s="256"/>
      <c r="AP619" s="256"/>
      <c r="AQ619" s="256"/>
      <c r="AR619" s="256"/>
    </row>
    <row r="620">
      <c r="A620" s="256"/>
      <c r="B620" s="256"/>
      <c r="C620" s="257"/>
      <c r="D620" s="257"/>
      <c r="E620" s="257"/>
      <c r="F620" s="257"/>
      <c r="G620" s="257"/>
      <c r="H620" s="257"/>
      <c r="I620" s="256"/>
      <c r="J620" s="256"/>
      <c r="K620" s="256"/>
      <c r="L620" s="256"/>
      <c r="M620" s="256"/>
      <c r="N620" s="256"/>
      <c r="O620" s="256"/>
      <c r="P620" s="256"/>
      <c r="Q620" s="256"/>
      <c r="R620" s="256"/>
      <c r="S620" s="256"/>
      <c r="T620" s="256"/>
      <c r="U620" s="256"/>
      <c r="V620" s="256"/>
      <c r="W620" s="256"/>
      <c r="X620" s="256"/>
      <c r="Y620" s="256"/>
      <c r="Z620" s="256"/>
      <c r="AA620" s="256"/>
      <c r="AB620" s="256"/>
      <c r="AC620" s="256"/>
      <c r="AD620" s="256"/>
      <c r="AE620" s="256"/>
      <c r="AF620" s="256"/>
      <c r="AG620" s="256"/>
      <c r="AH620" s="256"/>
      <c r="AI620" s="256"/>
      <c r="AJ620" s="256"/>
      <c r="AK620" s="256"/>
      <c r="AL620" s="256"/>
      <c r="AM620" s="256"/>
      <c r="AN620" s="256"/>
      <c r="AO620" s="256"/>
      <c r="AP620" s="256"/>
      <c r="AQ620" s="256"/>
      <c r="AR620" s="256"/>
    </row>
    <row r="621">
      <c r="A621" s="256"/>
      <c r="B621" s="256"/>
      <c r="C621" s="257"/>
      <c r="D621" s="257"/>
      <c r="E621" s="257"/>
      <c r="F621" s="257"/>
      <c r="G621" s="257"/>
      <c r="H621" s="257"/>
      <c r="I621" s="256"/>
      <c r="J621" s="256"/>
      <c r="K621" s="256"/>
      <c r="L621" s="256"/>
      <c r="M621" s="256"/>
      <c r="N621" s="256"/>
      <c r="O621" s="256"/>
      <c r="P621" s="256"/>
      <c r="Q621" s="256"/>
      <c r="R621" s="256"/>
      <c r="S621" s="256"/>
      <c r="T621" s="256"/>
      <c r="U621" s="256"/>
      <c r="V621" s="256"/>
      <c r="W621" s="256"/>
      <c r="X621" s="256"/>
      <c r="Y621" s="256"/>
      <c r="Z621" s="256"/>
      <c r="AA621" s="256"/>
      <c r="AB621" s="256"/>
      <c r="AC621" s="256"/>
      <c r="AD621" s="256"/>
      <c r="AE621" s="256"/>
      <c r="AF621" s="256"/>
      <c r="AG621" s="256"/>
      <c r="AH621" s="256"/>
      <c r="AI621" s="256"/>
      <c r="AJ621" s="256"/>
      <c r="AK621" s="256"/>
      <c r="AL621" s="256"/>
      <c r="AM621" s="256"/>
      <c r="AN621" s="256"/>
      <c r="AO621" s="256"/>
      <c r="AP621" s="256"/>
      <c r="AQ621" s="256"/>
      <c r="AR621" s="256"/>
    </row>
    <row r="622">
      <c r="A622" s="256"/>
      <c r="B622" s="256"/>
      <c r="C622" s="257"/>
      <c r="D622" s="257"/>
      <c r="E622" s="257"/>
      <c r="F622" s="257"/>
      <c r="G622" s="257"/>
      <c r="H622" s="257"/>
      <c r="I622" s="256"/>
      <c r="J622" s="256"/>
      <c r="K622" s="256"/>
      <c r="L622" s="256"/>
      <c r="M622" s="256"/>
      <c r="N622" s="256"/>
      <c r="O622" s="256"/>
      <c r="P622" s="256"/>
      <c r="Q622" s="256"/>
      <c r="R622" s="256"/>
      <c r="S622" s="256"/>
      <c r="T622" s="256"/>
      <c r="U622" s="256"/>
      <c r="V622" s="256"/>
      <c r="W622" s="256"/>
      <c r="X622" s="256"/>
      <c r="Y622" s="256"/>
      <c r="Z622" s="256"/>
      <c r="AA622" s="256"/>
      <c r="AB622" s="256"/>
      <c r="AC622" s="256"/>
      <c r="AD622" s="256"/>
      <c r="AE622" s="256"/>
      <c r="AF622" s="256"/>
      <c r="AG622" s="256"/>
      <c r="AH622" s="256"/>
      <c r="AI622" s="256"/>
      <c r="AJ622" s="256"/>
      <c r="AK622" s="256"/>
      <c r="AL622" s="256"/>
      <c r="AM622" s="256"/>
      <c r="AN622" s="256"/>
      <c r="AO622" s="256"/>
      <c r="AP622" s="256"/>
      <c r="AQ622" s="256"/>
      <c r="AR622" s="256"/>
    </row>
    <row r="623">
      <c r="A623" s="256"/>
      <c r="B623" s="256"/>
      <c r="C623" s="257"/>
      <c r="D623" s="257"/>
      <c r="E623" s="257"/>
      <c r="F623" s="257"/>
      <c r="G623" s="257"/>
      <c r="H623" s="257"/>
      <c r="I623" s="256"/>
      <c r="J623" s="256"/>
      <c r="K623" s="256"/>
      <c r="L623" s="256"/>
      <c r="M623" s="256"/>
      <c r="N623" s="256"/>
      <c r="O623" s="256"/>
      <c r="P623" s="256"/>
      <c r="Q623" s="256"/>
      <c r="R623" s="256"/>
      <c r="S623" s="256"/>
      <c r="T623" s="256"/>
      <c r="U623" s="256"/>
      <c r="V623" s="256"/>
      <c r="W623" s="256"/>
      <c r="X623" s="256"/>
      <c r="Y623" s="256"/>
      <c r="Z623" s="256"/>
      <c r="AA623" s="256"/>
      <c r="AB623" s="256"/>
      <c r="AC623" s="256"/>
      <c r="AD623" s="256"/>
      <c r="AE623" s="256"/>
      <c r="AF623" s="256"/>
      <c r="AG623" s="256"/>
      <c r="AH623" s="256"/>
      <c r="AI623" s="256"/>
      <c r="AJ623" s="256"/>
      <c r="AK623" s="256"/>
      <c r="AL623" s="256"/>
      <c r="AM623" s="256"/>
      <c r="AN623" s="256"/>
      <c r="AO623" s="256"/>
      <c r="AP623" s="256"/>
      <c r="AQ623" s="256"/>
      <c r="AR623" s="256"/>
    </row>
    <row r="624">
      <c r="A624" s="256"/>
      <c r="B624" s="256"/>
      <c r="C624" s="257"/>
      <c r="D624" s="257"/>
      <c r="E624" s="257"/>
      <c r="F624" s="257"/>
      <c r="G624" s="257"/>
      <c r="H624" s="257"/>
      <c r="I624" s="256"/>
      <c r="J624" s="256"/>
      <c r="K624" s="256"/>
      <c r="L624" s="256"/>
      <c r="M624" s="256"/>
      <c r="N624" s="256"/>
      <c r="O624" s="256"/>
      <c r="P624" s="256"/>
      <c r="Q624" s="256"/>
      <c r="R624" s="256"/>
      <c r="S624" s="256"/>
      <c r="T624" s="256"/>
      <c r="U624" s="256"/>
      <c r="V624" s="256"/>
      <c r="W624" s="256"/>
      <c r="X624" s="256"/>
      <c r="Y624" s="256"/>
      <c r="Z624" s="256"/>
      <c r="AA624" s="256"/>
      <c r="AB624" s="256"/>
      <c r="AC624" s="256"/>
      <c r="AD624" s="256"/>
      <c r="AE624" s="256"/>
      <c r="AF624" s="256"/>
      <c r="AG624" s="256"/>
      <c r="AH624" s="256"/>
      <c r="AI624" s="256"/>
      <c r="AJ624" s="256"/>
      <c r="AK624" s="256"/>
      <c r="AL624" s="256"/>
      <c r="AM624" s="256"/>
      <c r="AN624" s="256"/>
      <c r="AO624" s="256"/>
      <c r="AP624" s="256"/>
      <c r="AQ624" s="256"/>
      <c r="AR624" s="256"/>
    </row>
    <row r="625">
      <c r="A625" s="256"/>
      <c r="B625" s="256"/>
      <c r="C625" s="257"/>
      <c r="D625" s="257"/>
      <c r="E625" s="257"/>
      <c r="F625" s="257"/>
      <c r="G625" s="257"/>
      <c r="H625" s="257"/>
      <c r="I625" s="256"/>
      <c r="J625" s="256"/>
      <c r="K625" s="256"/>
      <c r="L625" s="256"/>
      <c r="M625" s="256"/>
      <c r="N625" s="256"/>
      <c r="O625" s="256"/>
      <c r="P625" s="256"/>
      <c r="Q625" s="256"/>
      <c r="R625" s="256"/>
      <c r="S625" s="256"/>
      <c r="T625" s="256"/>
      <c r="U625" s="256"/>
      <c r="V625" s="256"/>
      <c r="W625" s="256"/>
      <c r="X625" s="256"/>
      <c r="Y625" s="256"/>
      <c r="Z625" s="256"/>
      <c r="AA625" s="256"/>
      <c r="AB625" s="256"/>
      <c r="AC625" s="256"/>
      <c r="AD625" s="256"/>
      <c r="AE625" s="256"/>
      <c r="AF625" s="256"/>
      <c r="AG625" s="256"/>
      <c r="AH625" s="256"/>
      <c r="AI625" s="256"/>
      <c r="AJ625" s="256"/>
      <c r="AK625" s="256"/>
      <c r="AL625" s="256"/>
      <c r="AM625" s="256"/>
      <c r="AN625" s="256"/>
      <c r="AO625" s="256"/>
      <c r="AP625" s="256"/>
      <c r="AQ625" s="256"/>
      <c r="AR625" s="256"/>
    </row>
    <row r="626">
      <c r="A626" s="256"/>
      <c r="B626" s="256"/>
      <c r="C626" s="257"/>
      <c r="D626" s="257"/>
      <c r="E626" s="257"/>
      <c r="F626" s="257"/>
      <c r="G626" s="257"/>
      <c r="H626" s="257"/>
      <c r="I626" s="256"/>
      <c r="J626" s="256"/>
      <c r="K626" s="256"/>
      <c r="L626" s="256"/>
      <c r="M626" s="256"/>
      <c r="N626" s="256"/>
      <c r="O626" s="256"/>
      <c r="P626" s="256"/>
      <c r="Q626" s="256"/>
      <c r="R626" s="256"/>
      <c r="S626" s="256"/>
      <c r="T626" s="256"/>
      <c r="U626" s="256"/>
      <c r="V626" s="256"/>
      <c r="W626" s="256"/>
      <c r="X626" s="256"/>
      <c r="Y626" s="256"/>
      <c r="Z626" s="256"/>
      <c r="AA626" s="256"/>
      <c r="AB626" s="256"/>
      <c r="AC626" s="256"/>
      <c r="AD626" s="256"/>
      <c r="AE626" s="256"/>
      <c r="AF626" s="256"/>
      <c r="AG626" s="256"/>
      <c r="AH626" s="256"/>
      <c r="AI626" s="256"/>
      <c r="AJ626" s="256"/>
      <c r="AK626" s="256"/>
      <c r="AL626" s="256"/>
      <c r="AM626" s="256"/>
      <c r="AN626" s="256"/>
      <c r="AO626" s="256"/>
      <c r="AP626" s="256"/>
      <c r="AQ626" s="256"/>
      <c r="AR626" s="256"/>
    </row>
    <row r="627">
      <c r="A627" s="256"/>
      <c r="B627" s="256"/>
      <c r="C627" s="257"/>
      <c r="D627" s="257"/>
      <c r="E627" s="257"/>
      <c r="F627" s="257"/>
      <c r="G627" s="257"/>
      <c r="H627" s="257"/>
      <c r="I627" s="256"/>
      <c r="J627" s="256"/>
      <c r="K627" s="256"/>
      <c r="L627" s="256"/>
      <c r="M627" s="256"/>
      <c r="N627" s="256"/>
      <c r="O627" s="256"/>
      <c r="P627" s="256"/>
      <c r="Q627" s="256"/>
      <c r="R627" s="256"/>
      <c r="S627" s="256"/>
      <c r="T627" s="256"/>
      <c r="U627" s="256"/>
      <c r="V627" s="256"/>
      <c r="W627" s="256"/>
      <c r="X627" s="256"/>
      <c r="Y627" s="256"/>
      <c r="Z627" s="256"/>
      <c r="AA627" s="256"/>
      <c r="AB627" s="256"/>
      <c r="AC627" s="256"/>
      <c r="AD627" s="256"/>
      <c r="AE627" s="256"/>
      <c r="AF627" s="256"/>
      <c r="AG627" s="256"/>
      <c r="AH627" s="256"/>
      <c r="AI627" s="256"/>
      <c r="AJ627" s="256"/>
      <c r="AK627" s="256"/>
      <c r="AL627" s="256"/>
      <c r="AM627" s="256"/>
      <c r="AN627" s="256"/>
      <c r="AO627" s="256"/>
      <c r="AP627" s="256"/>
      <c r="AQ627" s="256"/>
      <c r="AR627" s="256"/>
    </row>
    <row r="628">
      <c r="A628" s="256"/>
      <c r="B628" s="256"/>
      <c r="C628" s="257"/>
      <c r="D628" s="257"/>
      <c r="E628" s="257"/>
      <c r="F628" s="257"/>
      <c r="G628" s="257"/>
      <c r="H628" s="257"/>
      <c r="I628" s="256"/>
      <c r="J628" s="256"/>
      <c r="K628" s="256"/>
      <c r="L628" s="256"/>
      <c r="M628" s="256"/>
      <c r="N628" s="256"/>
      <c r="O628" s="256"/>
      <c r="P628" s="256"/>
      <c r="Q628" s="256"/>
      <c r="R628" s="256"/>
      <c r="S628" s="256"/>
      <c r="T628" s="256"/>
      <c r="U628" s="256"/>
      <c r="V628" s="256"/>
      <c r="W628" s="256"/>
      <c r="X628" s="256"/>
      <c r="Y628" s="256"/>
      <c r="Z628" s="256"/>
      <c r="AA628" s="256"/>
      <c r="AB628" s="256"/>
      <c r="AC628" s="256"/>
      <c r="AD628" s="256"/>
      <c r="AE628" s="256"/>
      <c r="AF628" s="256"/>
      <c r="AG628" s="256"/>
      <c r="AH628" s="256"/>
      <c r="AI628" s="256"/>
      <c r="AJ628" s="256"/>
      <c r="AK628" s="256"/>
      <c r="AL628" s="256"/>
      <c r="AM628" s="256"/>
      <c r="AN628" s="256"/>
      <c r="AO628" s="256"/>
      <c r="AP628" s="256"/>
      <c r="AQ628" s="256"/>
      <c r="AR628" s="256"/>
    </row>
    <row r="629">
      <c r="A629" s="256"/>
      <c r="B629" s="256"/>
      <c r="C629" s="257"/>
      <c r="D629" s="257"/>
      <c r="E629" s="257"/>
      <c r="F629" s="257"/>
      <c r="G629" s="257"/>
      <c r="H629" s="257"/>
      <c r="I629" s="256"/>
      <c r="J629" s="256"/>
      <c r="K629" s="256"/>
      <c r="L629" s="256"/>
      <c r="M629" s="256"/>
      <c r="N629" s="256"/>
      <c r="O629" s="256"/>
      <c r="P629" s="256"/>
      <c r="Q629" s="256"/>
      <c r="R629" s="256"/>
      <c r="S629" s="256"/>
      <c r="T629" s="256"/>
      <c r="U629" s="256"/>
      <c r="V629" s="256"/>
      <c r="W629" s="256"/>
      <c r="X629" s="256"/>
      <c r="Y629" s="256"/>
      <c r="Z629" s="256"/>
      <c r="AA629" s="256"/>
      <c r="AB629" s="256"/>
      <c r="AC629" s="256"/>
      <c r="AD629" s="256"/>
      <c r="AE629" s="256"/>
      <c r="AF629" s="256"/>
      <c r="AG629" s="256"/>
      <c r="AH629" s="256"/>
      <c r="AI629" s="256"/>
      <c r="AJ629" s="256"/>
      <c r="AK629" s="256"/>
      <c r="AL629" s="256"/>
      <c r="AM629" s="256"/>
      <c r="AN629" s="256"/>
      <c r="AO629" s="256"/>
      <c r="AP629" s="256"/>
      <c r="AQ629" s="256"/>
      <c r="AR629" s="256"/>
    </row>
    <row r="630">
      <c r="A630" s="256"/>
      <c r="B630" s="256"/>
      <c r="C630" s="257"/>
      <c r="D630" s="257"/>
      <c r="E630" s="257"/>
      <c r="F630" s="257"/>
      <c r="G630" s="257"/>
      <c r="H630" s="257"/>
      <c r="I630" s="256"/>
      <c r="J630" s="256"/>
      <c r="K630" s="256"/>
      <c r="L630" s="256"/>
      <c r="M630" s="256"/>
      <c r="N630" s="256"/>
      <c r="O630" s="256"/>
      <c r="P630" s="256"/>
      <c r="Q630" s="256"/>
      <c r="R630" s="256"/>
      <c r="S630" s="256"/>
      <c r="T630" s="256"/>
      <c r="U630" s="256"/>
      <c r="V630" s="256"/>
      <c r="W630" s="256"/>
      <c r="X630" s="256"/>
      <c r="Y630" s="256"/>
      <c r="Z630" s="256"/>
      <c r="AA630" s="256"/>
      <c r="AB630" s="256"/>
      <c r="AC630" s="256"/>
      <c r="AD630" s="256"/>
      <c r="AE630" s="256"/>
      <c r="AF630" s="256"/>
      <c r="AG630" s="256"/>
      <c r="AH630" s="256"/>
      <c r="AI630" s="256"/>
      <c r="AJ630" s="256"/>
      <c r="AK630" s="256"/>
      <c r="AL630" s="256"/>
      <c r="AM630" s="256"/>
      <c r="AN630" s="256"/>
      <c r="AO630" s="256"/>
      <c r="AP630" s="256"/>
      <c r="AQ630" s="256"/>
      <c r="AR630" s="256"/>
    </row>
    <row r="631">
      <c r="A631" s="256"/>
      <c r="B631" s="256"/>
      <c r="C631" s="257"/>
      <c r="D631" s="257"/>
      <c r="E631" s="257"/>
      <c r="F631" s="257"/>
      <c r="G631" s="257"/>
      <c r="H631" s="257"/>
      <c r="I631" s="256"/>
      <c r="J631" s="256"/>
      <c r="K631" s="256"/>
      <c r="L631" s="256"/>
      <c r="M631" s="256"/>
      <c r="N631" s="256"/>
      <c r="O631" s="256"/>
      <c r="P631" s="256"/>
      <c r="Q631" s="256"/>
      <c r="R631" s="256"/>
      <c r="S631" s="256"/>
      <c r="T631" s="256"/>
      <c r="U631" s="256"/>
      <c r="V631" s="256"/>
      <c r="W631" s="256"/>
      <c r="X631" s="256"/>
      <c r="Y631" s="256"/>
      <c r="Z631" s="256"/>
      <c r="AA631" s="256"/>
      <c r="AB631" s="256"/>
      <c r="AC631" s="256"/>
      <c r="AD631" s="256"/>
      <c r="AE631" s="256"/>
      <c r="AF631" s="256"/>
      <c r="AG631" s="256"/>
      <c r="AH631" s="256"/>
      <c r="AI631" s="256"/>
      <c r="AJ631" s="256"/>
      <c r="AK631" s="256"/>
      <c r="AL631" s="256"/>
      <c r="AM631" s="256"/>
      <c r="AN631" s="256"/>
      <c r="AO631" s="256"/>
      <c r="AP631" s="256"/>
      <c r="AQ631" s="256"/>
      <c r="AR631" s="256"/>
    </row>
    <row r="632">
      <c r="A632" s="256"/>
      <c r="B632" s="256"/>
      <c r="C632" s="257"/>
      <c r="D632" s="257"/>
      <c r="E632" s="257"/>
      <c r="F632" s="257"/>
      <c r="G632" s="257"/>
      <c r="H632" s="257"/>
      <c r="I632" s="256"/>
      <c r="J632" s="256"/>
      <c r="K632" s="256"/>
      <c r="L632" s="256"/>
      <c r="M632" s="256"/>
      <c r="N632" s="256"/>
      <c r="O632" s="256"/>
      <c r="P632" s="256"/>
      <c r="Q632" s="256"/>
      <c r="R632" s="256"/>
      <c r="S632" s="256"/>
      <c r="T632" s="256"/>
      <c r="U632" s="256"/>
      <c r="V632" s="256"/>
      <c r="W632" s="256"/>
      <c r="X632" s="256"/>
      <c r="Y632" s="256"/>
      <c r="Z632" s="256"/>
      <c r="AA632" s="256"/>
      <c r="AB632" s="256"/>
      <c r="AC632" s="256"/>
      <c r="AD632" s="256"/>
      <c r="AE632" s="256"/>
      <c r="AF632" s="256"/>
      <c r="AG632" s="256"/>
      <c r="AH632" s="256"/>
      <c r="AI632" s="256"/>
      <c r="AJ632" s="256"/>
      <c r="AK632" s="256"/>
      <c r="AL632" s="256"/>
      <c r="AM632" s="256"/>
      <c r="AN632" s="256"/>
      <c r="AO632" s="256"/>
      <c r="AP632" s="256"/>
      <c r="AQ632" s="256"/>
      <c r="AR632" s="256"/>
    </row>
    <row r="633">
      <c r="A633" s="256"/>
      <c r="B633" s="256"/>
      <c r="C633" s="257"/>
      <c r="D633" s="257"/>
      <c r="E633" s="257"/>
      <c r="F633" s="257"/>
      <c r="G633" s="257"/>
      <c r="H633" s="257"/>
      <c r="I633" s="256"/>
      <c r="J633" s="256"/>
      <c r="K633" s="256"/>
      <c r="L633" s="256"/>
      <c r="M633" s="256"/>
      <c r="N633" s="256"/>
      <c r="O633" s="256"/>
      <c r="P633" s="256"/>
      <c r="Q633" s="256"/>
      <c r="R633" s="256"/>
      <c r="S633" s="256"/>
      <c r="T633" s="256"/>
      <c r="U633" s="256"/>
      <c r="V633" s="256"/>
      <c r="W633" s="256"/>
      <c r="X633" s="256"/>
      <c r="Y633" s="256"/>
      <c r="Z633" s="256"/>
      <c r="AA633" s="256"/>
      <c r="AB633" s="256"/>
      <c r="AC633" s="256"/>
      <c r="AD633" s="256"/>
      <c r="AE633" s="256"/>
      <c r="AF633" s="256"/>
      <c r="AG633" s="256"/>
      <c r="AH633" s="256"/>
      <c r="AI633" s="256"/>
      <c r="AJ633" s="256"/>
      <c r="AK633" s="256"/>
      <c r="AL633" s="256"/>
      <c r="AM633" s="256"/>
      <c r="AN633" s="256"/>
      <c r="AO633" s="256"/>
      <c r="AP633" s="256"/>
      <c r="AQ633" s="256"/>
      <c r="AR633" s="256"/>
    </row>
    <row r="634">
      <c r="A634" s="256"/>
      <c r="B634" s="256"/>
      <c r="C634" s="257"/>
      <c r="D634" s="257"/>
      <c r="E634" s="257"/>
      <c r="F634" s="257"/>
      <c r="G634" s="257"/>
      <c r="H634" s="257"/>
      <c r="I634" s="256"/>
      <c r="J634" s="256"/>
      <c r="K634" s="256"/>
      <c r="L634" s="256"/>
      <c r="M634" s="256"/>
      <c r="N634" s="256"/>
      <c r="O634" s="256"/>
      <c r="P634" s="256"/>
      <c r="Q634" s="256"/>
      <c r="R634" s="256"/>
      <c r="S634" s="256"/>
      <c r="T634" s="256"/>
      <c r="U634" s="256"/>
      <c r="V634" s="256"/>
      <c r="W634" s="256"/>
      <c r="X634" s="256"/>
      <c r="Y634" s="256"/>
      <c r="Z634" s="256"/>
      <c r="AA634" s="256"/>
      <c r="AB634" s="256"/>
      <c r="AC634" s="256"/>
      <c r="AD634" s="256"/>
      <c r="AE634" s="256"/>
      <c r="AF634" s="256"/>
      <c r="AG634" s="256"/>
      <c r="AH634" s="256"/>
      <c r="AI634" s="256"/>
      <c r="AJ634" s="256"/>
      <c r="AK634" s="256"/>
      <c r="AL634" s="256"/>
      <c r="AM634" s="256"/>
      <c r="AN634" s="256"/>
      <c r="AO634" s="256"/>
      <c r="AP634" s="256"/>
      <c r="AQ634" s="256"/>
      <c r="AR634" s="256"/>
    </row>
    <row r="635">
      <c r="A635" s="256"/>
      <c r="B635" s="256"/>
      <c r="C635" s="257"/>
      <c r="D635" s="257"/>
      <c r="E635" s="257"/>
      <c r="F635" s="257"/>
      <c r="G635" s="257"/>
      <c r="H635" s="257"/>
      <c r="I635" s="256"/>
      <c r="J635" s="256"/>
      <c r="K635" s="256"/>
      <c r="L635" s="256"/>
      <c r="M635" s="256"/>
      <c r="N635" s="256"/>
      <c r="O635" s="256"/>
      <c r="P635" s="256"/>
      <c r="Q635" s="256"/>
      <c r="R635" s="256"/>
      <c r="S635" s="256"/>
      <c r="T635" s="256"/>
      <c r="U635" s="256"/>
      <c r="V635" s="256"/>
      <c r="W635" s="256"/>
      <c r="X635" s="256"/>
      <c r="Y635" s="256"/>
      <c r="Z635" s="256"/>
      <c r="AA635" s="256"/>
      <c r="AB635" s="256"/>
      <c r="AC635" s="256"/>
      <c r="AD635" s="256"/>
      <c r="AE635" s="256"/>
      <c r="AF635" s="256"/>
      <c r="AG635" s="256"/>
      <c r="AH635" s="256"/>
      <c r="AI635" s="256"/>
      <c r="AJ635" s="256"/>
      <c r="AK635" s="256"/>
      <c r="AL635" s="256"/>
      <c r="AM635" s="256"/>
      <c r="AN635" s="256"/>
      <c r="AO635" s="256"/>
      <c r="AP635" s="256"/>
      <c r="AQ635" s="256"/>
      <c r="AR635" s="256"/>
    </row>
    <row r="636">
      <c r="A636" s="256"/>
      <c r="B636" s="256"/>
      <c r="C636" s="257"/>
      <c r="D636" s="257"/>
      <c r="E636" s="257"/>
      <c r="F636" s="257"/>
      <c r="G636" s="257"/>
      <c r="H636" s="257"/>
      <c r="I636" s="256"/>
      <c r="J636" s="256"/>
      <c r="K636" s="256"/>
      <c r="L636" s="256"/>
      <c r="M636" s="256"/>
      <c r="N636" s="256"/>
      <c r="O636" s="256"/>
      <c r="P636" s="256"/>
      <c r="Q636" s="256"/>
      <c r="R636" s="256"/>
      <c r="S636" s="256"/>
      <c r="T636" s="256"/>
      <c r="U636" s="256"/>
      <c r="V636" s="256"/>
      <c r="W636" s="256"/>
      <c r="X636" s="256"/>
      <c r="Y636" s="256"/>
      <c r="Z636" s="256"/>
      <c r="AA636" s="256"/>
      <c r="AB636" s="256"/>
      <c r="AC636" s="256"/>
      <c r="AD636" s="256"/>
      <c r="AE636" s="256"/>
      <c r="AF636" s="256"/>
      <c r="AG636" s="256"/>
      <c r="AH636" s="256"/>
      <c r="AI636" s="256"/>
      <c r="AJ636" s="256"/>
      <c r="AK636" s="256"/>
      <c r="AL636" s="256"/>
      <c r="AM636" s="256"/>
      <c r="AN636" s="256"/>
      <c r="AO636" s="256"/>
      <c r="AP636" s="256"/>
      <c r="AQ636" s="256"/>
      <c r="AR636" s="256"/>
    </row>
    <row r="637">
      <c r="A637" s="256"/>
      <c r="B637" s="256"/>
      <c r="C637" s="257"/>
      <c r="D637" s="257"/>
      <c r="E637" s="257"/>
      <c r="F637" s="257"/>
      <c r="G637" s="257"/>
      <c r="H637" s="257"/>
      <c r="I637" s="256"/>
      <c r="J637" s="256"/>
      <c r="K637" s="256"/>
      <c r="L637" s="256"/>
      <c r="M637" s="256"/>
      <c r="N637" s="256"/>
      <c r="O637" s="256"/>
      <c r="P637" s="256"/>
      <c r="Q637" s="256"/>
      <c r="R637" s="256"/>
      <c r="S637" s="256"/>
      <c r="T637" s="256"/>
      <c r="U637" s="256"/>
      <c r="V637" s="256"/>
      <c r="W637" s="256"/>
      <c r="X637" s="256"/>
      <c r="Y637" s="256"/>
      <c r="Z637" s="256"/>
      <c r="AA637" s="256"/>
      <c r="AB637" s="256"/>
      <c r="AC637" s="256"/>
      <c r="AD637" s="256"/>
      <c r="AE637" s="256"/>
      <c r="AF637" s="256"/>
      <c r="AG637" s="256"/>
      <c r="AH637" s="256"/>
      <c r="AI637" s="256"/>
      <c r="AJ637" s="256"/>
      <c r="AK637" s="256"/>
      <c r="AL637" s="256"/>
      <c r="AM637" s="256"/>
      <c r="AN637" s="256"/>
      <c r="AO637" s="256"/>
      <c r="AP637" s="256"/>
      <c r="AQ637" s="256"/>
      <c r="AR637" s="256"/>
    </row>
    <row r="638">
      <c r="A638" s="256"/>
      <c r="B638" s="256"/>
      <c r="C638" s="257"/>
      <c r="D638" s="257"/>
      <c r="E638" s="257"/>
      <c r="F638" s="257"/>
      <c r="G638" s="257"/>
      <c r="H638" s="257"/>
      <c r="I638" s="256"/>
      <c r="J638" s="256"/>
      <c r="K638" s="256"/>
      <c r="L638" s="256"/>
      <c r="M638" s="256"/>
      <c r="N638" s="256"/>
      <c r="O638" s="256"/>
      <c r="P638" s="256"/>
      <c r="Q638" s="256"/>
      <c r="R638" s="256"/>
      <c r="S638" s="256"/>
      <c r="T638" s="256"/>
      <c r="U638" s="256"/>
      <c r="V638" s="256"/>
      <c r="W638" s="256"/>
      <c r="X638" s="256"/>
      <c r="Y638" s="256"/>
      <c r="Z638" s="256"/>
      <c r="AA638" s="256"/>
      <c r="AB638" s="256"/>
      <c r="AC638" s="256"/>
      <c r="AD638" s="256"/>
      <c r="AE638" s="256"/>
      <c r="AF638" s="256"/>
      <c r="AG638" s="256"/>
      <c r="AH638" s="256"/>
      <c r="AI638" s="256"/>
      <c r="AJ638" s="256"/>
      <c r="AK638" s="256"/>
      <c r="AL638" s="256"/>
      <c r="AM638" s="256"/>
      <c r="AN638" s="256"/>
      <c r="AO638" s="256"/>
      <c r="AP638" s="256"/>
      <c r="AQ638" s="256"/>
      <c r="AR638" s="256"/>
    </row>
    <row r="639">
      <c r="A639" s="256"/>
      <c r="B639" s="256"/>
      <c r="C639" s="257"/>
      <c r="D639" s="257"/>
      <c r="E639" s="257"/>
      <c r="F639" s="257"/>
      <c r="G639" s="257"/>
      <c r="H639" s="257"/>
      <c r="I639" s="256"/>
      <c r="J639" s="256"/>
      <c r="K639" s="256"/>
      <c r="L639" s="256"/>
      <c r="M639" s="256"/>
      <c r="N639" s="256"/>
      <c r="O639" s="256"/>
      <c r="P639" s="256"/>
      <c r="Q639" s="256"/>
      <c r="R639" s="256"/>
      <c r="S639" s="256"/>
      <c r="T639" s="256"/>
      <c r="U639" s="256"/>
      <c r="V639" s="256"/>
      <c r="W639" s="256"/>
      <c r="X639" s="256"/>
      <c r="Y639" s="256"/>
      <c r="Z639" s="256"/>
      <c r="AA639" s="256"/>
      <c r="AB639" s="256"/>
      <c r="AC639" s="256"/>
      <c r="AD639" s="256"/>
      <c r="AE639" s="256"/>
      <c r="AF639" s="256"/>
      <c r="AG639" s="256"/>
      <c r="AH639" s="256"/>
      <c r="AI639" s="256"/>
      <c r="AJ639" s="256"/>
      <c r="AK639" s="256"/>
      <c r="AL639" s="256"/>
      <c r="AM639" s="256"/>
      <c r="AN639" s="256"/>
      <c r="AO639" s="256"/>
      <c r="AP639" s="256"/>
      <c r="AQ639" s="256"/>
      <c r="AR639" s="256"/>
    </row>
    <row r="640">
      <c r="A640" s="256"/>
      <c r="B640" s="256"/>
      <c r="C640" s="257"/>
      <c r="D640" s="257"/>
      <c r="E640" s="257"/>
      <c r="F640" s="257"/>
      <c r="G640" s="257"/>
      <c r="H640" s="257"/>
      <c r="I640" s="256"/>
      <c r="J640" s="256"/>
      <c r="K640" s="256"/>
      <c r="L640" s="256"/>
      <c r="M640" s="256"/>
      <c r="N640" s="256"/>
      <c r="O640" s="256"/>
      <c r="P640" s="256"/>
      <c r="Q640" s="256"/>
      <c r="R640" s="256"/>
      <c r="S640" s="256"/>
      <c r="T640" s="256"/>
      <c r="U640" s="256"/>
      <c r="V640" s="256"/>
      <c r="W640" s="256"/>
      <c r="X640" s="256"/>
      <c r="Y640" s="256"/>
      <c r="Z640" s="256"/>
      <c r="AA640" s="256"/>
      <c r="AB640" s="256"/>
      <c r="AC640" s="256"/>
      <c r="AD640" s="256"/>
      <c r="AE640" s="256"/>
      <c r="AF640" s="256"/>
      <c r="AG640" s="256"/>
      <c r="AH640" s="256"/>
      <c r="AI640" s="256"/>
      <c r="AJ640" s="256"/>
      <c r="AK640" s="256"/>
      <c r="AL640" s="256"/>
      <c r="AM640" s="256"/>
      <c r="AN640" s="256"/>
      <c r="AO640" s="256"/>
      <c r="AP640" s="256"/>
      <c r="AQ640" s="256"/>
      <c r="AR640" s="256"/>
    </row>
    <row r="641">
      <c r="A641" s="256"/>
      <c r="B641" s="256"/>
      <c r="C641" s="257"/>
      <c r="D641" s="257"/>
      <c r="E641" s="257"/>
      <c r="F641" s="257"/>
      <c r="G641" s="257"/>
      <c r="H641" s="257"/>
      <c r="I641" s="256"/>
      <c r="J641" s="256"/>
      <c r="K641" s="256"/>
      <c r="L641" s="256"/>
      <c r="M641" s="256"/>
      <c r="N641" s="256"/>
      <c r="O641" s="256"/>
      <c r="P641" s="256"/>
      <c r="Q641" s="256"/>
      <c r="R641" s="256"/>
      <c r="S641" s="256"/>
      <c r="T641" s="256"/>
      <c r="U641" s="256"/>
      <c r="V641" s="256"/>
      <c r="W641" s="256"/>
      <c r="X641" s="256"/>
      <c r="Y641" s="256"/>
      <c r="Z641" s="256"/>
      <c r="AA641" s="256"/>
      <c r="AB641" s="256"/>
      <c r="AC641" s="256"/>
      <c r="AD641" s="256"/>
      <c r="AE641" s="256"/>
      <c r="AF641" s="256"/>
      <c r="AG641" s="256"/>
      <c r="AH641" s="256"/>
      <c r="AI641" s="256"/>
      <c r="AJ641" s="256"/>
      <c r="AK641" s="256"/>
      <c r="AL641" s="256"/>
      <c r="AM641" s="256"/>
      <c r="AN641" s="256"/>
      <c r="AO641" s="256"/>
      <c r="AP641" s="256"/>
      <c r="AQ641" s="256"/>
      <c r="AR641" s="256"/>
    </row>
    <row r="642">
      <c r="A642" s="256"/>
      <c r="B642" s="256"/>
      <c r="C642" s="257"/>
      <c r="D642" s="257"/>
      <c r="E642" s="257"/>
      <c r="F642" s="257"/>
      <c r="G642" s="257"/>
      <c r="H642" s="257"/>
      <c r="I642" s="256"/>
      <c r="J642" s="256"/>
      <c r="K642" s="256"/>
      <c r="L642" s="256"/>
      <c r="M642" s="256"/>
      <c r="N642" s="256"/>
      <c r="O642" s="256"/>
      <c r="P642" s="256"/>
      <c r="Q642" s="256"/>
      <c r="R642" s="256"/>
      <c r="S642" s="256"/>
      <c r="T642" s="256"/>
      <c r="U642" s="256"/>
      <c r="V642" s="256"/>
      <c r="W642" s="256"/>
      <c r="X642" s="256"/>
      <c r="Y642" s="256"/>
      <c r="Z642" s="256"/>
      <c r="AA642" s="256"/>
      <c r="AB642" s="256"/>
      <c r="AC642" s="256"/>
      <c r="AD642" s="256"/>
      <c r="AE642" s="256"/>
      <c r="AF642" s="256"/>
      <c r="AG642" s="256"/>
      <c r="AH642" s="256"/>
      <c r="AI642" s="256"/>
      <c r="AJ642" s="256"/>
      <c r="AK642" s="256"/>
      <c r="AL642" s="256"/>
      <c r="AM642" s="256"/>
      <c r="AN642" s="256"/>
      <c r="AO642" s="256"/>
      <c r="AP642" s="256"/>
      <c r="AQ642" s="256"/>
      <c r="AR642" s="256"/>
    </row>
    <row r="643">
      <c r="A643" s="256"/>
      <c r="B643" s="256"/>
      <c r="C643" s="257"/>
      <c r="D643" s="257"/>
      <c r="E643" s="257"/>
      <c r="F643" s="257"/>
      <c r="G643" s="257"/>
      <c r="H643" s="257"/>
      <c r="I643" s="256"/>
      <c r="J643" s="256"/>
      <c r="K643" s="256"/>
      <c r="L643" s="256"/>
      <c r="M643" s="256"/>
      <c r="N643" s="256"/>
      <c r="O643" s="256"/>
      <c r="P643" s="256"/>
      <c r="Q643" s="256"/>
      <c r="R643" s="256"/>
      <c r="S643" s="256"/>
      <c r="T643" s="256"/>
      <c r="U643" s="256"/>
      <c r="V643" s="256"/>
      <c r="W643" s="256"/>
      <c r="X643" s="256"/>
      <c r="Y643" s="256"/>
      <c r="Z643" s="256"/>
      <c r="AA643" s="256"/>
      <c r="AB643" s="256"/>
      <c r="AC643" s="256"/>
      <c r="AD643" s="256"/>
      <c r="AE643" s="256"/>
      <c r="AF643" s="256"/>
      <c r="AG643" s="256"/>
      <c r="AH643" s="256"/>
      <c r="AI643" s="256"/>
      <c r="AJ643" s="256"/>
      <c r="AK643" s="256"/>
      <c r="AL643" s="256"/>
      <c r="AM643" s="256"/>
      <c r="AN643" s="256"/>
      <c r="AO643" s="256"/>
      <c r="AP643" s="256"/>
      <c r="AQ643" s="256"/>
      <c r="AR643" s="256"/>
    </row>
    <row r="644">
      <c r="A644" s="256"/>
      <c r="B644" s="256"/>
      <c r="C644" s="257"/>
      <c r="D644" s="257"/>
      <c r="E644" s="257"/>
      <c r="F644" s="257"/>
      <c r="G644" s="257"/>
      <c r="H644" s="257"/>
      <c r="I644" s="256"/>
      <c r="J644" s="256"/>
      <c r="K644" s="256"/>
      <c r="L644" s="256"/>
      <c r="M644" s="256"/>
      <c r="N644" s="256"/>
      <c r="O644" s="256"/>
      <c r="P644" s="256"/>
      <c r="Q644" s="256"/>
      <c r="R644" s="256"/>
      <c r="S644" s="256"/>
      <c r="T644" s="256"/>
      <c r="U644" s="256"/>
      <c r="V644" s="256"/>
      <c r="W644" s="256"/>
      <c r="X644" s="256"/>
      <c r="Y644" s="256"/>
      <c r="Z644" s="256"/>
      <c r="AA644" s="256"/>
      <c r="AB644" s="256"/>
      <c r="AC644" s="256"/>
      <c r="AD644" s="256"/>
      <c r="AE644" s="256"/>
      <c r="AF644" s="256"/>
      <c r="AG644" s="256"/>
      <c r="AH644" s="256"/>
      <c r="AI644" s="256"/>
      <c r="AJ644" s="256"/>
      <c r="AK644" s="256"/>
      <c r="AL644" s="256"/>
      <c r="AM644" s="256"/>
      <c r="AN644" s="256"/>
      <c r="AO644" s="256"/>
      <c r="AP644" s="256"/>
      <c r="AQ644" s="256"/>
      <c r="AR644" s="256"/>
    </row>
    <row r="645">
      <c r="A645" s="256"/>
      <c r="B645" s="256"/>
      <c r="C645" s="257"/>
      <c r="D645" s="257"/>
      <c r="E645" s="257"/>
      <c r="F645" s="257"/>
      <c r="G645" s="257"/>
      <c r="H645" s="257"/>
      <c r="I645" s="256"/>
      <c r="J645" s="256"/>
      <c r="K645" s="256"/>
      <c r="L645" s="256"/>
      <c r="M645" s="256"/>
      <c r="N645" s="256"/>
      <c r="O645" s="256"/>
      <c r="P645" s="256"/>
      <c r="Q645" s="256"/>
      <c r="R645" s="256"/>
      <c r="S645" s="256"/>
      <c r="T645" s="256"/>
      <c r="U645" s="256"/>
      <c r="V645" s="256"/>
      <c r="W645" s="256"/>
      <c r="X645" s="256"/>
      <c r="Y645" s="256"/>
      <c r="Z645" s="256"/>
      <c r="AA645" s="256"/>
      <c r="AB645" s="256"/>
      <c r="AC645" s="256"/>
      <c r="AD645" s="256"/>
      <c r="AE645" s="256"/>
      <c r="AF645" s="256"/>
      <c r="AG645" s="256"/>
      <c r="AH645" s="256"/>
      <c r="AI645" s="256"/>
      <c r="AJ645" s="256"/>
      <c r="AK645" s="256"/>
      <c r="AL645" s="256"/>
      <c r="AM645" s="256"/>
      <c r="AN645" s="256"/>
      <c r="AO645" s="256"/>
      <c r="AP645" s="256"/>
      <c r="AQ645" s="256"/>
      <c r="AR645" s="256"/>
    </row>
    <row r="646">
      <c r="A646" s="256"/>
      <c r="B646" s="256"/>
      <c r="C646" s="257"/>
      <c r="D646" s="257"/>
      <c r="E646" s="257"/>
      <c r="F646" s="257"/>
      <c r="G646" s="257"/>
      <c r="H646" s="257"/>
      <c r="I646" s="256"/>
      <c r="J646" s="256"/>
      <c r="K646" s="256"/>
      <c r="L646" s="256"/>
      <c r="M646" s="256"/>
      <c r="N646" s="256"/>
      <c r="O646" s="256"/>
      <c r="P646" s="256"/>
      <c r="Q646" s="256"/>
      <c r="R646" s="256"/>
      <c r="S646" s="256"/>
      <c r="T646" s="256"/>
      <c r="U646" s="256"/>
      <c r="V646" s="256"/>
      <c r="W646" s="256"/>
      <c r="X646" s="256"/>
      <c r="Y646" s="256"/>
      <c r="Z646" s="256"/>
      <c r="AA646" s="256"/>
      <c r="AB646" s="256"/>
      <c r="AC646" s="256"/>
      <c r="AD646" s="256"/>
      <c r="AE646" s="256"/>
      <c r="AF646" s="256"/>
      <c r="AG646" s="256"/>
      <c r="AH646" s="256"/>
      <c r="AI646" s="256"/>
      <c r="AJ646" s="256"/>
      <c r="AK646" s="256"/>
      <c r="AL646" s="256"/>
      <c r="AM646" s="256"/>
      <c r="AN646" s="256"/>
      <c r="AO646" s="256"/>
      <c r="AP646" s="256"/>
      <c r="AQ646" s="256"/>
      <c r="AR646" s="256"/>
    </row>
    <row r="647">
      <c r="A647" s="256"/>
      <c r="B647" s="256"/>
      <c r="C647" s="257"/>
      <c r="D647" s="257"/>
      <c r="E647" s="257"/>
      <c r="F647" s="257"/>
      <c r="G647" s="257"/>
      <c r="H647" s="257"/>
      <c r="I647" s="256"/>
      <c r="J647" s="256"/>
      <c r="K647" s="256"/>
      <c r="L647" s="256"/>
      <c r="M647" s="256"/>
      <c r="N647" s="256"/>
      <c r="O647" s="256"/>
      <c r="P647" s="256"/>
      <c r="Q647" s="256"/>
      <c r="R647" s="256"/>
      <c r="S647" s="256"/>
      <c r="T647" s="256"/>
      <c r="U647" s="256"/>
      <c r="V647" s="256"/>
      <c r="W647" s="256"/>
      <c r="X647" s="256"/>
      <c r="Y647" s="256"/>
      <c r="Z647" s="256"/>
      <c r="AA647" s="256"/>
      <c r="AB647" s="256"/>
      <c r="AC647" s="256"/>
      <c r="AD647" s="256"/>
      <c r="AE647" s="256"/>
      <c r="AF647" s="256"/>
      <c r="AG647" s="256"/>
      <c r="AH647" s="256"/>
      <c r="AI647" s="256"/>
      <c r="AJ647" s="256"/>
      <c r="AK647" s="256"/>
      <c r="AL647" s="256"/>
      <c r="AM647" s="256"/>
      <c r="AN647" s="256"/>
      <c r="AO647" s="256"/>
      <c r="AP647" s="256"/>
      <c r="AQ647" s="256"/>
      <c r="AR647" s="256"/>
    </row>
    <row r="648">
      <c r="A648" s="256"/>
      <c r="B648" s="256"/>
      <c r="C648" s="257"/>
      <c r="D648" s="257"/>
      <c r="E648" s="257"/>
      <c r="F648" s="257"/>
      <c r="G648" s="257"/>
      <c r="H648" s="257"/>
      <c r="I648" s="256"/>
      <c r="J648" s="256"/>
      <c r="K648" s="256"/>
      <c r="L648" s="256"/>
      <c r="M648" s="256"/>
      <c r="N648" s="256"/>
      <c r="O648" s="256"/>
      <c r="P648" s="256"/>
      <c r="Q648" s="256"/>
      <c r="R648" s="256"/>
      <c r="S648" s="256"/>
      <c r="T648" s="256"/>
      <c r="U648" s="256"/>
      <c r="V648" s="256"/>
      <c r="W648" s="256"/>
      <c r="X648" s="256"/>
      <c r="Y648" s="256"/>
      <c r="Z648" s="256"/>
      <c r="AA648" s="256"/>
      <c r="AB648" s="256"/>
      <c r="AC648" s="256"/>
      <c r="AD648" s="256"/>
      <c r="AE648" s="256"/>
      <c r="AF648" s="256"/>
      <c r="AG648" s="256"/>
      <c r="AH648" s="256"/>
      <c r="AI648" s="256"/>
      <c r="AJ648" s="256"/>
      <c r="AK648" s="256"/>
      <c r="AL648" s="256"/>
      <c r="AM648" s="256"/>
      <c r="AN648" s="256"/>
      <c r="AO648" s="256"/>
      <c r="AP648" s="256"/>
      <c r="AQ648" s="256"/>
      <c r="AR648" s="256"/>
    </row>
    <row r="649">
      <c r="A649" s="256"/>
      <c r="B649" s="256"/>
      <c r="C649" s="257"/>
      <c r="D649" s="257"/>
      <c r="E649" s="257"/>
      <c r="F649" s="257"/>
      <c r="G649" s="257"/>
      <c r="H649" s="257"/>
      <c r="I649" s="256"/>
      <c r="J649" s="256"/>
      <c r="K649" s="256"/>
      <c r="L649" s="256"/>
      <c r="M649" s="256"/>
      <c r="N649" s="256"/>
      <c r="O649" s="256"/>
      <c r="P649" s="256"/>
      <c r="Q649" s="256"/>
      <c r="R649" s="256"/>
      <c r="S649" s="256"/>
      <c r="T649" s="256"/>
      <c r="U649" s="256"/>
      <c r="V649" s="256"/>
      <c r="W649" s="256"/>
      <c r="X649" s="256"/>
      <c r="Y649" s="256"/>
      <c r="Z649" s="256"/>
      <c r="AA649" s="256"/>
      <c r="AB649" s="256"/>
      <c r="AC649" s="256"/>
      <c r="AD649" s="256"/>
      <c r="AE649" s="256"/>
      <c r="AF649" s="256"/>
      <c r="AG649" s="256"/>
      <c r="AH649" s="256"/>
      <c r="AI649" s="256"/>
      <c r="AJ649" s="256"/>
      <c r="AK649" s="256"/>
      <c r="AL649" s="256"/>
      <c r="AM649" s="256"/>
      <c r="AN649" s="256"/>
      <c r="AO649" s="256"/>
      <c r="AP649" s="256"/>
      <c r="AQ649" s="256"/>
      <c r="AR649" s="256"/>
    </row>
    <row r="650">
      <c r="A650" s="256"/>
      <c r="B650" s="256"/>
      <c r="C650" s="257"/>
      <c r="D650" s="257"/>
      <c r="E650" s="257"/>
      <c r="F650" s="257"/>
      <c r="G650" s="257"/>
      <c r="H650" s="257"/>
      <c r="I650" s="256"/>
      <c r="J650" s="256"/>
      <c r="K650" s="256"/>
      <c r="L650" s="256"/>
      <c r="M650" s="256"/>
      <c r="N650" s="256"/>
      <c r="O650" s="256"/>
      <c r="P650" s="256"/>
      <c r="Q650" s="256"/>
      <c r="R650" s="256"/>
      <c r="S650" s="256"/>
      <c r="T650" s="256"/>
      <c r="U650" s="256"/>
      <c r="V650" s="256"/>
      <c r="W650" s="256"/>
      <c r="X650" s="256"/>
      <c r="Y650" s="256"/>
      <c r="Z650" s="256"/>
      <c r="AA650" s="256"/>
      <c r="AB650" s="256"/>
      <c r="AC650" s="256"/>
      <c r="AD650" s="256"/>
      <c r="AE650" s="256"/>
      <c r="AF650" s="256"/>
      <c r="AG650" s="256"/>
      <c r="AH650" s="256"/>
      <c r="AI650" s="256"/>
      <c r="AJ650" s="256"/>
      <c r="AK650" s="256"/>
      <c r="AL650" s="256"/>
      <c r="AM650" s="256"/>
      <c r="AN650" s="256"/>
      <c r="AO650" s="256"/>
      <c r="AP650" s="256"/>
      <c r="AQ650" s="256"/>
      <c r="AR650" s="256"/>
    </row>
    <row r="651">
      <c r="A651" s="256"/>
      <c r="B651" s="256"/>
      <c r="C651" s="257"/>
      <c r="D651" s="257"/>
      <c r="E651" s="257"/>
      <c r="F651" s="257"/>
      <c r="G651" s="257"/>
      <c r="H651" s="257"/>
      <c r="I651" s="256"/>
      <c r="J651" s="256"/>
      <c r="K651" s="256"/>
      <c r="L651" s="256"/>
      <c r="M651" s="256"/>
      <c r="N651" s="256"/>
      <c r="O651" s="256"/>
      <c r="P651" s="256"/>
      <c r="Q651" s="256"/>
      <c r="R651" s="256"/>
      <c r="S651" s="256"/>
      <c r="T651" s="256"/>
      <c r="U651" s="256"/>
      <c r="V651" s="256"/>
      <c r="W651" s="256"/>
      <c r="X651" s="256"/>
      <c r="Y651" s="256"/>
      <c r="Z651" s="256"/>
      <c r="AA651" s="256"/>
      <c r="AB651" s="256"/>
      <c r="AC651" s="256"/>
      <c r="AD651" s="256"/>
      <c r="AE651" s="256"/>
      <c r="AF651" s="256"/>
      <c r="AG651" s="256"/>
      <c r="AH651" s="256"/>
      <c r="AI651" s="256"/>
      <c r="AJ651" s="256"/>
      <c r="AK651" s="256"/>
      <c r="AL651" s="256"/>
      <c r="AM651" s="256"/>
      <c r="AN651" s="256"/>
      <c r="AO651" s="256"/>
      <c r="AP651" s="256"/>
      <c r="AQ651" s="256"/>
      <c r="AR651" s="256"/>
    </row>
    <row r="652">
      <c r="A652" s="256"/>
      <c r="B652" s="256"/>
      <c r="C652" s="257"/>
      <c r="D652" s="257"/>
      <c r="E652" s="257"/>
      <c r="F652" s="257"/>
      <c r="G652" s="257"/>
      <c r="H652" s="257"/>
      <c r="I652" s="256"/>
      <c r="J652" s="256"/>
      <c r="K652" s="256"/>
      <c r="L652" s="256"/>
      <c r="M652" s="256"/>
      <c r="N652" s="256"/>
      <c r="O652" s="256"/>
      <c r="P652" s="256"/>
      <c r="Q652" s="256"/>
      <c r="R652" s="256"/>
      <c r="S652" s="256"/>
      <c r="T652" s="256"/>
      <c r="U652" s="256"/>
      <c r="V652" s="256"/>
      <c r="W652" s="256"/>
      <c r="X652" s="256"/>
      <c r="Y652" s="256"/>
      <c r="Z652" s="256"/>
      <c r="AA652" s="256"/>
      <c r="AB652" s="256"/>
      <c r="AC652" s="256"/>
      <c r="AD652" s="256"/>
      <c r="AE652" s="256"/>
      <c r="AF652" s="256"/>
      <c r="AG652" s="256"/>
      <c r="AH652" s="256"/>
      <c r="AI652" s="256"/>
      <c r="AJ652" s="256"/>
      <c r="AK652" s="256"/>
      <c r="AL652" s="256"/>
      <c r="AM652" s="256"/>
      <c r="AN652" s="256"/>
      <c r="AO652" s="256"/>
      <c r="AP652" s="256"/>
      <c r="AQ652" s="256"/>
      <c r="AR652" s="256"/>
    </row>
    <row r="653">
      <c r="A653" s="256"/>
      <c r="B653" s="256"/>
      <c r="C653" s="257"/>
      <c r="D653" s="257"/>
      <c r="E653" s="257"/>
      <c r="F653" s="257"/>
      <c r="G653" s="257"/>
      <c r="H653" s="257"/>
      <c r="I653" s="256"/>
      <c r="J653" s="256"/>
      <c r="K653" s="256"/>
      <c r="L653" s="256"/>
      <c r="M653" s="256"/>
      <c r="N653" s="256"/>
      <c r="O653" s="256"/>
      <c r="P653" s="256"/>
      <c r="Q653" s="256"/>
      <c r="R653" s="256"/>
      <c r="S653" s="256"/>
      <c r="T653" s="256"/>
      <c r="U653" s="256"/>
      <c r="V653" s="256"/>
      <c r="W653" s="256"/>
      <c r="X653" s="256"/>
      <c r="Y653" s="256"/>
      <c r="Z653" s="256"/>
      <c r="AA653" s="256"/>
      <c r="AB653" s="256"/>
      <c r="AC653" s="256"/>
      <c r="AD653" s="256"/>
      <c r="AE653" s="256"/>
      <c r="AF653" s="256"/>
      <c r="AG653" s="256"/>
      <c r="AH653" s="256"/>
      <c r="AI653" s="256"/>
      <c r="AJ653" s="256"/>
      <c r="AK653" s="256"/>
      <c r="AL653" s="256"/>
      <c r="AM653" s="256"/>
      <c r="AN653" s="256"/>
      <c r="AO653" s="256"/>
      <c r="AP653" s="256"/>
      <c r="AQ653" s="256"/>
      <c r="AR653" s="256"/>
    </row>
    <row r="654">
      <c r="A654" s="256"/>
      <c r="B654" s="256"/>
      <c r="C654" s="257"/>
      <c r="D654" s="257"/>
      <c r="E654" s="257"/>
      <c r="F654" s="257"/>
      <c r="G654" s="257"/>
      <c r="H654" s="257"/>
      <c r="I654" s="256"/>
      <c r="J654" s="256"/>
      <c r="K654" s="256"/>
      <c r="L654" s="256"/>
      <c r="M654" s="256"/>
      <c r="N654" s="256"/>
      <c r="O654" s="256"/>
      <c r="P654" s="256"/>
      <c r="Q654" s="256"/>
      <c r="R654" s="256"/>
      <c r="S654" s="256"/>
      <c r="T654" s="256"/>
      <c r="U654" s="256"/>
      <c r="V654" s="256"/>
      <c r="W654" s="256"/>
      <c r="X654" s="256"/>
      <c r="Y654" s="256"/>
      <c r="Z654" s="256"/>
      <c r="AA654" s="256"/>
      <c r="AB654" s="256"/>
      <c r="AC654" s="256"/>
      <c r="AD654" s="256"/>
      <c r="AE654" s="256"/>
      <c r="AF654" s="256"/>
      <c r="AG654" s="256"/>
      <c r="AH654" s="256"/>
      <c r="AI654" s="256"/>
      <c r="AJ654" s="256"/>
      <c r="AK654" s="256"/>
      <c r="AL654" s="256"/>
      <c r="AM654" s="256"/>
      <c r="AN654" s="256"/>
      <c r="AO654" s="256"/>
      <c r="AP654" s="256"/>
      <c r="AQ654" s="256"/>
      <c r="AR654" s="256"/>
    </row>
    <row r="655">
      <c r="A655" s="256"/>
      <c r="B655" s="256"/>
      <c r="C655" s="257"/>
      <c r="D655" s="257"/>
      <c r="E655" s="257"/>
      <c r="F655" s="257"/>
      <c r="G655" s="257"/>
      <c r="H655" s="257"/>
      <c r="I655" s="256"/>
      <c r="J655" s="256"/>
      <c r="K655" s="256"/>
      <c r="L655" s="256"/>
      <c r="M655" s="256"/>
      <c r="N655" s="256"/>
      <c r="O655" s="256"/>
      <c r="P655" s="256"/>
      <c r="Q655" s="256"/>
      <c r="R655" s="256"/>
      <c r="S655" s="256"/>
      <c r="T655" s="256"/>
      <c r="U655" s="256"/>
      <c r="V655" s="256"/>
      <c r="W655" s="256"/>
      <c r="X655" s="256"/>
      <c r="Y655" s="256"/>
      <c r="Z655" s="256"/>
      <c r="AA655" s="256"/>
      <c r="AB655" s="256"/>
      <c r="AC655" s="256"/>
      <c r="AD655" s="256"/>
      <c r="AE655" s="256"/>
      <c r="AF655" s="256"/>
      <c r="AG655" s="256"/>
      <c r="AH655" s="256"/>
      <c r="AI655" s="256"/>
      <c r="AJ655" s="256"/>
      <c r="AK655" s="256"/>
      <c r="AL655" s="256"/>
      <c r="AM655" s="256"/>
      <c r="AN655" s="256"/>
      <c r="AO655" s="256"/>
      <c r="AP655" s="256"/>
      <c r="AQ655" s="256"/>
      <c r="AR655" s="256"/>
    </row>
    <row r="656">
      <c r="A656" s="256"/>
      <c r="B656" s="256"/>
      <c r="C656" s="257"/>
      <c r="D656" s="257"/>
      <c r="E656" s="257"/>
      <c r="F656" s="257"/>
      <c r="G656" s="257"/>
      <c r="H656" s="257"/>
      <c r="I656" s="256"/>
      <c r="J656" s="256"/>
      <c r="K656" s="256"/>
      <c r="L656" s="256"/>
      <c r="M656" s="256"/>
      <c r="N656" s="256"/>
      <c r="O656" s="256"/>
      <c r="P656" s="256"/>
      <c r="Q656" s="256"/>
      <c r="R656" s="256"/>
      <c r="S656" s="256"/>
      <c r="T656" s="256"/>
      <c r="U656" s="256"/>
      <c r="V656" s="256"/>
      <c r="W656" s="256"/>
      <c r="X656" s="256"/>
      <c r="Y656" s="256"/>
      <c r="Z656" s="256"/>
      <c r="AA656" s="256"/>
      <c r="AB656" s="256"/>
      <c r="AC656" s="256"/>
      <c r="AD656" s="256"/>
      <c r="AE656" s="256"/>
      <c r="AF656" s="256"/>
      <c r="AG656" s="256"/>
      <c r="AH656" s="256"/>
      <c r="AI656" s="256"/>
      <c r="AJ656" s="256"/>
      <c r="AK656" s="256"/>
      <c r="AL656" s="256"/>
      <c r="AM656" s="256"/>
      <c r="AN656" s="256"/>
      <c r="AO656" s="256"/>
      <c r="AP656" s="256"/>
      <c r="AQ656" s="256"/>
      <c r="AR656" s="256"/>
    </row>
    <row r="657">
      <c r="A657" s="256"/>
      <c r="B657" s="256"/>
      <c r="C657" s="257"/>
      <c r="D657" s="257"/>
      <c r="E657" s="257"/>
      <c r="F657" s="257"/>
      <c r="G657" s="257"/>
      <c r="H657" s="257"/>
      <c r="I657" s="256"/>
      <c r="J657" s="256"/>
      <c r="K657" s="256"/>
      <c r="L657" s="256"/>
      <c r="M657" s="256"/>
      <c r="N657" s="256"/>
      <c r="O657" s="256"/>
      <c r="P657" s="256"/>
      <c r="Q657" s="256"/>
      <c r="R657" s="256"/>
      <c r="S657" s="256"/>
      <c r="T657" s="256"/>
      <c r="U657" s="256"/>
      <c r="V657" s="256"/>
      <c r="W657" s="256"/>
      <c r="X657" s="256"/>
      <c r="Y657" s="256"/>
      <c r="Z657" s="256"/>
      <c r="AA657" s="256"/>
      <c r="AB657" s="256"/>
      <c r="AC657" s="256"/>
      <c r="AD657" s="256"/>
      <c r="AE657" s="256"/>
      <c r="AF657" s="256"/>
      <c r="AG657" s="256"/>
      <c r="AH657" s="256"/>
      <c r="AI657" s="256"/>
      <c r="AJ657" s="256"/>
      <c r="AK657" s="256"/>
      <c r="AL657" s="256"/>
      <c r="AM657" s="256"/>
      <c r="AN657" s="256"/>
      <c r="AO657" s="256"/>
      <c r="AP657" s="256"/>
      <c r="AQ657" s="256"/>
      <c r="AR657" s="256"/>
    </row>
    <row r="658">
      <c r="A658" s="256"/>
      <c r="B658" s="256"/>
      <c r="C658" s="257"/>
      <c r="D658" s="257"/>
      <c r="E658" s="257"/>
      <c r="F658" s="257"/>
      <c r="G658" s="257"/>
      <c r="H658" s="257"/>
      <c r="I658" s="256"/>
      <c r="J658" s="256"/>
      <c r="K658" s="256"/>
      <c r="L658" s="256"/>
      <c r="M658" s="256"/>
      <c r="N658" s="256"/>
      <c r="O658" s="256"/>
      <c r="P658" s="256"/>
      <c r="Q658" s="256"/>
      <c r="R658" s="256"/>
      <c r="S658" s="256"/>
      <c r="T658" s="256"/>
      <c r="U658" s="256"/>
      <c r="V658" s="256"/>
      <c r="W658" s="256"/>
      <c r="X658" s="256"/>
      <c r="Y658" s="256"/>
      <c r="Z658" s="256"/>
      <c r="AA658" s="256"/>
      <c r="AB658" s="256"/>
      <c r="AC658" s="256"/>
      <c r="AD658" s="256"/>
      <c r="AE658" s="256"/>
      <c r="AF658" s="256"/>
      <c r="AG658" s="256"/>
      <c r="AH658" s="256"/>
      <c r="AI658" s="256"/>
      <c r="AJ658" s="256"/>
      <c r="AK658" s="256"/>
      <c r="AL658" s="256"/>
      <c r="AM658" s="256"/>
      <c r="AN658" s="256"/>
      <c r="AO658" s="256"/>
      <c r="AP658" s="256"/>
      <c r="AQ658" s="256"/>
      <c r="AR658" s="256"/>
    </row>
    <row r="659">
      <c r="A659" s="256"/>
      <c r="B659" s="256"/>
      <c r="C659" s="257"/>
      <c r="D659" s="257"/>
      <c r="E659" s="257"/>
      <c r="F659" s="257"/>
      <c r="G659" s="257"/>
      <c r="H659" s="257"/>
      <c r="I659" s="256"/>
      <c r="J659" s="256"/>
      <c r="K659" s="256"/>
      <c r="L659" s="256"/>
      <c r="M659" s="256"/>
      <c r="N659" s="256"/>
      <c r="O659" s="256"/>
      <c r="P659" s="256"/>
      <c r="Q659" s="256"/>
      <c r="R659" s="256"/>
      <c r="S659" s="256"/>
      <c r="T659" s="256"/>
      <c r="U659" s="256"/>
      <c r="V659" s="256"/>
      <c r="W659" s="256"/>
      <c r="X659" s="256"/>
      <c r="Y659" s="256"/>
      <c r="Z659" s="256"/>
      <c r="AA659" s="256"/>
      <c r="AB659" s="256"/>
      <c r="AC659" s="256"/>
      <c r="AD659" s="256"/>
      <c r="AE659" s="256"/>
      <c r="AF659" s="256"/>
      <c r="AG659" s="256"/>
      <c r="AH659" s="256"/>
      <c r="AI659" s="256"/>
      <c r="AJ659" s="256"/>
      <c r="AK659" s="256"/>
      <c r="AL659" s="256"/>
      <c r="AM659" s="256"/>
      <c r="AN659" s="256"/>
      <c r="AO659" s="256"/>
      <c r="AP659" s="256"/>
      <c r="AQ659" s="256"/>
      <c r="AR659" s="256"/>
    </row>
    <row r="660">
      <c r="A660" s="256"/>
      <c r="B660" s="256"/>
      <c r="C660" s="257"/>
      <c r="D660" s="257"/>
      <c r="E660" s="257"/>
      <c r="F660" s="257"/>
      <c r="G660" s="257"/>
      <c r="H660" s="257"/>
      <c r="I660" s="256"/>
      <c r="J660" s="256"/>
      <c r="K660" s="256"/>
      <c r="L660" s="256"/>
      <c r="M660" s="256"/>
      <c r="N660" s="256"/>
      <c r="O660" s="256"/>
      <c r="P660" s="256"/>
      <c r="Q660" s="256"/>
      <c r="R660" s="256"/>
      <c r="S660" s="256"/>
      <c r="T660" s="256"/>
      <c r="U660" s="256"/>
      <c r="V660" s="256"/>
      <c r="W660" s="256"/>
      <c r="X660" s="256"/>
      <c r="Y660" s="256"/>
      <c r="Z660" s="256"/>
      <c r="AA660" s="256"/>
      <c r="AB660" s="256"/>
      <c r="AC660" s="256"/>
      <c r="AD660" s="256"/>
      <c r="AE660" s="256"/>
      <c r="AF660" s="256"/>
      <c r="AG660" s="256"/>
      <c r="AH660" s="256"/>
      <c r="AI660" s="256"/>
      <c r="AJ660" s="256"/>
      <c r="AK660" s="256"/>
      <c r="AL660" s="256"/>
      <c r="AM660" s="256"/>
      <c r="AN660" s="256"/>
      <c r="AO660" s="256"/>
      <c r="AP660" s="256"/>
      <c r="AQ660" s="256"/>
      <c r="AR660" s="256"/>
    </row>
    <row r="661">
      <c r="A661" s="256"/>
      <c r="B661" s="256"/>
      <c r="C661" s="257"/>
      <c r="D661" s="257"/>
      <c r="E661" s="257"/>
      <c r="F661" s="257"/>
      <c r="G661" s="257"/>
      <c r="H661" s="257"/>
      <c r="I661" s="256"/>
      <c r="J661" s="256"/>
      <c r="K661" s="256"/>
      <c r="L661" s="256"/>
      <c r="M661" s="256"/>
      <c r="N661" s="256"/>
      <c r="O661" s="256"/>
      <c r="P661" s="256"/>
      <c r="Q661" s="256"/>
      <c r="R661" s="256"/>
      <c r="S661" s="256"/>
      <c r="T661" s="256"/>
      <c r="U661" s="256"/>
      <c r="V661" s="256"/>
      <c r="W661" s="256"/>
      <c r="X661" s="256"/>
      <c r="Y661" s="256"/>
      <c r="Z661" s="256"/>
      <c r="AA661" s="256"/>
      <c r="AB661" s="256"/>
      <c r="AC661" s="256"/>
      <c r="AD661" s="256"/>
      <c r="AE661" s="256"/>
      <c r="AF661" s="256"/>
      <c r="AG661" s="256"/>
      <c r="AH661" s="256"/>
      <c r="AI661" s="256"/>
      <c r="AJ661" s="256"/>
      <c r="AK661" s="256"/>
      <c r="AL661" s="256"/>
      <c r="AM661" s="256"/>
      <c r="AN661" s="256"/>
      <c r="AO661" s="256"/>
      <c r="AP661" s="256"/>
      <c r="AQ661" s="256"/>
      <c r="AR661" s="256"/>
    </row>
    <row r="662">
      <c r="A662" s="256"/>
      <c r="B662" s="256"/>
      <c r="C662" s="257"/>
      <c r="D662" s="257"/>
      <c r="E662" s="257"/>
      <c r="F662" s="257"/>
      <c r="G662" s="257"/>
      <c r="H662" s="257"/>
      <c r="I662" s="256"/>
      <c r="J662" s="256"/>
      <c r="K662" s="256"/>
      <c r="L662" s="256"/>
      <c r="M662" s="256"/>
      <c r="N662" s="256"/>
      <c r="O662" s="256"/>
      <c r="P662" s="256"/>
      <c r="Q662" s="256"/>
      <c r="R662" s="256"/>
      <c r="S662" s="256"/>
      <c r="T662" s="256"/>
      <c r="U662" s="256"/>
      <c r="V662" s="256"/>
      <c r="W662" s="256"/>
      <c r="X662" s="256"/>
      <c r="Y662" s="256"/>
      <c r="Z662" s="256"/>
      <c r="AA662" s="256"/>
      <c r="AB662" s="256"/>
      <c r="AC662" s="256"/>
      <c r="AD662" s="256"/>
      <c r="AE662" s="256"/>
      <c r="AF662" s="256"/>
      <c r="AG662" s="256"/>
      <c r="AH662" s="256"/>
      <c r="AI662" s="256"/>
      <c r="AJ662" s="256"/>
      <c r="AK662" s="256"/>
      <c r="AL662" s="256"/>
      <c r="AM662" s="256"/>
      <c r="AN662" s="256"/>
      <c r="AO662" s="256"/>
      <c r="AP662" s="256"/>
      <c r="AQ662" s="256"/>
      <c r="AR662" s="256"/>
    </row>
    <row r="663">
      <c r="A663" s="256"/>
      <c r="B663" s="256"/>
      <c r="C663" s="257"/>
      <c r="D663" s="257"/>
      <c r="E663" s="257"/>
      <c r="F663" s="257"/>
      <c r="G663" s="257"/>
      <c r="H663" s="257"/>
      <c r="I663" s="256"/>
      <c r="J663" s="256"/>
      <c r="K663" s="256"/>
      <c r="L663" s="256"/>
      <c r="M663" s="256"/>
      <c r="N663" s="256"/>
      <c r="O663" s="256"/>
      <c r="P663" s="256"/>
      <c r="Q663" s="256"/>
      <c r="R663" s="256"/>
      <c r="S663" s="256"/>
      <c r="T663" s="256"/>
      <c r="U663" s="256"/>
      <c r="V663" s="256"/>
      <c r="W663" s="256"/>
      <c r="X663" s="256"/>
      <c r="Y663" s="256"/>
      <c r="Z663" s="256"/>
      <c r="AA663" s="256"/>
      <c r="AB663" s="256"/>
      <c r="AC663" s="256"/>
      <c r="AD663" s="256"/>
      <c r="AE663" s="256"/>
      <c r="AF663" s="256"/>
      <c r="AG663" s="256"/>
      <c r="AH663" s="256"/>
      <c r="AI663" s="256"/>
      <c r="AJ663" s="256"/>
      <c r="AK663" s="256"/>
      <c r="AL663" s="256"/>
      <c r="AM663" s="256"/>
      <c r="AN663" s="256"/>
      <c r="AO663" s="256"/>
      <c r="AP663" s="256"/>
      <c r="AQ663" s="256"/>
      <c r="AR663" s="256"/>
    </row>
    <row r="664">
      <c r="A664" s="256"/>
      <c r="B664" s="256"/>
      <c r="C664" s="257"/>
      <c r="D664" s="257"/>
      <c r="E664" s="257"/>
      <c r="F664" s="257"/>
      <c r="G664" s="257"/>
      <c r="H664" s="257"/>
      <c r="I664" s="256"/>
      <c r="J664" s="256"/>
      <c r="K664" s="256"/>
      <c r="L664" s="256"/>
      <c r="M664" s="256"/>
      <c r="N664" s="256"/>
      <c r="O664" s="256"/>
      <c r="P664" s="256"/>
      <c r="Q664" s="256"/>
      <c r="R664" s="256"/>
      <c r="S664" s="256"/>
      <c r="T664" s="256"/>
      <c r="U664" s="256"/>
      <c r="V664" s="256"/>
      <c r="W664" s="256"/>
      <c r="X664" s="256"/>
      <c r="Y664" s="256"/>
      <c r="Z664" s="256"/>
      <c r="AA664" s="256"/>
      <c r="AB664" s="256"/>
      <c r="AC664" s="256"/>
      <c r="AD664" s="256"/>
      <c r="AE664" s="256"/>
      <c r="AF664" s="256"/>
      <c r="AG664" s="256"/>
      <c r="AH664" s="256"/>
      <c r="AI664" s="256"/>
      <c r="AJ664" s="256"/>
      <c r="AK664" s="256"/>
      <c r="AL664" s="256"/>
      <c r="AM664" s="256"/>
      <c r="AN664" s="256"/>
      <c r="AO664" s="256"/>
      <c r="AP664" s="256"/>
      <c r="AQ664" s="256"/>
      <c r="AR664" s="256"/>
    </row>
    <row r="665">
      <c r="A665" s="256"/>
      <c r="B665" s="256"/>
      <c r="C665" s="257"/>
      <c r="D665" s="257"/>
      <c r="E665" s="257"/>
      <c r="F665" s="257"/>
      <c r="G665" s="257"/>
      <c r="H665" s="257"/>
      <c r="I665" s="256"/>
      <c r="J665" s="256"/>
      <c r="K665" s="256"/>
      <c r="L665" s="256"/>
      <c r="M665" s="256"/>
      <c r="N665" s="256"/>
      <c r="O665" s="256"/>
      <c r="P665" s="256"/>
      <c r="Q665" s="256"/>
      <c r="R665" s="256"/>
      <c r="S665" s="256"/>
      <c r="T665" s="256"/>
      <c r="U665" s="256"/>
      <c r="V665" s="256"/>
      <c r="W665" s="256"/>
      <c r="X665" s="256"/>
      <c r="Y665" s="256"/>
      <c r="Z665" s="256"/>
      <c r="AA665" s="256"/>
      <c r="AB665" s="256"/>
      <c r="AC665" s="256"/>
      <c r="AD665" s="256"/>
      <c r="AE665" s="256"/>
      <c r="AF665" s="256"/>
      <c r="AG665" s="256"/>
      <c r="AH665" s="256"/>
      <c r="AI665" s="256"/>
      <c r="AJ665" s="256"/>
      <c r="AK665" s="256"/>
      <c r="AL665" s="256"/>
      <c r="AM665" s="256"/>
      <c r="AN665" s="256"/>
      <c r="AO665" s="256"/>
      <c r="AP665" s="256"/>
      <c r="AQ665" s="256"/>
      <c r="AR665" s="256"/>
    </row>
    <row r="666">
      <c r="A666" s="256"/>
      <c r="B666" s="256"/>
      <c r="C666" s="257"/>
      <c r="D666" s="257"/>
      <c r="E666" s="257"/>
      <c r="F666" s="257"/>
      <c r="G666" s="257"/>
      <c r="H666" s="257"/>
      <c r="I666" s="256"/>
      <c r="J666" s="256"/>
      <c r="K666" s="256"/>
      <c r="L666" s="256"/>
      <c r="M666" s="256"/>
      <c r="N666" s="256"/>
      <c r="O666" s="256"/>
      <c r="P666" s="256"/>
      <c r="Q666" s="256"/>
      <c r="R666" s="256"/>
      <c r="S666" s="256"/>
      <c r="T666" s="256"/>
      <c r="U666" s="256"/>
      <c r="V666" s="256"/>
      <c r="W666" s="256"/>
      <c r="X666" s="256"/>
      <c r="Y666" s="256"/>
      <c r="Z666" s="256"/>
      <c r="AA666" s="256"/>
      <c r="AB666" s="256"/>
      <c r="AC666" s="256"/>
      <c r="AD666" s="256"/>
      <c r="AE666" s="256"/>
      <c r="AF666" s="256"/>
      <c r="AG666" s="256"/>
      <c r="AH666" s="256"/>
      <c r="AI666" s="256"/>
      <c r="AJ666" s="256"/>
      <c r="AK666" s="256"/>
      <c r="AL666" s="256"/>
      <c r="AM666" s="256"/>
      <c r="AN666" s="256"/>
      <c r="AO666" s="256"/>
      <c r="AP666" s="256"/>
      <c r="AQ666" s="256"/>
      <c r="AR666" s="256"/>
    </row>
    <row r="667">
      <c r="A667" s="256"/>
      <c r="B667" s="256"/>
      <c r="C667" s="257"/>
      <c r="D667" s="257"/>
      <c r="E667" s="257"/>
      <c r="F667" s="257"/>
      <c r="G667" s="257"/>
      <c r="H667" s="257"/>
      <c r="I667" s="256"/>
      <c r="J667" s="256"/>
      <c r="K667" s="256"/>
      <c r="L667" s="256"/>
      <c r="M667" s="256"/>
      <c r="N667" s="256"/>
      <c r="O667" s="256"/>
      <c r="P667" s="256"/>
      <c r="Q667" s="256"/>
      <c r="R667" s="256"/>
      <c r="S667" s="256"/>
      <c r="T667" s="256"/>
      <c r="U667" s="256"/>
      <c r="V667" s="256"/>
      <c r="W667" s="256"/>
      <c r="X667" s="256"/>
      <c r="Y667" s="256"/>
      <c r="Z667" s="256"/>
      <c r="AA667" s="256"/>
      <c r="AB667" s="256"/>
      <c r="AC667" s="256"/>
      <c r="AD667" s="256"/>
      <c r="AE667" s="256"/>
      <c r="AF667" s="256"/>
      <c r="AG667" s="256"/>
      <c r="AH667" s="256"/>
      <c r="AI667" s="256"/>
      <c r="AJ667" s="256"/>
      <c r="AK667" s="256"/>
      <c r="AL667" s="256"/>
      <c r="AM667" s="256"/>
      <c r="AN667" s="256"/>
      <c r="AO667" s="256"/>
      <c r="AP667" s="256"/>
      <c r="AQ667" s="256"/>
      <c r="AR667" s="256"/>
    </row>
    <row r="668">
      <c r="A668" s="256"/>
      <c r="B668" s="256"/>
      <c r="C668" s="257"/>
      <c r="D668" s="257"/>
      <c r="E668" s="257"/>
      <c r="F668" s="257"/>
      <c r="G668" s="257"/>
      <c r="H668" s="257"/>
      <c r="I668" s="256"/>
      <c r="J668" s="256"/>
      <c r="K668" s="256"/>
      <c r="L668" s="256"/>
      <c r="M668" s="256"/>
      <c r="N668" s="256"/>
      <c r="O668" s="256"/>
      <c r="P668" s="256"/>
      <c r="Q668" s="256"/>
      <c r="R668" s="256"/>
      <c r="S668" s="256"/>
      <c r="T668" s="256"/>
      <c r="U668" s="256"/>
      <c r="V668" s="256"/>
      <c r="W668" s="256"/>
      <c r="X668" s="256"/>
      <c r="Y668" s="256"/>
      <c r="Z668" s="256"/>
      <c r="AA668" s="256"/>
      <c r="AB668" s="256"/>
      <c r="AC668" s="256"/>
      <c r="AD668" s="256"/>
      <c r="AE668" s="256"/>
      <c r="AF668" s="256"/>
      <c r="AG668" s="256"/>
      <c r="AH668" s="256"/>
      <c r="AI668" s="256"/>
      <c r="AJ668" s="256"/>
      <c r="AK668" s="256"/>
      <c r="AL668" s="256"/>
      <c r="AM668" s="256"/>
      <c r="AN668" s="256"/>
      <c r="AO668" s="256"/>
      <c r="AP668" s="256"/>
      <c r="AQ668" s="256"/>
      <c r="AR668" s="256"/>
    </row>
    <row r="669">
      <c r="A669" s="256"/>
      <c r="B669" s="256"/>
      <c r="C669" s="257"/>
      <c r="D669" s="257"/>
      <c r="E669" s="257"/>
      <c r="F669" s="257"/>
      <c r="G669" s="257"/>
      <c r="H669" s="257"/>
      <c r="I669" s="256"/>
      <c r="J669" s="256"/>
      <c r="K669" s="256"/>
      <c r="L669" s="256"/>
      <c r="M669" s="256"/>
      <c r="N669" s="256"/>
      <c r="O669" s="256"/>
      <c r="P669" s="256"/>
      <c r="Q669" s="256"/>
      <c r="R669" s="256"/>
      <c r="S669" s="256"/>
      <c r="T669" s="256"/>
      <c r="U669" s="256"/>
      <c r="V669" s="256"/>
      <c r="W669" s="256"/>
      <c r="X669" s="256"/>
      <c r="Y669" s="256"/>
      <c r="Z669" s="256"/>
      <c r="AA669" s="256"/>
      <c r="AB669" s="256"/>
      <c r="AC669" s="256"/>
      <c r="AD669" s="256"/>
      <c r="AE669" s="256"/>
      <c r="AF669" s="256"/>
      <c r="AG669" s="256"/>
      <c r="AH669" s="256"/>
      <c r="AI669" s="256"/>
      <c r="AJ669" s="256"/>
      <c r="AK669" s="256"/>
      <c r="AL669" s="256"/>
      <c r="AM669" s="256"/>
      <c r="AN669" s="256"/>
      <c r="AO669" s="256"/>
      <c r="AP669" s="256"/>
      <c r="AQ669" s="256"/>
      <c r="AR669" s="256"/>
    </row>
    <row r="670">
      <c r="A670" s="256"/>
      <c r="B670" s="256"/>
      <c r="C670" s="257"/>
      <c r="D670" s="257"/>
      <c r="E670" s="257"/>
      <c r="F670" s="257"/>
      <c r="G670" s="257"/>
      <c r="H670" s="257"/>
      <c r="I670" s="256"/>
      <c r="J670" s="256"/>
      <c r="K670" s="256"/>
      <c r="L670" s="256"/>
      <c r="M670" s="256"/>
      <c r="N670" s="256"/>
      <c r="O670" s="256"/>
      <c r="P670" s="256"/>
      <c r="Q670" s="256"/>
      <c r="R670" s="256"/>
      <c r="S670" s="256"/>
      <c r="T670" s="256"/>
      <c r="U670" s="256"/>
      <c r="V670" s="256"/>
      <c r="W670" s="256"/>
      <c r="X670" s="256"/>
      <c r="Y670" s="256"/>
      <c r="Z670" s="256"/>
      <c r="AA670" s="256"/>
      <c r="AB670" s="256"/>
      <c r="AC670" s="256"/>
      <c r="AD670" s="256"/>
      <c r="AE670" s="256"/>
      <c r="AF670" s="256"/>
      <c r="AG670" s="256"/>
      <c r="AH670" s="256"/>
      <c r="AI670" s="256"/>
      <c r="AJ670" s="256"/>
      <c r="AK670" s="256"/>
      <c r="AL670" s="256"/>
      <c r="AM670" s="256"/>
      <c r="AN670" s="256"/>
      <c r="AO670" s="256"/>
      <c r="AP670" s="256"/>
      <c r="AQ670" s="256"/>
      <c r="AR670" s="256"/>
    </row>
    <row r="671">
      <c r="A671" s="256"/>
      <c r="B671" s="256"/>
      <c r="C671" s="257"/>
      <c r="D671" s="257"/>
      <c r="E671" s="257"/>
      <c r="F671" s="257"/>
      <c r="G671" s="257"/>
      <c r="H671" s="257"/>
      <c r="I671" s="256"/>
      <c r="J671" s="256"/>
      <c r="K671" s="256"/>
      <c r="L671" s="256"/>
      <c r="M671" s="256"/>
      <c r="N671" s="256"/>
      <c r="O671" s="256"/>
      <c r="P671" s="256"/>
      <c r="Q671" s="256"/>
      <c r="R671" s="256"/>
      <c r="S671" s="256"/>
      <c r="T671" s="256"/>
      <c r="U671" s="256"/>
      <c r="V671" s="256"/>
      <c r="W671" s="256"/>
      <c r="X671" s="256"/>
      <c r="Y671" s="256"/>
      <c r="Z671" s="256"/>
      <c r="AA671" s="256"/>
      <c r="AB671" s="256"/>
      <c r="AC671" s="256"/>
      <c r="AD671" s="256"/>
      <c r="AE671" s="256"/>
      <c r="AF671" s="256"/>
      <c r="AG671" s="256"/>
      <c r="AH671" s="256"/>
      <c r="AI671" s="256"/>
      <c r="AJ671" s="256"/>
      <c r="AK671" s="256"/>
      <c r="AL671" s="256"/>
      <c r="AM671" s="256"/>
      <c r="AN671" s="256"/>
      <c r="AO671" s="256"/>
      <c r="AP671" s="256"/>
      <c r="AQ671" s="256"/>
      <c r="AR671" s="256"/>
    </row>
    <row r="672">
      <c r="A672" s="256"/>
      <c r="B672" s="256"/>
      <c r="C672" s="257"/>
      <c r="D672" s="257"/>
      <c r="E672" s="257"/>
      <c r="F672" s="257"/>
      <c r="G672" s="257"/>
      <c r="H672" s="257"/>
      <c r="I672" s="256"/>
      <c r="J672" s="256"/>
      <c r="K672" s="256"/>
      <c r="L672" s="256"/>
      <c r="M672" s="256"/>
      <c r="N672" s="256"/>
      <c r="O672" s="256"/>
      <c r="P672" s="256"/>
      <c r="Q672" s="256"/>
      <c r="R672" s="256"/>
      <c r="S672" s="256"/>
      <c r="T672" s="256"/>
      <c r="U672" s="256"/>
      <c r="V672" s="256"/>
      <c r="W672" s="256"/>
      <c r="X672" s="256"/>
      <c r="Y672" s="256"/>
      <c r="Z672" s="256"/>
      <c r="AA672" s="256"/>
      <c r="AB672" s="256"/>
      <c r="AC672" s="256"/>
      <c r="AD672" s="256"/>
      <c r="AE672" s="256"/>
      <c r="AF672" s="256"/>
      <c r="AG672" s="256"/>
      <c r="AH672" s="256"/>
      <c r="AI672" s="256"/>
      <c r="AJ672" s="256"/>
      <c r="AK672" s="256"/>
      <c r="AL672" s="256"/>
      <c r="AM672" s="256"/>
      <c r="AN672" s="256"/>
      <c r="AO672" s="256"/>
      <c r="AP672" s="256"/>
      <c r="AQ672" s="256"/>
      <c r="AR672" s="256"/>
    </row>
    <row r="673">
      <c r="A673" s="256"/>
      <c r="B673" s="256"/>
      <c r="C673" s="257"/>
      <c r="D673" s="257"/>
      <c r="E673" s="257"/>
      <c r="F673" s="257"/>
      <c r="G673" s="257"/>
      <c r="H673" s="257"/>
      <c r="I673" s="256"/>
      <c r="J673" s="256"/>
      <c r="K673" s="256"/>
      <c r="L673" s="256"/>
      <c r="M673" s="256"/>
      <c r="N673" s="256"/>
      <c r="O673" s="256"/>
      <c r="P673" s="256"/>
      <c r="Q673" s="256"/>
      <c r="R673" s="256"/>
      <c r="S673" s="256"/>
      <c r="T673" s="256"/>
      <c r="U673" s="256"/>
      <c r="V673" s="256"/>
      <c r="W673" s="256"/>
      <c r="X673" s="256"/>
      <c r="Y673" s="256"/>
      <c r="Z673" s="256"/>
      <c r="AA673" s="256"/>
      <c r="AB673" s="256"/>
      <c r="AC673" s="256"/>
      <c r="AD673" s="256"/>
      <c r="AE673" s="256"/>
      <c r="AF673" s="256"/>
      <c r="AG673" s="256"/>
      <c r="AH673" s="256"/>
      <c r="AI673" s="256"/>
      <c r="AJ673" s="256"/>
      <c r="AK673" s="256"/>
      <c r="AL673" s="256"/>
      <c r="AM673" s="256"/>
      <c r="AN673" s="256"/>
      <c r="AO673" s="256"/>
      <c r="AP673" s="256"/>
      <c r="AQ673" s="256"/>
      <c r="AR673" s="256"/>
    </row>
    <row r="674">
      <c r="A674" s="256"/>
      <c r="B674" s="256"/>
      <c r="C674" s="257"/>
      <c r="D674" s="257"/>
      <c r="E674" s="257"/>
      <c r="F674" s="257"/>
      <c r="G674" s="257"/>
      <c r="H674" s="257"/>
      <c r="I674" s="256"/>
      <c r="J674" s="256"/>
      <c r="K674" s="256"/>
      <c r="L674" s="256"/>
      <c r="M674" s="256"/>
      <c r="N674" s="256"/>
      <c r="O674" s="256"/>
      <c r="P674" s="256"/>
      <c r="Q674" s="256"/>
      <c r="R674" s="256"/>
      <c r="S674" s="256"/>
      <c r="T674" s="256"/>
      <c r="U674" s="256"/>
      <c r="V674" s="256"/>
      <c r="W674" s="256"/>
      <c r="X674" s="256"/>
      <c r="Y674" s="256"/>
      <c r="Z674" s="256"/>
      <c r="AA674" s="256"/>
      <c r="AB674" s="256"/>
      <c r="AC674" s="256"/>
      <c r="AD674" s="256"/>
      <c r="AE674" s="256"/>
      <c r="AF674" s="256"/>
      <c r="AG674" s="256"/>
      <c r="AH674" s="256"/>
      <c r="AI674" s="256"/>
      <c r="AJ674" s="256"/>
      <c r="AK674" s="256"/>
      <c r="AL674" s="256"/>
      <c r="AM674" s="256"/>
      <c r="AN674" s="256"/>
      <c r="AO674" s="256"/>
      <c r="AP674" s="256"/>
      <c r="AQ674" s="256"/>
      <c r="AR674" s="256"/>
    </row>
    <row r="675">
      <c r="A675" s="256"/>
      <c r="B675" s="256"/>
      <c r="C675" s="257"/>
      <c r="D675" s="257"/>
      <c r="E675" s="257"/>
      <c r="F675" s="257"/>
      <c r="G675" s="257"/>
      <c r="H675" s="257"/>
      <c r="I675" s="256"/>
      <c r="J675" s="256"/>
      <c r="K675" s="256"/>
      <c r="L675" s="256"/>
      <c r="M675" s="256"/>
      <c r="N675" s="256"/>
      <c r="O675" s="256"/>
      <c r="P675" s="256"/>
      <c r="Q675" s="256"/>
      <c r="R675" s="256"/>
      <c r="S675" s="256"/>
      <c r="T675" s="256"/>
      <c r="U675" s="256"/>
      <c r="V675" s="256"/>
      <c r="W675" s="256"/>
      <c r="X675" s="256"/>
      <c r="Y675" s="256"/>
      <c r="Z675" s="256"/>
      <c r="AA675" s="256"/>
      <c r="AB675" s="256"/>
      <c r="AC675" s="256"/>
      <c r="AD675" s="256"/>
      <c r="AE675" s="256"/>
      <c r="AF675" s="256"/>
      <c r="AG675" s="256"/>
      <c r="AH675" s="256"/>
      <c r="AI675" s="256"/>
      <c r="AJ675" s="256"/>
      <c r="AK675" s="256"/>
      <c r="AL675" s="256"/>
      <c r="AM675" s="256"/>
      <c r="AN675" s="256"/>
      <c r="AO675" s="256"/>
      <c r="AP675" s="256"/>
      <c r="AQ675" s="256"/>
      <c r="AR675" s="256"/>
    </row>
    <row r="676">
      <c r="A676" s="256"/>
      <c r="B676" s="256"/>
      <c r="C676" s="257"/>
      <c r="D676" s="257"/>
      <c r="E676" s="257"/>
      <c r="F676" s="257"/>
      <c r="G676" s="257"/>
      <c r="H676" s="257"/>
      <c r="I676" s="256"/>
      <c r="J676" s="256"/>
      <c r="K676" s="256"/>
      <c r="L676" s="256"/>
      <c r="M676" s="256"/>
      <c r="N676" s="256"/>
      <c r="O676" s="256"/>
      <c r="P676" s="256"/>
      <c r="Q676" s="256"/>
      <c r="R676" s="256"/>
      <c r="S676" s="256"/>
      <c r="T676" s="256"/>
      <c r="U676" s="256"/>
      <c r="V676" s="256"/>
      <c r="W676" s="256"/>
      <c r="X676" s="256"/>
      <c r="Y676" s="256"/>
      <c r="Z676" s="256"/>
      <c r="AA676" s="256"/>
      <c r="AB676" s="256"/>
      <c r="AC676" s="256"/>
      <c r="AD676" s="256"/>
      <c r="AE676" s="256"/>
      <c r="AF676" s="256"/>
      <c r="AG676" s="256"/>
      <c r="AH676" s="256"/>
      <c r="AI676" s="256"/>
      <c r="AJ676" s="256"/>
      <c r="AK676" s="256"/>
      <c r="AL676" s="256"/>
      <c r="AM676" s="256"/>
      <c r="AN676" s="256"/>
      <c r="AO676" s="256"/>
      <c r="AP676" s="256"/>
      <c r="AQ676" s="256"/>
      <c r="AR676" s="256"/>
    </row>
    <row r="677">
      <c r="A677" s="256"/>
      <c r="B677" s="256"/>
      <c r="C677" s="257"/>
      <c r="D677" s="257"/>
      <c r="E677" s="257"/>
      <c r="F677" s="257"/>
      <c r="G677" s="257"/>
      <c r="H677" s="257"/>
      <c r="I677" s="256"/>
      <c r="J677" s="256"/>
      <c r="K677" s="256"/>
      <c r="L677" s="256"/>
      <c r="M677" s="256"/>
      <c r="N677" s="256"/>
      <c r="O677" s="256"/>
      <c r="P677" s="256"/>
      <c r="Q677" s="256"/>
      <c r="R677" s="256"/>
      <c r="S677" s="256"/>
      <c r="T677" s="256"/>
      <c r="U677" s="256"/>
      <c r="V677" s="256"/>
      <c r="W677" s="256"/>
      <c r="X677" s="256"/>
      <c r="Y677" s="256"/>
      <c r="Z677" s="256"/>
      <c r="AA677" s="256"/>
      <c r="AB677" s="256"/>
      <c r="AC677" s="256"/>
      <c r="AD677" s="256"/>
      <c r="AE677" s="256"/>
      <c r="AF677" s="256"/>
      <c r="AG677" s="256"/>
      <c r="AH677" s="256"/>
      <c r="AI677" s="256"/>
      <c r="AJ677" s="256"/>
      <c r="AK677" s="256"/>
      <c r="AL677" s="256"/>
      <c r="AM677" s="256"/>
      <c r="AN677" s="256"/>
      <c r="AO677" s="256"/>
      <c r="AP677" s="256"/>
      <c r="AQ677" s="256"/>
      <c r="AR677" s="256"/>
    </row>
    <row r="678">
      <c r="A678" s="256"/>
      <c r="B678" s="256"/>
      <c r="C678" s="257"/>
      <c r="D678" s="257"/>
      <c r="E678" s="257"/>
      <c r="F678" s="257"/>
      <c r="G678" s="257"/>
      <c r="H678" s="257"/>
      <c r="I678" s="256"/>
      <c r="J678" s="256"/>
      <c r="K678" s="256"/>
      <c r="L678" s="256"/>
      <c r="M678" s="256"/>
      <c r="N678" s="256"/>
      <c r="O678" s="256"/>
      <c r="P678" s="256"/>
      <c r="Q678" s="256"/>
      <c r="R678" s="256"/>
      <c r="S678" s="256"/>
      <c r="T678" s="256"/>
      <c r="U678" s="256"/>
      <c r="V678" s="256"/>
      <c r="W678" s="256"/>
      <c r="X678" s="256"/>
      <c r="Y678" s="256"/>
      <c r="Z678" s="256"/>
      <c r="AA678" s="256"/>
      <c r="AB678" s="256"/>
      <c r="AC678" s="256"/>
      <c r="AD678" s="256"/>
      <c r="AE678" s="256"/>
      <c r="AF678" s="256"/>
      <c r="AG678" s="256"/>
      <c r="AH678" s="256"/>
      <c r="AI678" s="256"/>
      <c r="AJ678" s="256"/>
      <c r="AK678" s="256"/>
      <c r="AL678" s="256"/>
      <c r="AM678" s="256"/>
      <c r="AN678" s="256"/>
      <c r="AO678" s="256"/>
      <c r="AP678" s="256"/>
      <c r="AQ678" s="256"/>
      <c r="AR678" s="256"/>
    </row>
    <row r="679">
      <c r="A679" s="256"/>
      <c r="B679" s="256"/>
      <c r="C679" s="257"/>
      <c r="D679" s="257"/>
      <c r="E679" s="257"/>
      <c r="F679" s="257"/>
      <c r="G679" s="257"/>
      <c r="H679" s="257"/>
      <c r="I679" s="256"/>
      <c r="J679" s="256"/>
      <c r="K679" s="256"/>
      <c r="L679" s="256"/>
      <c r="M679" s="256"/>
      <c r="N679" s="256"/>
      <c r="O679" s="256"/>
      <c r="P679" s="256"/>
      <c r="Q679" s="256"/>
      <c r="R679" s="256"/>
      <c r="S679" s="256"/>
      <c r="T679" s="256"/>
      <c r="U679" s="256"/>
      <c r="V679" s="256"/>
      <c r="W679" s="256"/>
      <c r="X679" s="256"/>
      <c r="Y679" s="256"/>
      <c r="Z679" s="256"/>
      <c r="AA679" s="256"/>
      <c r="AB679" s="256"/>
      <c r="AC679" s="256"/>
      <c r="AD679" s="256"/>
      <c r="AE679" s="256"/>
      <c r="AF679" s="256"/>
      <c r="AG679" s="256"/>
      <c r="AH679" s="256"/>
      <c r="AI679" s="256"/>
      <c r="AJ679" s="256"/>
      <c r="AK679" s="256"/>
      <c r="AL679" s="256"/>
      <c r="AM679" s="256"/>
      <c r="AN679" s="256"/>
      <c r="AO679" s="256"/>
      <c r="AP679" s="256"/>
      <c r="AQ679" s="256"/>
      <c r="AR679" s="256"/>
    </row>
    <row r="680">
      <c r="A680" s="256"/>
      <c r="B680" s="256"/>
      <c r="C680" s="257"/>
      <c r="D680" s="257"/>
      <c r="E680" s="257"/>
      <c r="F680" s="257"/>
      <c r="G680" s="257"/>
      <c r="H680" s="257"/>
      <c r="I680" s="256"/>
      <c r="J680" s="256"/>
      <c r="K680" s="256"/>
      <c r="L680" s="256"/>
      <c r="M680" s="256"/>
      <c r="N680" s="256"/>
      <c r="O680" s="256"/>
      <c r="P680" s="256"/>
      <c r="Q680" s="256"/>
      <c r="R680" s="256"/>
      <c r="S680" s="256"/>
      <c r="T680" s="256"/>
      <c r="U680" s="256"/>
      <c r="V680" s="256"/>
      <c r="W680" s="256"/>
      <c r="X680" s="256"/>
      <c r="Y680" s="256"/>
      <c r="Z680" s="256"/>
      <c r="AA680" s="256"/>
      <c r="AB680" s="256"/>
      <c r="AC680" s="256"/>
      <c r="AD680" s="256"/>
      <c r="AE680" s="256"/>
      <c r="AF680" s="256"/>
      <c r="AG680" s="256"/>
      <c r="AH680" s="256"/>
      <c r="AI680" s="256"/>
      <c r="AJ680" s="256"/>
      <c r="AK680" s="256"/>
      <c r="AL680" s="256"/>
      <c r="AM680" s="256"/>
      <c r="AN680" s="256"/>
      <c r="AO680" s="256"/>
      <c r="AP680" s="256"/>
      <c r="AQ680" s="256"/>
      <c r="AR680" s="256"/>
    </row>
    <row r="681">
      <c r="A681" s="256"/>
      <c r="B681" s="256"/>
      <c r="C681" s="257"/>
      <c r="D681" s="257"/>
      <c r="E681" s="257"/>
      <c r="F681" s="257"/>
      <c r="G681" s="257"/>
      <c r="H681" s="257"/>
      <c r="I681" s="256"/>
      <c r="J681" s="256"/>
      <c r="K681" s="256"/>
      <c r="L681" s="256"/>
      <c r="M681" s="256"/>
      <c r="N681" s="256"/>
      <c r="O681" s="256"/>
      <c r="P681" s="256"/>
      <c r="Q681" s="256"/>
      <c r="R681" s="256"/>
      <c r="S681" s="256"/>
      <c r="T681" s="256"/>
      <c r="U681" s="256"/>
      <c r="V681" s="256"/>
      <c r="W681" s="256"/>
      <c r="X681" s="256"/>
      <c r="Y681" s="256"/>
      <c r="Z681" s="256"/>
      <c r="AA681" s="256"/>
      <c r="AB681" s="256"/>
      <c r="AC681" s="256"/>
      <c r="AD681" s="256"/>
      <c r="AE681" s="256"/>
      <c r="AF681" s="256"/>
      <c r="AG681" s="256"/>
      <c r="AH681" s="256"/>
      <c r="AI681" s="256"/>
      <c r="AJ681" s="256"/>
      <c r="AK681" s="256"/>
      <c r="AL681" s="256"/>
      <c r="AM681" s="256"/>
      <c r="AN681" s="256"/>
      <c r="AO681" s="256"/>
      <c r="AP681" s="256"/>
      <c r="AQ681" s="256"/>
      <c r="AR681" s="256"/>
    </row>
    <row r="682">
      <c r="A682" s="256"/>
      <c r="B682" s="256"/>
      <c r="C682" s="257"/>
      <c r="D682" s="257"/>
      <c r="E682" s="257"/>
      <c r="F682" s="257"/>
      <c r="G682" s="257"/>
      <c r="H682" s="257"/>
      <c r="I682" s="256"/>
      <c r="J682" s="256"/>
      <c r="K682" s="256"/>
      <c r="L682" s="256"/>
      <c r="M682" s="256"/>
      <c r="N682" s="256"/>
      <c r="O682" s="256"/>
      <c r="P682" s="256"/>
      <c r="Q682" s="256"/>
      <c r="R682" s="256"/>
      <c r="S682" s="256"/>
      <c r="T682" s="256"/>
      <c r="U682" s="256"/>
      <c r="V682" s="256"/>
      <c r="W682" s="256"/>
      <c r="X682" s="256"/>
      <c r="Y682" s="256"/>
      <c r="Z682" s="256"/>
      <c r="AA682" s="256"/>
      <c r="AB682" s="256"/>
      <c r="AC682" s="256"/>
      <c r="AD682" s="256"/>
      <c r="AE682" s="256"/>
      <c r="AF682" s="256"/>
      <c r="AG682" s="256"/>
      <c r="AH682" s="256"/>
      <c r="AI682" s="256"/>
      <c r="AJ682" s="256"/>
      <c r="AK682" s="256"/>
      <c r="AL682" s="256"/>
      <c r="AM682" s="256"/>
      <c r="AN682" s="256"/>
      <c r="AO682" s="256"/>
      <c r="AP682" s="256"/>
      <c r="AQ682" s="256"/>
      <c r="AR682" s="256"/>
    </row>
    <row r="683">
      <c r="A683" s="256"/>
      <c r="B683" s="256"/>
      <c r="C683" s="257"/>
      <c r="D683" s="257"/>
      <c r="E683" s="257"/>
      <c r="F683" s="257"/>
      <c r="G683" s="257"/>
      <c r="H683" s="257"/>
      <c r="I683" s="256"/>
      <c r="J683" s="256"/>
      <c r="K683" s="256"/>
      <c r="L683" s="256"/>
      <c r="M683" s="256"/>
      <c r="N683" s="256"/>
      <c r="O683" s="256"/>
      <c r="P683" s="256"/>
      <c r="Q683" s="256"/>
      <c r="R683" s="256"/>
      <c r="S683" s="256"/>
      <c r="T683" s="256"/>
      <c r="U683" s="256"/>
      <c r="V683" s="256"/>
      <c r="W683" s="256"/>
      <c r="X683" s="256"/>
      <c r="Y683" s="256"/>
      <c r="Z683" s="256"/>
      <c r="AA683" s="256"/>
      <c r="AB683" s="256"/>
      <c r="AC683" s="256"/>
      <c r="AD683" s="256"/>
      <c r="AE683" s="256"/>
      <c r="AF683" s="256"/>
      <c r="AG683" s="256"/>
      <c r="AH683" s="256"/>
      <c r="AI683" s="256"/>
      <c r="AJ683" s="256"/>
      <c r="AK683" s="256"/>
      <c r="AL683" s="256"/>
      <c r="AM683" s="256"/>
      <c r="AN683" s="256"/>
      <c r="AO683" s="256"/>
      <c r="AP683" s="256"/>
      <c r="AQ683" s="256"/>
      <c r="AR683" s="256"/>
    </row>
    <row r="684">
      <c r="A684" s="256"/>
      <c r="B684" s="256"/>
      <c r="C684" s="257"/>
      <c r="D684" s="257"/>
      <c r="E684" s="257"/>
      <c r="F684" s="257"/>
      <c r="G684" s="257"/>
      <c r="H684" s="257"/>
      <c r="I684" s="256"/>
      <c r="J684" s="256"/>
      <c r="K684" s="256"/>
      <c r="L684" s="256"/>
      <c r="M684" s="256"/>
      <c r="N684" s="256"/>
      <c r="O684" s="256"/>
      <c r="P684" s="256"/>
      <c r="Q684" s="256"/>
      <c r="R684" s="256"/>
      <c r="S684" s="256"/>
      <c r="T684" s="256"/>
      <c r="U684" s="256"/>
      <c r="V684" s="256"/>
      <c r="W684" s="256"/>
      <c r="X684" s="256"/>
      <c r="Y684" s="256"/>
      <c r="Z684" s="256"/>
      <c r="AA684" s="256"/>
      <c r="AB684" s="256"/>
      <c r="AC684" s="256"/>
      <c r="AD684" s="256"/>
      <c r="AE684" s="256"/>
      <c r="AF684" s="256"/>
      <c r="AG684" s="256"/>
      <c r="AH684" s="256"/>
      <c r="AI684" s="256"/>
      <c r="AJ684" s="256"/>
      <c r="AK684" s="256"/>
      <c r="AL684" s="256"/>
      <c r="AM684" s="256"/>
      <c r="AN684" s="256"/>
      <c r="AO684" s="256"/>
      <c r="AP684" s="256"/>
      <c r="AQ684" s="256"/>
      <c r="AR684" s="256"/>
    </row>
    <row r="685">
      <c r="A685" s="256"/>
      <c r="B685" s="256"/>
      <c r="C685" s="257"/>
      <c r="D685" s="257"/>
      <c r="E685" s="257"/>
      <c r="F685" s="257"/>
      <c r="G685" s="257"/>
      <c r="H685" s="257"/>
      <c r="I685" s="256"/>
      <c r="J685" s="256"/>
      <c r="K685" s="256"/>
      <c r="L685" s="256"/>
      <c r="M685" s="256"/>
      <c r="N685" s="256"/>
      <c r="O685" s="256"/>
      <c r="P685" s="256"/>
      <c r="Q685" s="256"/>
      <c r="R685" s="256"/>
      <c r="S685" s="256"/>
      <c r="T685" s="256"/>
      <c r="U685" s="256"/>
      <c r="V685" s="256"/>
      <c r="W685" s="256"/>
      <c r="X685" s="256"/>
      <c r="Y685" s="256"/>
      <c r="Z685" s="256"/>
      <c r="AA685" s="256"/>
      <c r="AB685" s="256"/>
      <c r="AC685" s="256"/>
      <c r="AD685" s="256"/>
      <c r="AE685" s="256"/>
      <c r="AF685" s="256"/>
      <c r="AG685" s="256"/>
      <c r="AH685" s="256"/>
      <c r="AI685" s="256"/>
      <c r="AJ685" s="256"/>
      <c r="AK685" s="256"/>
      <c r="AL685" s="256"/>
      <c r="AM685" s="256"/>
      <c r="AN685" s="256"/>
      <c r="AO685" s="256"/>
      <c r="AP685" s="256"/>
      <c r="AQ685" s="256"/>
      <c r="AR685" s="256"/>
    </row>
    <row r="686">
      <c r="A686" s="256"/>
      <c r="B686" s="256"/>
      <c r="C686" s="257"/>
      <c r="D686" s="257"/>
      <c r="E686" s="257"/>
      <c r="F686" s="257"/>
      <c r="G686" s="257"/>
      <c r="H686" s="257"/>
      <c r="I686" s="256"/>
      <c r="J686" s="256"/>
      <c r="K686" s="256"/>
      <c r="L686" s="256"/>
      <c r="M686" s="256"/>
      <c r="N686" s="256"/>
      <c r="O686" s="256"/>
      <c r="P686" s="256"/>
      <c r="Q686" s="256"/>
      <c r="R686" s="256"/>
      <c r="S686" s="256"/>
      <c r="T686" s="256"/>
      <c r="U686" s="256"/>
      <c r="V686" s="256"/>
      <c r="W686" s="256"/>
      <c r="X686" s="256"/>
      <c r="Y686" s="256"/>
      <c r="Z686" s="256"/>
      <c r="AA686" s="256"/>
      <c r="AB686" s="256"/>
      <c r="AC686" s="256"/>
      <c r="AD686" s="256"/>
      <c r="AE686" s="256"/>
      <c r="AF686" s="256"/>
      <c r="AG686" s="256"/>
      <c r="AH686" s="256"/>
      <c r="AI686" s="256"/>
      <c r="AJ686" s="256"/>
      <c r="AK686" s="256"/>
      <c r="AL686" s="256"/>
      <c r="AM686" s="256"/>
      <c r="AN686" s="256"/>
      <c r="AO686" s="256"/>
      <c r="AP686" s="256"/>
      <c r="AQ686" s="256"/>
      <c r="AR686" s="256"/>
    </row>
    <row r="687">
      <c r="A687" s="256"/>
      <c r="B687" s="256"/>
      <c r="C687" s="257"/>
      <c r="D687" s="257"/>
      <c r="E687" s="257"/>
      <c r="F687" s="257"/>
      <c r="G687" s="257"/>
      <c r="H687" s="257"/>
      <c r="I687" s="256"/>
      <c r="J687" s="256"/>
      <c r="K687" s="256"/>
      <c r="L687" s="256"/>
      <c r="M687" s="256"/>
      <c r="N687" s="256"/>
      <c r="O687" s="256"/>
      <c r="P687" s="256"/>
      <c r="Q687" s="256"/>
      <c r="R687" s="256"/>
      <c r="S687" s="256"/>
      <c r="T687" s="256"/>
      <c r="U687" s="256"/>
      <c r="V687" s="256"/>
      <c r="W687" s="256"/>
      <c r="X687" s="256"/>
      <c r="Y687" s="256"/>
      <c r="Z687" s="256"/>
      <c r="AA687" s="256"/>
      <c r="AB687" s="256"/>
      <c r="AC687" s="256"/>
      <c r="AD687" s="256"/>
      <c r="AE687" s="256"/>
      <c r="AF687" s="256"/>
      <c r="AG687" s="256"/>
      <c r="AH687" s="256"/>
      <c r="AI687" s="256"/>
      <c r="AJ687" s="256"/>
      <c r="AK687" s="256"/>
      <c r="AL687" s="256"/>
      <c r="AM687" s="256"/>
      <c r="AN687" s="256"/>
      <c r="AO687" s="256"/>
      <c r="AP687" s="256"/>
      <c r="AQ687" s="256"/>
      <c r="AR687" s="256"/>
    </row>
    <row r="688">
      <c r="A688" s="256"/>
      <c r="B688" s="256"/>
      <c r="C688" s="257"/>
      <c r="D688" s="257"/>
      <c r="E688" s="257"/>
      <c r="F688" s="257"/>
      <c r="G688" s="257"/>
      <c r="H688" s="257"/>
      <c r="I688" s="256"/>
      <c r="J688" s="256"/>
      <c r="K688" s="256"/>
      <c r="L688" s="256"/>
      <c r="M688" s="256"/>
      <c r="N688" s="256"/>
      <c r="O688" s="256"/>
      <c r="P688" s="256"/>
      <c r="Q688" s="256"/>
      <c r="R688" s="256"/>
      <c r="S688" s="256"/>
      <c r="T688" s="256"/>
      <c r="U688" s="256"/>
      <c r="V688" s="256"/>
      <c r="W688" s="256"/>
      <c r="X688" s="256"/>
      <c r="Y688" s="256"/>
      <c r="Z688" s="256"/>
      <c r="AA688" s="256"/>
      <c r="AB688" s="256"/>
      <c r="AC688" s="256"/>
      <c r="AD688" s="256"/>
      <c r="AE688" s="256"/>
      <c r="AF688" s="256"/>
      <c r="AG688" s="256"/>
      <c r="AH688" s="256"/>
      <c r="AI688" s="256"/>
      <c r="AJ688" s="256"/>
      <c r="AK688" s="256"/>
      <c r="AL688" s="256"/>
      <c r="AM688" s="256"/>
      <c r="AN688" s="256"/>
      <c r="AO688" s="256"/>
      <c r="AP688" s="256"/>
      <c r="AQ688" s="256"/>
      <c r="AR688" s="256"/>
    </row>
    <row r="689">
      <c r="A689" s="256"/>
      <c r="B689" s="256"/>
      <c r="C689" s="257"/>
      <c r="D689" s="257"/>
      <c r="E689" s="257"/>
      <c r="F689" s="257"/>
      <c r="G689" s="257"/>
      <c r="H689" s="257"/>
      <c r="I689" s="256"/>
      <c r="J689" s="256"/>
      <c r="K689" s="256"/>
      <c r="L689" s="256"/>
      <c r="M689" s="256"/>
      <c r="N689" s="256"/>
      <c r="O689" s="256"/>
      <c r="P689" s="256"/>
      <c r="Q689" s="256"/>
      <c r="R689" s="256"/>
      <c r="S689" s="256"/>
      <c r="T689" s="256"/>
      <c r="U689" s="256"/>
      <c r="V689" s="256"/>
      <c r="W689" s="256"/>
      <c r="X689" s="256"/>
      <c r="Y689" s="256"/>
      <c r="Z689" s="256"/>
      <c r="AA689" s="256"/>
      <c r="AB689" s="256"/>
      <c r="AC689" s="256"/>
      <c r="AD689" s="256"/>
      <c r="AE689" s="256"/>
      <c r="AF689" s="256"/>
      <c r="AG689" s="256"/>
      <c r="AH689" s="256"/>
      <c r="AI689" s="256"/>
      <c r="AJ689" s="256"/>
      <c r="AK689" s="256"/>
      <c r="AL689" s="256"/>
      <c r="AM689" s="256"/>
      <c r="AN689" s="256"/>
      <c r="AO689" s="256"/>
      <c r="AP689" s="256"/>
      <c r="AQ689" s="256"/>
      <c r="AR689" s="256"/>
    </row>
    <row r="690">
      <c r="A690" s="256"/>
      <c r="B690" s="256"/>
      <c r="C690" s="257"/>
      <c r="D690" s="257"/>
      <c r="E690" s="257"/>
      <c r="F690" s="257"/>
      <c r="G690" s="257"/>
      <c r="H690" s="257"/>
      <c r="I690" s="256"/>
      <c r="J690" s="256"/>
      <c r="K690" s="256"/>
      <c r="L690" s="256"/>
      <c r="M690" s="256"/>
      <c r="N690" s="256"/>
      <c r="O690" s="256"/>
      <c r="P690" s="256"/>
      <c r="Q690" s="256"/>
      <c r="R690" s="256"/>
      <c r="S690" s="256"/>
      <c r="T690" s="256"/>
      <c r="U690" s="256"/>
      <c r="V690" s="256"/>
      <c r="W690" s="256"/>
      <c r="X690" s="256"/>
      <c r="Y690" s="256"/>
      <c r="Z690" s="256"/>
      <c r="AA690" s="256"/>
      <c r="AB690" s="256"/>
      <c r="AC690" s="256"/>
      <c r="AD690" s="256"/>
      <c r="AE690" s="256"/>
      <c r="AF690" s="256"/>
      <c r="AG690" s="256"/>
      <c r="AH690" s="256"/>
      <c r="AI690" s="256"/>
      <c r="AJ690" s="256"/>
      <c r="AK690" s="256"/>
      <c r="AL690" s="256"/>
      <c r="AM690" s="256"/>
      <c r="AN690" s="256"/>
      <c r="AO690" s="256"/>
      <c r="AP690" s="256"/>
      <c r="AQ690" s="256"/>
      <c r="AR690" s="256"/>
    </row>
    <row r="691">
      <c r="A691" s="256"/>
      <c r="B691" s="256"/>
      <c r="C691" s="257"/>
      <c r="D691" s="257"/>
      <c r="E691" s="257"/>
      <c r="F691" s="257"/>
      <c r="G691" s="257"/>
      <c r="H691" s="257"/>
      <c r="I691" s="256"/>
      <c r="J691" s="256"/>
      <c r="K691" s="256"/>
      <c r="L691" s="256"/>
      <c r="M691" s="256"/>
      <c r="N691" s="256"/>
      <c r="O691" s="256"/>
      <c r="P691" s="256"/>
      <c r="Q691" s="256"/>
      <c r="R691" s="256"/>
      <c r="S691" s="256"/>
      <c r="T691" s="256"/>
      <c r="U691" s="256"/>
      <c r="V691" s="256"/>
      <c r="W691" s="256"/>
      <c r="X691" s="256"/>
      <c r="Y691" s="256"/>
      <c r="Z691" s="256"/>
      <c r="AA691" s="256"/>
      <c r="AB691" s="256"/>
      <c r="AC691" s="256"/>
      <c r="AD691" s="256"/>
      <c r="AE691" s="256"/>
      <c r="AF691" s="256"/>
      <c r="AG691" s="256"/>
      <c r="AH691" s="256"/>
      <c r="AI691" s="256"/>
      <c r="AJ691" s="256"/>
      <c r="AK691" s="256"/>
      <c r="AL691" s="256"/>
      <c r="AM691" s="256"/>
      <c r="AN691" s="256"/>
      <c r="AO691" s="256"/>
      <c r="AP691" s="256"/>
      <c r="AQ691" s="256"/>
      <c r="AR691" s="256"/>
    </row>
    <row r="692">
      <c r="A692" s="256"/>
      <c r="B692" s="256"/>
      <c r="C692" s="257"/>
      <c r="D692" s="257"/>
      <c r="E692" s="257"/>
      <c r="F692" s="257"/>
      <c r="G692" s="257"/>
      <c r="H692" s="257"/>
      <c r="I692" s="256"/>
      <c r="J692" s="256"/>
      <c r="K692" s="256"/>
      <c r="L692" s="256"/>
      <c r="M692" s="256"/>
      <c r="N692" s="256"/>
      <c r="O692" s="256"/>
      <c r="P692" s="256"/>
      <c r="Q692" s="256"/>
      <c r="R692" s="256"/>
      <c r="S692" s="256"/>
      <c r="T692" s="256"/>
      <c r="U692" s="256"/>
      <c r="V692" s="256"/>
      <c r="W692" s="256"/>
      <c r="X692" s="256"/>
      <c r="Y692" s="256"/>
      <c r="Z692" s="256"/>
      <c r="AA692" s="256"/>
      <c r="AB692" s="256"/>
      <c r="AC692" s="256"/>
      <c r="AD692" s="256"/>
      <c r="AE692" s="256"/>
      <c r="AF692" s="256"/>
      <c r="AG692" s="256"/>
      <c r="AH692" s="256"/>
      <c r="AI692" s="256"/>
      <c r="AJ692" s="256"/>
      <c r="AK692" s="256"/>
      <c r="AL692" s="256"/>
      <c r="AM692" s="256"/>
      <c r="AN692" s="256"/>
      <c r="AO692" s="256"/>
      <c r="AP692" s="256"/>
      <c r="AQ692" s="256"/>
      <c r="AR692" s="256"/>
    </row>
    <row r="693">
      <c r="A693" s="256"/>
      <c r="B693" s="256"/>
      <c r="C693" s="257"/>
      <c r="D693" s="257"/>
      <c r="E693" s="257"/>
      <c r="F693" s="257"/>
      <c r="G693" s="257"/>
      <c r="H693" s="257"/>
      <c r="I693" s="256"/>
      <c r="J693" s="256"/>
      <c r="K693" s="256"/>
      <c r="L693" s="256"/>
      <c r="M693" s="256"/>
      <c r="N693" s="256"/>
      <c r="O693" s="256"/>
      <c r="P693" s="256"/>
      <c r="Q693" s="256"/>
      <c r="R693" s="256"/>
      <c r="S693" s="256"/>
      <c r="T693" s="256"/>
      <c r="U693" s="256"/>
      <c r="V693" s="256"/>
      <c r="W693" s="256"/>
      <c r="X693" s="256"/>
      <c r="Y693" s="256"/>
      <c r="Z693" s="256"/>
      <c r="AA693" s="256"/>
      <c r="AB693" s="256"/>
      <c r="AC693" s="256"/>
      <c r="AD693" s="256"/>
      <c r="AE693" s="256"/>
      <c r="AF693" s="256"/>
      <c r="AG693" s="256"/>
      <c r="AH693" s="256"/>
      <c r="AI693" s="256"/>
      <c r="AJ693" s="256"/>
      <c r="AK693" s="256"/>
      <c r="AL693" s="256"/>
      <c r="AM693" s="256"/>
      <c r="AN693" s="256"/>
      <c r="AO693" s="256"/>
      <c r="AP693" s="256"/>
      <c r="AQ693" s="256"/>
      <c r="AR693" s="256"/>
    </row>
    <row r="694">
      <c r="A694" s="256"/>
      <c r="B694" s="256"/>
      <c r="C694" s="257"/>
      <c r="D694" s="257"/>
      <c r="E694" s="257"/>
      <c r="F694" s="257"/>
      <c r="G694" s="257"/>
      <c r="H694" s="257"/>
      <c r="I694" s="256"/>
      <c r="J694" s="256"/>
      <c r="K694" s="256"/>
      <c r="L694" s="256"/>
      <c r="M694" s="256"/>
      <c r="N694" s="256"/>
      <c r="O694" s="256"/>
      <c r="P694" s="256"/>
      <c r="Q694" s="256"/>
      <c r="R694" s="256"/>
      <c r="S694" s="256"/>
      <c r="T694" s="256"/>
      <c r="U694" s="256"/>
      <c r="V694" s="256"/>
      <c r="W694" s="256"/>
      <c r="X694" s="256"/>
      <c r="Y694" s="256"/>
      <c r="Z694" s="256"/>
      <c r="AA694" s="256"/>
      <c r="AB694" s="256"/>
      <c r="AC694" s="256"/>
      <c r="AD694" s="256"/>
      <c r="AE694" s="256"/>
      <c r="AF694" s="256"/>
      <c r="AG694" s="256"/>
      <c r="AH694" s="256"/>
      <c r="AI694" s="256"/>
      <c r="AJ694" s="256"/>
      <c r="AK694" s="256"/>
      <c r="AL694" s="256"/>
      <c r="AM694" s="256"/>
      <c r="AN694" s="256"/>
      <c r="AO694" s="256"/>
      <c r="AP694" s="256"/>
      <c r="AQ694" s="256"/>
      <c r="AR694" s="256"/>
    </row>
    <row r="695">
      <c r="A695" s="256"/>
      <c r="B695" s="256"/>
      <c r="C695" s="257"/>
      <c r="D695" s="257"/>
      <c r="E695" s="257"/>
      <c r="F695" s="257"/>
      <c r="G695" s="257"/>
      <c r="H695" s="257"/>
      <c r="I695" s="256"/>
      <c r="J695" s="256"/>
      <c r="K695" s="256"/>
      <c r="L695" s="256"/>
      <c r="M695" s="256"/>
      <c r="N695" s="256"/>
      <c r="O695" s="256"/>
      <c r="P695" s="256"/>
      <c r="Q695" s="256"/>
      <c r="R695" s="256"/>
      <c r="S695" s="256"/>
      <c r="T695" s="256"/>
      <c r="U695" s="256"/>
      <c r="V695" s="256"/>
      <c r="W695" s="256"/>
      <c r="X695" s="256"/>
      <c r="Y695" s="256"/>
      <c r="Z695" s="256"/>
      <c r="AA695" s="256"/>
      <c r="AB695" s="256"/>
      <c r="AC695" s="256"/>
      <c r="AD695" s="256"/>
      <c r="AE695" s="256"/>
      <c r="AF695" s="256"/>
      <c r="AG695" s="256"/>
      <c r="AH695" s="256"/>
      <c r="AI695" s="256"/>
      <c r="AJ695" s="256"/>
      <c r="AK695" s="256"/>
      <c r="AL695" s="256"/>
      <c r="AM695" s="256"/>
      <c r="AN695" s="256"/>
      <c r="AO695" s="256"/>
      <c r="AP695" s="256"/>
      <c r="AQ695" s="256"/>
      <c r="AR695" s="256"/>
    </row>
    <row r="696">
      <c r="A696" s="256"/>
      <c r="B696" s="256"/>
      <c r="C696" s="257"/>
      <c r="D696" s="257"/>
      <c r="E696" s="257"/>
      <c r="F696" s="257"/>
      <c r="G696" s="257"/>
      <c r="H696" s="257"/>
      <c r="I696" s="256"/>
      <c r="J696" s="256"/>
      <c r="K696" s="256"/>
      <c r="L696" s="256"/>
      <c r="M696" s="256"/>
      <c r="N696" s="256"/>
      <c r="O696" s="256"/>
      <c r="P696" s="256"/>
      <c r="Q696" s="256"/>
      <c r="R696" s="256"/>
      <c r="S696" s="256"/>
      <c r="T696" s="256"/>
      <c r="U696" s="256"/>
      <c r="V696" s="256"/>
      <c r="W696" s="256"/>
      <c r="X696" s="256"/>
      <c r="Y696" s="256"/>
      <c r="Z696" s="256"/>
      <c r="AA696" s="256"/>
      <c r="AB696" s="256"/>
      <c r="AC696" s="256"/>
      <c r="AD696" s="256"/>
      <c r="AE696" s="256"/>
      <c r="AF696" s="256"/>
      <c r="AG696" s="256"/>
      <c r="AH696" s="256"/>
      <c r="AI696" s="256"/>
      <c r="AJ696" s="256"/>
      <c r="AK696" s="256"/>
      <c r="AL696" s="256"/>
      <c r="AM696" s="256"/>
      <c r="AN696" s="256"/>
      <c r="AO696" s="256"/>
      <c r="AP696" s="256"/>
      <c r="AQ696" s="256"/>
      <c r="AR696" s="256"/>
    </row>
    <row r="697">
      <c r="A697" s="256"/>
      <c r="B697" s="256"/>
      <c r="C697" s="257"/>
      <c r="D697" s="257"/>
      <c r="E697" s="257"/>
      <c r="F697" s="257"/>
      <c r="G697" s="257"/>
      <c r="H697" s="257"/>
      <c r="I697" s="256"/>
      <c r="J697" s="256"/>
      <c r="K697" s="256"/>
      <c r="L697" s="256"/>
      <c r="M697" s="256"/>
      <c r="N697" s="256"/>
      <c r="O697" s="256"/>
      <c r="P697" s="256"/>
      <c r="Q697" s="256"/>
      <c r="R697" s="256"/>
      <c r="S697" s="256"/>
      <c r="T697" s="256"/>
      <c r="U697" s="256"/>
      <c r="V697" s="256"/>
      <c r="W697" s="256"/>
      <c r="X697" s="256"/>
      <c r="Y697" s="256"/>
      <c r="Z697" s="256"/>
      <c r="AA697" s="256"/>
      <c r="AB697" s="256"/>
      <c r="AC697" s="256"/>
      <c r="AD697" s="256"/>
      <c r="AE697" s="256"/>
      <c r="AF697" s="256"/>
      <c r="AG697" s="256"/>
      <c r="AH697" s="256"/>
      <c r="AI697" s="256"/>
      <c r="AJ697" s="256"/>
      <c r="AK697" s="256"/>
      <c r="AL697" s="256"/>
      <c r="AM697" s="256"/>
      <c r="AN697" s="256"/>
      <c r="AO697" s="256"/>
      <c r="AP697" s="256"/>
      <c r="AQ697" s="256"/>
      <c r="AR697" s="256"/>
    </row>
    <row r="698">
      <c r="A698" s="256"/>
      <c r="B698" s="256"/>
      <c r="C698" s="257"/>
      <c r="D698" s="257"/>
      <c r="E698" s="257"/>
      <c r="F698" s="257"/>
      <c r="G698" s="257"/>
      <c r="H698" s="257"/>
      <c r="I698" s="256"/>
      <c r="J698" s="256"/>
      <c r="K698" s="256"/>
      <c r="L698" s="256"/>
      <c r="M698" s="256"/>
      <c r="N698" s="256"/>
      <c r="O698" s="256"/>
      <c r="P698" s="256"/>
      <c r="Q698" s="256"/>
      <c r="R698" s="256"/>
      <c r="S698" s="256"/>
      <c r="T698" s="256"/>
      <c r="U698" s="256"/>
      <c r="V698" s="256"/>
      <c r="W698" s="256"/>
      <c r="X698" s="256"/>
      <c r="Y698" s="256"/>
      <c r="Z698" s="256"/>
      <c r="AA698" s="256"/>
      <c r="AB698" s="256"/>
      <c r="AC698" s="256"/>
      <c r="AD698" s="256"/>
      <c r="AE698" s="256"/>
      <c r="AF698" s="256"/>
      <c r="AG698" s="256"/>
      <c r="AH698" s="256"/>
      <c r="AI698" s="256"/>
      <c r="AJ698" s="256"/>
      <c r="AK698" s="256"/>
      <c r="AL698" s="256"/>
      <c r="AM698" s="256"/>
      <c r="AN698" s="256"/>
      <c r="AO698" s="256"/>
      <c r="AP698" s="256"/>
      <c r="AQ698" s="256"/>
      <c r="AR698" s="256"/>
    </row>
    <row r="699">
      <c r="A699" s="256"/>
      <c r="B699" s="256"/>
      <c r="C699" s="257"/>
      <c r="D699" s="257"/>
      <c r="E699" s="257"/>
      <c r="F699" s="257"/>
      <c r="G699" s="257"/>
      <c r="H699" s="257"/>
      <c r="I699" s="256"/>
      <c r="J699" s="256"/>
      <c r="K699" s="256"/>
      <c r="L699" s="256"/>
      <c r="M699" s="256"/>
      <c r="N699" s="256"/>
      <c r="O699" s="256"/>
      <c r="P699" s="256"/>
      <c r="Q699" s="256"/>
      <c r="R699" s="256"/>
      <c r="S699" s="256"/>
      <c r="T699" s="256"/>
      <c r="U699" s="256"/>
      <c r="V699" s="256"/>
      <c r="W699" s="256"/>
      <c r="X699" s="256"/>
      <c r="Y699" s="256"/>
      <c r="Z699" s="256"/>
      <c r="AA699" s="256"/>
      <c r="AB699" s="256"/>
      <c r="AC699" s="256"/>
      <c r="AD699" s="256"/>
      <c r="AE699" s="256"/>
      <c r="AF699" s="256"/>
      <c r="AG699" s="256"/>
      <c r="AH699" s="256"/>
      <c r="AI699" s="256"/>
      <c r="AJ699" s="256"/>
      <c r="AK699" s="256"/>
      <c r="AL699" s="256"/>
      <c r="AM699" s="256"/>
      <c r="AN699" s="256"/>
      <c r="AO699" s="256"/>
      <c r="AP699" s="256"/>
      <c r="AQ699" s="256"/>
      <c r="AR699" s="256"/>
    </row>
    <row r="700">
      <c r="A700" s="256"/>
      <c r="B700" s="256"/>
      <c r="C700" s="257"/>
      <c r="D700" s="257"/>
      <c r="E700" s="257"/>
      <c r="F700" s="257"/>
      <c r="G700" s="257"/>
      <c r="H700" s="257"/>
      <c r="I700" s="256"/>
      <c r="J700" s="256"/>
      <c r="K700" s="256"/>
      <c r="L700" s="256"/>
      <c r="M700" s="256"/>
      <c r="N700" s="256"/>
      <c r="O700" s="256"/>
      <c r="P700" s="256"/>
      <c r="Q700" s="256"/>
      <c r="R700" s="256"/>
      <c r="S700" s="256"/>
      <c r="T700" s="256"/>
      <c r="U700" s="256"/>
      <c r="V700" s="256"/>
      <c r="W700" s="256"/>
      <c r="X700" s="256"/>
      <c r="Y700" s="256"/>
      <c r="Z700" s="256"/>
      <c r="AA700" s="256"/>
      <c r="AB700" s="256"/>
      <c r="AC700" s="256"/>
      <c r="AD700" s="256"/>
      <c r="AE700" s="256"/>
      <c r="AF700" s="256"/>
      <c r="AG700" s="256"/>
      <c r="AH700" s="256"/>
      <c r="AI700" s="256"/>
      <c r="AJ700" s="256"/>
      <c r="AK700" s="256"/>
      <c r="AL700" s="256"/>
      <c r="AM700" s="256"/>
      <c r="AN700" s="256"/>
      <c r="AO700" s="256"/>
      <c r="AP700" s="256"/>
      <c r="AQ700" s="256"/>
      <c r="AR700" s="256"/>
    </row>
    <row r="701">
      <c r="A701" s="256"/>
      <c r="B701" s="256"/>
      <c r="C701" s="257"/>
      <c r="D701" s="257"/>
      <c r="E701" s="257"/>
      <c r="F701" s="257"/>
      <c r="G701" s="257"/>
      <c r="H701" s="257"/>
      <c r="I701" s="256"/>
      <c r="J701" s="256"/>
      <c r="K701" s="256"/>
      <c r="L701" s="256"/>
      <c r="M701" s="256"/>
      <c r="N701" s="256"/>
      <c r="O701" s="256"/>
      <c r="P701" s="256"/>
      <c r="Q701" s="256"/>
      <c r="R701" s="256"/>
      <c r="S701" s="256"/>
      <c r="T701" s="256"/>
      <c r="U701" s="256"/>
      <c r="V701" s="256"/>
      <c r="W701" s="256"/>
      <c r="X701" s="256"/>
      <c r="Y701" s="256"/>
      <c r="Z701" s="256"/>
      <c r="AA701" s="256"/>
      <c r="AB701" s="256"/>
      <c r="AC701" s="256"/>
      <c r="AD701" s="256"/>
      <c r="AE701" s="256"/>
      <c r="AF701" s="256"/>
      <c r="AG701" s="256"/>
      <c r="AH701" s="256"/>
      <c r="AI701" s="256"/>
      <c r="AJ701" s="256"/>
      <c r="AK701" s="256"/>
      <c r="AL701" s="256"/>
      <c r="AM701" s="256"/>
      <c r="AN701" s="256"/>
      <c r="AO701" s="256"/>
      <c r="AP701" s="256"/>
      <c r="AQ701" s="256"/>
      <c r="AR701" s="256"/>
    </row>
    <row r="702">
      <c r="A702" s="256"/>
      <c r="B702" s="256"/>
      <c r="C702" s="257"/>
      <c r="D702" s="257"/>
      <c r="E702" s="257"/>
      <c r="F702" s="257"/>
      <c r="G702" s="257"/>
      <c r="H702" s="257"/>
      <c r="I702" s="256"/>
      <c r="J702" s="256"/>
      <c r="K702" s="256"/>
      <c r="L702" s="256"/>
      <c r="M702" s="256"/>
      <c r="N702" s="256"/>
      <c r="O702" s="256"/>
      <c r="P702" s="256"/>
      <c r="Q702" s="256"/>
      <c r="R702" s="256"/>
      <c r="S702" s="256"/>
      <c r="T702" s="256"/>
      <c r="U702" s="256"/>
      <c r="V702" s="256"/>
      <c r="W702" s="256"/>
      <c r="X702" s="256"/>
      <c r="Y702" s="256"/>
      <c r="Z702" s="256"/>
      <c r="AA702" s="256"/>
      <c r="AB702" s="256"/>
      <c r="AC702" s="256"/>
      <c r="AD702" s="256"/>
      <c r="AE702" s="256"/>
      <c r="AF702" s="256"/>
      <c r="AG702" s="256"/>
      <c r="AH702" s="256"/>
      <c r="AI702" s="256"/>
      <c r="AJ702" s="256"/>
      <c r="AK702" s="256"/>
      <c r="AL702" s="256"/>
      <c r="AM702" s="256"/>
      <c r="AN702" s="256"/>
      <c r="AO702" s="256"/>
      <c r="AP702" s="256"/>
      <c r="AQ702" s="256"/>
      <c r="AR702" s="256"/>
    </row>
    <row r="703">
      <c r="A703" s="256"/>
      <c r="B703" s="256"/>
      <c r="C703" s="257"/>
      <c r="D703" s="257"/>
      <c r="E703" s="257"/>
      <c r="F703" s="257"/>
      <c r="G703" s="257"/>
      <c r="H703" s="257"/>
      <c r="I703" s="256"/>
      <c r="J703" s="256"/>
      <c r="K703" s="256"/>
      <c r="L703" s="256"/>
      <c r="M703" s="256"/>
      <c r="N703" s="256"/>
      <c r="O703" s="256"/>
      <c r="P703" s="256"/>
      <c r="Q703" s="256"/>
      <c r="R703" s="256"/>
      <c r="S703" s="256"/>
      <c r="T703" s="256"/>
      <c r="U703" s="256"/>
      <c r="V703" s="256"/>
      <c r="W703" s="256"/>
      <c r="X703" s="256"/>
      <c r="Y703" s="256"/>
      <c r="Z703" s="256"/>
      <c r="AA703" s="256"/>
      <c r="AB703" s="256"/>
      <c r="AC703" s="256"/>
      <c r="AD703" s="256"/>
      <c r="AE703" s="256"/>
      <c r="AF703" s="256"/>
      <c r="AG703" s="256"/>
      <c r="AH703" s="256"/>
      <c r="AI703" s="256"/>
      <c r="AJ703" s="256"/>
      <c r="AK703" s="256"/>
      <c r="AL703" s="256"/>
      <c r="AM703" s="256"/>
      <c r="AN703" s="256"/>
      <c r="AO703" s="256"/>
      <c r="AP703" s="256"/>
      <c r="AQ703" s="256"/>
      <c r="AR703" s="256"/>
    </row>
    <row r="704">
      <c r="A704" s="256"/>
      <c r="B704" s="256"/>
      <c r="C704" s="257"/>
      <c r="D704" s="257"/>
      <c r="E704" s="257"/>
      <c r="F704" s="257"/>
      <c r="G704" s="257"/>
      <c r="H704" s="257"/>
      <c r="I704" s="256"/>
      <c r="J704" s="256"/>
      <c r="K704" s="256"/>
      <c r="L704" s="256"/>
      <c r="M704" s="256"/>
      <c r="N704" s="256"/>
      <c r="O704" s="256"/>
      <c r="P704" s="256"/>
      <c r="Q704" s="256"/>
      <c r="R704" s="256"/>
      <c r="S704" s="256"/>
      <c r="T704" s="256"/>
      <c r="U704" s="256"/>
      <c r="V704" s="256"/>
      <c r="W704" s="256"/>
      <c r="X704" s="256"/>
      <c r="Y704" s="256"/>
      <c r="Z704" s="256"/>
      <c r="AA704" s="256"/>
      <c r="AB704" s="256"/>
      <c r="AC704" s="256"/>
      <c r="AD704" s="256"/>
      <c r="AE704" s="256"/>
      <c r="AF704" s="256"/>
      <c r="AG704" s="256"/>
      <c r="AH704" s="256"/>
      <c r="AI704" s="256"/>
      <c r="AJ704" s="256"/>
      <c r="AK704" s="256"/>
      <c r="AL704" s="256"/>
      <c r="AM704" s="256"/>
      <c r="AN704" s="256"/>
      <c r="AO704" s="256"/>
      <c r="AP704" s="256"/>
      <c r="AQ704" s="256"/>
      <c r="AR704" s="256"/>
    </row>
    <row r="705">
      <c r="A705" s="256"/>
      <c r="B705" s="256"/>
      <c r="C705" s="257"/>
      <c r="D705" s="257"/>
      <c r="E705" s="257"/>
      <c r="F705" s="257"/>
      <c r="G705" s="257"/>
      <c r="H705" s="257"/>
      <c r="I705" s="256"/>
      <c r="J705" s="256"/>
      <c r="K705" s="256"/>
      <c r="L705" s="256"/>
      <c r="M705" s="256"/>
      <c r="N705" s="256"/>
      <c r="O705" s="256"/>
      <c r="P705" s="256"/>
      <c r="Q705" s="256"/>
      <c r="R705" s="256"/>
      <c r="S705" s="256"/>
      <c r="T705" s="256"/>
      <c r="U705" s="256"/>
      <c r="V705" s="256"/>
      <c r="W705" s="256"/>
      <c r="X705" s="256"/>
      <c r="Y705" s="256"/>
      <c r="Z705" s="256"/>
      <c r="AA705" s="256"/>
      <c r="AB705" s="256"/>
      <c r="AC705" s="256"/>
      <c r="AD705" s="256"/>
      <c r="AE705" s="256"/>
      <c r="AF705" s="256"/>
      <c r="AG705" s="256"/>
      <c r="AH705" s="256"/>
      <c r="AI705" s="256"/>
      <c r="AJ705" s="256"/>
      <c r="AK705" s="256"/>
      <c r="AL705" s="256"/>
      <c r="AM705" s="256"/>
      <c r="AN705" s="256"/>
      <c r="AO705" s="256"/>
      <c r="AP705" s="256"/>
      <c r="AQ705" s="256"/>
      <c r="AR705" s="256"/>
    </row>
    <row r="706">
      <c r="A706" s="256"/>
      <c r="B706" s="256"/>
      <c r="C706" s="257"/>
      <c r="D706" s="257"/>
      <c r="E706" s="257"/>
      <c r="F706" s="257"/>
      <c r="G706" s="257"/>
      <c r="H706" s="257"/>
      <c r="I706" s="256"/>
      <c r="J706" s="256"/>
      <c r="K706" s="256"/>
      <c r="L706" s="256"/>
      <c r="M706" s="256"/>
      <c r="N706" s="256"/>
      <c r="O706" s="256"/>
      <c r="P706" s="256"/>
      <c r="Q706" s="256"/>
      <c r="R706" s="256"/>
      <c r="S706" s="256"/>
      <c r="T706" s="256"/>
      <c r="U706" s="256"/>
      <c r="V706" s="256"/>
      <c r="W706" s="256"/>
      <c r="X706" s="256"/>
      <c r="Y706" s="256"/>
      <c r="Z706" s="256"/>
      <c r="AA706" s="256"/>
      <c r="AB706" s="256"/>
      <c r="AC706" s="256"/>
      <c r="AD706" s="256"/>
      <c r="AE706" s="256"/>
      <c r="AF706" s="256"/>
      <c r="AG706" s="256"/>
      <c r="AH706" s="256"/>
      <c r="AI706" s="256"/>
      <c r="AJ706" s="256"/>
      <c r="AK706" s="256"/>
      <c r="AL706" s="256"/>
      <c r="AM706" s="256"/>
      <c r="AN706" s="256"/>
      <c r="AO706" s="256"/>
      <c r="AP706" s="256"/>
      <c r="AQ706" s="256"/>
      <c r="AR706" s="256"/>
    </row>
    <row r="707">
      <c r="A707" s="256"/>
      <c r="B707" s="256"/>
      <c r="C707" s="257"/>
      <c r="D707" s="257"/>
      <c r="E707" s="257"/>
      <c r="F707" s="257"/>
      <c r="G707" s="257"/>
      <c r="H707" s="257"/>
      <c r="I707" s="256"/>
      <c r="J707" s="256"/>
      <c r="K707" s="256"/>
      <c r="L707" s="256"/>
      <c r="M707" s="256"/>
      <c r="N707" s="256"/>
      <c r="O707" s="256"/>
      <c r="P707" s="256"/>
      <c r="Q707" s="256"/>
      <c r="R707" s="256"/>
      <c r="S707" s="256"/>
      <c r="T707" s="256"/>
      <c r="U707" s="256"/>
      <c r="V707" s="256"/>
      <c r="W707" s="256"/>
      <c r="X707" s="256"/>
      <c r="Y707" s="256"/>
      <c r="Z707" s="256"/>
      <c r="AA707" s="256"/>
      <c r="AB707" s="256"/>
      <c r="AC707" s="256"/>
      <c r="AD707" s="256"/>
      <c r="AE707" s="256"/>
      <c r="AF707" s="256"/>
      <c r="AG707" s="256"/>
      <c r="AH707" s="256"/>
      <c r="AI707" s="256"/>
      <c r="AJ707" s="256"/>
      <c r="AK707" s="256"/>
      <c r="AL707" s="256"/>
      <c r="AM707" s="256"/>
      <c r="AN707" s="256"/>
      <c r="AO707" s="256"/>
      <c r="AP707" s="256"/>
      <c r="AQ707" s="256"/>
      <c r="AR707" s="256"/>
    </row>
    <row r="708">
      <c r="A708" s="256"/>
      <c r="B708" s="256"/>
      <c r="C708" s="257"/>
      <c r="D708" s="257"/>
      <c r="E708" s="257"/>
      <c r="F708" s="257"/>
      <c r="G708" s="257"/>
      <c r="H708" s="257"/>
      <c r="I708" s="256"/>
      <c r="J708" s="256"/>
      <c r="K708" s="256"/>
      <c r="L708" s="256"/>
      <c r="M708" s="256"/>
      <c r="N708" s="256"/>
      <c r="O708" s="256"/>
      <c r="P708" s="256"/>
      <c r="Q708" s="256"/>
      <c r="R708" s="256"/>
      <c r="S708" s="256"/>
      <c r="T708" s="256"/>
      <c r="U708" s="256"/>
      <c r="V708" s="256"/>
      <c r="W708" s="256"/>
      <c r="X708" s="256"/>
      <c r="Y708" s="256"/>
      <c r="Z708" s="256"/>
      <c r="AA708" s="256"/>
      <c r="AB708" s="256"/>
      <c r="AC708" s="256"/>
      <c r="AD708" s="256"/>
      <c r="AE708" s="256"/>
      <c r="AF708" s="256"/>
      <c r="AG708" s="256"/>
      <c r="AH708" s="256"/>
      <c r="AI708" s="256"/>
      <c r="AJ708" s="256"/>
      <c r="AK708" s="256"/>
      <c r="AL708" s="256"/>
      <c r="AM708" s="256"/>
      <c r="AN708" s="256"/>
      <c r="AO708" s="256"/>
      <c r="AP708" s="256"/>
      <c r="AQ708" s="256"/>
      <c r="AR708" s="256"/>
    </row>
    <row r="709">
      <c r="A709" s="256"/>
      <c r="B709" s="256"/>
      <c r="C709" s="257"/>
      <c r="D709" s="257"/>
      <c r="E709" s="257"/>
      <c r="F709" s="257"/>
      <c r="G709" s="257"/>
      <c r="H709" s="257"/>
      <c r="I709" s="256"/>
      <c r="J709" s="256"/>
      <c r="K709" s="256"/>
      <c r="L709" s="256"/>
      <c r="M709" s="256"/>
      <c r="N709" s="256"/>
      <c r="O709" s="256"/>
      <c r="P709" s="256"/>
      <c r="Q709" s="256"/>
      <c r="R709" s="256"/>
      <c r="S709" s="256"/>
      <c r="T709" s="256"/>
      <c r="U709" s="256"/>
      <c r="V709" s="256"/>
      <c r="W709" s="256"/>
      <c r="X709" s="256"/>
      <c r="Y709" s="256"/>
      <c r="Z709" s="256"/>
      <c r="AA709" s="256"/>
      <c r="AB709" s="256"/>
      <c r="AC709" s="256"/>
      <c r="AD709" s="256"/>
      <c r="AE709" s="256"/>
      <c r="AF709" s="256"/>
      <c r="AG709" s="256"/>
      <c r="AH709" s="256"/>
      <c r="AI709" s="256"/>
      <c r="AJ709" s="256"/>
      <c r="AK709" s="256"/>
      <c r="AL709" s="256"/>
      <c r="AM709" s="256"/>
      <c r="AN709" s="256"/>
      <c r="AO709" s="256"/>
      <c r="AP709" s="256"/>
      <c r="AQ709" s="256"/>
      <c r="AR709" s="256"/>
    </row>
    <row r="710">
      <c r="A710" s="256"/>
      <c r="B710" s="256"/>
      <c r="C710" s="257"/>
      <c r="D710" s="257"/>
      <c r="E710" s="257"/>
      <c r="F710" s="257"/>
      <c r="G710" s="257"/>
      <c r="H710" s="257"/>
      <c r="I710" s="256"/>
      <c r="J710" s="256"/>
      <c r="K710" s="256"/>
      <c r="L710" s="256"/>
      <c r="M710" s="256"/>
      <c r="N710" s="256"/>
      <c r="O710" s="256"/>
      <c r="P710" s="256"/>
      <c r="Q710" s="256"/>
      <c r="R710" s="256"/>
      <c r="S710" s="256"/>
      <c r="T710" s="256"/>
      <c r="U710" s="256"/>
      <c r="V710" s="256"/>
      <c r="W710" s="256"/>
      <c r="X710" s="256"/>
      <c r="Y710" s="256"/>
      <c r="Z710" s="256"/>
      <c r="AA710" s="256"/>
      <c r="AB710" s="256"/>
      <c r="AC710" s="256"/>
      <c r="AD710" s="256"/>
      <c r="AE710" s="256"/>
      <c r="AF710" s="256"/>
      <c r="AG710" s="256"/>
      <c r="AH710" s="256"/>
      <c r="AI710" s="256"/>
      <c r="AJ710" s="256"/>
      <c r="AK710" s="256"/>
      <c r="AL710" s="256"/>
      <c r="AM710" s="256"/>
      <c r="AN710" s="256"/>
      <c r="AO710" s="256"/>
      <c r="AP710" s="256"/>
      <c r="AQ710" s="256"/>
      <c r="AR710" s="256"/>
    </row>
    <row r="711">
      <c r="A711" s="256"/>
      <c r="B711" s="256"/>
      <c r="C711" s="257"/>
      <c r="D711" s="257"/>
      <c r="E711" s="257"/>
      <c r="F711" s="257"/>
      <c r="G711" s="257"/>
      <c r="H711" s="257"/>
      <c r="I711" s="256"/>
      <c r="J711" s="256"/>
      <c r="K711" s="256"/>
      <c r="L711" s="256"/>
      <c r="M711" s="256"/>
      <c r="N711" s="256"/>
      <c r="O711" s="256"/>
      <c r="P711" s="256"/>
      <c r="Q711" s="256"/>
      <c r="R711" s="256"/>
      <c r="S711" s="256"/>
      <c r="T711" s="256"/>
      <c r="U711" s="256"/>
      <c r="V711" s="256"/>
      <c r="W711" s="256"/>
      <c r="X711" s="256"/>
      <c r="Y711" s="256"/>
      <c r="Z711" s="256"/>
      <c r="AA711" s="256"/>
      <c r="AB711" s="256"/>
      <c r="AC711" s="256"/>
      <c r="AD711" s="256"/>
      <c r="AE711" s="256"/>
      <c r="AF711" s="256"/>
      <c r="AG711" s="256"/>
      <c r="AH711" s="256"/>
      <c r="AI711" s="256"/>
      <c r="AJ711" s="256"/>
      <c r="AK711" s="256"/>
      <c r="AL711" s="256"/>
      <c r="AM711" s="256"/>
      <c r="AN711" s="256"/>
      <c r="AO711" s="256"/>
      <c r="AP711" s="256"/>
      <c r="AQ711" s="256"/>
      <c r="AR711" s="256"/>
    </row>
    <row r="712">
      <c r="A712" s="256"/>
      <c r="B712" s="256"/>
      <c r="C712" s="257"/>
      <c r="D712" s="257"/>
      <c r="E712" s="257"/>
      <c r="F712" s="257"/>
      <c r="G712" s="257"/>
      <c r="H712" s="257"/>
      <c r="I712" s="256"/>
      <c r="J712" s="256"/>
      <c r="K712" s="256"/>
      <c r="L712" s="256"/>
      <c r="M712" s="256"/>
      <c r="N712" s="256"/>
      <c r="O712" s="256"/>
      <c r="P712" s="256"/>
      <c r="Q712" s="256"/>
      <c r="R712" s="256"/>
      <c r="S712" s="256"/>
      <c r="T712" s="256"/>
      <c r="U712" s="256"/>
      <c r="V712" s="256"/>
      <c r="W712" s="256"/>
      <c r="X712" s="256"/>
      <c r="Y712" s="256"/>
      <c r="Z712" s="256"/>
      <c r="AA712" s="256"/>
      <c r="AB712" s="256"/>
      <c r="AC712" s="256"/>
      <c r="AD712" s="256"/>
      <c r="AE712" s="256"/>
      <c r="AF712" s="256"/>
      <c r="AG712" s="256"/>
      <c r="AH712" s="256"/>
      <c r="AI712" s="256"/>
      <c r="AJ712" s="256"/>
      <c r="AK712" s="256"/>
      <c r="AL712" s="256"/>
      <c r="AM712" s="256"/>
      <c r="AN712" s="256"/>
      <c r="AO712" s="256"/>
      <c r="AP712" s="256"/>
      <c r="AQ712" s="256"/>
      <c r="AR712" s="256"/>
    </row>
    <row r="713">
      <c r="A713" s="256"/>
      <c r="B713" s="256"/>
      <c r="C713" s="257"/>
      <c r="D713" s="257"/>
      <c r="E713" s="257"/>
      <c r="F713" s="257"/>
      <c r="G713" s="257"/>
      <c r="H713" s="257"/>
      <c r="I713" s="256"/>
      <c r="J713" s="256"/>
      <c r="K713" s="256"/>
      <c r="L713" s="256"/>
      <c r="M713" s="256"/>
      <c r="N713" s="256"/>
      <c r="O713" s="256"/>
      <c r="P713" s="256"/>
      <c r="Q713" s="256"/>
      <c r="R713" s="256"/>
      <c r="S713" s="256"/>
      <c r="T713" s="256"/>
      <c r="U713" s="256"/>
      <c r="V713" s="256"/>
      <c r="W713" s="256"/>
      <c r="X713" s="256"/>
      <c r="Y713" s="256"/>
      <c r="Z713" s="256"/>
      <c r="AA713" s="256"/>
      <c r="AB713" s="256"/>
      <c r="AC713" s="256"/>
      <c r="AD713" s="256"/>
      <c r="AE713" s="256"/>
      <c r="AF713" s="256"/>
      <c r="AG713" s="256"/>
      <c r="AH713" s="256"/>
      <c r="AI713" s="256"/>
      <c r="AJ713" s="256"/>
      <c r="AK713" s="256"/>
      <c r="AL713" s="256"/>
      <c r="AM713" s="256"/>
      <c r="AN713" s="256"/>
      <c r="AO713" s="256"/>
      <c r="AP713" s="256"/>
      <c r="AQ713" s="256"/>
      <c r="AR713" s="256"/>
    </row>
    <row r="714">
      <c r="A714" s="256"/>
      <c r="B714" s="256"/>
      <c r="C714" s="257"/>
      <c r="D714" s="257"/>
      <c r="E714" s="257"/>
      <c r="F714" s="257"/>
      <c r="G714" s="257"/>
      <c r="H714" s="257"/>
      <c r="I714" s="256"/>
      <c r="J714" s="256"/>
      <c r="K714" s="256"/>
      <c r="L714" s="256"/>
      <c r="M714" s="256"/>
      <c r="N714" s="256"/>
      <c r="O714" s="256"/>
      <c r="P714" s="256"/>
      <c r="Q714" s="256"/>
      <c r="R714" s="256"/>
      <c r="S714" s="256"/>
      <c r="T714" s="256"/>
      <c r="U714" s="256"/>
      <c r="V714" s="256"/>
      <c r="W714" s="256"/>
      <c r="X714" s="256"/>
      <c r="Y714" s="256"/>
      <c r="Z714" s="256"/>
      <c r="AA714" s="256"/>
      <c r="AB714" s="256"/>
      <c r="AC714" s="256"/>
      <c r="AD714" s="256"/>
      <c r="AE714" s="256"/>
      <c r="AF714" s="256"/>
      <c r="AG714" s="256"/>
      <c r="AH714" s="256"/>
      <c r="AI714" s="256"/>
      <c r="AJ714" s="256"/>
      <c r="AK714" s="256"/>
      <c r="AL714" s="256"/>
      <c r="AM714" s="256"/>
      <c r="AN714" s="256"/>
      <c r="AO714" s="256"/>
      <c r="AP714" s="256"/>
      <c r="AQ714" s="256"/>
      <c r="AR714" s="256"/>
    </row>
    <row r="715">
      <c r="A715" s="256"/>
      <c r="B715" s="256"/>
      <c r="C715" s="257"/>
      <c r="D715" s="257"/>
      <c r="E715" s="257"/>
      <c r="F715" s="257"/>
      <c r="G715" s="257"/>
      <c r="H715" s="257"/>
      <c r="I715" s="256"/>
      <c r="J715" s="256"/>
      <c r="K715" s="256"/>
      <c r="L715" s="256"/>
      <c r="M715" s="256"/>
      <c r="N715" s="256"/>
      <c r="O715" s="256"/>
      <c r="P715" s="256"/>
      <c r="Q715" s="256"/>
      <c r="R715" s="256"/>
      <c r="S715" s="256"/>
      <c r="T715" s="256"/>
      <c r="U715" s="256"/>
      <c r="V715" s="256"/>
      <c r="W715" s="256"/>
      <c r="X715" s="256"/>
      <c r="Y715" s="256"/>
      <c r="Z715" s="256"/>
      <c r="AA715" s="256"/>
      <c r="AB715" s="256"/>
      <c r="AC715" s="256"/>
      <c r="AD715" s="256"/>
      <c r="AE715" s="256"/>
      <c r="AF715" s="256"/>
      <c r="AG715" s="256"/>
      <c r="AH715" s="256"/>
      <c r="AI715" s="256"/>
      <c r="AJ715" s="256"/>
      <c r="AK715" s="256"/>
      <c r="AL715" s="256"/>
      <c r="AM715" s="256"/>
      <c r="AN715" s="256"/>
      <c r="AO715" s="256"/>
      <c r="AP715" s="256"/>
      <c r="AQ715" s="256"/>
      <c r="AR715" s="256"/>
    </row>
    <row r="716">
      <c r="A716" s="256"/>
      <c r="B716" s="256"/>
      <c r="C716" s="257"/>
      <c r="D716" s="257"/>
      <c r="E716" s="257"/>
      <c r="F716" s="257"/>
      <c r="G716" s="257"/>
      <c r="H716" s="257"/>
      <c r="I716" s="256"/>
      <c r="J716" s="256"/>
      <c r="K716" s="256"/>
      <c r="L716" s="256"/>
      <c r="M716" s="256"/>
      <c r="N716" s="256"/>
      <c r="O716" s="256"/>
      <c r="P716" s="256"/>
      <c r="Q716" s="256"/>
      <c r="R716" s="256"/>
      <c r="S716" s="256"/>
      <c r="T716" s="256"/>
      <c r="U716" s="256"/>
      <c r="V716" s="256"/>
      <c r="W716" s="256"/>
      <c r="X716" s="256"/>
      <c r="Y716" s="256"/>
      <c r="Z716" s="256"/>
      <c r="AA716" s="256"/>
      <c r="AB716" s="256"/>
      <c r="AC716" s="256"/>
      <c r="AD716" s="256"/>
      <c r="AE716" s="256"/>
      <c r="AF716" s="256"/>
      <c r="AG716" s="256"/>
      <c r="AH716" s="256"/>
      <c r="AI716" s="256"/>
      <c r="AJ716" s="256"/>
      <c r="AK716" s="256"/>
      <c r="AL716" s="256"/>
      <c r="AM716" s="256"/>
      <c r="AN716" s="256"/>
      <c r="AO716" s="256"/>
      <c r="AP716" s="256"/>
      <c r="AQ716" s="256"/>
      <c r="AR716" s="256"/>
    </row>
    <row r="717">
      <c r="A717" s="256"/>
      <c r="B717" s="256"/>
      <c r="C717" s="257"/>
      <c r="D717" s="257"/>
      <c r="E717" s="257"/>
      <c r="F717" s="257"/>
      <c r="G717" s="257"/>
      <c r="H717" s="257"/>
      <c r="I717" s="256"/>
      <c r="J717" s="256"/>
      <c r="K717" s="256"/>
      <c r="L717" s="256"/>
      <c r="M717" s="256"/>
      <c r="N717" s="256"/>
      <c r="O717" s="256"/>
      <c r="P717" s="256"/>
      <c r="Q717" s="256"/>
      <c r="R717" s="256"/>
      <c r="S717" s="256"/>
      <c r="T717" s="256"/>
      <c r="U717" s="256"/>
      <c r="V717" s="256"/>
      <c r="W717" s="256"/>
      <c r="X717" s="256"/>
      <c r="Y717" s="256"/>
      <c r="Z717" s="256"/>
      <c r="AA717" s="256"/>
      <c r="AB717" s="256"/>
      <c r="AC717" s="256"/>
      <c r="AD717" s="256"/>
      <c r="AE717" s="256"/>
      <c r="AF717" s="256"/>
      <c r="AG717" s="256"/>
      <c r="AH717" s="256"/>
      <c r="AI717" s="256"/>
      <c r="AJ717" s="256"/>
      <c r="AK717" s="256"/>
      <c r="AL717" s="256"/>
      <c r="AM717" s="256"/>
      <c r="AN717" s="256"/>
      <c r="AO717" s="256"/>
      <c r="AP717" s="256"/>
      <c r="AQ717" s="256"/>
      <c r="AR717" s="256"/>
    </row>
    <row r="718">
      <c r="A718" s="256"/>
      <c r="B718" s="256"/>
      <c r="C718" s="257"/>
      <c r="D718" s="257"/>
      <c r="E718" s="257"/>
      <c r="F718" s="257"/>
      <c r="G718" s="257"/>
      <c r="H718" s="257"/>
      <c r="I718" s="256"/>
      <c r="J718" s="256"/>
      <c r="K718" s="256"/>
      <c r="L718" s="256"/>
      <c r="M718" s="256"/>
      <c r="N718" s="256"/>
      <c r="O718" s="256"/>
      <c r="P718" s="256"/>
      <c r="Q718" s="256"/>
      <c r="R718" s="256"/>
      <c r="S718" s="256"/>
      <c r="T718" s="256"/>
      <c r="U718" s="256"/>
      <c r="V718" s="256"/>
      <c r="W718" s="256"/>
      <c r="X718" s="256"/>
      <c r="Y718" s="256"/>
      <c r="Z718" s="256"/>
      <c r="AA718" s="256"/>
      <c r="AB718" s="256"/>
      <c r="AC718" s="256"/>
      <c r="AD718" s="256"/>
      <c r="AE718" s="256"/>
      <c r="AF718" s="256"/>
      <c r="AG718" s="256"/>
      <c r="AH718" s="256"/>
      <c r="AI718" s="256"/>
      <c r="AJ718" s="256"/>
      <c r="AK718" s="256"/>
      <c r="AL718" s="256"/>
      <c r="AM718" s="256"/>
      <c r="AN718" s="256"/>
      <c r="AO718" s="256"/>
      <c r="AP718" s="256"/>
      <c r="AQ718" s="256"/>
      <c r="AR718" s="256"/>
    </row>
    <row r="719">
      <c r="A719" s="256"/>
      <c r="B719" s="256"/>
      <c r="C719" s="257"/>
      <c r="D719" s="257"/>
      <c r="E719" s="257"/>
      <c r="F719" s="257"/>
      <c r="G719" s="257"/>
      <c r="H719" s="257"/>
      <c r="I719" s="256"/>
      <c r="J719" s="256"/>
      <c r="K719" s="256"/>
      <c r="L719" s="256"/>
      <c r="M719" s="256"/>
      <c r="N719" s="256"/>
      <c r="O719" s="256"/>
      <c r="P719" s="256"/>
      <c r="Q719" s="256"/>
      <c r="R719" s="256"/>
      <c r="S719" s="256"/>
      <c r="T719" s="256"/>
      <c r="U719" s="256"/>
      <c r="V719" s="256"/>
      <c r="W719" s="256"/>
      <c r="X719" s="256"/>
      <c r="Y719" s="256"/>
      <c r="Z719" s="256"/>
      <c r="AA719" s="256"/>
      <c r="AB719" s="256"/>
      <c r="AC719" s="256"/>
      <c r="AD719" s="256"/>
      <c r="AE719" s="256"/>
      <c r="AF719" s="256"/>
      <c r="AG719" s="256"/>
      <c r="AH719" s="256"/>
      <c r="AI719" s="256"/>
      <c r="AJ719" s="256"/>
      <c r="AK719" s="256"/>
      <c r="AL719" s="256"/>
      <c r="AM719" s="256"/>
      <c r="AN719" s="256"/>
      <c r="AO719" s="256"/>
      <c r="AP719" s="256"/>
      <c r="AQ719" s="256"/>
      <c r="AR719" s="256"/>
    </row>
    <row r="720">
      <c r="A720" s="256"/>
      <c r="B720" s="256"/>
      <c r="C720" s="257"/>
      <c r="D720" s="257"/>
      <c r="E720" s="257"/>
      <c r="F720" s="257"/>
      <c r="G720" s="257"/>
      <c r="H720" s="257"/>
      <c r="I720" s="256"/>
      <c r="J720" s="256"/>
      <c r="K720" s="256"/>
      <c r="L720" s="256"/>
      <c r="M720" s="256"/>
      <c r="N720" s="256"/>
      <c r="O720" s="256"/>
      <c r="P720" s="256"/>
      <c r="Q720" s="256"/>
      <c r="R720" s="256"/>
      <c r="S720" s="256"/>
      <c r="T720" s="256"/>
      <c r="U720" s="256"/>
      <c r="V720" s="256"/>
      <c r="W720" s="256"/>
      <c r="X720" s="256"/>
      <c r="Y720" s="256"/>
      <c r="Z720" s="256"/>
      <c r="AA720" s="256"/>
      <c r="AB720" s="256"/>
      <c r="AC720" s="256"/>
      <c r="AD720" s="256"/>
      <c r="AE720" s="256"/>
      <c r="AF720" s="256"/>
      <c r="AG720" s="256"/>
      <c r="AH720" s="256"/>
      <c r="AI720" s="256"/>
      <c r="AJ720" s="256"/>
      <c r="AK720" s="256"/>
      <c r="AL720" s="256"/>
      <c r="AM720" s="256"/>
      <c r="AN720" s="256"/>
      <c r="AO720" s="256"/>
      <c r="AP720" s="256"/>
      <c r="AQ720" s="256"/>
      <c r="AR720" s="256"/>
    </row>
    <row r="721">
      <c r="A721" s="256"/>
      <c r="B721" s="256"/>
      <c r="C721" s="257"/>
      <c r="D721" s="257"/>
      <c r="E721" s="257"/>
      <c r="F721" s="257"/>
      <c r="G721" s="257"/>
      <c r="H721" s="257"/>
      <c r="I721" s="256"/>
      <c r="J721" s="256"/>
      <c r="K721" s="256"/>
      <c r="L721" s="256"/>
      <c r="M721" s="256"/>
      <c r="N721" s="256"/>
      <c r="O721" s="256"/>
      <c r="P721" s="256"/>
      <c r="Q721" s="256"/>
      <c r="R721" s="256"/>
      <c r="S721" s="256"/>
      <c r="T721" s="256"/>
      <c r="U721" s="256"/>
      <c r="V721" s="256"/>
      <c r="W721" s="256"/>
      <c r="X721" s="256"/>
      <c r="Y721" s="256"/>
      <c r="Z721" s="256"/>
      <c r="AA721" s="256"/>
      <c r="AB721" s="256"/>
      <c r="AC721" s="256"/>
      <c r="AD721" s="256"/>
      <c r="AE721" s="256"/>
      <c r="AF721" s="256"/>
      <c r="AG721" s="256"/>
      <c r="AH721" s="256"/>
      <c r="AI721" s="256"/>
      <c r="AJ721" s="256"/>
      <c r="AK721" s="256"/>
      <c r="AL721" s="256"/>
      <c r="AM721" s="256"/>
      <c r="AN721" s="256"/>
      <c r="AO721" s="256"/>
      <c r="AP721" s="256"/>
      <c r="AQ721" s="256"/>
      <c r="AR721" s="256"/>
    </row>
    <row r="722">
      <c r="A722" s="256"/>
      <c r="B722" s="256"/>
      <c r="C722" s="257"/>
      <c r="D722" s="257"/>
      <c r="E722" s="257"/>
      <c r="F722" s="257"/>
      <c r="G722" s="257"/>
      <c r="H722" s="257"/>
      <c r="I722" s="256"/>
      <c r="J722" s="256"/>
      <c r="K722" s="256"/>
      <c r="L722" s="256"/>
      <c r="M722" s="256"/>
      <c r="N722" s="256"/>
      <c r="O722" s="256"/>
      <c r="P722" s="256"/>
      <c r="Q722" s="256"/>
      <c r="R722" s="256"/>
      <c r="S722" s="256"/>
      <c r="T722" s="256"/>
      <c r="U722" s="256"/>
      <c r="V722" s="256"/>
      <c r="W722" s="256"/>
      <c r="X722" s="256"/>
      <c r="Y722" s="256"/>
      <c r="Z722" s="256"/>
      <c r="AA722" s="256"/>
      <c r="AB722" s="256"/>
      <c r="AC722" s="256"/>
      <c r="AD722" s="256"/>
      <c r="AE722" s="256"/>
      <c r="AF722" s="256"/>
      <c r="AG722" s="256"/>
      <c r="AH722" s="256"/>
      <c r="AI722" s="256"/>
      <c r="AJ722" s="256"/>
      <c r="AK722" s="256"/>
      <c r="AL722" s="256"/>
      <c r="AM722" s="256"/>
      <c r="AN722" s="256"/>
      <c r="AO722" s="256"/>
      <c r="AP722" s="256"/>
      <c r="AQ722" s="256"/>
      <c r="AR722" s="256"/>
    </row>
    <row r="723">
      <c r="A723" s="256"/>
      <c r="B723" s="256"/>
      <c r="C723" s="257"/>
      <c r="D723" s="257"/>
      <c r="E723" s="257"/>
      <c r="F723" s="257"/>
      <c r="G723" s="257"/>
      <c r="H723" s="257"/>
      <c r="I723" s="256"/>
      <c r="J723" s="256"/>
      <c r="K723" s="256"/>
      <c r="L723" s="256"/>
      <c r="M723" s="256"/>
      <c r="N723" s="256"/>
      <c r="O723" s="256"/>
      <c r="P723" s="256"/>
      <c r="Q723" s="256"/>
      <c r="R723" s="256"/>
      <c r="S723" s="256"/>
      <c r="T723" s="256"/>
      <c r="U723" s="256"/>
      <c r="V723" s="256"/>
      <c r="W723" s="256"/>
      <c r="X723" s="256"/>
      <c r="Y723" s="256"/>
      <c r="Z723" s="256"/>
      <c r="AA723" s="256"/>
      <c r="AB723" s="256"/>
      <c r="AC723" s="256"/>
      <c r="AD723" s="256"/>
      <c r="AE723" s="256"/>
      <c r="AF723" s="256"/>
      <c r="AG723" s="256"/>
      <c r="AH723" s="256"/>
      <c r="AI723" s="256"/>
      <c r="AJ723" s="256"/>
      <c r="AK723" s="256"/>
      <c r="AL723" s="256"/>
      <c r="AM723" s="256"/>
      <c r="AN723" s="256"/>
      <c r="AO723" s="256"/>
      <c r="AP723" s="256"/>
      <c r="AQ723" s="256"/>
      <c r="AR723" s="256"/>
    </row>
    <row r="724">
      <c r="A724" s="256"/>
      <c r="B724" s="256"/>
      <c r="C724" s="257"/>
      <c r="D724" s="257"/>
      <c r="E724" s="257"/>
      <c r="F724" s="257"/>
      <c r="G724" s="257"/>
      <c r="H724" s="257"/>
      <c r="I724" s="256"/>
      <c r="J724" s="256"/>
      <c r="K724" s="256"/>
      <c r="L724" s="256"/>
      <c r="M724" s="256"/>
      <c r="N724" s="256"/>
      <c r="O724" s="256"/>
      <c r="P724" s="256"/>
      <c r="Q724" s="256"/>
      <c r="R724" s="256"/>
      <c r="S724" s="256"/>
      <c r="T724" s="256"/>
      <c r="U724" s="256"/>
      <c r="V724" s="256"/>
      <c r="W724" s="256"/>
      <c r="X724" s="256"/>
      <c r="Y724" s="256"/>
      <c r="Z724" s="256"/>
      <c r="AA724" s="256"/>
      <c r="AB724" s="256"/>
      <c r="AC724" s="256"/>
      <c r="AD724" s="256"/>
      <c r="AE724" s="256"/>
      <c r="AF724" s="256"/>
      <c r="AG724" s="256"/>
      <c r="AH724" s="256"/>
      <c r="AI724" s="256"/>
      <c r="AJ724" s="256"/>
      <c r="AK724" s="256"/>
      <c r="AL724" s="256"/>
      <c r="AM724" s="256"/>
      <c r="AN724" s="256"/>
      <c r="AO724" s="256"/>
      <c r="AP724" s="256"/>
      <c r="AQ724" s="256"/>
      <c r="AR724" s="256"/>
    </row>
    <row r="725">
      <c r="A725" s="256"/>
      <c r="B725" s="256"/>
      <c r="C725" s="257"/>
      <c r="D725" s="257"/>
      <c r="E725" s="257"/>
      <c r="F725" s="257"/>
      <c r="G725" s="257"/>
      <c r="H725" s="257"/>
      <c r="I725" s="256"/>
      <c r="J725" s="256"/>
      <c r="K725" s="256"/>
      <c r="L725" s="256"/>
      <c r="M725" s="256"/>
      <c r="N725" s="256"/>
      <c r="O725" s="256"/>
      <c r="P725" s="256"/>
      <c r="Q725" s="256"/>
      <c r="R725" s="256"/>
      <c r="S725" s="256"/>
      <c r="T725" s="256"/>
      <c r="U725" s="256"/>
      <c r="V725" s="256"/>
      <c r="W725" s="256"/>
      <c r="X725" s="256"/>
      <c r="Y725" s="256"/>
      <c r="Z725" s="256"/>
      <c r="AA725" s="256"/>
      <c r="AB725" s="256"/>
      <c r="AC725" s="256"/>
      <c r="AD725" s="256"/>
      <c r="AE725" s="256"/>
      <c r="AF725" s="256"/>
      <c r="AG725" s="256"/>
      <c r="AH725" s="256"/>
      <c r="AI725" s="256"/>
      <c r="AJ725" s="256"/>
      <c r="AK725" s="256"/>
      <c r="AL725" s="256"/>
      <c r="AM725" s="256"/>
      <c r="AN725" s="256"/>
      <c r="AO725" s="256"/>
      <c r="AP725" s="256"/>
      <c r="AQ725" s="256"/>
      <c r="AR725" s="256"/>
    </row>
    <row r="726">
      <c r="A726" s="256"/>
      <c r="B726" s="256"/>
      <c r="C726" s="257"/>
      <c r="D726" s="257"/>
      <c r="E726" s="257"/>
      <c r="F726" s="257"/>
      <c r="G726" s="257"/>
      <c r="H726" s="257"/>
      <c r="I726" s="256"/>
      <c r="J726" s="256"/>
      <c r="K726" s="256"/>
      <c r="L726" s="256"/>
      <c r="M726" s="256"/>
      <c r="N726" s="256"/>
      <c r="O726" s="256"/>
      <c r="P726" s="256"/>
      <c r="Q726" s="256"/>
      <c r="R726" s="256"/>
      <c r="S726" s="256"/>
      <c r="T726" s="256"/>
      <c r="U726" s="256"/>
      <c r="V726" s="256"/>
      <c r="W726" s="256"/>
      <c r="X726" s="256"/>
      <c r="Y726" s="256"/>
      <c r="Z726" s="256"/>
      <c r="AA726" s="256"/>
      <c r="AB726" s="256"/>
      <c r="AC726" s="256"/>
      <c r="AD726" s="256"/>
      <c r="AE726" s="256"/>
      <c r="AF726" s="256"/>
      <c r="AG726" s="256"/>
      <c r="AH726" s="256"/>
      <c r="AI726" s="256"/>
      <c r="AJ726" s="256"/>
      <c r="AK726" s="256"/>
      <c r="AL726" s="256"/>
      <c r="AM726" s="256"/>
      <c r="AN726" s="256"/>
      <c r="AO726" s="256"/>
      <c r="AP726" s="256"/>
      <c r="AQ726" s="256"/>
      <c r="AR726" s="256"/>
    </row>
    <row r="727">
      <c r="A727" s="256"/>
      <c r="B727" s="256"/>
      <c r="C727" s="257"/>
      <c r="D727" s="257"/>
      <c r="E727" s="257"/>
      <c r="F727" s="257"/>
      <c r="G727" s="257"/>
      <c r="H727" s="257"/>
      <c r="I727" s="256"/>
      <c r="J727" s="256"/>
      <c r="K727" s="256"/>
      <c r="L727" s="256"/>
      <c r="M727" s="256"/>
      <c r="N727" s="256"/>
      <c r="O727" s="256"/>
      <c r="P727" s="256"/>
      <c r="Q727" s="256"/>
      <c r="R727" s="256"/>
      <c r="S727" s="256"/>
      <c r="T727" s="256"/>
      <c r="U727" s="256"/>
      <c r="V727" s="256"/>
      <c r="W727" s="256"/>
      <c r="X727" s="256"/>
      <c r="Y727" s="256"/>
      <c r="Z727" s="256"/>
      <c r="AA727" s="256"/>
      <c r="AB727" s="256"/>
      <c r="AC727" s="256"/>
      <c r="AD727" s="256"/>
      <c r="AE727" s="256"/>
      <c r="AF727" s="256"/>
      <c r="AG727" s="256"/>
      <c r="AH727" s="256"/>
      <c r="AI727" s="256"/>
      <c r="AJ727" s="256"/>
      <c r="AK727" s="256"/>
      <c r="AL727" s="256"/>
      <c r="AM727" s="256"/>
      <c r="AN727" s="256"/>
      <c r="AO727" s="256"/>
      <c r="AP727" s="256"/>
      <c r="AQ727" s="256"/>
      <c r="AR727" s="256"/>
    </row>
    <row r="728">
      <c r="A728" s="256"/>
      <c r="B728" s="256"/>
      <c r="C728" s="257"/>
      <c r="D728" s="257"/>
      <c r="E728" s="257"/>
      <c r="F728" s="257"/>
      <c r="G728" s="257"/>
      <c r="H728" s="257"/>
      <c r="I728" s="256"/>
      <c r="J728" s="256"/>
      <c r="K728" s="256"/>
      <c r="L728" s="256"/>
      <c r="M728" s="256"/>
      <c r="N728" s="256"/>
      <c r="O728" s="256"/>
      <c r="P728" s="256"/>
      <c r="Q728" s="256"/>
      <c r="R728" s="256"/>
      <c r="S728" s="256"/>
      <c r="T728" s="256"/>
      <c r="U728" s="256"/>
      <c r="V728" s="256"/>
      <c r="W728" s="256"/>
      <c r="X728" s="256"/>
      <c r="Y728" s="256"/>
      <c r="Z728" s="256"/>
      <c r="AA728" s="256"/>
      <c r="AB728" s="256"/>
      <c r="AC728" s="256"/>
      <c r="AD728" s="256"/>
      <c r="AE728" s="256"/>
      <c r="AF728" s="256"/>
      <c r="AG728" s="256"/>
      <c r="AH728" s="256"/>
      <c r="AI728" s="256"/>
      <c r="AJ728" s="256"/>
      <c r="AK728" s="256"/>
      <c r="AL728" s="256"/>
      <c r="AM728" s="256"/>
      <c r="AN728" s="256"/>
      <c r="AO728" s="256"/>
      <c r="AP728" s="256"/>
      <c r="AQ728" s="256"/>
      <c r="AR728" s="256"/>
    </row>
    <row r="729">
      <c r="A729" s="256"/>
      <c r="B729" s="256"/>
      <c r="C729" s="257"/>
      <c r="D729" s="257"/>
      <c r="E729" s="257"/>
      <c r="F729" s="257"/>
      <c r="G729" s="257"/>
      <c r="H729" s="257"/>
      <c r="I729" s="256"/>
      <c r="J729" s="256"/>
      <c r="K729" s="256"/>
      <c r="L729" s="256"/>
      <c r="M729" s="256"/>
      <c r="N729" s="256"/>
      <c r="O729" s="256"/>
      <c r="P729" s="256"/>
      <c r="Q729" s="256"/>
      <c r="R729" s="256"/>
      <c r="S729" s="256"/>
      <c r="T729" s="256"/>
      <c r="U729" s="256"/>
      <c r="V729" s="256"/>
      <c r="W729" s="256"/>
      <c r="X729" s="256"/>
      <c r="Y729" s="256"/>
      <c r="Z729" s="256"/>
      <c r="AA729" s="256"/>
      <c r="AB729" s="256"/>
      <c r="AC729" s="256"/>
      <c r="AD729" s="256"/>
      <c r="AE729" s="256"/>
      <c r="AF729" s="256"/>
      <c r="AG729" s="256"/>
      <c r="AH729" s="256"/>
      <c r="AI729" s="256"/>
      <c r="AJ729" s="256"/>
      <c r="AK729" s="256"/>
      <c r="AL729" s="256"/>
      <c r="AM729" s="256"/>
      <c r="AN729" s="256"/>
      <c r="AO729" s="256"/>
      <c r="AP729" s="256"/>
      <c r="AQ729" s="256"/>
      <c r="AR729" s="256"/>
    </row>
    <row r="730">
      <c r="A730" s="256"/>
      <c r="B730" s="256"/>
      <c r="C730" s="257"/>
      <c r="D730" s="257"/>
      <c r="E730" s="257"/>
      <c r="F730" s="257"/>
      <c r="G730" s="257"/>
      <c r="H730" s="257"/>
      <c r="I730" s="256"/>
      <c r="J730" s="256"/>
      <c r="K730" s="256"/>
      <c r="L730" s="256"/>
      <c r="M730" s="256"/>
      <c r="N730" s="256"/>
      <c r="O730" s="256"/>
      <c r="P730" s="256"/>
      <c r="Q730" s="256"/>
      <c r="R730" s="256"/>
      <c r="S730" s="256"/>
      <c r="T730" s="256"/>
      <c r="U730" s="256"/>
      <c r="V730" s="256"/>
      <c r="W730" s="256"/>
      <c r="X730" s="256"/>
      <c r="Y730" s="256"/>
      <c r="Z730" s="256"/>
      <c r="AA730" s="256"/>
      <c r="AB730" s="256"/>
      <c r="AC730" s="256"/>
      <c r="AD730" s="256"/>
      <c r="AE730" s="256"/>
      <c r="AF730" s="256"/>
      <c r="AG730" s="256"/>
      <c r="AH730" s="256"/>
      <c r="AI730" s="256"/>
      <c r="AJ730" s="256"/>
      <c r="AK730" s="256"/>
      <c r="AL730" s="256"/>
      <c r="AM730" s="256"/>
      <c r="AN730" s="256"/>
      <c r="AO730" s="256"/>
      <c r="AP730" s="256"/>
      <c r="AQ730" s="256"/>
      <c r="AR730" s="256"/>
    </row>
    <row r="731">
      <c r="A731" s="256"/>
      <c r="B731" s="256"/>
      <c r="C731" s="257"/>
      <c r="D731" s="257"/>
      <c r="E731" s="257"/>
      <c r="F731" s="257"/>
      <c r="G731" s="257"/>
      <c r="H731" s="257"/>
      <c r="I731" s="256"/>
      <c r="J731" s="256"/>
      <c r="K731" s="256"/>
      <c r="L731" s="256"/>
      <c r="M731" s="256"/>
      <c r="N731" s="256"/>
      <c r="O731" s="256"/>
      <c r="P731" s="256"/>
      <c r="Q731" s="256"/>
      <c r="R731" s="256"/>
      <c r="S731" s="256"/>
      <c r="T731" s="256"/>
      <c r="U731" s="256"/>
      <c r="V731" s="256"/>
      <c r="W731" s="256"/>
      <c r="X731" s="256"/>
      <c r="Y731" s="256"/>
      <c r="Z731" s="256"/>
      <c r="AA731" s="256"/>
      <c r="AB731" s="256"/>
      <c r="AC731" s="256"/>
      <c r="AD731" s="256"/>
      <c r="AE731" s="256"/>
      <c r="AF731" s="256"/>
      <c r="AG731" s="256"/>
      <c r="AH731" s="256"/>
      <c r="AI731" s="256"/>
      <c r="AJ731" s="256"/>
      <c r="AK731" s="256"/>
      <c r="AL731" s="256"/>
      <c r="AM731" s="256"/>
      <c r="AN731" s="256"/>
      <c r="AO731" s="256"/>
      <c r="AP731" s="256"/>
      <c r="AQ731" s="256"/>
      <c r="AR731" s="256"/>
    </row>
    <row r="732">
      <c r="A732" s="256"/>
      <c r="B732" s="256"/>
      <c r="C732" s="257"/>
      <c r="D732" s="257"/>
      <c r="E732" s="257"/>
      <c r="F732" s="257"/>
      <c r="G732" s="257"/>
      <c r="H732" s="257"/>
      <c r="I732" s="256"/>
      <c r="J732" s="256"/>
      <c r="K732" s="256"/>
      <c r="L732" s="256"/>
      <c r="M732" s="256"/>
      <c r="N732" s="256"/>
      <c r="O732" s="256"/>
      <c r="P732" s="256"/>
      <c r="Q732" s="256"/>
      <c r="R732" s="256"/>
      <c r="S732" s="256"/>
      <c r="T732" s="256"/>
      <c r="U732" s="256"/>
      <c r="V732" s="256"/>
      <c r="W732" s="256"/>
      <c r="X732" s="256"/>
      <c r="Y732" s="256"/>
      <c r="Z732" s="256"/>
      <c r="AA732" s="256"/>
      <c r="AB732" s="256"/>
      <c r="AC732" s="256"/>
      <c r="AD732" s="256"/>
      <c r="AE732" s="256"/>
      <c r="AF732" s="256"/>
      <c r="AG732" s="256"/>
      <c r="AH732" s="256"/>
      <c r="AI732" s="256"/>
      <c r="AJ732" s="256"/>
      <c r="AK732" s="256"/>
      <c r="AL732" s="256"/>
      <c r="AM732" s="256"/>
      <c r="AN732" s="256"/>
      <c r="AO732" s="256"/>
      <c r="AP732" s="256"/>
      <c r="AQ732" s="256"/>
      <c r="AR732" s="256"/>
    </row>
    <row r="733">
      <c r="A733" s="256"/>
      <c r="B733" s="256"/>
      <c r="C733" s="257"/>
      <c r="D733" s="257"/>
      <c r="E733" s="257"/>
      <c r="F733" s="257"/>
      <c r="G733" s="257"/>
      <c r="H733" s="257"/>
      <c r="I733" s="256"/>
      <c r="J733" s="256"/>
      <c r="K733" s="256"/>
      <c r="L733" s="256"/>
      <c r="M733" s="256"/>
      <c r="N733" s="256"/>
      <c r="O733" s="256"/>
      <c r="P733" s="256"/>
      <c r="Q733" s="256"/>
      <c r="R733" s="256"/>
      <c r="S733" s="256"/>
      <c r="T733" s="256"/>
      <c r="U733" s="256"/>
      <c r="V733" s="256"/>
      <c r="W733" s="256"/>
      <c r="X733" s="256"/>
      <c r="Y733" s="256"/>
      <c r="Z733" s="256"/>
      <c r="AA733" s="256"/>
      <c r="AB733" s="256"/>
      <c r="AC733" s="256"/>
      <c r="AD733" s="256"/>
      <c r="AE733" s="256"/>
      <c r="AF733" s="256"/>
      <c r="AG733" s="256"/>
      <c r="AH733" s="256"/>
      <c r="AI733" s="256"/>
      <c r="AJ733" s="256"/>
      <c r="AK733" s="256"/>
      <c r="AL733" s="256"/>
      <c r="AM733" s="256"/>
      <c r="AN733" s="256"/>
      <c r="AO733" s="256"/>
      <c r="AP733" s="256"/>
      <c r="AQ733" s="256"/>
      <c r="AR733" s="256"/>
    </row>
    <row r="734">
      <c r="A734" s="256"/>
      <c r="B734" s="256"/>
      <c r="C734" s="257"/>
      <c r="D734" s="257"/>
      <c r="E734" s="257"/>
      <c r="F734" s="257"/>
      <c r="G734" s="257"/>
      <c r="H734" s="257"/>
      <c r="I734" s="256"/>
      <c r="J734" s="256"/>
      <c r="K734" s="256"/>
      <c r="L734" s="256"/>
      <c r="M734" s="256"/>
      <c r="N734" s="256"/>
      <c r="O734" s="256"/>
      <c r="P734" s="256"/>
      <c r="Q734" s="256"/>
      <c r="R734" s="256"/>
      <c r="S734" s="256"/>
      <c r="T734" s="256"/>
      <c r="U734" s="256"/>
      <c r="V734" s="256"/>
      <c r="W734" s="256"/>
      <c r="X734" s="256"/>
      <c r="Y734" s="256"/>
      <c r="Z734" s="256"/>
      <c r="AA734" s="256"/>
      <c r="AB734" s="256"/>
      <c r="AC734" s="256"/>
      <c r="AD734" s="256"/>
      <c r="AE734" s="256"/>
      <c r="AF734" s="256"/>
      <c r="AG734" s="256"/>
      <c r="AH734" s="256"/>
      <c r="AI734" s="256"/>
      <c r="AJ734" s="256"/>
      <c r="AK734" s="256"/>
      <c r="AL734" s="256"/>
      <c r="AM734" s="256"/>
      <c r="AN734" s="256"/>
      <c r="AO734" s="256"/>
      <c r="AP734" s="256"/>
      <c r="AQ734" s="256"/>
      <c r="AR734" s="256"/>
    </row>
    <row r="735">
      <c r="A735" s="256"/>
      <c r="B735" s="256"/>
      <c r="C735" s="257"/>
      <c r="D735" s="257"/>
      <c r="E735" s="257"/>
      <c r="F735" s="257"/>
      <c r="G735" s="257"/>
      <c r="H735" s="257"/>
      <c r="I735" s="256"/>
      <c r="J735" s="256"/>
      <c r="K735" s="256"/>
      <c r="L735" s="256"/>
      <c r="M735" s="256"/>
      <c r="N735" s="256"/>
      <c r="O735" s="256"/>
      <c r="P735" s="256"/>
      <c r="Q735" s="256"/>
      <c r="R735" s="256"/>
      <c r="S735" s="256"/>
      <c r="T735" s="256"/>
      <c r="U735" s="256"/>
      <c r="V735" s="256"/>
      <c r="W735" s="256"/>
      <c r="X735" s="256"/>
      <c r="Y735" s="256"/>
      <c r="Z735" s="256"/>
      <c r="AA735" s="256"/>
      <c r="AB735" s="256"/>
      <c r="AC735" s="256"/>
      <c r="AD735" s="256"/>
      <c r="AE735" s="256"/>
      <c r="AF735" s="256"/>
      <c r="AG735" s="256"/>
      <c r="AH735" s="256"/>
      <c r="AI735" s="256"/>
      <c r="AJ735" s="256"/>
      <c r="AK735" s="256"/>
      <c r="AL735" s="256"/>
      <c r="AM735" s="256"/>
      <c r="AN735" s="256"/>
      <c r="AO735" s="256"/>
      <c r="AP735" s="256"/>
      <c r="AQ735" s="256"/>
      <c r="AR735" s="256"/>
    </row>
    <row r="736">
      <c r="A736" s="256"/>
      <c r="B736" s="256"/>
      <c r="C736" s="257"/>
      <c r="D736" s="257"/>
      <c r="E736" s="257"/>
      <c r="F736" s="257"/>
      <c r="G736" s="257"/>
      <c r="H736" s="257"/>
      <c r="I736" s="256"/>
      <c r="J736" s="256"/>
      <c r="K736" s="256"/>
      <c r="L736" s="256"/>
      <c r="M736" s="256"/>
      <c r="N736" s="256"/>
      <c r="O736" s="256"/>
      <c r="P736" s="256"/>
      <c r="Q736" s="256"/>
      <c r="R736" s="256"/>
      <c r="S736" s="256"/>
      <c r="T736" s="256"/>
      <c r="U736" s="256"/>
      <c r="V736" s="256"/>
      <c r="W736" s="256"/>
      <c r="X736" s="256"/>
      <c r="Y736" s="256"/>
      <c r="Z736" s="256"/>
      <c r="AA736" s="256"/>
      <c r="AB736" s="256"/>
      <c r="AC736" s="256"/>
      <c r="AD736" s="256"/>
      <c r="AE736" s="256"/>
      <c r="AF736" s="256"/>
      <c r="AG736" s="256"/>
      <c r="AH736" s="256"/>
      <c r="AI736" s="256"/>
      <c r="AJ736" s="256"/>
      <c r="AK736" s="256"/>
      <c r="AL736" s="256"/>
      <c r="AM736" s="256"/>
      <c r="AN736" s="256"/>
      <c r="AO736" s="256"/>
      <c r="AP736" s="256"/>
      <c r="AQ736" s="256"/>
      <c r="AR736" s="256"/>
    </row>
    <row r="737">
      <c r="A737" s="256"/>
      <c r="B737" s="256"/>
      <c r="C737" s="257"/>
      <c r="D737" s="257"/>
      <c r="E737" s="257"/>
      <c r="F737" s="257"/>
      <c r="G737" s="257"/>
      <c r="H737" s="257"/>
      <c r="I737" s="256"/>
      <c r="J737" s="256"/>
      <c r="K737" s="256"/>
      <c r="L737" s="256"/>
      <c r="M737" s="256"/>
      <c r="N737" s="256"/>
      <c r="O737" s="256"/>
      <c r="P737" s="256"/>
      <c r="Q737" s="256"/>
      <c r="R737" s="256"/>
      <c r="S737" s="256"/>
      <c r="T737" s="256"/>
      <c r="U737" s="256"/>
      <c r="V737" s="256"/>
      <c r="W737" s="256"/>
      <c r="X737" s="256"/>
      <c r="Y737" s="256"/>
      <c r="Z737" s="256"/>
      <c r="AA737" s="256"/>
      <c r="AB737" s="256"/>
      <c r="AC737" s="256"/>
      <c r="AD737" s="256"/>
      <c r="AE737" s="256"/>
      <c r="AF737" s="256"/>
      <c r="AG737" s="256"/>
      <c r="AH737" s="256"/>
      <c r="AI737" s="256"/>
      <c r="AJ737" s="256"/>
      <c r="AK737" s="256"/>
      <c r="AL737" s="256"/>
      <c r="AM737" s="256"/>
      <c r="AN737" s="256"/>
      <c r="AO737" s="256"/>
      <c r="AP737" s="256"/>
      <c r="AQ737" s="256"/>
      <c r="AR737" s="256"/>
    </row>
    <row r="738">
      <c r="A738" s="256"/>
      <c r="B738" s="256"/>
      <c r="C738" s="257"/>
      <c r="D738" s="257"/>
      <c r="E738" s="257"/>
      <c r="F738" s="257"/>
      <c r="G738" s="257"/>
      <c r="H738" s="257"/>
      <c r="I738" s="256"/>
      <c r="J738" s="256"/>
      <c r="K738" s="256"/>
      <c r="L738" s="256"/>
      <c r="M738" s="256"/>
      <c r="N738" s="256"/>
      <c r="O738" s="256"/>
      <c r="P738" s="256"/>
      <c r="Q738" s="256"/>
      <c r="R738" s="256"/>
      <c r="S738" s="256"/>
      <c r="T738" s="256"/>
      <c r="U738" s="256"/>
      <c r="V738" s="256"/>
      <c r="W738" s="256"/>
      <c r="X738" s="256"/>
      <c r="Y738" s="256"/>
      <c r="Z738" s="256"/>
      <c r="AA738" s="256"/>
      <c r="AB738" s="256"/>
      <c r="AC738" s="256"/>
      <c r="AD738" s="256"/>
      <c r="AE738" s="256"/>
      <c r="AF738" s="256"/>
      <c r="AG738" s="256"/>
      <c r="AH738" s="256"/>
      <c r="AI738" s="256"/>
      <c r="AJ738" s="256"/>
      <c r="AK738" s="256"/>
      <c r="AL738" s="256"/>
      <c r="AM738" s="256"/>
      <c r="AN738" s="256"/>
      <c r="AO738" s="256"/>
      <c r="AP738" s="256"/>
      <c r="AQ738" s="256"/>
      <c r="AR738" s="256"/>
    </row>
    <row r="739">
      <c r="A739" s="256"/>
      <c r="B739" s="256"/>
      <c r="C739" s="257"/>
      <c r="D739" s="257"/>
      <c r="E739" s="257"/>
      <c r="F739" s="257"/>
      <c r="G739" s="257"/>
      <c r="H739" s="257"/>
      <c r="I739" s="256"/>
      <c r="J739" s="256"/>
      <c r="K739" s="256"/>
      <c r="L739" s="256"/>
      <c r="M739" s="256"/>
      <c r="N739" s="256"/>
      <c r="O739" s="256"/>
      <c r="P739" s="256"/>
      <c r="Q739" s="256"/>
      <c r="R739" s="256"/>
      <c r="S739" s="256"/>
      <c r="T739" s="256"/>
      <c r="U739" s="256"/>
      <c r="V739" s="256"/>
      <c r="W739" s="256"/>
      <c r="X739" s="256"/>
      <c r="Y739" s="256"/>
      <c r="Z739" s="256"/>
      <c r="AA739" s="256"/>
      <c r="AB739" s="256"/>
      <c r="AC739" s="256"/>
      <c r="AD739" s="256"/>
      <c r="AE739" s="256"/>
      <c r="AF739" s="256"/>
      <c r="AG739" s="256"/>
      <c r="AH739" s="256"/>
      <c r="AI739" s="256"/>
      <c r="AJ739" s="256"/>
      <c r="AK739" s="256"/>
      <c r="AL739" s="256"/>
      <c r="AM739" s="256"/>
      <c r="AN739" s="256"/>
      <c r="AO739" s="256"/>
      <c r="AP739" s="256"/>
      <c r="AQ739" s="256"/>
      <c r="AR739" s="256"/>
    </row>
    <row r="740">
      <c r="A740" s="256"/>
      <c r="B740" s="256"/>
      <c r="C740" s="257"/>
      <c r="D740" s="257"/>
      <c r="E740" s="257"/>
      <c r="F740" s="257"/>
      <c r="G740" s="257"/>
      <c r="H740" s="257"/>
      <c r="I740" s="256"/>
      <c r="J740" s="256"/>
      <c r="K740" s="256"/>
      <c r="L740" s="256"/>
      <c r="M740" s="256"/>
      <c r="N740" s="256"/>
      <c r="O740" s="256"/>
      <c r="P740" s="256"/>
      <c r="Q740" s="256"/>
      <c r="R740" s="256"/>
      <c r="S740" s="256"/>
      <c r="T740" s="256"/>
      <c r="U740" s="256"/>
      <c r="V740" s="256"/>
      <c r="W740" s="256"/>
      <c r="X740" s="256"/>
      <c r="Y740" s="256"/>
      <c r="Z740" s="256"/>
      <c r="AA740" s="256"/>
      <c r="AB740" s="256"/>
      <c r="AC740" s="256"/>
      <c r="AD740" s="256"/>
      <c r="AE740" s="256"/>
      <c r="AF740" s="256"/>
      <c r="AG740" s="256"/>
      <c r="AH740" s="256"/>
      <c r="AI740" s="256"/>
      <c r="AJ740" s="256"/>
      <c r="AK740" s="256"/>
      <c r="AL740" s="256"/>
      <c r="AM740" s="256"/>
      <c r="AN740" s="256"/>
      <c r="AO740" s="256"/>
      <c r="AP740" s="256"/>
      <c r="AQ740" s="256"/>
      <c r="AR740" s="256"/>
    </row>
    <row r="741">
      <c r="A741" s="256"/>
      <c r="B741" s="256"/>
      <c r="C741" s="257"/>
      <c r="D741" s="257"/>
      <c r="E741" s="257"/>
      <c r="F741" s="257"/>
      <c r="G741" s="257"/>
      <c r="H741" s="257"/>
      <c r="I741" s="256"/>
      <c r="J741" s="256"/>
      <c r="K741" s="256"/>
      <c r="L741" s="256"/>
      <c r="M741" s="256"/>
      <c r="N741" s="256"/>
      <c r="O741" s="256"/>
      <c r="P741" s="256"/>
      <c r="Q741" s="256"/>
      <c r="R741" s="256"/>
      <c r="S741" s="256"/>
      <c r="T741" s="256"/>
      <c r="U741" s="256"/>
      <c r="V741" s="256"/>
      <c r="W741" s="256"/>
      <c r="X741" s="256"/>
      <c r="Y741" s="256"/>
      <c r="Z741" s="256"/>
      <c r="AA741" s="256"/>
      <c r="AB741" s="256"/>
      <c r="AC741" s="256"/>
      <c r="AD741" s="256"/>
      <c r="AE741" s="256"/>
      <c r="AF741" s="256"/>
      <c r="AG741" s="256"/>
      <c r="AH741" s="256"/>
      <c r="AI741" s="256"/>
      <c r="AJ741" s="256"/>
      <c r="AK741" s="256"/>
      <c r="AL741" s="256"/>
      <c r="AM741" s="256"/>
      <c r="AN741" s="256"/>
      <c r="AO741" s="256"/>
      <c r="AP741" s="256"/>
      <c r="AQ741" s="256"/>
      <c r="AR741" s="256"/>
    </row>
    <row r="742">
      <c r="A742" s="256"/>
      <c r="B742" s="256"/>
      <c r="C742" s="257"/>
      <c r="D742" s="257"/>
      <c r="E742" s="257"/>
      <c r="F742" s="257"/>
      <c r="G742" s="257"/>
      <c r="H742" s="257"/>
      <c r="I742" s="256"/>
      <c r="J742" s="256"/>
      <c r="K742" s="256"/>
      <c r="L742" s="256"/>
      <c r="M742" s="256"/>
      <c r="N742" s="256"/>
      <c r="O742" s="256"/>
      <c r="P742" s="256"/>
      <c r="Q742" s="256"/>
      <c r="R742" s="256"/>
      <c r="S742" s="256"/>
      <c r="T742" s="256"/>
      <c r="U742" s="256"/>
      <c r="V742" s="256"/>
      <c r="W742" s="256"/>
      <c r="X742" s="256"/>
      <c r="Y742" s="256"/>
      <c r="Z742" s="256"/>
      <c r="AA742" s="256"/>
      <c r="AB742" s="256"/>
      <c r="AC742" s="256"/>
      <c r="AD742" s="256"/>
      <c r="AE742" s="256"/>
      <c r="AF742" s="256"/>
      <c r="AG742" s="256"/>
      <c r="AH742" s="256"/>
      <c r="AI742" s="256"/>
      <c r="AJ742" s="256"/>
      <c r="AK742" s="256"/>
      <c r="AL742" s="256"/>
      <c r="AM742" s="256"/>
      <c r="AN742" s="256"/>
      <c r="AO742" s="256"/>
      <c r="AP742" s="256"/>
      <c r="AQ742" s="256"/>
      <c r="AR742" s="256"/>
    </row>
    <row r="743">
      <c r="A743" s="256"/>
      <c r="B743" s="256"/>
      <c r="C743" s="257"/>
      <c r="D743" s="257"/>
      <c r="E743" s="257"/>
      <c r="F743" s="257"/>
      <c r="G743" s="257"/>
      <c r="H743" s="257"/>
      <c r="I743" s="256"/>
      <c r="J743" s="256"/>
      <c r="K743" s="256"/>
      <c r="L743" s="256"/>
      <c r="M743" s="256"/>
      <c r="N743" s="256"/>
      <c r="O743" s="256"/>
      <c r="P743" s="256"/>
      <c r="Q743" s="256"/>
      <c r="R743" s="256"/>
      <c r="S743" s="256"/>
      <c r="T743" s="256"/>
      <c r="U743" s="256"/>
      <c r="V743" s="256"/>
      <c r="W743" s="256"/>
      <c r="X743" s="256"/>
      <c r="Y743" s="256"/>
      <c r="Z743" s="256"/>
      <c r="AA743" s="256"/>
      <c r="AB743" s="256"/>
      <c r="AC743" s="256"/>
      <c r="AD743" s="256"/>
      <c r="AE743" s="256"/>
      <c r="AF743" s="256"/>
      <c r="AG743" s="256"/>
      <c r="AH743" s="256"/>
      <c r="AI743" s="256"/>
      <c r="AJ743" s="256"/>
      <c r="AK743" s="256"/>
      <c r="AL743" s="256"/>
      <c r="AM743" s="256"/>
      <c r="AN743" s="256"/>
      <c r="AO743" s="256"/>
      <c r="AP743" s="256"/>
      <c r="AQ743" s="256"/>
      <c r="AR743" s="256"/>
    </row>
    <row r="744">
      <c r="A744" s="256"/>
      <c r="B744" s="256"/>
      <c r="C744" s="257"/>
      <c r="D744" s="257"/>
      <c r="E744" s="257"/>
      <c r="F744" s="257"/>
      <c r="G744" s="257"/>
      <c r="H744" s="257"/>
      <c r="I744" s="256"/>
      <c r="J744" s="256"/>
      <c r="K744" s="256"/>
      <c r="L744" s="256"/>
      <c r="M744" s="256"/>
      <c r="N744" s="256"/>
      <c r="O744" s="256"/>
      <c r="P744" s="256"/>
      <c r="Q744" s="256"/>
      <c r="R744" s="256"/>
      <c r="S744" s="256"/>
      <c r="T744" s="256"/>
      <c r="U744" s="256"/>
      <c r="V744" s="256"/>
      <c r="W744" s="256"/>
      <c r="X744" s="256"/>
      <c r="Y744" s="256"/>
      <c r="Z744" s="256"/>
      <c r="AA744" s="256"/>
      <c r="AB744" s="256"/>
      <c r="AC744" s="256"/>
      <c r="AD744" s="256"/>
      <c r="AE744" s="256"/>
      <c r="AF744" s="256"/>
      <c r="AG744" s="256"/>
      <c r="AH744" s="256"/>
      <c r="AI744" s="256"/>
      <c r="AJ744" s="256"/>
      <c r="AK744" s="256"/>
      <c r="AL744" s="256"/>
      <c r="AM744" s="256"/>
      <c r="AN744" s="256"/>
      <c r="AO744" s="256"/>
      <c r="AP744" s="256"/>
      <c r="AQ744" s="256"/>
      <c r="AR744" s="256"/>
    </row>
    <row r="745">
      <c r="A745" s="256"/>
      <c r="B745" s="256"/>
      <c r="C745" s="257"/>
      <c r="D745" s="257"/>
      <c r="E745" s="257"/>
      <c r="F745" s="257"/>
      <c r="G745" s="257"/>
      <c r="H745" s="257"/>
      <c r="I745" s="256"/>
      <c r="J745" s="256"/>
      <c r="K745" s="256"/>
      <c r="L745" s="256"/>
      <c r="M745" s="256"/>
      <c r="N745" s="256"/>
      <c r="O745" s="256"/>
      <c r="P745" s="256"/>
      <c r="Q745" s="256"/>
      <c r="R745" s="256"/>
      <c r="S745" s="256"/>
      <c r="T745" s="256"/>
      <c r="U745" s="256"/>
      <c r="V745" s="256"/>
      <c r="W745" s="256"/>
      <c r="X745" s="256"/>
      <c r="Y745" s="256"/>
      <c r="Z745" s="256"/>
      <c r="AA745" s="256"/>
      <c r="AB745" s="256"/>
      <c r="AC745" s="256"/>
      <c r="AD745" s="256"/>
      <c r="AE745" s="256"/>
      <c r="AF745" s="256"/>
      <c r="AG745" s="256"/>
      <c r="AH745" s="256"/>
      <c r="AI745" s="256"/>
      <c r="AJ745" s="256"/>
      <c r="AK745" s="256"/>
      <c r="AL745" s="256"/>
      <c r="AM745" s="256"/>
      <c r="AN745" s="256"/>
      <c r="AO745" s="256"/>
      <c r="AP745" s="256"/>
      <c r="AQ745" s="256"/>
      <c r="AR745" s="256"/>
    </row>
    <row r="746">
      <c r="A746" s="256"/>
      <c r="B746" s="256"/>
      <c r="C746" s="257"/>
      <c r="D746" s="257"/>
      <c r="E746" s="257"/>
      <c r="F746" s="257"/>
      <c r="G746" s="257"/>
      <c r="H746" s="257"/>
      <c r="I746" s="256"/>
      <c r="J746" s="256"/>
      <c r="K746" s="256"/>
      <c r="L746" s="256"/>
      <c r="M746" s="256"/>
      <c r="N746" s="256"/>
      <c r="O746" s="256"/>
      <c r="P746" s="256"/>
      <c r="Q746" s="256"/>
      <c r="R746" s="256"/>
      <c r="S746" s="256"/>
      <c r="T746" s="256"/>
      <c r="U746" s="256"/>
      <c r="V746" s="256"/>
      <c r="W746" s="256"/>
      <c r="X746" s="256"/>
      <c r="Y746" s="256"/>
      <c r="Z746" s="256"/>
      <c r="AA746" s="256"/>
      <c r="AB746" s="256"/>
      <c r="AC746" s="256"/>
      <c r="AD746" s="256"/>
      <c r="AE746" s="256"/>
      <c r="AF746" s="256"/>
      <c r="AG746" s="256"/>
      <c r="AH746" s="256"/>
      <c r="AI746" s="256"/>
      <c r="AJ746" s="256"/>
      <c r="AK746" s="256"/>
      <c r="AL746" s="256"/>
      <c r="AM746" s="256"/>
      <c r="AN746" s="256"/>
      <c r="AO746" s="256"/>
      <c r="AP746" s="256"/>
      <c r="AQ746" s="256"/>
      <c r="AR746" s="256"/>
    </row>
    <row r="747">
      <c r="A747" s="256"/>
      <c r="B747" s="256"/>
      <c r="C747" s="257"/>
      <c r="D747" s="257"/>
      <c r="E747" s="257"/>
      <c r="F747" s="257"/>
      <c r="G747" s="257"/>
      <c r="H747" s="257"/>
      <c r="I747" s="256"/>
      <c r="J747" s="256"/>
      <c r="K747" s="256"/>
      <c r="L747" s="256"/>
      <c r="M747" s="256"/>
      <c r="N747" s="256"/>
      <c r="O747" s="256"/>
      <c r="P747" s="256"/>
      <c r="Q747" s="256"/>
      <c r="R747" s="256"/>
      <c r="S747" s="256"/>
      <c r="T747" s="256"/>
      <c r="U747" s="256"/>
      <c r="V747" s="256"/>
      <c r="W747" s="256"/>
      <c r="X747" s="256"/>
      <c r="Y747" s="256"/>
      <c r="Z747" s="256"/>
      <c r="AA747" s="256"/>
      <c r="AB747" s="256"/>
      <c r="AC747" s="256"/>
      <c r="AD747" s="256"/>
      <c r="AE747" s="256"/>
      <c r="AF747" s="256"/>
      <c r="AG747" s="256"/>
      <c r="AH747" s="256"/>
      <c r="AI747" s="256"/>
      <c r="AJ747" s="256"/>
      <c r="AK747" s="256"/>
      <c r="AL747" s="256"/>
      <c r="AM747" s="256"/>
      <c r="AN747" s="256"/>
      <c r="AO747" s="256"/>
      <c r="AP747" s="256"/>
      <c r="AQ747" s="256"/>
      <c r="AR747" s="256"/>
    </row>
    <row r="748">
      <c r="A748" s="256"/>
      <c r="B748" s="256"/>
      <c r="C748" s="257"/>
      <c r="D748" s="257"/>
      <c r="E748" s="257"/>
      <c r="F748" s="257"/>
      <c r="G748" s="257"/>
      <c r="H748" s="257"/>
      <c r="I748" s="256"/>
      <c r="J748" s="256"/>
      <c r="K748" s="256"/>
      <c r="L748" s="256"/>
      <c r="M748" s="256"/>
      <c r="N748" s="256"/>
      <c r="O748" s="256"/>
      <c r="P748" s="256"/>
      <c r="Q748" s="256"/>
      <c r="R748" s="256"/>
      <c r="S748" s="256"/>
      <c r="T748" s="256"/>
      <c r="U748" s="256"/>
      <c r="V748" s="256"/>
      <c r="W748" s="256"/>
      <c r="X748" s="256"/>
      <c r="Y748" s="256"/>
      <c r="Z748" s="256"/>
      <c r="AA748" s="256"/>
      <c r="AB748" s="256"/>
      <c r="AC748" s="256"/>
      <c r="AD748" s="256"/>
      <c r="AE748" s="256"/>
      <c r="AF748" s="256"/>
      <c r="AG748" s="256"/>
      <c r="AH748" s="256"/>
      <c r="AI748" s="256"/>
      <c r="AJ748" s="256"/>
      <c r="AK748" s="256"/>
      <c r="AL748" s="256"/>
      <c r="AM748" s="256"/>
      <c r="AN748" s="256"/>
      <c r="AO748" s="256"/>
      <c r="AP748" s="256"/>
      <c r="AQ748" s="256"/>
      <c r="AR748" s="256"/>
    </row>
    <row r="749">
      <c r="A749" s="256"/>
      <c r="B749" s="256"/>
      <c r="C749" s="257"/>
      <c r="D749" s="257"/>
      <c r="E749" s="257"/>
      <c r="F749" s="257"/>
      <c r="G749" s="257"/>
      <c r="H749" s="257"/>
      <c r="I749" s="256"/>
      <c r="J749" s="256"/>
      <c r="K749" s="256"/>
      <c r="L749" s="256"/>
      <c r="M749" s="256"/>
      <c r="N749" s="256"/>
      <c r="O749" s="256"/>
      <c r="P749" s="256"/>
      <c r="Q749" s="256"/>
      <c r="R749" s="256"/>
      <c r="S749" s="256"/>
      <c r="T749" s="256"/>
      <c r="U749" s="256"/>
      <c r="V749" s="256"/>
      <c r="W749" s="256"/>
      <c r="X749" s="256"/>
      <c r="Y749" s="256"/>
      <c r="Z749" s="256"/>
      <c r="AA749" s="256"/>
      <c r="AB749" s="256"/>
      <c r="AC749" s="256"/>
      <c r="AD749" s="256"/>
      <c r="AE749" s="256"/>
      <c r="AF749" s="256"/>
      <c r="AG749" s="256"/>
      <c r="AH749" s="256"/>
      <c r="AI749" s="256"/>
      <c r="AJ749" s="256"/>
      <c r="AK749" s="256"/>
      <c r="AL749" s="256"/>
      <c r="AM749" s="256"/>
      <c r="AN749" s="256"/>
      <c r="AO749" s="256"/>
      <c r="AP749" s="256"/>
      <c r="AQ749" s="256"/>
      <c r="AR749" s="256"/>
    </row>
    <row r="750">
      <c r="A750" s="256"/>
      <c r="B750" s="256"/>
      <c r="C750" s="257"/>
      <c r="D750" s="257"/>
      <c r="E750" s="257"/>
      <c r="F750" s="257"/>
      <c r="G750" s="257"/>
      <c r="H750" s="257"/>
      <c r="I750" s="256"/>
      <c r="J750" s="256"/>
      <c r="K750" s="256"/>
      <c r="L750" s="256"/>
      <c r="M750" s="256"/>
      <c r="N750" s="256"/>
      <c r="O750" s="256"/>
      <c r="P750" s="256"/>
      <c r="Q750" s="256"/>
      <c r="R750" s="256"/>
      <c r="S750" s="256"/>
      <c r="T750" s="256"/>
      <c r="U750" s="256"/>
      <c r="V750" s="256"/>
      <c r="W750" s="256"/>
      <c r="X750" s="256"/>
      <c r="Y750" s="256"/>
      <c r="Z750" s="256"/>
      <c r="AA750" s="256"/>
      <c r="AB750" s="256"/>
      <c r="AC750" s="256"/>
      <c r="AD750" s="256"/>
      <c r="AE750" s="256"/>
      <c r="AF750" s="256"/>
      <c r="AG750" s="256"/>
      <c r="AH750" s="256"/>
      <c r="AI750" s="256"/>
      <c r="AJ750" s="256"/>
      <c r="AK750" s="256"/>
      <c r="AL750" s="256"/>
      <c r="AM750" s="256"/>
      <c r="AN750" s="256"/>
      <c r="AO750" s="256"/>
      <c r="AP750" s="256"/>
      <c r="AQ750" s="256"/>
      <c r="AR750" s="256"/>
    </row>
    <row r="751">
      <c r="A751" s="256"/>
      <c r="B751" s="256"/>
      <c r="C751" s="257"/>
      <c r="D751" s="257"/>
      <c r="E751" s="257"/>
      <c r="F751" s="257"/>
      <c r="G751" s="257"/>
      <c r="H751" s="257"/>
      <c r="I751" s="256"/>
      <c r="J751" s="256"/>
      <c r="K751" s="256"/>
      <c r="L751" s="256"/>
      <c r="M751" s="256"/>
      <c r="N751" s="256"/>
      <c r="O751" s="256"/>
      <c r="P751" s="256"/>
      <c r="Q751" s="256"/>
      <c r="R751" s="256"/>
      <c r="S751" s="256"/>
      <c r="T751" s="256"/>
      <c r="U751" s="256"/>
      <c r="V751" s="256"/>
      <c r="W751" s="256"/>
      <c r="X751" s="256"/>
      <c r="Y751" s="256"/>
      <c r="Z751" s="256"/>
      <c r="AA751" s="256"/>
      <c r="AB751" s="256"/>
      <c r="AC751" s="256"/>
      <c r="AD751" s="256"/>
      <c r="AE751" s="256"/>
      <c r="AF751" s="256"/>
      <c r="AG751" s="256"/>
      <c r="AH751" s="256"/>
      <c r="AI751" s="256"/>
      <c r="AJ751" s="256"/>
      <c r="AK751" s="256"/>
      <c r="AL751" s="256"/>
      <c r="AM751" s="256"/>
      <c r="AN751" s="256"/>
      <c r="AO751" s="256"/>
      <c r="AP751" s="256"/>
      <c r="AQ751" s="256"/>
      <c r="AR751" s="256"/>
    </row>
    <row r="752">
      <c r="A752" s="256"/>
      <c r="B752" s="256"/>
      <c r="C752" s="257"/>
      <c r="D752" s="257"/>
      <c r="E752" s="257"/>
      <c r="F752" s="257"/>
      <c r="G752" s="257"/>
      <c r="H752" s="257"/>
      <c r="I752" s="256"/>
      <c r="J752" s="256"/>
      <c r="K752" s="256"/>
      <c r="L752" s="256"/>
      <c r="M752" s="256"/>
      <c r="N752" s="256"/>
      <c r="O752" s="256"/>
      <c r="P752" s="256"/>
      <c r="Q752" s="256"/>
      <c r="R752" s="256"/>
      <c r="S752" s="256"/>
      <c r="T752" s="256"/>
      <c r="U752" s="256"/>
      <c r="V752" s="256"/>
      <c r="W752" s="256"/>
      <c r="X752" s="256"/>
      <c r="Y752" s="256"/>
      <c r="Z752" s="256"/>
      <c r="AA752" s="256"/>
      <c r="AB752" s="256"/>
      <c r="AC752" s="256"/>
      <c r="AD752" s="256"/>
      <c r="AE752" s="256"/>
      <c r="AF752" s="256"/>
      <c r="AG752" s="256"/>
      <c r="AH752" s="256"/>
      <c r="AI752" s="256"/>
      <c r="AJ752" s="256"/>
      <c r="AK752" s="256"/>
      <c r="AL752" s="256"/>
      <c r="AM752" s="256"/>
      <c r="AN752" s="256"/>
      <c r="AO752" s="256"/>
      <c r="AP752" s="256"/>
      <c r="AQ752" s="256"/>
      <c r="AR752" s="256"/>
    </row>
    <row r="753">
      <c r="A753" s="256"/>
      <c r="B753" s="256"/>
      <c r="C753" s="257"/>
      <c r="D753" s="257"/>
      <c r="E753" s="257"/>
      <c r="F753" s="257"/>
      <c r="G753" s="257"/>
      <c r="H753" s="257"/>
      <c r="I753" s="256"/>
      <c r="J753" s="256"/>
      <c r="K753" s="256"/>
      <c r="L753" s="256"/>
      <c r="M753" s="256"/>
      <c r="N753" s="256"/>
      <c r="O753" s="256"/>
      <c r="P753" s="256"/>
      <c r="Q753" s="256"/>
      <c r="R753" s="256"/>
      <c r="S753" s="256"/>
      <c r="T753" s="256"/>
      <c r="U753" s="256"/>
      <c r="V753" s="256"/>
      <c r="W753" s="256"/>
      <c r="X753" s="256"/>
      <c r="Y753" s="256"/>
      <c r="Z753" s="256"/>
      <c r="AA753" s="256"/>
      <c r="AB753" s="256"/>
      <c r="AC753" s="256"/>
      <c r="AD753" s="256"/>
      <c r="AE753" s="256"/>
      <c r="AF753" s="256"/>
      <c r="AG753" s="256"/>
      <c r="AH753" s="256"/>
      <c r="AI753" s="256"/>
      <c r="AJ753" s="256"/>
      <c r="AK753" s="256"/>
      <c r="AL753" s="256"/>
      <c r="AM753" s="256"/>
      <c r="AN753" s="256"/>
      <c r="AO753" s="256"/>
      <c r="AP753" s="256"/>
      <c r="AQ753" s="256"/>
      <c r="AR753" s="256"/>
    </row>
    <row r="754">
      <c r="A754" s="256"/>
      <c r="B754" s="256"/>
      <c r="C754" s="257"/>
      <c r="D754" s="257"/>
      <c r="E754" s="257"/>
      <c r="F754" s="257"/>
      <c r="G754" s="257"/>
      <c r="H754" s="257"/>
      <c r="I754" s="256"/>
      <c r="J754" s="256"/>
      <c r="K754" s="256"/>
      <c r="L754" s="256"/>
      <c r="M754" s="256"/>
      <c r="N754" s="256"/>
      <c r="O754" s="256"/>
      <c r="P754" s="256"/>
      <c r="Q754" s="256"/>
      <c r="R754" s="256"/>
      <c r="S754" s="256"/>
      <c r="T754" s="256"/>
      <c r="U754" s="256"/>
      <c r="V754" s="256"/>
      <c r="W754" s="256"/>
      <c r="X754" s="256"/>
      <c r="Y754" s="256"/>
      <c r="Z754" s="256"/>
      <c r="AA754" s="256"/>
      <c r="AB754" s="256"/>
      <c r="AC754" s="256"/>
      <c r="AD754" s="256"/>
      <c r="AE754" s="256"/>
      <c r="AF754" s="256"/>
      <c r="AG754" s="256"/>
      <c r="AH754" s="256"/>
      <c r="AI754" s="256"/>
      <c r="AJ754" s="256"/>
      <c r="AK754" s="256"/>
      <c r="AL754" s="256"/>
      <c r="AM754" s="256"/>
      <c r="AN754" s="256"/>
      <c r="AO754" s="256"/>
      <c r="AP754" s="256"/>
      <c r="AQ754" s="256"/>
      <c r="AR754" s="256"/>
    </row>
    <row r="755">
      <c r="A755" s="256"/>
      <c r="B755" s="256"/>
      <c r="C755" s="257"/>
      <c r="D755" s="257"/>
      <c r="E755" s="257"/>
      <c r="F755" s="257"/>
      <c r="G755" s="257"/>
      <c r="H755" s="257"/>
      <c r="I755" s="256"/>
      <c r="J755" s="256"/>
      <c r="K755" s="256"/>
      <c r="L755" s="256"/>
      <c r="M755" s="256"/>
      <c r="N755" s="256"/>
      <c r="O755" s="256"/>
      <c r="P755" s="256"/>
      <c r="Q755" s="256"/>
      <c r="R755" s="256"/>
      <c r="S755" s="256"/>
      <c r="T755" s="256"/>
      <c r="U755" s="256"/>
      <c r="V755" s="256"/>
      <c r="W755" s="256"/>
      <c r="X755" s="256"/>
      <c r="Y755" s="256"/>
      <c r="Z755" s="256"/>
      <c r="AA755" s="256"/>
      <c r="AB755" s="256"/>
      <c r="AC755" s="256"/>
      <c r="AD755" s="256"/>
      <c r="AE755" s="256"/>
      <c r="AF755" s="256"/>
      <c r="AG755" s="256"/>
      <c r="AH755" s="256"/>
      <c r="AI755" s="256"/>
      <c r="AJ755" s="256"/>
      <c r="AK755" s="256"/>
      <c r="AL755" s="256"/>
      <c r="AM755" s="256"/>
      <c r="AN755" s="256"/>
      <c r="AO755" s="256"/>
      <c r="AP755" s="256"/>
      <c r="AQ755" s="256"/>
      <c r="AR755" s="256"/>
    </row>
    <row r="756">
      <c r="A756" s="256"/>
      <c r="B756" s="256"/>
      <c r="C756" s="257"/>
      <c r="D756" s="257"/>
      <c r="E756" s="257"/>
      <c r="F756" s="257"/>
      <c r="G756" s="257"/>
      <c r="H756" s="257"/>
      <c r="I756" s="256"/>
      <c r="J756" s="256"/>
      <c r="K756" s="256"/>
      <c r="L756" s="256"/>
      <c r="M756" s="256"/>
      <c r="N756" s="256"/>
      <c r="O756" s="256"/>
      <c r="P756" s="256"/>
      <c r="Q756" s="256"/>
      <c r="R756" s="256"/>
      <c r="S756" s="256"/>
      <c r="T756" s="256"/>
      <c r="U756" s="256"/>
      <c r="V756" s="256"/>
      <c r="W756" s="256"/>
      <c r="X756" s="256"/>
      <c r="Y756" s="256"/>
      <c r="Z756" s="256"/>
      <c r="AA756" s="256"/>
      <c r="AB756" s="256"/>
      <c r="AC756" s="256"/>
      <c r="AD756" s="256"/>
      <c r="AE756" s="256"/>
      <c r="AF756" s="256"/>
      <c r="AG756" s="256"/>
      <c r="AH756" s="256"/>
      <c r="AI756" s="256"/>
      <c r="AJ756" s="256"/>
      <c r="AK756" s="256"/>
      <c r="AL756" s="256"/>
      <c r="AM756" s="256"/>
      <c r="AN756" s="256"/>
      <c r="AO756" s="256"/>
      <c r="AP756" s="256"/>
      <c r="AQ756" s="256"/>
      <c r="AR756" s="256"/>
    </row>
    <row r="757">
      <c r="A757" s="256"/>
      <c r="B757" s="256"/>
      <c r="C757" s="257"/>
      <c r="D757" s="257"/>
      <c r="E757" s="257"/>
      <c r="F757" s="257"/>
      <c r="G757" s="257"/>
      <c r="H757" s="257"/>
      <c r="I757" s="256"/>
      <c r="J757" s="256"/>
      <c r="K757" s="256"/>
      <c r="L757" s="256"/>
      <c r="M757" s="256"/>
      <c r="N757" s="256"/>
      <c r="O757" s="256"/>
      <c r="P757" s="256"/>
      <c r="Q757" s="256"/>
      <c r="R757" s="256"/>
      <c r="S757" s="256"/>
      <c r="T757" s="256"/>
      <c r="U757" s="256"/>
      <c r="V757" s="256"/>
      <c r="W757" s="256"/>
      <c r="X757" s="256"/>
      <c r="Y757" s="256"/>
      <c r="Z757" s="256"/>
      <c r="AA757" s="256"/>
      <c r="AB757" s="256"/>
      <c r="AC757" s="256"/>
      <c r="AD757" s="256"/>
      <c r="AE757" s="256"/>
      <c r="AF757" s="256"/>
      <c r="AG757" s="256"/>
      <c r="AH757" s="256"/>
      <c r="AI757" s="256"/>
      <c r="AJ757" s="256"/>
      <c r="AK757" s="256"/>
      <c r="AL757" s="256"/>
      <c r="AM757" s="256"/>
      <c r="AN757" s="256"/>
      <c r="AO757" s="256"/>
      <c r="AP757" s="256"/>
      <c r="AQ757" s="256"/>
      <c r="AR757" s="256"/>
    </row>
    <row r="758">
      <c r="A758" s="256"/>
      <c r="B758" s="256"/>
      <c r="C758" s="257"/>
      <c r="D758" s="257"/>
      <c r="E758" s="257"/>
      <c r="F758" s="257"/>
      <c r="G758" s="257"/>
      <c r="H758" s="257"/>
      <c r="I758" s="256"/>
      <c r="J758" s="256"/>
      <c r="K758" s="256"/>
      <c r="L758" s="256"/>
      <c r="M758" s="256"/>
      <c r="N758" s="256"/>
      <c r="O758" s="256"/>
      <c r="P758" s="256"/>
      <c r="Q758" s="256"/>
      <c r="R758" s="256"/>
      <c r="S758" s="256"/>
      <c r="T758" s="256"/>
      <c r="U758" s="256"/>
      <c r="V758" s="256"/>
      <c r="W758" s="256"/>
      <c r="X758" s="256"/>
      <c r="Y758" s="256"/>
      <c r="Z758" s="256"/>
      <c r="AA758" s="256"/>
      <c r="AB758" s="256"/>
      <c r="AC758" s="256"/>
      <c r="AD758" s="256"/>
      <c r="AE758" s="256"/>
      <c r="AF758" s="256"/>
      <c r="AG758" s="256"/>
      <c r="AH758" s="256"/>
      <c r="AI758" s="256"/>
      <c r="AJ758" s="256"/>
      <c r="AK758" s="256"/>
      <c r="AL758" s="256"/>
      <c r="AM758" s="256"/>
      <c r="AN758" s="256"/>
      <c r="AO758" s="256"/>
      <c r="AP758" s="256"/>
      <c r="AQ758" s="256"/>
      <c r="AR758" s="256"/>
    </row>
    <row r="759">
      <c r="A759" s="256"/>
      <c r="B759" s="256"/>
      <c r="C759" s="257"/>
      <c r="D759" s="257"/>
      <c r="E759" s="257"/>
      <c r="F759" s="257"/>
      <c r="G759" s="257"/>
      <c r="H759" s="257"/>
      <c r="I759" s="256"/>
      <c r="J759" s="256"/>
      <c r="K759" s="256"/>
      <c r="L759" s="256"/>
      <c r="M759" s="256"/>
      <c r="N759" s="256"/>
      <c r="O759" s="256"/>
      <c r="P759" s="256"/>
      <c r="Q759" s="256"/>
      <c r="R759" s="256"/>
      <c r="S759" s="256"/>
      <c r="T759" s="256"/>
      <c r="U759" s="256"/>
      <c r="V759" s="256"/>
      <c r="W759" s="256"/>
      <c r="X759" s="256"/>
      <c r="Y759" s="256"/>
      <c r="Z759" s="256"/>
      <c r="AA759" s="256"/>
      <c r="AB759" s="256"/>
      <c r="AC759" s="256"/>
      <c r="AD759" s="256"/>
      <c r="AE759" s="256"/>
      <c r="AF759" s="256"/>
      <c r="AG759" s="256"/>
      <c r="AH759" s="256"/>
      <c r="AI759" s="256"/>
      <c r="AJ759" s="256"/>
      <c r="AK759" s="256"/>
      <c r="AL759" s="256"/>
      <c r="AM759" s="256"/>
      <c r="AN759" s="256"/>
      <c r="AO759" s="256"/>
      <c r="AP759" s="256"/>
      <c r="AQ759" s="256"/>
      <c r="AR759" s="256"/>
    </row>
    <row r="760">
      <c r="A760" s="256"/>
      <c r="B760" s="256"/>
      <c r="C760" s="257"/>
      <c r="D760" s="257"/>
      <c r="E760" s="257"/>
      <c r="F760" s="257"/>
      <c r="G760" s="257"/>
      <c r="H760" s="257"/>
      <c r="I760" s="256"/>
      <c r="J760" s="256"/>
      <c r="K760" s="256"/>
      <c r="L760" s="256"/>
      <c r="M760" s="256"/>
      <c r="N760" s="256"/>
      <c r="O760" s="256"/>
      <c r="P760" s="256"/>
      <c r="Q760" s="256"/>
      <c r="R760" s="256"/>
      <c r="S760" s="256"/>
      <c r="T760" s="256"/>
      <c r="U760" s="256"/>
      <c r="V760" s="256"/>
      <c r="W760" s="256"/>
      <c r="X760" s="256"/>
      <c r="Y760" s="256"/>
      <c r="Z760" s="256"/>
      <c r="AA760" s="256"/>
      <c r="AB760" s="256"/>
      <c r="AC760" s="256"/>
      <c r="AD760" s="256"/>
      <c r="AE760" s="256"/>
      <c r="AF760" s="256"/>
      <c r="AG760" s="256"/>
      <c r="AH760" s="256"/>
      <c r="AI760" s="256"/>
      <c r="AJ760" s="256"/>
      <c r="AK760" s="256"/>
      <c r="AL760" s="256"/>
      <c r="AM760" s="256"/>
      <c r="AN760" s="256"/>
      <c r="AO760" s="256"/>
      <c r="AP760" s="256"/>
      <c r="AQ760" s="256"/>
      <c r="AR760" s="256"/>
    </row>
    <row r="761">
      <c r="A761" s="256"/>
      <c r="B761" s="256"/>
      <c r="C761" s="257"/>
      <c r="D761" s="257"/>
      <c r="E761" s="257"/>
      <c r="F761" s="257"/>
      <c r="G761" s="257"/>
      <c r="H761" s="257"/>
      <c r="I761" s="256"/>
      <c r="J761" s="256"/>
      <c r="K761" s="256"/>
      <c r="L761" s="256"/>
      <c r="M761" s="256"/>
      <c r="N761" s="256"/>
      <c r="O761" s="256"/>
      <c r="P761" s="256"/>
      <c r="Q761" s="256"/>
      <c r="R761" s="256"/>
      <c r="S761" s="256"/>
      <c r="T761" s="256"/>
      <c r="U761" s="256"/>
      <c r="V761" s="256"/>
      <c r="W761" s="256"/>
      <c r="X761" s="256"/>
      <c r="Y761" s="256"/>
      <c r="Z761" s="256"/>
      <c r="AA761" s="256"/>
      <c r="AB761" s="256"/>
      <c r="AC761" s="256"/>
      <c r="AD761" s="256"/>
      <c r="AE761" s="256"/>
      <c r="AF761" s="256"/>
      <c r="AG761" s="256"/>
      <c r="AH761" s="256"/>
      <c r="AI761" s="256"/>
      <c r="AJ761" s="256"/>
      <c r="AK761" s="256"/>
      <c r="AL761" s="256"/>
      <c r="AM761" s="256"/>
      <c r="AN761" s="256"/>
      <c r="AO761" s="256"/>
      <c r="AP761" s="256"/>
      <c r="AQ761" s="256"/>
      <c r="AR761" s="256"/>
    </row>
    <row r="762">
      <c r="A762" s="256"/>
      <c r="B762" s="256"/>
      <c r="C762" s="257"/>
      <c r="D762" s="257"/>
      <c r="E762" s="257"/>
      <c r="F762" s="257"/>
      <c r="G762" s="257"/>
      <c r="H762" s="257"/>
      <c r="I762" s="256"/>
      <c r="J762" s="256"/>
      <c r="K762" s="256"/>
      <c r="L762" s="256"/>
      <c r="M762" s="256"/>
      <c r="N762" s="256"/>
      <c r="O762" s="256"/>
      <c r="P762" s="256"/>
      <c r="Q762" s="256"/>
      <c r="R762" s="256"/>
      <c r="S762" s="256"/>
      <c r="T762" s="256"/>
      <c r="U762" s="256"/>
      <c r="V762" s="256"/>
      <c r="W762" s="256"/>
      <c r="X762" s="256"/>
      <c r="Y762" s="256"/>
      <c r="Z762" s="256"/>
      <c r="AA762" s="256"/>
      <c r="AB762" s="256"/>
      <c r="AC762" s="256"/>
      <c r="AD762" s="256"/>
      <c r="AE762" s="256"/>
      <c r="AF762" s="256"/>
      <c r="AG762" s="256"/>
      <c r="AH762" s="256"/>
      <c r="AI762" s="256"/>
      <c r="AJ762" s="256"/>
      <c r="AK762" s="256"/>
      <c r="AL762" s="256"/>
      <c r="AM762" s="256"/>
      <c r="AN762" s="256"/>
      <c r="AO762" s="256"/>
      <c r="AP762" s="256"/>
      <c r="AQ762" s="256"/>
      <c r="AR762" s="256"/>
    </row>
    <row r="763">
      <c r="A763" s="256"/>
      <c r="B763" s="256"/>
      <c r="C763" s="257"/>
      <c r="D763" s="257"/>
      <c r="E763" s="257"/>
      <c r="F763" s="257"/>
      <c r="G763" s="257"/>
      <c r="H763" s="257"/>
      <c r="I763" s="256"/>
      <c r="J763" s="256"/>
      <c r="K763" s="256"/>
      <c r="L763" s="256"/>
      <c r="M763" s="256"/>
      <c r="N763" s="256"/>
      <c r="O763" s="256"/>
      <c r="P763" s="256"/>
      <c r="Q763" s="256"/>
      <c r="R763" s="256"/>
      <c r="S763" s="256"/>
      <c r="T763" s="256"/>
      <c r="U763" s="256"/>
      <c r="V763" s="256"/>
      <c r="W763" s="256"/>
      <c r="X763" s="256"/>
      <c r="Y763" s="256"/>
      <c r="Z763" s="256"/>
      <c r="AA763" s="256"/>
      <c r="AB763" s="256"/>
      <c r="AC763" s="256"/>
      <c r="AD763" s="256"/>
      <c r="AE763" s="256"/>
      <c r="AF763" s="256"/>
      <c r="AG763" s="256"/>
      <c r="AH763" s="256"/>
      <c r="AI763" s="256"/>
      <c r="AJ763" s="256"/>
      <c r="AK763" s="256"/>
      <c r="AL763" s="256"/>
      <c r="AM763" s="256"/>
      <c r="AN763" s="256"/>
      <c r="AO763" s="256"/>
      <c r="AP763" s="256"/>
      <c r="AQ763" s="256"/>
      <c r="AR763" s="256"/>
    </row>
    <row r="764">
      <c r="A764" s="256"/>
      <c r="B764" s="256"/>
      <c r="C764" s="257"/>
      <c r="D764" s="257"/>
      <c r="E764" s="257"/>
      <c r="F764" s="257"/>
      <c r="G764" s="257"/>
      <c r="H764" s="257"/>
      <c r="I764" s="256"/>
      <c r="J764" s="256"/>
      <c r="K764" s="256"/>
      <c r="L764" s="256"/>
      <c r="M764" s="256"/>
      <c r="N764" s="256"/>
      <c r="O764" s="256"/>
      <c r="P764" s="256"/>
      <c r="Q764" s="256"/>
      <c r="R764" s="256"/>
      <c r="S764" s="256"/>
      <c r="T764" s="256"/>
      <c r="U764" s="256"/>
      <c r="V764" s="256"/>
      <c r="W764" s="256"/>
      <c r="X764" s="256"/>
      <c r="Y764" s="256"/>
      <c r="Z764" s="256"/>
      <c r="AA764" s="256"/>
      <c r="AB764" s="256"/>
      <c r="AC764" s="256"/>
      <c r="AD764" s="256"/>
      <c r="AE764" s="256"/>
      <c r="AF764" s="256"/>
      <c r="AG764" s="256"/>
      <c r="AH764" s="256"/>
      <c r="AI764" s="256"/>
      <c r="AJ764" s="256"/>
      <c r="AK764" s="256"/>
      <c r="AL764" s="256"/>
      <c r="AM764" s="256"/>
      <c r="AN764" s="256"/>
      <c r="AO764" s="256"/>
      <c r="AP764" s="256"/>
      <c r="AQ764" s="256"/>
      <c r="AR764" s="256"/>
    </row>
    <row r="765">
      <c r="A765" s="256"/>
      <c r="B765" s="256"/>
      <c r="C765" s="257"/>
      <c r="D765" s="257"/>
      <c r="E765" s="257"/>
      <c r="F765" s="257"/>
      <c r="G765" s="257"/>
      <c r="H765" s="257"/>
      <c r="I765" s="256"/>
      <c r="J765" s="256"/>
      <c r="K765" s="256"/>
      <c r="L765" s="256"/>
      <c r="M765" s="256"/>
      <c r="N765" s="256"/>
      <c r="O765" s="256"/>
      <c r="P765" s="256"/>
      <c r="Q765" s="256"/>
      <c r="R765" s="256"/>
      <c r="S765" s="256"/>
      <c r="T765" s="256"/>
      <c r="U765" s="256"/>
      <c r="V765" s="256"/>
      <c r="W765" s="256"/>
      <c r="X765" s="256"/>
      <c r="Y765" s="256"/>
      <c r="Z765" s="256"/>
      <c r="AA765" s="256"/>
      <c r="AB765" s="256"/>
      <c r="AC765" s="256"/>
      <c r="AD765" s="256"/>
      <c r="AE765" s="256"/>
      <c r="AF765" s="256"/>
      <c r="AG765" s="256"/>
      <c r="AH765" s="256"/>
      <c r="AI765" s="256"/>
      <c r="AJ765" s="256"/>
      <c r="AK765" s="256"/>
      <c r="AL765" s="256"/>
      <c r="AM765" s="256"/>
      <c r="AN765" s="256"/>
      <c r="AO765" s="256"/>
      <c r="AP765" s="256"/>
      <c r="AQ765" s="256"/>
      <c r="AR765" s="256"/>
    </row>
    <row r="766">
      <c r="A766" s="256"/>
      <c r="B766" s="256"/>
      <c r="C766" s="257"/>
      <c r="D766" s="257"/>
      <c r="E766" s="257"/>
      <c r="F766" s="257"/>
      <c r="G766" s="257"/>
      <c r="H766" s="257"/>
      <c r="I766" s="256"/>
      <c r="J766" s="256"/>
      <c r="K766" s="256"/>
      <c r="L766" s="256"/>
      <c r="M766" s="256"/>
      <c r="N766" s="256"/>
      <c r="O766" s="256"/>
      <c r="P766" s="256"/>
      <c r="Q766" s="256"/>
      <c r="R766" s="256"/>
      <c r="S766" s="256"/>
      <c r="T766" s="256"/>
      <c r="U766" s="256"/>
      <c r="V766" s="256"/>
      <c r="W766" s="256"/>
      <c r="X766" s="256"/>
      <c r="Y766" s="256"/>
      <c r="Z766" s="256"/>
      <c r="AA766" s="256"/>
      <c r="AB766" s="256"/>
      <c r="AC766" s="256"/>
      <c r="AD766" s="256"/>
      <c r="AE766" s="256"/>
      <c r="AF766" s="256"/>
      <c r="AG766" s="256"/>
      <c r="AH766" s="256"/>
      <c r="AI766" s="256"/>
      <c r="AJ766" s="256"/>
      <c r="AK766" s="256"/>
      <c r="AL766" s="256"/>
      <c r="AM766" s="256"/>
      <c r="AN766" s="256"/>
      <c r="AO766" s="256"/>
      <c r="AP766" s="256"/>
      <c r="AQ766" s="256"/>
      <c r="AR766" s="256"/>
    </row>
    <row r="767">
      <c r="A767" s="256"/>
      <c r="B767" s="256"/>
      <c r="C767" s="257"/>
      <c r="D767" s="257"/>
      <c r="E767" s="257"/>
      <c r="F767" s="257"/>
      <c r="G767" s="257"/>
      <c r="H767" s="257"/>
      <c r="I767" s="256"/>
      <c r="J767" s="256"/>
      <c r="K767" s="256"/>
      <c r="L767" s="256"/>
      <c r="M767" s="256"/>
      <c r="N767" s="256"/>
      <c r="O767" s="256"/>
      <c r="P767" s="256"/>
      <c r="Q767" s="256"/>
      <c r="R767" s="256"/>
      <c r="S767" s="256"/>
      <c r="T767" s="256"/>
      <c r="U767" s="256"/>
      <c r="V767" s="256"/>
      <c r="W767" s="256"/>
      <c r="X767" s="256"/>
      <c r="Y767" s="256"/>
      <c r="Z767" s="256"/>
      <c r="AA767" s="256"/>
      <c r="AB767" s="256"/>
      <c r="AC767" s="256"/>
      <c r="AD767" s="256"/>
      <c r="AE767" s="256"/>
      <c r="AF767" s="256"/>
      <c r="AG767" s="256"/>
      <c r="AH767" s="256"/>
      <c r="AI767" s="256"/>
      <c r="AJ767" s="256"/>
      <c r="AK767" s="256"/>
      <c r="AL767" s="256"/>
      <c r="AM767" s="256"/>
      <c r="AN767" s="256"/>
      <c r="AO767" s="256"/>
      <c r="AP767" s="256"/>
      <c r="AQ767" s="256"/>
      <c r="AR767" s="256"/>
    </row>
    <row r="768">
      <c r="A768" s="256"/>
      <c r="B768" s="256"/>
      <c r="C768" s="257"/>
      <c r="D768" s="257"/>
      <c r="E768" s="257"/>
      <c r="F768" s="257"/>
      <c r="G768" s="257"/>
      <c r="H768" s="257"/>
      <c r="I768" s="256"/>
      <c r="J768" s="256"/>
      <c r="K768" s="256"/>
      <c r="L768" s="256"/>
      <c r="M768" s="256"/>
      <c r="N768" s="256"/>
      <c r="O768" s="256"/>
      <c r="P768" s="256"/>
      <c r="Q768" s="256"/>
      <c r="R768" s="256"/>
      <c r="S768" s="256"/>
      <c r="T768" s="256"/>
      <c r="U768" s="256"/>
      <c r="V768" s="256"/>
      <c r="W768" s="256"/>
      <c r="X768" s="256"/>
      <c r="Y768" s="256"/>
      <c r="Z768" s="256"/>
      <c r="AA768" s="256"/>
      <c r="AB768" s="256"/>
      <c r="AC768" s="256"/>
      <c r="AD768" s="256"/>
      <c r="AE768" s="256"/>
      <c r="AF768" s="256"/>
      <c r="AG768" s="256"/>
      <c r="AH768" s="256"/>
      <c r="AI768" s="256"/>
      <c r="AJ768" s="256"/>
      <c r="AK768" s="256"/>
      <c r="AL768" s="256"/>
      <c r="AM768" s="256"/>
      <c r="AN768" s="256"/>
      <c r="AO768" s="256"/>
      <c r="AP768" s="256"/>
      <c r="AQ768" s="256"/>
      <c r="AR768" s="256"/>
    </row>
    <row r="769">
      <c r="A769" s="256"/>
      <c r="B769" s="256"/>
      <c r="C769" s="257"/>
      <c r="D769" s="257"/>
      <c r="E769" s="257"/>
      <c r="F769" s="257"/>
      <c r="G769" s="257"/>
      <c r="H769" s="257"/>
      <c r="I769" s="256"/>
      <c r="J769" s="256"/>
      <c r="K769" s="256"/>
      <c r="L769" s="256"/>
      <c r="M769" s="256"/>
      <c r="N769" s="256"/>
      <c r="O769" s="256"/>
      <c r="P769" s="256"/>
      <c r="Q769" s="256"/>
      <c r="R769" s="256"/>
      <c r="S769" s="256"/>
      <c r="T769" s="256"/>
      <c r="U769" s="256"/>
      <c r="V769" s="256"/>
      <c r="W769" s="256"/>
      <c r="X769" s="256"/>
      <c r="Y769" s="256"/>
      <c r="Z769" s="256"/>
      <c r="AA769" s="256"/>
      <c r="AB769" s="256"/>
      <c r="AC769" s="256"/>
      <c r="AD769" s="256"/>
      <c r="AE769" s="256"/>
      <c r="AF769" s="256"/>
      <c r="AG769" s="256"/>
      <c r="AH769" s="256"/>
      <c r="AI769" s="256"/>
      <c r="AJ769" s="256"/>
      <c r="AK769" s="256"/>
      <c r="AL769" s="256"/>
      <c r="AM769" s="256"/>
      <c r="AN769" s="256"/>
      <c r="AO769" s="256"/>
      <c r="AP769" s="256"/>
      <c r="AQ769" s="256"/>
      <c r="AR769" s="256"/>
    </row>
    <row r="770">
      <c r="A770" s="256"/>
      <c r="B770" s="256"/>
      <c r="C770" s="257"/>
      <c r="D770" s="257"/>
      <c r="E770" s="257"/>
      <c r="F770" s="257"/>
      <c r="G770" s="257"/>
      <c r="H770" s="257"/>
      <c r="I770" s="256"/>
      <c r="J770" s="256"/>
      <c r="K770" s="256"/>
      <c r="L770" s="256"/>
      <c r="M770" s="256"/>
      <c r="N770" s="256"/>
      <c r="O770" s="256"/>
      <c r="P770" s="256"/>
      <c r="Q770" s="256"/>
      <c r="R770" s="256"/>
      <c r="S770" s="256"/>
      <c r="T770" s="256"/>
      <c r="U770" s="256"/>
      <c r="V770" s="256"/>
      <c r="W770" s="256"/>
      <c r="X770" s="256"/>
      <c r="Y770" s="256"/>
      <c r="Z770" s="256"/>
      <c r="AA770" s="256"/>
      <c r="AB770" s="256"/>
      <c r="AC770" s="256"/>
      <c r="AD770" s="256"/>
      <c r="AE770" s="256"/>
      <c r="AF770" s="256"/>
      <c r="AG770" s="256"/>
      <c r="AH770" s="256"/>
      <c r="AI770" s="256"/>
      <c r="AJ770" s="256"/>
      <c r="AK770" s="256"/>
      <c r="AL770" s="256"/>
      <c r="AM770" s="256"/>
      <c r="AN770" s="256"/>
      <c r="AO770" s="256"/>
      <c r="AP770" s="256"/>
      <c r="AQ770" s="256"/>
      <c r="AR770" s="256"/>
    </row>
    <row r="771">
      <c r="A771" s="256"/>
      <c r="B771" s="256"/>
      <c r="C771" s="257"/>
      <c r="D771" s="257"/>
      <c r="E771" s="257"/>
      <c r="F771" s="257"/>
      <c r="G771" s="257"/>
      <c r="H771" s="257"/>
      <c r="I771" s="256"/>
      <c r="J771" s="256"/>
      <c r="K771" s="256"/>
      <c r="L771" s="256"/>
      <c r="M771" s="256"/>
      <c r="N771" s="256"/>
      <c r="O771" s="256"/>
      <c r="P771" s="256"/>
      <c r="Q771" s="256"/>
      <c r="R771" s="256"/>
      <c r="S771" s="256"/>
      <c r="T771" s="256"/>
      <c r="U771" s="256"/>
      <c r="V771" s="256"/>
      <c r="W771" s="256"/>
      <c r="X771" s="256"/>
      <c r="Y771" s="256"/>
      <c r="Z771" s="256"/>
      <c r="AA771" s="256"/>
      <c r="AB771" s="256"/>
      <c r="AC771" s="256"/>
      <c r="AD771" s="256"/>
      <c r="AE771" s="256"/>
      <c r="AF771" s="256"/>
      <c r="AG771" s="256"/>
      <c r="AH771" s="256"/>
      <c r="AI771" s="256"/>
      <c r="AJ771" s="256"/>
      <c r="AK771" s="256"/>
      <c r="AL771" s="256"/>
      <c r="AM771" s="256"/>
      <c r="AN771" s="256"/>
      <c r="AO771" s="256"/>
      <c r="AP771" s="256"/>
      <c r="AQ771" s="256"/>
      <c r="AR771" s="256"/>
    </row>
    <row r="772">
      <c r="A772" s="256"/>
      <c r="B772" s="256"/>
      <c r="C772" s="257"/>
      <c r="D772" s="257"/>
      <c r="E772" s="257"/>
      <c r="F772" s="257"/>
      <c r="G772" s="257"/>
      <c r="H772" s="257"/>
      <c r="I772" s="256"/>
      <c r="J772" s="256"/>
      <c r="K772" s="256"/>
      <c r="L772" s="256"/>
      <c r="M772" s="256"/>
      <c r="N772" s="256"/>
      <c r="O772" s="256"/>
      <c r="P772" s="256"/>
      <c r="Q772" s="256"/>
      <c r="R772" s="256"/>
      <c r="S772" s="256"/>
      <c r="T772" s="256"/>
      <c r="U772" s="256"/>
      <c r="V772" s="256"/>
      <c r="W772" s="256"/>
      <c r="X772" s="256"/>
      <c r="Y772" s="256"/>
      <c r="Z772" s="256"/>
      <c r="AA772" s="256"/>
      <c r="AB772" s="256"/>
      <c r="AC772" s="256"/>
      <c r="AD772" s="256"/>
      <c r="AE772" s="256"/>
      <c r="AF772" s="256"/>
      <c r="AG772" s="256"/>
      <c r="AH772" s="256"/>
      <c r="AI772" s="256"/>
      <c r="AJ772" s="256"/>
      <c r="AK772" s="256"/>
      <c r="AL772" s="256"/>
      <c r="AM772" s="256"/>
      <c r="AN772" s="256"/>
      <c r="AO772" s="256"/>
      <c r="AP772" s="256"/>
      <c r="AQ772" s="256"/>
      <c r="AR772" s="256"/>
    </row>
    <row r="773">
      <c r="A773" s="256"/>
      <c r="B773" s="256"/>
      <c r="C773" s="257"/>
      <c r="D773" s="257"/>
      <c r="E773" s="257"/>
      <c r="F773" s="257"/>
      <c r="G773" s="257"/>
      <c r="H773" s="257"/>
      <c r="I773" s="256"/>
      <c r="J773" s="256"/>
      <c r="K773" s="256"/>
      <c r="L773" s="256"/>
      <c r="M773" s="256"/>
      <c r="N773" s="256"/>
      <c r="O773" s="256"/>
      <c r="P773" s="256"/>
      <c r="Q773" s="256"/>
      <c r="R773" s="256"/>
      <c r="S773" s="256"/>
      <c r="T773" s="256"/>
      <c r="U773" s="256"/>
      <c r="V773" s="256"/>
      <c r="W773" s="256"/>
      <c r="X773" s="256"/>
      <c r="Y773" s="256"/>
      <c r="Z773" s="256"/>
      <c r="AA773" s="256"/>
      <c r="AB773" s="256"/>
      <c r="AC773" s="256"/>
      <c r="AD773" s="256"/>
      <c r="AE773" s="256"/>
      <c r="AF773" s="256"/>
      <c r="AG773" s="256"/>
      <c r="AH773" s="256"/>
      <c r="AI773" s="256"/>
      <c r="AJ773" s="256"/>
      <c r="AK773" s="256"/>
      <c r="AL773" s="256"/>
      <c r="AM773" s="256"/>
      <c r="AN773" s="256"/>
      <c r="AO773" s="256"/>
      <c r="AP773" s="256"/>
      <c r="AQ773" s="256"/>
      <c r="AR773" s="256"/>
    </row>
    <row r="774">
      <c r="A774" s="256"/>
      <c r="B774" s="256"/>
      <c r="C774" s="257"/>
      <c r="D774" s="257"/>
      <c r="E774" s="257"/>
      <c r="F774" s="257"/>
      <c r="G774" s="257"/>
      <c r="H774" s="257"/>
      <c r="I774" s="256"/>
      <c r="J774" s="256"/>
      <c r="K774" s="256"/>
      <c r="L774" s="256"/>
      <c r="M774" s="256"/>
      <c r="N774" s="256"/>
      <c r="O774" s="256"/>
      <c r="P774" s="256"/>
      <c r="Q774" s="256"/>
      <c r="R774" s="256"/>
      <c r="S774" s="256"/>
      <c r="T774" s="256"/>
      <c r="U774" s="256"/>
      <c r="V774" s="256"/>
      <c r="W774" s="256"/>
      <c r="X774" s="256"/>
      <c r="Y774" s="256"/>
      <c r="Z774" s="256"/>
      <c r="AA774" s="256"/>
      <c r="AB774" s="256"/>
      <c r="AC774" s="256"/>
      <c r="AD774" s="256"/>
      <c r="AE774" s="256"/>
      <c r="AF774" s="256"/>
      <c r="AG774" s="256"/>
      <c r="AH774" s="256"/>
      <c r="AI774" s="256"/>
      <c r="AJ774" s="256"/>
      <c r="AK774" s="256"/>
      <c r="AL774" s="256"/>
      <c r="AM774" s="256"/>
      <c r="AN774" s="256"/>
      <c r="AO774" s="256"/>
      <c r="AP774" s="256"/>
      <c r="AQ774" s="256"/>
      <c r="AR774" s="256"/>
    </row>
    <row r="775">
      <c r="A775" s="256"/>
      <c r="B775" s="256"/>
      <c r="C775" s="257"/>
      <c r="D775" s="257"/>
      <c r="E775" s="257"/>
      <c r="F775" s="257"/>
      <c r="G775" s="257"/>
      <c r="H775" s="257"/>
      <c r="I775" s="256"/>
      <c r="J775" s="256"/>
      <c r="K775" s="256"/>
      <c r="L775" s="256"/>
      <c r="M775" s="256"/>
      <c r="N775" s="256"/>
      <c r="O775" s="256"/>
      <c r="P775" s="256"/>
      <c r="Q775" s="256"/>
      <c r="R775" s="256"/>
      <c r="S775" s="256"/>
      <c r="T775" s="256"/>
      <c r="U775" s="256"/>
      <c r="V775" s="256"/>
      <c r="W775" s="256"/>
      <c r="X775" s="256"/>
      <c r="Y775" s="256"/>
      <c r="Z775" s="256"/>
      <c r="AA775" s="256"/>
      <c r="AB775" s="256"/>
      <c r="AC775" s="256"/>
      <c r="AD775" s="256"/>
      <c r="AE775" s="256"/>
      <c r="AF775" s="256"/>
      <c r="AG775" s="256"/>
      <c r="AH775" s="256"/>
      <c r="AI775" s="256"/>
      <c r="AJ775" s="256"/>
      <c r="AK775" s="256"/>
      <c r="AL775" s="256"/>
      <c r="AM775" s="256"/>
      <c r="AN775" s="256"/>
      <c r="AO775" s="256"/>
      <c r="AP775" s="256"/>
      <c r="AQ775" s="256"/>
      <c r="AR775" s="256"/>
    </row>
    <row r="776">
      <c r="A776" s="256"/>
      <c r="B776" s="256"/>
      <c r="C776" s="257"/>
      <c r="D776" s="257"/>
      <c r="E776" s="257"/>
      <c r="F776" s="257"/>
      <c r="G776" s="257"/>
      <c r="H776" s="257"/>
      <c r="I776" s="256"/>
      <c r="J776" s="256"/>
      <c r="K776" s="256"/>
      <c r="L776" s="256"/>
      <c r="M776" s="256"/>
      <c r="N776" s="256"/>
      <c r="O776" s="256"/>
      <c r="P776" s="256"/>
      <c r="Q776" s="256"/>
      <c r="R776" s="256"/>
      <c r="S776" s="256"/>
      <c r="T776" s="256"/>
      <c r="U776" s="256"/>
      <c r="V776" s="256"/>
      <c r="W776" s="256"/>
      <c r="X776" s="256"/>
      <c r="Y776" s="256"/>
      <c r="Z776" s="256"/>
      <c r="AA776" s="256"/>
      <c r="AB776" s="256"/>
      <c r="AC776" s="256"/>
      <c r="AD776" s="256"/>
      <c r="AE776" s="256"/>
      <c r="AF776" s="256"/>
      <c r="AG776" s="256"/>
      <c r="AH776" s="256"/>
      <c r="AI776" s="256"/>
      <c r="AJ776" s="256"/>
      <c r="AK776" s="256"/>
      <c r="AL776" s="256"/>
      <c r="AM776" s="256"/>
      <c r="AN776" s="256"/>
      <c r="AO776" s="256"/>
      <c r="AP776" s="256"/>
      <c r="AQ776" s="256"/>
      <c r="AR776" s="256"/>
    </row>
    <row r="777">
      <c r="A777" s="256"/>
      <c r="B777" s="256"/>
      <c r="C777" s="257"/>
      <c r="D777" s="257"/>
      <c r="E777" s="257"/>
      <c r="F777" s="257"/>
      <c r="G777" s="257"/>
      <c r="H777" s="257"/>
      <c r="I777" s="256"/>
      <c r="J777" s="256"/>
      <c r="K777" s="256"/>
      <c r="L777" s="256"/>
      <c r="M777" s="256"/>
      <c r="N777" s="256"/>
      <c r="O777" s="256"/>
      <c r="P777" s="256"/>
      <c r="Q777" s="256"/>
      <c r="R777" s="256"/>
      <c r="S777" s="256"/>
      <c r="T777" s="256"/>
      <c r="U777" s="256"/>
      <c r="V777" s="256"/>
      <c r="W777" s="256"/>
      <c r="X777" s="256"/>
      <c r="Y777" s="256"/>
      <c r="Z777" s="256"/>
      <c r="AA777" s="256"/>
      <c r="AB777" s="256"/>
      <c r="AC777" s="256"/>
      <c r="AD777" s="256"/>
      <c r="AE777" s="256"/>
      <c r="AF777" s="256"/>
      <c r="AG777" s="256"/>
      <c r="AH777" s="256"/>
      <c r="AI777" s="256"/>
      <c r="AJ777" s="256"/>
      <c r="AK777" s="256"/>
      <c r="AL777" s="256"/>
      <c r="AM777" s="256"/>
      <c r="AN777" s="256"/>
      <c r="AO777" s="256"/>
      <c r="AP777" s="256"/>
      <c r="AQ777" s="256"/>
      <c r="AR777" s="256"/>
    </row>
    <row r="778">
      <c r="A778" s="256"/>
      <c r="B778" s="256"/>
      <c r="C778" s="257"/>
      <c r="D778" s="257"/>
      <c r="E778" s="257"/>
      <c r="F778" s="257"/>
      <c r="G778" s="257"/>
      <c r="H778" s="257"/>
      <c r="I778" s="256"/>
      <c r="J778" s="256"/>
      <c r="K778" s="256"/>
      <c r="L778" s="256"/>
      <c r="M778" s="256"/>
      <c r="N778" s="256"/>
      <c r="O778" s="256"/>
      <c r="P778" s="256"/>
      <c r="Q778" s="256"/>
      <c r="R778" s="256"/>
      <c r="S778" s="256"/>
      <c r="T778" s="256"/>
      <c r="U778" s="256"/>
      <c r="V778" s="256"/>
      <c r="W778" s="256"/>
      <c r="X778" s="256"/>
      <c r="Y778" s="256"/>
      <c r="Z778" s="256"/>
      <c r="AA778" s="256"/>
      <c r="AB778" s="256"/>
      <c r="AC778" s="256"/>
      <c r="AD778" s="256"/>
      <c r="AE778" s="256"/>
      <c r="AF778" s="256"/>
      <c r="AG778" s="256"/>
      <c r="AH778" s="256"/>
      <c r="AI778" s="256"/>
      <c r="AJ778" s="256"/>
      <c r="AK778" s="256"/>
      <c r="AL778" s="256"/>
      <c r="AM778" s="256"/>
      <c r="AN778" s="256"/>
      <c r="AO778" s="256"/>
      <c r="AP778" s="256"/>
      <c r="AQ778" s="256"/>
      <c r="AR778" s="256"/>
    </row>
    <row r="779">
      <c r="A779" s="256"/>
      <c r="B779" s="256"/>
      <c r="C779" s="257"/>
      <c r="D779" s="257"/>
      <c r="E779" s="257"/>
      <c r="F779" s="257"/>
      <c r="G779" s="257"/>
      <c r="H779" s="257"/>
      <c r="I779" s="256"/>
      <c r="J779" s="256"/>
      <c r="K779" s="256"/>
      <c r="L779" s="256"/>
      <c r="M779" s="256"/>
      <c r="N779" s="256"/>
      <c r="O779" s="256"/>
      <c r="P779" s="256"/>
      <c r="Q779" s="256"/>
      <c r="R779" s="256"/>
      <c r="S779" s="256"/>
      <c r="T779" s="256"/>
      <c r="U779" s="256"/>
      <c r="V779" s="256"/>
      <c r="W779" s="256"/>
      <c r="X779" s="256"/>
      <c r="Y779" s="256"/>
      <c r="Z779" s="256"/>
      <c r="AA779" s="256"/>
      <c r="AB779" s="256"/>
      <c r="AC779" s="256"/>
      <c r="AD779" s="256"/>
      <c r="AE779" s="256"/>
      <c r="AF779" s="256"/>
      <c r="AG779" s="256"/>
      <c r="AH779" s="256"/>
      <c r="AI779" s="256"/>
      <c r="AJ779" s="256"/>
      <c r="AK779" s="256"/>
      <c r="AL779" s="256"/>
      <c r="AM779" s="256"/>
      <c r="AN779" s="256"/>
      <c r="AO779" s="256"/>
      <c r="AP779" s="256"/>
      <c r="AQ779" s="256"/>
      <c r="AR779" s="256"/>
    </row>
    <row r="780">
      <c r="A780" s="256"/>
      <c r="B780" s="256"/>
      <c r="C780" s="257"/>
      <c r="D780" s="257"/>
      <c r="E780" s="257"/>
      <c r="F780" s="257"/>
      <c r="G780" s="257"/>
      <c r="H780" s="257"/>
      <c r="I780" s="256"/>
      <c r="J780" s="256"/>
      <c r="K780" s="256"/>
      <c r="L780" s="256"/>
      <c r="M780" s="256"/>
      <c r="N780" s="256"/>
      <c r="O780" s="256"/>
      <c r="P780" s="256"/>
      <c r="Q780" s="256"/>
      <c r="R780" s="256"/>
      <c r="S780" s="256"/>
      <c r="T780" s="256"/>
      <c r="U780" s="256"/>
      <c r="V780" s="256"/>
      <c r="W780" s="256"/>
      <c r="X780" s="256"/>
      <c r="Y780" s="256"/>
      <c r="Z780" s="256"/>
      <c r="AA780" s="256"/>
      <c r="AB780" s="256"/>
      <c r="AC780" s="256"/>
      <c r="AD780" s="256"/>
      <c r="AE780" s="256"/>
      <c r="AF780" s="256"/>
      <c r="AG780" s="256"/>
      <c r="AH780" s="256"/>
      <c r="AI780" s="256"/>
      <c r="AJ780" s="256"/>
      <c r="AK780" s="256"/>
      <c r="AL780" s="256"/>
      <c r="AM780" s="256"/>
      <c r="AN780" s="256"/>
      <c r="AO780" s="256"/>
      <c r="AP780" s="256"/>
      <c r="AQ780" s="256"/>
      <c r="AR780" s="256"/>
    </row>
    <row r="781">
      <c r="A781" s="256"/>
      <c r="B781" s="256"/>
      <c r="C781" s="257"/>
      <c r="D781" s="257"/>
      <c r="E781" s="257"/>
      <c r="F781" s="257"/>
      <c r="G781" s="257"/>
      <c r="H781" s="257"/>
      <c r="I781" s="256"/>
      <c r="J781" s="256"/>
      <c r="K781" s="256"/>
      <c r="L781" s="256"/>
      <c r="M781" s="256"/>
      <c r="N781" s="256"/>
      <c r="O781" s="256"/>
      <c r="P781" s="256"/>
      <c r="Q781" s="256"/>
      <c r="R781" s="256"/>
      <c r="S781" s="256"/>
      <c r="T781" s="256"/>
      <c r="U781" s="256"/>
      <c r="V781" s="256"/>
      <c r="W781" s="256"/>
      <c r="X781" s="256"/>
      <c r="Y781" s="256"/>
      <c r="Z781" s="256"/>
      <c r="AA781" s="256"/>
      <c r="AB781" s="256"/>
      <c r="AC781" s="256"/>
      <c r="AD781" s="256"/>
      <c r="AE781" s="256"/>
      <c r="AF781" s="256"/>
      <c r="AG781" s="256"/>
      <c r="AH781" s="256"/>
      <c r="AI781" s="256"/>
      <c r="AJ781" s="256"/>
      <c r="AK781" s="256"/>
      <c r="AL781" s="256"/>
      <c r="AM781" s="256"/>
      <c r="AN781" s="256"/>
      <c r="AO781" s="256"/>
      <c r="AP781" s="256"/>
      <c r="AQ781" s="256"/>
      <c r="AR781" s="256"/>
    </row>
    <row r="782">
      <c r="A782" s="256"/>
      <c r="B782" s="256"/>
      <c r="C782" s="257"/>
      <c r="D782" s="257"/>
      <c r="E782" s="257"/>
      <c r="F782" s="257"/>
      <c r="G782" s="257"/>
      <c r="H782" s="257"/>
      <c r="I782" s="256"/>
      <c r="J782" s="256"/>
      <c r="K782" s="256"/>
      <c r="L782" s="256"/>
      <c r="M782" s="256"/>
      <c r="N782" s="256"/>
      <c r="O782" s="256"/>
      <c r="P782" s="256"/>
      <c r="Q782" s="256"/>
      <c r="R782" s="256"/>
      <c r="S782" s="256"/>
      <c r="T782" s="256"/>
      <c r="U782" s="256"/>
      <c r="V782" s="256"/>
      <c r="W782" s="256"/>
      <c r="X782" s="256"/>
      <c r="Y782" s="256"/>
      <c r="Z782" s="256"/>
      <c r="AA782" s="256"/>
      <c r="AB782" s="256"/>
      <c r="AC782" s="256"/>
      <c r="AD782" s="256"/>
      <c r="AE782" s="256"/>
      <c r="AF782" s="256"/>
      <c r="AG782" s="256"/>
      <c r="AH782" s="256"/>
      <c r="AI782" s="256"/>
      <c r="AJ782" s="256"/>
      <c r="AK782" s="256"/>
      <c r="AL782" s="256"/>
      <c r="AM782" s="256"/>
      <c r="AN782" s="256"/>
      <c r="AO782" s="256"/>
      <c r="AP782" s="256"/>
      <c r="AQ782" s="256"/>
      <c r="AR782" s="256"/>
    </row>
    <row r="783">
      <c r="A783" s="256"/>
      <c r="B783" s="256"/>
      <c r="C783" s="257"/>
      <c r="D783" s="257"/>
      <c r="E783" s="257"/>
      <c r="F783" s="257"/>
      <c r="G783" s="257"/>
      <c r="H783" s="257"/>
      <c r="I783" s="256"/>
      <c r="J783" s="256"/>
      <c r="K783" s="256"/>
      <c r="L783" s="256"/>
      <c r="M783" s="256"/>
      <c r="N783" s="256"/>
      <c r="O783" s="256"/>
      <c r="P783" s="256"/>
      <c r="Q783" s="256"/>
      <c r="R783" s="256"/>
      <c r="S783" s="256"/>
      <c r="T783" s="256"/>
      <c r="U783" s="256"/>
      <c r="V783" s="256"/>
      <c r="W783" s="256"/>
      <c r="X783" s="256"/>
      <c r="Y783" s="256"/>
      <c r="Z783" s="256"/>
      <c r="AA783" s="256"/>
      <c r="AB783" s="256"/>
      <c r="AC783" s="256"/>
      <c r="AD783" s="256"/>
      <c r="AE783" s="256"/>
      <c r="AF783" s="256"/>
      <c r="AG783" s="256"/>
      <c r="AH783" s="256"/>
      <c r="AI783" s="256"/>
      <c r="AJ783" s="256"/>
      <c r="AK783" s="256"/>
      <c r="AL783" s="256"/>
      <c r="AM783" s="256"/>
      <c r="AN783" s="256"/>
      <c r="AO783" s="256"/>
      <c r="AP783" s="256"/>
      <c r="AQ783" s="256"/>
      <c r="AR783" s="256"/>
    </row>
    <row r="784">
      <c r="A784" s="256"/>
      <c r="B784" s="256"/>
      <c r="C784" s="257"/>
      <c r="D784" s="257"/>
      <c r="E784" s="257"/>
      <c r="F784" s="257"/>
      <c r="G784" s="257"/>
      <c r="H784" s="257"/>
      <c r="I784" s="256"/>
      <c r="J784" s="256"/>
      <c r="K784" s="256"/>
      <c r="L784" s="256"/>
      <c r="M784" s="256"/>
      <c r="N784" s="256"/>
      <c r="O784" s="256"/>
      <c r="P784" s="256"/>
      <c r="Q784" s="256"/>
      <c r="R784" s="256"/>
      <c r="S784" s="256"/>
      <c r="T784" s="256"/>
      <c r="U784" s="256"/>
      <c r="V784" s="256"/>
      <c r="W784" s="256"/>
      <c r="X784" s="256"/>
      <c r="Y784" s="256"/>
      <c r="Z784" s="256"/>
      <c r="AA784" s="256"/>
      <c r="AB784" s="256"/>
      <c r="AC784" s="256"/>
      <c r="AD784" s="256"/>
      <c r="AE784" s="256"/>
      <c r="AF784" s="256"/>
      <c r="AG784" s="256"/>
      <c r="AH784" s="256"/>
      <c r="AI784" s="256"/>
      <c r="AJ784" s="256"/>
      <c r="AK784" s="256"/>
      <c r="AL784" s="256"/>
      <c r="AM784" s="256"/>
      <c r="AN784" s="256"/>
      <c r="AO784" s="256"/>
      <c r="AP784" s="256"/>
      <c r="AQ784" s="256"/>
      <c r="AR784" s="256"/>
    </row>
    <row r="785">
      <c r="A785" s="256"/>
      <c r="B785" s="256"/>
      <c r="C785" s="257"/>
      <c r="D785" s="257"/>
      <c r="E785" s="257"/>
      <c r="F785" s="257"/>
      <c r="G785" s="257"/>
      <c r="H785" s="257"/>
      <c r="I785" s="256"/>
      <c r="J785" s="256"/>
      <c r="K785" s="256"/>
      <c r="L785" s="256"/>
      <c r="M785" s="256"/>
      <c r="N785" s="256"/>
      <c r="O785" s="256"/>
      <c r="P785" s="256"/>
      <c r="Q785" s="256"/>
      <c r="R785" s="256"/>
      <c r="S785" s="256"/>
      <c r="T785" s="256"/>
      <c r="U785" s="256"/>
      <c r="V785" s="256"/>
      <c r="W785" s="256"/>
      <c r="X785" s="256"/>
      <c r="Y785" s="256"/>
      <c r="Z785" s="256"/>
      <c r="AA785" s="256"/>
      <c r="AB785" s="256"/>
      <c r="AC785" s="256"/>
      <c r="AD785" s="256"/>
      <c r="AE785" s="256"/>
      <c r="AF785" s="256"/>
      <c r="AG785" s="256"/>
      <c r="AH785" s="256"/>
      <c r="AI785" s="256"/>
      <c r="AJ785" s="256"/>
      <c r="AK785" s="256"/>
      <c r="AL785" s="256"/>
      <c r="AM785" s="256"/>
      <c r="AN785" s="256"/>
      <c r="AO785" s="256"/>
      <c r="AP785" s="256"/>
      <c r="AQ785" s="256"/>
      <c r="AR785" s="256"/>
    </row>
    <row r="786">
      <c r="A786" s="256"/>
      <c r="B786" s="256"/>
      <c r="C786" s="257"/>
      <c r="D786" s="257"/>
      <c r="E786" s="257"/>
      <c r="F786" s="257"/>
      <c r="G786" s="257"/>
      <c r="H786" s="257"/>
      <c r="I786" s="256"/>
      <c r="J786" s="256"/>
      <c r="K786" s="256"/>
      <c r="L786" s="256"/>
      <c r="M786" s="256"/>
      <c r="N786" s="256"/>
      <c r="O786" s="256"/>
      <c r="P786" s="256"/>
      <c r="Q786" s="256"/>
      <c r="R786" s="256"/>
      <c r="S786" s="256"/>
      <c r="T786" s="256"/>
      <c r="U786" s="256"/>
      <c r="V786" s="256"/>
      <c r="W786" s="256"/>
      <c r="X786" s="256"/>
      <c r="Y786" s="256"/>
      <c r="Z786" s="256"/>
      <c r="AA786" s="256"/>
      <c r="AB786" s="256"/>
      <c r="AC786" s="256"/>
      <c r="AD786" s="256"/>
      <c r="AE786" s="256"/>
      <c r="AF786" s="256"/>
      <c r="AG786" s="256"/>
      <c r="AH786" s="256"/>
      <c r="AI786" s="256"/>
      <c r="AJ786" s="256"/>
      <c r="AK786" s="256"/>
      <c r="AL786" s="256"/>
      <c r="AM786" s="256"/>
      <c r="AN786" s="256"/>
      <c r="AO786" s="256"/>
      <c r="AP786" s="256"/>
      <c r="AQ786" s="256"/>
      <c r="AR786" s="256"/>
    </row>
    <row r="787">
      <c r="A787" s="256"/>
      <c r="B787" s="256"/>
      <c r="C787" s="257"/>
      <c r="D787" s="257"/>
      <c r="E787" s="257"/>
      <c r="F787" s="257"/>
      <c r="G787" s="257"/>
      <c r="H787" s="257"/>
      <c r="I787" s="256"/>
      <c r="J787" s="256"/>
      <c r="K787" s="256"/>
      <c r="L787" s="256"/>
      <c r="M787" s="256"/>
      <c r="N787" s="256"/>
      <c r="O787" s="256"/>
      <c r="P787" s="256"/>
      <c r="Q787" s="256"/>
      <c r="R787" s="256"/>
      <c r="S787" s="256"/>
      <c r="T787" s="256"/>
      <c r="U787" s="256"/>
      <c r="V787" s="256"/>
      <c r="W787" s="256"/>
      <c r="X787" s="256"/>
      <c r="Y787" s="256"/>
      <c r="Z787" s="256"/>
      <c r="AA787" s="256"/>
      <c r="AB787" s="256"/>
      <c r="AC787" s="256"/>
      <c r="AD787" s="256"/>
      <c r="AE787" s="256"/>
      <c r="AF787" s="256"/>
      <c r="AG787" s="256"/>
      <c r="AH787" s="256"/>
      <c r="AI787" s="256"/>
      <c r="AJ787" s="256"/>
      <c r="AK787" s="256"/>
      <c r="AL787" s="256"/>
      <c r="AM787" s="256"/>
      <c r="AN787" s="256"/>
      <c r="AO787" s="256"/>
      <c r="AP787" s="256"/>
      <c r="AQ787" s="256"/>
      <c r="AR787" s="256"/>
    </row>
    <row r="788">
      <c r="A788" s="256"/>
      <c r="B788" s="256"/>
      <c r="C788" s="257"/>
      <c r="D788" s="257"/>
      <c r="E788" s="257"/>
      <c r="F788" s="257"/>
      <c r="G788" s="257"/>
      <c r="H788" s="257"/>
      <c r="I788" s="256"/>
      <c r="J788" s="256"/>
      <c r="K788" s="256"/>
      <c r="L788" s="256"/>
      <c r="M788" s="256"/>
      <c r="N788" s="256"/>
      <c r="O788" s="256"/>
      <c r="P788" s="256"/>
      <c r="Q788" s="256"/>
      <c r="R788" s="256"/>
      <c r="S788" s="256"/>
      <c r="T788" s="256"/>
      <c r="U788" s="256"/>
      <c r="V788" s="256"/>
      <c r="W788" s="256"/>
      <c r="X788" s="256"/>
      <c r="Y788" s="256"/>
      <c r="Z788" s="256"/>
      <c r="AA788" s="256"/>
      <c r="AB788" s="256"/>
      <c r="AC788" s="256"/>
      <c r="AD788" s="256"/>
      <c r="AE788" s="256"/>
      <c r="AF788" s="256"/>
      <c r="AG788" s="256"/>
      <c r="AH788" s="256"/>
      <c r="AI788" s="256"/>
      <c r="AJ788" s="256"/>
      <c r="AK788" s="256"/>
      <c r="AL788" s="256"/>
      <c r="AM788" s="256"/>
      <c r="AN788" s="256"/>
      <c r="AO788" s="256"/>
      <c r="AP788" s="256"/>
      <c r="AQ788" s="256"/>
      <c r="AR788" s="256"/>
    </row>
    <row r="789">
      <c r="A789" s="256"/>
      <c r="B789" s="256"/>
      <c r="C789" s="257"/>
      <c r="D789" s="257"/>
      <c r="E789" s="257"/>
      <c r="F789" s="257"/>
      <c r="G789" s="257"/>
      <c r="H789" s="257"/>
      <c r="I789" s="256"/>
      <c r="J789" s="256"/>
      <c r="K789" s="256"/>
      <c r="L789" s="256"/>
      <c r="M789" s="256"/>
      <c r="N789" s="256"/>
      <c r="O789" s="256"/>
      <c r="P789" s="256"/>
      <c r="Q789" s="256"/>
      <c r="R789" s="256"/>
      <c r="S789" s="256"/>
      <c r="T789" s="256"/>
      <c r="U789" s="256"/>
      <c r="V789" s="256"/>
      <c r="W789" s="256"/>
      <c r="X789" s="256"/>
      <c r="Y789" s="256"/>
      <c r="Z789" s="256"/>
      <c r="AA789" s="256"/>
      <c r="AB789" s="256"/>
      <c r="AC789" s="256"/>
      <c r="AD789" s="256"/>
      <c r="AE789" s="256"/>
      <c r="AF789" s="256"/>
      <c r="AG789" s="256"/>
      <c r="AH789" s="256"/>
      <c r="AI789" s="256"/>
      <c r="AJ789" s="256"/>
      <c r="AK789" s="256"/>
      <c r="AL789" s="256"/>
      <c r="AM789" s="256"/>
      <c r="AN789" s="256"/>
      <c r="AO789" s="256"/>
      <c r="AP789" s="256"/>
      <c r="AQ789" s="256"/>
      <c r="AR789" s="256"/>
    </row>
    <row r="790">
      <c r="A790" s="256"/>
      <c r="B790" s="256"/>
      <c r="C790" s="257"/>
      <c r="D790" s="257"/>
      <c r="E790" s="257"/>
      <c r="F790" s="257"/>
      <c r="G790" s="257"/>
      <c r="H790" s="257"/>
      <c r="I790" s="256"/>
      <c r="J790" s="256"/>
      <c r="K790" s="256"/>
      <c r="L790" s="256"/>
      <c r="M790" s="256"/>
      <c r="N790" s="256"/>
      <c r="O790" s="256"/>
      <c r="P790" s="256"/>
      <c r="Q790" s="256"/>
      <c r="R790" s="256"/>
      <c r="S790" s="256"/>
      <c r="T790" s="256"/>
      <c r="U790" s="256"/>
      <c r="V790" s="256"/>
      <c r="W790" s="256"/>
      <c r="X790" s="256"/>
      <c r="Y790" s="256"/>
      <c r="Z790" s="256"/>
      <c r="AA790" s="256"/>
      <c r="AB790" s="256"/>
      <c r="AC790" s="256"/>
      <c r="AD790" s="256"/>
      <c r="AE790" s="256"/>
      <c r="AF790" s="256"/>
      <c r="AG790" s="256"/>
      <c r="AH790" s="256"/>
      <c r="AI790" s="256"/>
      <c r="AJ790" s="256"/>
      <c r="AK790" s="256"/>
      <c r="AL790" s="256"/>
      <c r="AM790" s="256"/>
      <c r="AN790" s="256"/>
      <c r="AO790" s="256"/>
      <c r="AP790" s="256"/>
      <c r="AQ790" s="256"/>
      <c r="AR790" s="256"/>
    </row>
    <row r="791">
      <c r="A791" s="256"/>
      <c r="B791" s="256"/>
      <c r="C791" s="257"/>
      <c r="D791" s="257"/>
      <c r="E791" s="257"/>
      <c r="F791" s="257"/>
      <c r="G791" s="257"/>
      <c r="H791" s="257"/>
      <c r="I791" s="256"/>
      <c r="J791" s="256"/>
      <c r="K791" s="256"/>
      <c r="L791" s="256"/>
      <c r="M791" s="256"/>
      <c r="N791" s="256"/>
      <c r="O791" s="256"/>
      <c r="P791" s="256"/>
      <c r="Q791" s="256"/>
      <c r="R791" s="256"/>
      <c r="S791" s="256"/>
      <c r="T791" s="256"/>
      <c r="U791" s="256"/>
      <c r="V791" s="256"/>
      <c r="W791" s="256"/>
      <c r="X791" s="256"/>
      <c r="Y791" s="256"/>
      <c r="Z791" s="256"/>
      <c r="AA791" s="256"/>
      <c r="AB791" s="256"/>
      <c r="AC791" s="256"/>
      <c r="AD791" s="256"/>
      <c r="AE791" s="256"/>
      <c r="AF791" s="256"/>
      <c r="AG791" s="256"/>
      <c r="AH791" s="256"/>
      <c r="AI791" s="256"/>
      <c r="AJ791" s="256"/>
      <c r="AK791" s="256"/>
      <c r="AL791" s="256"/>
      <c r="AM791" s="256"/>
      <c r="AN791" s="256"/>
      <c r="AO791" s="256"/>
      <c r="AP791" s="256"/>
      <c r="AQ791" s="256"/>
      <c r="AR791" s="256"/>
    </row>
    <row r="792">
      <c r="A792" s="256"/>
      <c r="B792" s="256"/>
      <c r="C792" s="257"/>
      <c r="D792" s="257"/>
      <c r="E792" s="257"/>
      <c r="F792" s="257"/>
      <c r="G792" s="257"/>
      <c r="H792" s="257"/>
      <c r="I792" s="256"/>
      <c r="J792" s="256"/>
      <c r="K792" s="256"/>
      <c r="L792" s="256"/>
      <c r="M792" s="256"/>
      <c r="N792" s="256"/>
      <c r="O792" s="256"/>
      <c r="P792" s="256"/>
      <c r="Q792" s="256"/>
      <c r="R792" s="256"/>
      <c r="S792" s="256"/>
      <c r="T792" s="256"/>
      <c r="U792" s="256"/>
      <c r="V792" s="256"/>
      <c r="W792" s="256"/>
      <c r="X792" s="256"/>
      <c r="Y792" s="256"/>
      <c r="Z792" s="256"/>
      <c r="AA792" s="256"/>
      <c r="AB792" s="256"/>
      <c r="AC792" s="256"/>
      <c r="AD792" s="256"/>
      <c r="AE792" s="256"/>
      <c r="AF792" s="256"/>
      <c r="AG792" s="256"/>
      <c r="AH792" s="256"/>
      <c r="AI792" s="256"/>
      <c r="AJ792" s="256"/>
      <c r="AK792" s="256"/>
      <c r="AL792" s="256"/>
      <c r="AM792" s="256"/>
      <c r="AN792" s="256"/>
      <c r="AO792" s="256"/>
      <c r="AP792" s="256"/>
      <c r="AQ792" s="256"/>
      <c r="AR792" s="256"/>
    </row>
    <row r="793">
      <c r="A793" s="256"/>
      <c r="B793" s="256"/>
      <c r="C793" s="257"/>
      <c r="D793" s="257"/>
      <c r="E793" s="257"/>
      <c r="F793" s="257"/>
      <c r="G793" s="257"/>
      <c r="H793" s="257"/>
      <c r="I793" s="256"/>
      <c r="J793" s="256"/>
      <c r="K793" s="256"/>
      <c r="L793" s="256"/>
      <c r="M793" s="256"/>
      <c r="N793" s="256"/>
      <c r="O793" s="256"/>
      <c r="P793" s="256"/>
      <c r="Q793" s="256"/>
      <c r="R793" s="256"/>
      <c r="S793" s="256"/>
      <c r="T793" s="256"/>
      <c r="U793" s="256"/>
      <c r="V793" s="256"/>
      <c r="W793" s="256"/>
      <c r="X793" s="256"/>
      <c r="Y793" s="256"/>
      <c r="Z793" s="256"/>
      <c r="AA793" s="256"/>
      <c r="AB793" s="256"/>
      <c r="AC793" s="256"/>
      <c r="AD793" s="256"/>
      <c r="AE793" s="256"/>
      <c r="AF793" s="256"/>
      <c r="AG793" s="256"/>
      <c r="AH793" s="256"/>
      <c r="AI793" s="256"/>
      <c r="AJ793" s="256"/>
      <c r="AK793" s="256"/>
      <c r="AL793" s="256"/>
      <c r="AM793" s="256"/>
      <c r="AN793" s="256"/>
      <c r="AO793" s="256"/>
      <c r="AP793" s="256"/>
      <c r="AQ793" s="256"/>
      <c r="AR793" s="256"/>
    </row>
    <row r="794">
      <c r="A794" s="256"/>
      <c r="B794" s="256"/>
      <c r="C794" s="257"/>
      <c r="D794" s="257"/>
      <c r="E794" s="257"/>
      <c r="F794" s="257"/>
      <c r="G794" s="257"/>
      <c r="H794" s="257"/>
      <c r="I794" s="256"/>
      <c r="J794" s="256"/>
      <c r="K794" s="256"/>
      <c r="L794" s="256"/>
      <c r="M794" s="256"/>
      <c r="N794" s="256"/>
      <c r="O794" s="256"/>
      <c r="P794" s="256"/>
      <c r="Q794" s="256"/>
      <c r="R794" s="256"/>
      <c r="S794" s="256"/>
      <c r="T794" s="256"/>
      <c r="U794" s="256"/>
      <c r="V794" s="256"/>
      <c r="W794" s="256"/>
      <c r="X794" s="256"/>
      <c r="Y794" s="256"/>
      <c r="Z794" s="256"/>
      <c r="AA794" s="256"/>
      <c r="AB794" s="256"/>
      <c r="AC794" s="256"/>
      <c r="AD794" s="256"/>
      <c r="AE794" s="256"/>
      <c r="AF794" s="256"/>
      <c r="AG794" s="256"/>
      <c r="AH794" s="256"/>
      <c r="AI794" s="256"/>
      <c r="AJ794" s="256"/>
      <c r="AK794" s="256"/>
      <c r="AL794" s="256"/>
      <c r="AM794" s="256"/>
      <c r="AN794" s="256"/>
      <c r="AO794" s="256"/>
      <c r="AP794" s="256"/>
      <c r="AQ794" s="256"/>
      <c r="AR794" s="256"/>
    </row>
    <row r="795">
      <c r="A795" s="256"/>
      <c r="B795" s="256"/>
      <c r="C795" s="257"/>
      <c r="D795" s="257"/>
      <c r="E795" s="257"/>
      <c r="F795" s="257"/>
      <c r="G795" s="257"/>
      <c r="H795" s="257"/>
      <c r="I795" s="256"/>
      <c r="J795" s="256"/>
      <c r="K795" s="256"/>
      <c r="L795" s="256"/>
      <c r="M795" s="256"/>
      <c r="N795" s="256"/>
      <c r="O795" s="256"/>
      <c r="P795" s="256"/>
      <c r="Q795" s="256"/>
      <c r="R795" s="256"/>
      <c r="S795" s="256"/>
      <c r="T795" s="256"/>
      <c r="U795" s="256"/>
      <c r="V795" s="256"/>
      <c r="W795" s="256"/>
      <c r="X795" s="256"/>
      <c r="Y795" s="256"/>
      <c r="Z795" s="256"/>
      <c r="AA795" s="256"/>
      <c r="AB795" s="256"/>
      <c r="AC795" s="256"/>
      <c r="AD795" s="256"/>
      <c r="AE795" s="256"/>
      <c r="AF795" s="256"/>
      <c r="AG795" s="256"/>
      <c r="AH795" s="256"/>
      <c r="AI795" s="256"/>
      <c r="AJ795" s="256"/>
      <c r="AK795" s="256"/>
      <c r="AL795" s="256"/>
      <c r="AM795" s="256"/>
      <c r="AN795" s="256"/>
      <c r="AO795" s="256"/>
      <c r="AP795" s="256"/>
      <c r="AQ795" s="256"/>
      <c r="AR795" s="256"/>
    </row>
    <row r="796">
      <c r="A796" s="256"/>
      <c r="B796" s="256"/>
      <c r="C796" s="257"/>
      <c r="D796" s="257"/>
      <c r="E796" s="257"/>
      <c r="F796" s="257"/>
      <c r="G796" s="257"/>
      <c r="H796" s="257"/>
      <c r="I796" s="256"/>
      <c r="J796" s="256"/>
      <c r="K796" s="256"/>
      <c r="L796" s="256"/>
      <c r="M796" s="256"/>
      <c r="N796" s="256"/>
      <c r="O796" s="256"/>
      <c r="P796" s="256"/>
      <c r="Q796" s="256"/>
      <c r="R796" s="256"/>
      <c r="S796" s="256"/>
      <c r="T796" s="256"/>
      <c r="U796" s="256"/>
      <c r="V796" s="256"/>
      <c r="W796" s="256"/>
      <c r="X796" s="256"/>
      <c r="Y796" s="256"/>
      <c r="Z796" s="256"/>
      <c r="AA796" s="256"/>
      <c r="AB796" s="256"/>
      <c r="AC796" s="256"/>
      <c r="AD796" s="256"/>
      <c r="AE796" s="256"/>
      <c r="AF796" s="256"/>
      <c r="AG796" s="256"/>
      <c r="AH796" s="256"/>
      <c r="AI796" s="256"/>
      <c r="AJ796" s="256"/>
      <c r="AK796" s="256"/>
      <c r="AL796" s="256"/>
      <c r="AM796" s="256"/>
      <c r="AN796" s="256"/>
      <c r="AO796" s="256"/>
      <c r="AP796" s="256"/>
      <c r="AQ796" s="256"/>
      <c r="AR796" s="256"/>
    </row>
    <row r="797">
      <c r="A797" s="256"/>
      <c r="B797" s="256"/>
      <c r="C797" s="257"/>
      <c r="D797" s="257"/>
      <c r="E797" s="257"/>
      <c r="F797" s="257"/>
      <c r="G797" s="257"/>
      <c r="H797" s="257"/>
      <c r="I797" s="256"/>
      <c r="J797" s="256"/>
      <c r="K797" s="256"/>
      <c r="L797" s="256"/>
      <c r="M797" s="256"/>
      <c r="N797" s="256"/>
      <c r="O797" s="256"/>
      <c r="P797" s="256"/>
      <c r="Q797" s="256"/>
      <c r="R797" s="256"/>
      <c r="S797" s="256"/>
      <c r="T797" s="256"/>
      <c r="U797" s="256"/>
      <c r="V797" s="256"/>
      <c r="W797" s="256"/>
      <c r="X797" s="256"/>
      <c r="Y797" s="256"/>
      <c r="Z797" s="256"/>
      <c r="AA797" s="256"/>
      <c r="AB797" s="256"/>
      <c r="AC797" s="256"/>
      <c r="AD797" s="256"/>
      <c r="AE797" s="256"/>
      <c r="AF797" s="256"/>
      <c r="AG797" s="256"/>
      <c r="AH797" s="256"/>
      <c r="AI797" s="256"/>
      <c r="AJ797" s="256"/>
      <c r="AK797" s="256"/>
      <c r="AL797" s="256"/>
      <c r="AM797" s="256"/>
      <c r="AN797" s="256"/>
      <c r="AO797" s="256"/>
      <c r="AP797" s="256"/>
      <c r="AQ797" s="256"/>
      <c r="AR797" s="256"/>
    </row>
    <row r="798">
      <c r="A798" s="256"/>
      <c r="B798" s="256"/>
      <c r="C798" s="257"/>
      <c r="D798" s="257"/>
      <c r="E798" s="257"/>
      <c r="F798" s="257"/>
      <c r="G798" s="257"/>
      <c r="H798" s="257"/>
      <c r="I798" s="256"/>
      <c r="J798" s="256"/>
      <c r="K798" s="256"/>
      <c r="L798" s="256"/>
      <c r="M798" s="256"/>
      <c r="N798" s="256"/>
      <c r="O798" s="256"/>
      <c r="P798" s="256"/>
      <c r="Q798" s="256"/>
      <c r="R798" s="256"/>
      <c r="S798" s="256"/>
      <c r="T798" s="256"/>
      <c r="U798" s="256"/>
      <c r="V798" s="256"/>
      <c r="W798" s="256"/>
      <c r="X798" s="256"/>
      <c r="Y798" s="256"/>
      <c r="Z798" s="256"/>
      <c r="AA798" s="256"/>
      <c r="AB798" s="256"/>
      <c r="AC798" s="256"/>
      <c r="AD798" s="256"/>
      <c r="AE798" s="256"/>
      <c r="AF798" s="256"/>
      <c r="AG798" s="256"/>
      <c r="AH798" s="256"/>
      <c r="AI798" s="256"/>
      <c r="AJ798" s="256"/>
      <c r="AK798" s="256"/>
      <c r="AL798" s="256"/>
      <c r="AM798" s="256"/>
      <c r="AN798" s="256"/>
      <c r="AO798" s="256"/>
      <c r="AP798" s="256"/>
      <c r="AQ798" s="256"/>
      <c r="AR798" s="256"/>
    </row>
    <row r="799">
      <c r="A799" s="256"/>
      <c r="B799" s="256"/>
      <c r="C799" s="257"/>
      <c r="D799" s="257"/>
      <c r="E799" s="257"/>
      <c r="F799" s="257"/>
      <c r="G799" s="257"/>
      <c r="H799" s="257"/>
      <c r="I799" s="256"/>
      <c r="J799" s="256"/>
      <c r="K799" s="256"/>
      <c r="L799" s="256"/>
      <c r="M799" s="256"/>
      <c r="N799" s="256"/>
      <c r="O799" s="256"/>
      <c r="P799" s="256"/>
      <c r="Q799" s="256"/>
      <c r="R799" s="256"/>
      <c r="S799" s="256"/>
      <c r="T799" s="256"/>
      <c r="U799" s="256"/>
      <c r="V799" s="256"/>
      <c r="W799" s="256"/>
      <c r="X799" s="256"/>
      <c r="Y799" s="256"/>
      <c r="Z799" s="256"/>
      <c r="AA799" s="256"/>
      <c r="AB799" s="256"/>
      <c r="AC799" s="256"/>
      <c r="AD799" s="256"/>
      <c r="AE799" s="256"/>
      <c r="AF799" s="256"/>
      <c r="AG799" s="256"/>
      <c r="AH799" s="256"/>
      <c r="AI799" s="256"/>
      <c r="AJ799" s="256"/>
      <c r="AK799" s="256"/>
      <c r="AL799" s="256"/>
      <c r="AM799" s="256"/>
      <c r="AN799" s="256"/>
      <c r="AO799" s="256"/>
      <c r="AP799" s="256"/>
      <c r="AQ799" s="256"/>
      <c r="AR799" s="256"/>
    </row>
    <row r="800">
      <c r="A800" s="256"/>
      <c r="B800" s="256"/>
      <c r="C800" s="257"/>
      <c r="D800" s="257"/>
      <c r="E800" s="257"/>
      <c r="F800" s="257"/>
      <c r="G800" s="257"/>
      <c r="H800" s="257"/>
      <c r="I800" s="256"/>
      <c r="J800" s="256"/>
      <c r="K800" s="256"/>
      <c r="L800" s="256"/>
      <c r="M800" s="256"/>
      <c r="N800" s="256"/>
      <c r="O800" s="256"/>
      <c r="P800" s="256"/>
      <c r="Q800" s="256"/>
      <c r="R800" s="256"/>
      <c r="S800" s="256"/>
      <c r="T800" s="256"/>
      <c r="U800" s="256"/>
      <c r="V800" s="256"/>
      <c r="W800" s="256"/>
      <c r="X800" s="256"/>
      <c r="Y800" s="256"/>
      <c r="Z800" s="256"/>
      <c r="AA800" s="256"/>
      <c r="AB800" s="256"/>
      <c r="AC800" s="256"/>
      <c r="AD800" s="256"/>
      <c r="AE800" s="256"/>
      <c r="AF800" s="256"/>
      <c r="AG800" s="256"/>
      <c r="AH800" s="256"/>
      <c r="AI800" s="256"/>
      <c r="AJ800" s="256"/>
      <c r="AK800" s="256"/>
      <c r="AL800" s="256"/>
      <c r="AM800" s="256"/>
      <c r="AN800" s="256"/>
      <c r="AO800" s="256"/>
      <c r="AP800" s="256"/>
      <c r="AQ800" s="256"/>
      <c r="AR800" s="256"/>
    </row>
    <row r="801">
      <c r="A801" s="256"/>
      <c r="B801" s="256"/>
      <c r="C801" s="257"/>
      <c r="D801" s="257"/>
      <c r="E801" s="257"/>
      <c r="F801" s="257"/>
      <c r="G801" s="257"/>
      <c r="H801" s="257"/>
      <c r="I801" s="256"/>
      <c r="J801" s="256"/>
      <c r="K801" s="256"/>
      <c r="L801" s="256"/>
      <c r="M801" s="256"/>
      <c r="N801" s="256"/>
      <c r="O801" s="256"/>
      <c r="P801" s="256"/>
      <c r="Q801" s="256"/>
      <c r="R801" s="256"/>
      <c r="S801" s="256"/>
      <c r="T801" s="256"/>
      <c r="U801" s="256"/>
      <c r="V801" s="256"/>
      <c r="W801" s="256"/>
      <c r="X801" s="256"/>
      <c r="Y801" s="256"/>
      <c r="Z801" s="256"/>
      <c r="AA801" s="256"/>
      <c r="AB801" s="256"/>
      <c r="AC801" s="256"/>
      <c r="AD801" s="256"/>
      <c r="AE801" s="256"/>
      <c r="AF801" s="256"/>
      <c r="AG801" s="256"/>
      <c r="AH801" s="256"/>
      <c r="AI801" s="256"/>
      <c r="AJ801" s="256"/>
      <c r="AK801" s="256"/>
      <c r="AL801" s="256"/>
      <c r="AM801" s="256"/>
      <c r="AN801" s="256"/>
      <c r="AO801" s="256"/>
      <c r="AP801" s="256"/>
      <c r="AQ801" s="256"/>
      <c r="AR801" s="256"/>
    </row>
    <row r="802">
      <c r="A802" s="256"/>
      <c r="B802" s="256"/>
      <c r="C802" s="257"/>
      <c r="D802" s="257"/>
      <c r="E802" s="257"/>
      <c r="F802" s="257"/>
      <c r="G802" s="257"/>
      <c r="H802" s="257"/>
      <c r="I802" s="256"/>
      <c r="J802" s="256"/>
      <c r="K802" s="256"/>
      <c r="L802" s="256"/>
      <c r="M802" s="256"/>
      <c r="N802" s="256"/>
      <c r="O802" s="256"/>
      <c r="P802" s="256"/>
      <c r="Q802" s="256"/>
      <c r="R802" s="256"/>
      <c r="S802" s="256"/>
      <c r="T802" s="256"/>
      <c r="U802" s="256"/>
      <c r="V802" s="256"/>
      <c r="W802" s="256"/>
      <c r="X802" s="256"/>
      <c r="Y802" s="256"/>
      <c r="Z802" s="256"/>
      <c r="AA802" s="256"/>
      <c r="AB802" s="256"/>
      <c r="AC802" s="256"/>
      <c r="AD802" s="256"/>
      <c r="AE802" s="256"/>
      <c r="AF802" s="256"/>
      <c r="AG802" s="256"/>
      <c r="AH802" s="256"/>
      <c r="AI802" s="256"/>
      <c r="AJ802" s="256"/>
      <c r="AK802" s="256"/>
      <c r="AL802" s="256"/>
      <c r="AM802" s="256"/>
      <c r="AN802" s="256"/>
      <c r="AO802" s="256"/>
      <c r="AP802" s="256"/>
      <c r="AQ802" s="256"/>
      <c r="AR802" s="256"/>
    </row>
    <row r="803">
      <c r="A803" s="256"/>
      <c r="B803" s="256"/>
      <c r="C803" s="257"/>
      <c r="D803" s="257"/>
      <c r="E803" s="257"/>
      <c r="F803" s="257"/>
      <c r="G803" s="257"/>
      <c r="H803" s="257"/>
      <c r="I803" s="256"/>
      <c r="J803" s="256"/>
      <c r="K803" s="256"/>
      <c r="L803" s="256"/>
      <c r="M803" s="256"/>
      <c r="N803" s="256"/>
      <c r="O803" s="256"/>
      <c r="P803" s="256"/>
      <c r="Q803" s="256"/>
      <c r="R803" s="256"/>
      <c r="S803" s="256"/>
      <c r="T803" s="256"/>
      <c r="U803" s="256"/>
      <c r="V803" s="256"/>
      <c r="W803" s="256"/>
      <c r="X803" s="256"/>
      <c r="Y803" s="256"/>
      <c r="Z803" s="256"/>
      <c r="AA803" s="256"/>
      <c r="AB803" s="256"/>
      <c r="AC803" s="256"/>
      <c r="AD803" s="256"/>
      <c r="AE803" s="256"/>
      <c r="AF803" s="256"/>
      <c r="AG803" s="256"/>
      <c r="AH803" s="256"/>
      <c r="AI803" s="256"/>
      <c r="AJ803" s="256"/>
      <c r="AK803" s="256"/>
      <c r="AL803" s="256"/>
      <c r="AM803" s="256"/>
      <c r="AN803" s="256"/>
      <c r="AO803" s="256"/>
      <c r="AP803" s="256"/>
      <c r="AQ803" s="256"/>
      <c r="AR803" s="256"/>
    </row>
    <row r="804">
      <c r="A804" s="256"/>
      <c r="B804" s="256"/>
      <c r="C804" s="257"/>
      <c r="D804" s="257"/>
      <c r="E804" s="257"/>
      <c r="F804" s="257"/>
      <c r="G804" s="257"/>
      <c r="H804" s="257"/>
      <c r="I804" s="256"/>
      <c r="J804" s="256"/>
      <c r="K804" s="256"/>
      <c r="L804" s="256"/>
      <c r="M804" s="256"/>
      <c r="N804" s="256"/>
      <c r="O804" s="256"/>
      <c r="P804" s="256"/>
      <c r="Q804" s="256"/>
      <c r="R804" s="256"/>
      <c r="S804" s="256"/>
      <c r="T804" s="256"/>
      <c r="U804" s="256"/>
      <c r="V804" s="256"/>
      <c r="W804" s="256"/>
      <c r="X804" s="256"/>
      <c r="Y804" s="256"/>
      <c r="Z804" s="256"/>
      <c r="AA804" s="256"/>
      <c r="AB804" s="256"/>
      <c r="AC804" s="256"/>
      <c r="AD804" s="256"/>
      <c r="AE804" s="256"/>
      <c r="AF804" s="256"/>
      <c r="AG804" s="256"/>
      <c r="AH804" s="256"/>
      <c r="AI804" s="256"/>
      <c r="AJ804" s="256"/>
      <c r="AK804" s="256"/>
      <c r="AL804" s="256"/>
      <c r="AM804" s="256"/>
      <c r="AN804" s="256"/>
      <c r="AO804" s="256"/>
      <c r="AP804" s="256"/>
      <c r="AQ804" s="256"/>
      <c r="AR804" s="256"/>
    </row>
    <row r="805">
      <c r="A805" s="256"/>
      <c r="B805" s="256"/>
      <c r="C805" s="257"/>
      <c r="D805" s="257"/>
      <c r="E805" s="257"/>
      <c r="F805" s="257"/>
      <c r="G805" s="257"/>
      <c r="H805" s="257"/>
      <c r="I805" s="256"/>
      <c r="J805" s="256"/>
      <c r="K805" s="256"/>
      <c r="L805" s="256"/>
      <c r="M805" s="256"/>
      <c r="N805" s="256"/>
      <c r="O805" s="256"/>
      <c r="P805" s="256"/>
      <c r="Q805" s="256"/>
      <c r="R805" s="256"/>
      <c r="S805" s="256"/>
      <c r="T805" s="256"/>
      <c r="U805" s="256"/>
      <c r="V805" s="256"/>
      <c r="W805" s="256"/>
      <c r="X805" s="256"/>
      <c r="Y805" s="256"/>
      <c r="Z805" s="256"/>
      <c r="AA805" s="256"/>
      <c r="AB805" s="256"/>
      <c r="AC805" s="256"/>
      <c r="AD805" s="256"/>
      <c r="AE805" s="256"/>
      <c r="AF805" s="256"/>
      <c r="AG805" s="256"/>
      <c r="AH805" s="256"/>
      <c r="AI805" s="256"/>
      <c r="AJ805" s="256"/>
      <c r="AK805" s="256"/>
      <c r="AL805" s="256"/>
      <c r="AM805" s="256"/>
      <c r="AN805" s="256"/>
      <c r="AO805" s="256"/>
      <c r="AP805" s="256"/>
      <c r="AQ805" s="256"/>
      <c r="AR805" s="256"/>
    </row>
    <row r="806">
      <c r="A806" s="256"/>
      <c r="B806" s="256"/>
      <c r="C806" s="257"/>
      <c r="D806" s="257"/>
      <c r="E806" s="257"/>
      <c r="F806" s="257"/>
      <c r="G806" s="257"/>
      <c r="H806" s="257"/>
      <c r="I806" s="256"/>
      <c r="J806" s="256"/>
      <c r="K806" s="256"/>
      <c r="L806" s="256"/>
      <c r="M806" s="256"/>
      <c r="N806" s="256"/>
      <c r="O806" s="256"/>
      <c r="P806" s="256"/>
      <c r="Q806" s="256"/>
      <c r="R806" s="256"/>
      <c r="S806" s="256"/>
      <c r="T806" s="256"/>
      <c r="U806" s="256"/>
      <c r="V806" s="256"/>
      <c r="W806" s="256"/>
      <c r="X806" s="256"/>
      <c r="Y806" s="256"/>
      <c r="Z806" s="256"/>
      <c r="AA806" s="256"/>
      <c r="AB806" s="256"/>
      <c r="AC806" s="256"/>
      <c r="AD806" s="256"/>
      <c r="AE806" s="256"/>
      <c r="AF806" s="256"/>
      <c r="AG806" s="256"/>
      <c r="AH806" s="256"/>
      <c r="AI806" s="256"/>
      <c r="AJ806" s="256"/>
      <c r="AK806" s="256"/>
      <c r="AL806" s="256"/>
      <c r="AM806" s="256"/>
      <c r="AN806" s="256"/>
      <c r="AO806" s="256"/>
      <c r="AP806" s="256"/>
      <c r="AQ806" s="256"/>
      <c r="AR806" s="256"/>
    </row>
    <row r="807">
      <c r="A807" s="256"/>
      <c r="B807" s="256"/>
      <c r="C807" s="257"/>
      <c r="D807" s="257"/>
      <c r="E807" s="257"/>
      <c r="F807" s="257"/>
      <c r="G807" s="257"/>
      <c r="H807" s="257"/>
      <c r="I807" s="256"/>
      <c r="J807" s="256"/>
      <c r="K807" s="256"/>
      <c r="L807" s="256"/>
      <c r="M807" s="256"/>
      <c r="N807" s="256"/>
      <c r="O807" s="256"/>
      <c r="P807" s="256"/>
      <c r="Q807" s="256"/>
      <c r="R807" s="256"/>
      <c r="S807" s="256"/>
      <c r="T807" s="256"/>
      <c r="U807" s="256"/>
      <c r="V807" s="256"/>
      <c r="W807" s="256"/>
      <c r="X807" s="256"/>
      <c r="Y807" s="256"/>
      <c r="Z807" s="256"/>
      <c r="AA807" s="256"/>
      <c r="AB807" s="256"/>
      <c r="AC807" s="256"/>
      <c r="AD807" s="256"/>
      <c r="AE807" s="256"/>
      <c r="AF807" s="256"/>
      <c r="AG807" s="256"/>
      <c r="AH807" s="256"/>
      <c r="AI807" s="256"/>
      <c r="AJ807" s="256"/>
      <c r="AK807" s="256"/>
      <c r="AL807" s="256"/>
      <c r="AM807" s="256"/>
      <c r="AN807" s="256"/>
      <c r="AO807" s="256"/>
      <c r="AP807" s="256"/>
      <c r="AQ807" s="256"/>
      <c r="AR807" s="256"/>
    </row>
    <row r="808">
      <c r="A808" s="256"/>
      <c r="B808" s="256"/>
      <c r="C808" s="257"/>
      <c r="D808" s="257"/>
      <c r="E808" s="257"/>
      <c r="F808" s="257"/>
      <c r="G808" s="257"/>
      <c r="H808" s="257"/>
      <c r="I808" s="256"/>
      <c r="J808" s="256"/>
      <c r="K808" s="256"/>
      <c r="L808" s="256"/>
      <c r="M808" s="256"/>
      <c r="N808" s="256"/>
      <c r="O808" s="256"/>
      <c r="P808" s="256"/>
      <c r="Q808" s="256"/>
      <c r="R808" s="256"/>
      <c r="S808" s="256"/>
      <c r="T808" s="256"/>
      <c r="U808" s="256"/>
      <c r="V808" s="256"/>
      <c r="W808" s="256"/>
      <c r="X808" s="256"/>
      <c r="Y808" s="256"/>
      <c r="Z808" s="256"/>
      <c r="AA808" s="256"/>
      <c r="AB808" s="256"/>
      <c r="AC808" s="256"/>
      <c r="AD808" s="256"/>
      <c r="AE808" s="256"/>
      <c r="AF808" s="256"/>
      <c r="AG808" s="256"/>
      <c r="AH808" s="256"/>
      <c r="AI808" s="256"/>
      <c r="AJ808" s="256"/>
      <c r="AK808" s="256"/>
      <c r="AL808" s="256"/>
      <c r="AM808" s="256"/>
      <c r="AN808" s="256"/>
      <c r="AO808" s="256"/>
      <c r="AP808" s="256"/>
      <c r="AQ808" s="256"/>
      <c r="AR808" s="256"/>
    </row>
    <row r="809">
      <c r="A809" s="256"/>
      <c r="B809" s="256"/>
      <c r="C809" s="257"/>
      <c r="D809" s="257"/>
      <c r="E809" s="257"/>
      <c r="F809" s="257"/>
      <c r="G809" s="257"/>
      <c r="H809" s="257"/>
      <c r="I809" s="256"/>
      <c r="J809" s="256"/>
      <c r="K809" s="256"/>
      <c r="L809" s="256"/>
      <c r="M809" s="256"/>
      <c r="N809" s="256"/>
      <c r="O809" s="256"/>
      <c r="P809" s="256"/>
      <c r="Q809" s="256"/>
      <c r="R809" s="256"/>
      <c r="S809" s="256"/>
      <c r="T809" s="256"/>
      <c r="U809" s="256"/>
      <c r="V809" s="256"/>
      <c r="W809" s="256"/>
      <c r="X809" s="256"/>
      <c r="Y809" s="256"/>
      <c r="Z809" s="256"/>
      <c r="AA809" s="256"/>
      <c r="AB809" s="256"/>
      <c r="AC809" s="256"/>
      <c r="AD809" s="256"/>
      <c r="AE809" s="256"/>
      <c r="AF809" s="256"/>
      <c r="AG809" s="256"/>
      <c r="AH809" s="256"/>
      <c r="AI809" s="256"/>
      <c r="AJ809" s="256"/>
      <c r="AK809" s="256"/>
      <c r="AL809" s="256"/>
      <c r="AM809" s="256"/>
      <c r="AN809" s="256"/>
      <c r="AO809" s="256"/>
      <c r="AP809" s="256"/>
      <c r="AQ809" s="256"/>
      <c r="AR809" s="256"/>
    </row>
    <row r="810">
      <c r="A810" s="256"/>
      <c r="B810" s="256"/>
      <c r="C810" s="257"/>
      <c r="D810" s="257"/>
      <c r="E810" s="257"/>
      <c r="F810" s="257"/>
      <c r="G810" s="257"/>
      <c r="H810" s="257"/>
      <c r="I810" s="256"/>
      <c r="J810" s="256"/>
      <c r="K810" s="256"/>
      <c r="L810" s="256"/>
      <c r="M810" s="256"/>
      <c r="N810" s="256"/>
      <c r="O810" s="256"/>
      <c r="P810" s="256"/>
      <c r="Q810" s="256"/>
      <c r="R810" s="256"/>
      <c r="S810" s="256"/>
      <c r="T810" s="256"/>
      <c r="U810" s="256"/>
      <c r="V810" s="256"/>
      <c r="W810" s="256"/>
      <c r="X810" s="256"/>
      <c r="Y810" s="256"/>
      <c r="Z810" s="256"/>
      <c r="AA810" s="256"/>
      <c r="AB810" s="256"/>
      <c r="AC810" s="256"/>
      <c r="AD810" s="256"/>
      <c r="AE810" s="256"/>
      <c r="AF810" s="256"/>
      <c r="AG810" s="256"/>
      <c r="AH810" s="256"/>
      <c r="AI810" s="256"/>
      <c r="AJ810" s="256"/>
      <c r="AK810" s="256"/>
      <c r="AL810" s="256"/>
      <c r="AM810" s="256"/>
      <c r="AN810" s="256"/>
      <c r="AO810" s="256"/>
      <c r="AP810" s="256"/>
      <c r="AQ810" s="256"/>
      <c r="AR810" s="256"/>
    </row>
    <row r="811">
      <c r="A811" s="256"/>
      <c r="B811" s="256"/>
      <c r="C811" s="257"/>
      <c r="D811" s="257"/>
      <c r="E811" s="257"/>
      <c r="F811" s="257"/>
      <c r="G811" s="257"/>
      <c r="H811" s="257"/>
      <c r="I811" s="256"/>
      <c r="J811" s="256"/>
      <c r="K811" s="256"/>
      <c r="L811" s="256"/>
      <c r="M811" s="256"/>
      <c r="N811" s="256"/>
      <c r="O811" s="256"/>
      <c r="P811" s="256"/>
      <c r="Q811" s="256"/>
      <c r="R811" s="256"/>
      <c r="S811" s="256"/>
      <c r="T811" s="256"/>
      <c r="U811" s="256"/>
      <c r="V811" s="256"/>
      <c r="W811" s="256"/>
      <c r="X811" s="256"/>
      <c r="Y811" s="256"/>
      <c r="Z811" s="256"/>
      <c r="AA811" s="256"/>
      <c r="AB811" s="256"/>
      <c r="AC811" s="256"/>
      <c r="AD811" s="256"/>
      <c r="AE811" s="256"/>
      <c r="AF811" s="256"/>
      <c r="AG811" s="256"/>
      <c r="AH811" s="256"/>
      <c r="AI811" s="256"/>
      <c r="AJ811" s="256"/>
      <c r="AK811" s="256"/>
      <c r="AL811" s="256"/>
      <c r="AM811" s="256"/>
      <c r="AN811" s="256"/>
      <c r="AO811" s="256"/>
      <c r="AP811" s="256"/>
      <c r="AQ811" s="256"/>
      <c r="AR811" s="256"/>
    </row>
    <row r="812">
      <c r="A812" s="256"/>
      <c r="B812" s="256"/>
      <c r="C812" s="257"/>
      <c r="D812" s="257"/>
      <c r="E812" s="257"/>
      <c r="F812" s="257"/>
      <c r="G812" s="257"/>
      <c r="H812" s="257"/>
      <c r="I812" s="256"/>
      <c r="J812" s="256"/>
      <c r="K812" s="256"/>
      <c r="L812" s="256"/>
      <c r="M812" s="256"/>
      <c r="N812" s="256"/>
      <c r="O812" s="256"/>
      <c r="P812" s="256"/>
      <c r="Q812" s="256"/>
      <c r="R812" s="256"/>
      <c r="S812" s="256"/>
      <c r="T812" s="256"/>
      <c r="U812" s="256"/>
      <c r="V812" s="256"/>
      <c r="W812" s="256"/>
      <c r="X812" s="256"/>
      <c r="Y812" s="256"/>
      <c r="Z812" s="256"/>
      <c r="AA812" s="256"/>
      <c r="AB812" s="256"/>
      <c r="AC812" s="256"/>
      <c r="AD812" s="256"/>
      <c r="AE812" s="256"/>
      <c r="AF812" s="256"/>
      <c r="AG812" s="256"/>
      <c r="AH812" s="256"/>
      <c r="AI812" s="256"/>
      <c r="AJ812" s="256"/>
      <c r="AK812" s="256"/>
      <c r="AL812" s="256"/>
      <c r="AM812" s="256"/>
      <c r="AN812" s="256"/>
      <c r="AO812" s="256"/>
      <c r="AP812" s="256"/>
      <c r="AQ812" s="256"/>
      <c r="AR812" s="256"/>
    </row>
    <row r="813">
      <c r="A813" s="256"/>
      <c r="B813" s="256"/>
      <c r="C813" s="257"/>
      <c r="D813" s="257"/>
      <c r="E813" s="257"/>
      <c r="F813" s="257"/>
      <c r="G813" s="257"/>
      <c r="H813" s="257"/>
      <c r="I813" s="256"/>
      <c r="J813" s="256"/>
      <c r="K813" s="256"/>
      <c r="L813" s="256"/>
      <c r="M813" s="256"/>
      <c r="N813" s="256"/>
      <c r="O813" s="256"/>
      <c r="P813" s="256"/>
      <c r="Q813" s="256"/>
      <c r="R813" s="256"/>
      <c r="S813" s="256"/>
      <c r="T813" s="256"/>
      <c r="U813" s="256"/>
      <c r="V813" s="256"/>
      <c r="W813" s="256"/>
      <c r="X813" s="256"/>
      <c r="Y813" s="256"/>
      <c r="Z813" s="256"/>
      <c r="AA813" s="256"/>
      <c r="AB813" s="256"/>
      <c r="AC813" s="256"/>
      <c r="AD813" s="256"/>
      <c r="AE813" s="256"/>
      <c r="AF813" s="256"/>
      <c r="AG813" s="256"/>
      <c r="AH813" s="256"/>
      <c r="AI813" s="256"/>
      <c r="AJ813" s="256"/>
      <c r="AK813" s="256"/>
      <c r="AL813" s="256"/>
      <c r="AM813" s="256"/>
      <c r="AN813" s="256"/>
      <c r="AO813" s="256"/>
      <c r="AP813" s="256"/>
      <c r="AQ813" s="256"/>
      <c r="AR813" s="256"/>
    </row>
    <row r="814">
      <c r="A814" s="256"/>
      <c r="B814" s="256"/>
      <c r="C814" s="257"/>
      <c r="D814" s="257"/>
      <c r="E814" s="257"/>
      <c r="F814" s="257"/>
      <c r="G814" s="257"/>
      <c r="H814" s="257"/>
      <c r="I814" s="256"/>
      <c r="J814" s="256"/>
      <c r="K814" s="256"/>
      <c r="L814" s="256"/>
      <c r="M814" s="256"/>
      <c r="N814" s="256"/>
      <c r="O814" s="256"/>
      <c r="P814" s="256"/>
      <c r="Q814" s="256"/>
      <c r="R814" s="256"/>
      <c r="S814" s="256"/>
      <c r="T814" s="256"/>
      <c r="U814" s="256"/>
      <c r="V814" s="256"/>
      <c r="W814" s="256"/>
      <c r="X814" s="256"/>
      <c r="Y814" s="256"/>
      <c r="Z814" s="256"/>
      <c r="AA814" s="256"/>
      <c r="AB814" s="256"/>
      <c r="AC814" s="256"/>
      <c r="AD814" s="256"/>
      <c r="AE814" s="256"/>
      <c r="AF814" s="256"/>
      <c r="AG814" s="256"/>
      <c r="AH814" s="256"/>
      <c r="AI814" s="256"/>
      <c r="AJ814" s="256"/>
      <c r="AK814" s="256"/>
      <c r="AL814" s="256"/>
      <c r="AM814" s="256"/>
      <c r="AN814" s="256"/>
      <c r="AO814" s="256"/>
      <c r="AP814" s="256"/>
      <c r="AQ814" s="256"/>
      <c r="AR814" s="256"/>
    </row>
    <row r="815">
      <c r="A815" s="256"/>
      <c r="B815" s="256"/>
      <c r="C815" s="257"/>
      <c r="D815" s="257"/>
      <c r="E815" s="257"/>
      <c r="F815" s="257"/>
      <c r="G815" s="257"/>
      <c r="H815" s="257"/>
      <c r="I815" s="256"/>
      <c r="J815" s="256"/>
      <c r="K815" s="256"/>
      <c r="L815" s="256"/>
      <c r="M815" s="256"/>
      <c r="N815" s="256"/>
      <c r="O815" s="256"/>
      <c r="P815" s="256"/>
      <c r="Q815" s="256"/>
      <c r="R815" s="256"/>
      <c r="S815" s="256"/>
      <c r="T815" s="256"/>
      <c r="U815" s="256"/>
      <c r="V815" s="256"/>
      <c r="W815" s="256"/>
      <c r="X815" s="256"/>
      <c r="Y815" s="256"/>
      <c r="Z815" s="256"/>
      <c r="AA815" s="256"/>
      <c r="AB815" s="256"/>
      <c r="AC815" s="256"/>
      <c r="AD815" s="256"/>
      <c r="AE815" s="256"/>
      <c r="AF815" s="256"/>
      <c r="AG815" s="256"/>
      <c r="AH815" s="256"/>
      <c r="AI815" s="256"/>
      <c r="AJ815" s="256"/>
      <c r="AK815" s="256"/>
      <c r="AL815" s="256"/>
      <c r="AM815" s="256"/>
      <c r="AN815" s="256"/>
      <c r="AO815" s="256"/>
      <c r="AP815" s="256"/>
      <c r="AQ815" s="256"/>
      <c r="AR815" s="256"/>
    </row>
    <row r="816">
      <c r="A816" s="256"/>
      <c r="B816" s="256"/>
      <c r="C816" s="257"/>
      <c r="D816" s="257"/>
      <c r="E816" s="257"/>
      <c r="F816" s="257"/>
      <c r="G816" s="257"/>
      <c r="H816" s="257"/>
      <c r="I816" s="256"/>
      <c r="J816" s="256"/>
      <c r="K816" s="256"/>
      <c r="L816" s="256"/>
      <c r="M816" s="256"/>
      <c r="N816" s="256"/>
      <c r="O816" s="256"/>
      <c r="P816" s="256"/>
      <c r="Q816" s="256"/>
      <c r="R816" s="256"/>
      <c r="S816" s="256"/>
      <c r="T816" s="256"/>
      <c r="U816" s="256"/>
      <c r="V816" s="256"/>
      <c r="W816" s="256"/>
      <c r="X816" s="256"/>
      <c r="Y816" s="256"/>
      <c r="Z816" s="256"/>
      <c r="AA816" s="256"/>
      <c r="AB816" s="256"/>
      <c r="AC816" s="256"/>
      <c r="AD816" s="256"/>
      <c r="AE816" s="256"/>
      <c r="AF816" s="256"/>
      <c r="AG816" s="256"/>
      <c r="AH816" s="256"/>
      <c r="AI816" s="256"/>
      <c r="AJ816" s="256"/>
      <c r="AK816" s="256"/>
      <c r="AL816" s="256"/>
      <c r="AM816" s="256"/>
      <c r="AN816" s="256"/>
      <c r="AO816" s="256"/>
      <c r="AP816" s="256"/>
      <c r="AQ816" s="256"/>
      <c r="AR816" s="256"/>
    </row>
    <row r="817">
      <c r="A817" s="256"/>
      <c r="B817" s="256"/>
      <c r="C817" s="257"/>
      <c r="D817" s="257"/>
      <c r="E817" s="257"/>
      <c r="F817" s="257"/>
      <c r="G817" s="257"/>
      <c r="H817" s="257"/>
      <c r="I817" s="256"/>
      <c r="J817" s="256"/>
      <c r="K817" s="256"/>
      <c r="L817" s="256"/>
      <c r="M817" s="256"/>
      <c r="N817" s="256"/>
      <c r="O817" s="256"/>
      <c r="P817" s="256"/>
      <c r="Q817" s="256"/>
      <c r="R817" s="256"/>
      <c r="S817" s="256"/>
      <c r="T817" s="256"/>
      <c r="U817" s="256"/>
      <c r="V817" s="256"/>
      <c r="W817" s="256"/>
      <c r="X817" s="256"/>
      <c r="Y817" s="256"/>
      <c r="Z817" s="256"/>
      <c r="AA817" s="256"/>
      <c r="AB817" s="256"/>
      <c r="AC817" s="256"/>
      <c r="AD817" s="256"/>
      <c r="AE817" s="256"/>
      <c r="AF817" s="256"/>
      <c r="AG817" s="256"/>
      <c r="AH817" s="256"/>
      <c r="AI817" s="256"/>
      <c r="AJ817" s="256"/>
      <c r="AK817" s="256"/>
      <c r="AL817" s="256"/>
      <c r="AM817" s="256"/>
      <c r="AN817" s="256"/>
      <c r="AO817" s="256"/>
      <c r="AP817" s="256"/>
      <c r="AQ817" s="256"/>
      <c r="AR817" s="256"/>
    </row>
    <row r="818">
      <c r="A818" s="256"/>
      <c r="B818" s="256"/>
      <c r="C818" s="257"/>
      <c r="D818" s="257"/>
      <c r="E818" s="257"/>
      <c r="F818" s="257"/>
      <c r="G818" s="257"/>
      <c r="H818" s="257"/>
      <c r="I818" s="256"/>
      <c r="J818" s="256"/>
      <c r="K818" s="256"/>
      <c r="L818" s="256"/>
      <c r="M818" s="256"/>
      <c r="N818" s="256"/>
      <c r="O818" s="256"/>
      <c r="P818" s="256"/>
      <c r="Q818" s="256"/>
      <c r="R818" s="256"/>
      <c r="S818" s="256"/>
      <c r="T818" s="256"/>
      <c r="U818" s="256"/>
      <c r="V818" s="256"/>
      <c r="W818" s="256"/>
      <c r="X818" s="256"/>
      <c r="Y818" s="256"/>
      <c r="Z818" s="256"/>
      <c r="AA818" s="256"/>
      <c r="AB818" s="256"/>
      <c r="AC818" s="256"/>
      <c r="AD818" s="256"/>
      <c r="AE818" s="256"/>
      <c r="AF818" s="256"/>
      <c r="AG818" s="256"/>
      <c r="AH818" s="256"/>
      <c r="AI818" s="256"/>
      <c r="AJ818" s="256"/>
      <c r="AK818" s="256"/>
      <c r="AL818" s="256"/>
      <c r="AM818" s="256"/>
      <c r="AN818" s="256"/>
      <c r="AO818" s="256"/>
      <c r="AP818" s="256"/>
      <c r="AQ818" s="256"/>
      <c r="AR818" s="256"/>
    </row>
    <row r="819">
      <c r="A819" s="256"/>
      <c r="B819" s="256"/>
      <c r="C819" s="257"/>
      <c r="D819" s="257"/>
      <c r="E819" s="257"/>
      <c r="F819" s="257"/>
      <c r="G819" s="257"/>
      <c r="H819" s="257"/>
      <c r="I819" s="256"/>
      <c r="J819" s="256"/>
      <c r="K819" s="256"/>
      <c r="L819" s="256"/>
      <c r="M819" s="256"/>
      <c r="N819" s="256"/>
      <c r="O819" s="256"/>
      <c r="P819" s="256"/>
      <c r="Q819" s="256"/>
      <c r="R819" s="256"/>
      <c r="S819" s="256"/>
      <c r="T819" s="256"/>
      <c r="U819" s="256"/>
      <c r="V819" s="256"/>
      <c r="W819" s="256"/>
      <c r="X819" s="256"/>
      <c r="Y819" s="256"/>
      <c r="Z819" s="256"/>
      <c r="AA819" s="256"/>
      <c r="AB819" s="256"/>
      <c r="AC819" s="256"/>
      <c r="AD819" s="256"/>
      <c r="AE819" s="256"/>
      <c r="AF819" s="256"/>
      <c r="AG819" s="256"/>
      <c r="AH819" s="256"/>
      <c r="AI819" s="256"/>
      <c r="AJ819" s="256"/>
      <c r="AK819" s="256"/>
      <c r="AL819" s="256"/>
      <c r="AM819" s="256"/>
      <c r="AN819" s="256"/>
      <c r="AO819" s="256"/>
      <c r="AP819" s="256"/>
      <c r="AQ819" s="256"/>
      <c r="AR819" s="256"/>
    </row>
    <row r="820">
      <c r="A820" s="256"/>
      <c r="B820" s="256"/>
      <c r="C820" s="257"/>
      <c r="D820" s="257"/>
      <c r="E820" s="257"/>
      <c r="F820" s="257"/>
      <c r="G820" s="257"/>
      <c r="H820" s="257"/>
      <c r="I820" s="256"/>
      <c r="J820" s="256"/>
      <c r="K820" s="256"/>
      <c r="L820" s="256"/>
      <c r="M820" s="256"/>
      <c r="N820" s="256"/>
      <c r="O820" s="256"/>
      <c r="P820" s="256"/>
      <c r="Q820" s="256"/>
      <c r="R820" s="256"/>
      <c r="S820" s="256"/>
      <c r="T820" s="256"/>
      <c r="U820" s="256"/>
      <c r="V820" s="256"/>
      <c r="W820" s="256"/>
      <c r="X820" s="256"/>
      <c r="Y820" s="256"/>
      <c r="Z820" s="256"/>
      <c r="AA820" s="256"/>
      <c r="AB820" s="256"/>
      <c r="AC820" s="256"/>
      <c r="AD820" s="256"/>
      <c r="AE820" s="256"/>
      <c r="AF820" s="256"/>
      <c r="AG820" s="256"/>
      <c r="AH820" s="256"/>
      <c r="AI820" s="256"/>
      <c r="AJ820" s="256"/>
      <c r="AK820" s="256"/>
      <c r="AL820" s="256"/>
      <c r="AM820" s="256"/>
      <c r="AN820" s="256"/>
      <c r="AO820" s="256"/>
      <c r="AP820" s="256"/>
      <c r="AQ820" s="256"/>
      <c r="AR820" s="256"/>
    </row>
    <row r="821">
      <c r="A821" s="256"/>
      <c r="B821" s="256"/>
      <c r="C821" s="257"/>
      <c r="D821" s="257"/>
      <c r="E821" s="257"/>
      <c r="F821" s="257"/>
      <c r="G821" s="257"/>
      <c r="H821" s="257"/>
      <c r="I821" s="256"/>
      <c r="J821" s="256"/>
      <c r="K821" s="256"/>
      <c r="L821" s="256"/>
      <c r="M821" s="256"/>
      <c r="N821" s="256"/>
      <c r="O821" s="256"/>
      <c r="P821" s="256"/>
      <c r="Q821" s="256"/>
      <c r="R821" s="256"/>
      <c r="S821" s="256"/>
      <c r="T821" s="256"/>
      <c r="U821" s="256"/>
      <c r="V821" s="256"/>
      <c r="W821" s="256"/>
      <c r="X821" s="256"/>
      <c r="Y821" s="256"/>
      <c r="Z821" s="256"/>
      <c r="AA821" s="256"/>
      <c r="AB821" s="256"/>
      <c r="AC821" s="256"/>
      <c r="AD821" s="256"/>
      <c r="AE821" s="256"/>
      <c r="AF821" s="256"/>
      <c r="AG821" s="256"/>
      <c r="AH821" s="256"/>
      <c r="AI821" s="256"/>
      <c r="AJ821" s="256"/>
      <c r="AK821" s="256"/>
      <c r="AL821" s="256"/>
      <c r="AM821" s="256"/>
      <c r="AN821" s="256"/>
      <c r="AO821" s="256"/>
      <c r="AP821" s="256"/>
      <c r="AQ821" s="256"/>
      <c r="AR821" s="256"/>
    </row>
    <row r="822">
      <c r="A822" s="256"/>
      <c r="B822" s="256"/>
      <c r="C822" s="257"/>
      <c r="D822" s="257"/>
      <c r="E822" s="257"/>
      <c r="F822" s="257"/>
      <c r="G822" s="257"/>
      <c r="H822" s="257"/>
      <c r="I822" s="256"/>
      <c r="J822" s="256"/>
      <c r="K822" s="256"/>
      <c r="L822" s="256"/>
      <c r="M822" s="256"/>
      <c r="N822" s="256"/>
      <c r="O822" s="256"/>
      <c r="P822" s="256"/>
      <c r="Q822" s="256"/>
      <c r="R822" s="256"/>
      <c r="S822" s="256"/>
      <c r="T822" s="256"/>
      <c r="U822" s="256"/>
      <c r="V822" s="256"/>
      <c r="W822" s="256"/>
      <c r="X822" s="256"/>
      <c r="Y822" s="256"/>
      <c r="Z822" s="256"/>
      <c r="AA822" s="256"/>
      <c r="AB822" s="256"/>
      <c r="AC822" s="256"/>
      <c r="AD822" s="256"/>
      <c r="AE822" s="256"/>
      <c r="AF822" s="256"/>
      <c r="AG822" s="256"/>
      <c r="AH822" s="256"/>
      <c r="AI822" s="256"/>
      <c r="AJ822" s="256"/>
      <c r="AK822" s="256"/>
      <c r="AL822" s="256"/>
      <c r="AM822" s="256"/>
      <c r="AN822" s="256"/>
      <c r="AO822" s="256"/>
      <c r="AP822" s="256"/>
      <c r="AQ822" s="256"/>
      <c r="AR822" s="256"/>
    </row>
    <row r="823">
      <c r="A823" s="256"/>
      <c r="B823" s="256"/>
      <c r="C823" s="257"/>
      <c r="D823" s="257"/>
      <c r="E823" s="257"/>
      <c r="F823" s="257"/>
      <c r="G823" s="257"/>
      <c r="H823" s="257"/>
      <c r="I823" s="256"/>
      <c r="J823" s="256"/>
      <c r="K823" s="256"/>
      <c r="L823" s="256"/>
      <c r="M823" s="256"/>
      <c r="N823" s="256"/>
      <c r="O823" s="256"/>
      <c r="P823" s="256"/>
      <c r="Q823" s="256"/>
      <c r="R823" s="256"/>
      <c r="S823" s="256"/>
      <c r="T823" s="256"/>
      <c r="U823" s="256"/>
      <c r="V823" s="256"/>
      <c r="W823" s="256"/>
      <c r="X823" s="256"/>
      <c r="Y823" s="256"/>
      <c r="Z823" s="256"/>
      <c r="AA823" s="256"/>
      <c r="AB823" s="256"/>
      <c r="AC823" s="256"/>
      <c r="AD823" s="256"/>
      <c r="AE823" s="256"/>
      <c r="AF823" s="256"/>
      <c r="AG823" s="256"/>
      <c r="AH823" s="256"/>
      <c r="AI823" s="256"/>
      <c r="AJ823" s="256"/>
      <c r="AK823" s="256"/>
      <c r="AL823" s="256"/>
      <c r="AM823" s="256"/>
      <c r="AN823" s="256"/>
      <c r="AO823" s="256"/>
      <c r="AP823" s="256"/>
      <c r="AQ823" s="256"/>
      <c r="AR823" s="256"/>
    </row>
    <row r="824">
      <c r="A824" s="256"/>
      <c r="B824" s="256"/>
      <c r="C824" s="257"/>
      <c r="D824" s="257"/>
      <c r="E824" s="257"/>
      <c r="F824" s="257"/>
      <c r="G824" s="257"/>
      <c r="H824" s="257"/>
      <c r="I824" s="256"/>
      <c r="J824" s="256"/>
      <c r="K824" s="256"/>
      <c r="L824" s="256"/>
      <c r="M824" s="256"/>
      <c r="N824" s="256"/>
      <c r="O824" s="256"/>
      <c r="P824" s="256"/>
      <c r="Q824" s="256"/>
      <c r="R824" s="256"/>
      <c r="S824" s="256"/>
      <c r="T824" s="256"/>
      <c r="U824" s="256"/>
      <c r="V824" s="256"/>
      <c r="W824" s="256"/>
      <c r="X824" s="256"/>
      <c r="Y824" s="256"/>
      <c r="Z824" s="256"/>
      <c r="AA824" s="256"/>
      <c r="AB824" s="256"/>
      <c r="AC824" s="256"/>
      <c r="AD824" s="256"/>
      <c r="AE824" s="256"/>
      <c r="AF824" s="256"/>
      <c r="AG824" s="256"/>
      <c r="AH824" s="256"/>
      <c r="AI824" s="256"/>
      <c r="AJ824" s="256"/>
      <c r="AK824" s="256"/>
      <c r="AL824" s="256"/>
      <c r="AM824" s="256"/>
      <c r="AN824" s="256"/>
      <c r="AO824" s="256"/>
      <c r="AP824" s="256"/>
      <c r="AQ824" s="256"/>
      <c r="AR824" s="256"/>
    </row>
    <row r="825">
      <c r="A825" s="256"/>
      <c r="B825" s="256"/>
      <c r="C825" s="257"/>
      <c r="D825" s="257"/>
      <c r="E825" s="257"/>
      <c r="F825" s="257"/>
      <c r="G825" s="257"/>
      <c r="H825" s="257"/>
      <c r="I825" s="256"/>
      <c r="J825" s="256"/>
      <c r="K825" s="256"/>
      <c r="L825" s="256"/>
      <c r="M825" s="256"/>
      <c r="N825" s="256"/>
      <c r="O825" s="256"/>
      <c r="P825" s="256"/>
      <c r="Q825" s="256"/>
      <c r="R825" s="256"/>
      <c r="S825" s="256"/>
      <c r="T825" s="256"/>
      <c r="U825" s="256"/>
      <c r="V825" s="256"/>
      <c r="W825" s="256"/>
      <c r="X825" s="256"/>
      <c r="Y825" s="256"/>
      <c r="Z825" s="256"/>
      <c r="AA825" s="256"/>
      <c r="AB825" s="256"/>
      <c r="AC825" s="256"/>
      <c r="AD825" s="256"/>
      <c r="AE825" s="256"/>
      <c r="AF825" s="256"/>
      <c r="AG825" s="256"/>
      <c r="AH825" s="256"/>
      <c r="AI825" s="256"/>
      <c r="AJ825" s="256"/>
      <c r="AK825" s="256"/>
      <c r="AL825" s="256"/>
      <c r="AM825" s="256"/>
      <c r="AN825" s="256"/>
      <c r="AO825" s="256"/>
      <c r="AP825" s="256"/>
      <c r="AQ825" s="256"/>
      <c r="AR825" s="256"/>
    </row>
    <row r="826">
      <c r="A826" s="256"/>
      <c r="B826" s="256"/>
      <c r="C826" s="257"/>
      <c r="D826" s="257"/>
      <c r="E826" s="257"/>
      <c r="F826" s="257"/>
      <c r="G826" s="257"/>
      <c r="H826" s="257"/>
      <c r="I826" s="256"/>
      <c r="J826" s="256"/>
      <c r="K826" s="256"/>
      <c r="L826" s="256"/>
      <c r="M826" s="256"/>
      <c r="N826" s="256"/>
      <c r="O826" s="256"/>
      <c r="P826" s="256"/>
      <c r="Q826" s="256"/>
      <c r="R826" s="256"/>
      <c r="S826" s="256"/>
      <c r="T826" s="256"/>
      <c r="U826" s="256"/>
      <c r="V826" s="256"/>
      <c r="W826" s="256"/>
      <c r="X826" s="256"/>
      <c r="Y826" s="256"/>
      <c r="Z826" s="256"/>
      <c r="AA826" s="256"/>
      <c r="AB826" s="256"/>
      <c r="AC826" s="256"/>
      <c r="AD826" s="256"/>
      <c r="AE826" s="256"/>
      <c r="AF826" s="256"/>
      <c r="AG826" s="256"/>
      <c r="AH826" s="256"/>
      <c r="AI826" s="256"/>
      <c r="AJ826" s="256"/>
      <c r="AK826" s="256"/>
      <c r="AL826" s="256"/>
      <c r="AM826" s="256"/>
      <c r="AN826" s="256"/>
      <c r="AO826" s="256"/>
      <c r="AP826" s="256"/>
      <c r="AQ826" s="256"/>
      <c r="AR826" s="256"/>
    </row>
    <row r="827">
      <c r="A827" s="256"/>
      <c r="B827" s="256"/>
      <c r="C827" s="257"/>
      <c r="D827" s="257"/>
      <c r="E827" s="257"/>
      <c r="F827" s="257"/>
      <c r="G827" s="257"/>
      <c r="H827" s="257"/>
      <c r="I827" s="256"/>
      <c r="J827" s="256"/>
      <c r="K827" s="256"/>
      <c r="L827" s="256"/>
      <c r="M827" s="256"/>
      <c r="N827" s="256"/>
      <c r="O827" s="256"/>
      <c r="P827" s="256"/>
      <c r="Q827" s="256"/>
      <c r="R827" s="256"/>
      <c r="S827" s="256"/>
      <c r="T827" s="256"/>
      <c r="U827" s="256"/>
      <c r="V827" s="256"/>
      <c r="W827" s="256"/>
      <c r="X827" s="256"/>
      <c r="Y827" s="256"/>
      <c r="Z827" s="256"/>
      <c r="AA827" s="256"/>
      <c r="AB827" s="256"/>
      <c r="AC827" s="256"/>
      <c r="AD827" s="256"/>
      <c r="AE827" s="256"/>
      <c r="AF827" s="256"/>
      <c r="AG827" s="256"/>
      <c r="AH827" s="256"/>
      <c r="AI827" s="256"/>
      <c r="AJ827" s="256"/>
      <c r="AK827" s="256"/>
      <c r="AL827" s="256"/>
      <c r="AM827" s="256"/>
      <c r="AN827" s="256"/>
      <c r="AO827" s="256"/>
      <c r="AP827" s="256"/>
      <c r="AQ827" s="256"/>
      <c r="AR827" s="256"/>
    </row>
    <row r="828">
      <c r="A828" s="256"/>
      <c r="B828" s="256"/>
      <c r="C828" s="257"/>
      <c r="D828" s="257"/>
      <c r="E828" s="257"/>
      <c r="F828" s="257"/>
      <c r="G828" s="257"/>
      <c r="H828" s="257"/>
      <c r="I828" s="256"/>
      <c r="J828" s="256"/>
      <c r="K828" s="256"/>
      <c r="L828" s="256"/>
      <c r="M828" s="256"/>
      <c r="N828" s="256"/>
      <c r="O828" s="256"/>
      <c r="P828" s="256"/>
      <c r="Q828" s="256"/>
      <c r="R828" s="256"/>
      <c r="S828" s="256"/>
      <c r="T828" s="256"/>
      <c r="U828" s="256"/>
      <c r="V828" s="256"/>
      <c r="W828" s="256"/>
      <c r="X828" s="256"/>
      <c r="Y828" s="256"/>
      <c r="Z828" s="256"/>
      <c r="AA828" s="256"/>
      <c r="AB828" s="256"/>
      <c r="AC828" s="256"/>
      <c r="AD828" s="256"/>
      <c r="AE828" s="256"/>
      <c r="AF828" s="256"/>
      <c r="AG828" s="256"/>
      <c r="AH828" s="256"/>
      <c r="AI828" s="256"/>
      <c r="AJ828" s="256"/>
      <c r="AK828" s="256"/>
      <c r="AL828" s="256"/>
      <c r="AM828" s="256"/>
      <c r="AN828" s="256"/>
      <c r="AO828" s="256"/>
      <c r="AP828" s="256"/>
      <c r="AQ828" s="256"/>
      <c r="AR828" s="256"/>
    </row>
    <row r="829">
      <c r="A829" s="256"/>
      <c r="B829" s="256"/>
      <c r="C829" s="257"/>
      <c r="D829" s="257"/>
      <c r="E829" s="257"/>
      <c r="F829" s="257"/>
      <c r="G829" s="257"/>
      <c r="H829" s="257"/>
      <c r="I829" s="256"/>
      <c r="J829" s="256"/>
      <c r="K829" s="256"/>
      <c r="L829" s="256"/>
      <c r="M829" s="256"/>
      <c r="N829" s="256"/>
      <c r="O829" s="256"/>
      <c r="P829" s="256"/>
      <c r="Q829" s="256"/>
      <c r="R829" s="256"/>
      <c r="S829" s="256"/>
      <c r="T829" s="256"/>
      <c r="U829" s="256"/>
      <c r="V829" s="256"/>
      <c r="W829" s="256"/>
      <c r="X829" s="256"/>
      <c r="Y829" s="256"/>
      <c r="Z829" s="256"/>
      <c r="AA829" s="256"/>
      <c r="AB829" s="256"/>
      <c r="AC829" s="256"/>
      <c r="AD829" s="256"/>
      <c r="AE829" s="256"/>
      <c r="AF829" s="256"/>
      <c r="AG829" s="256"/>
      <c r="AH829" s="256"/>
      <c r="AI829" s="256"/>
      <c r="AJ829" s="256"/>
      <c r="AK829" s="256"/>
      <c r="AL829" s="256"/>
      <c r="AM829" s="256"/>
      <c r="AN829" s="256"/>
      <c r="AO829" s="256"/>
      <c r="AP829" s="256"/>
      <c r="AQ829" s="256"/>
      <c r="AR829" s="256"/>
    </row>
    <row r="830">
      <c r="A830" s="256"/>
      <c r="B830" s="256"/>
      <c r="C830" s="257"/>
      <c r="D830" s="257"/>
      <c r="E830" s="257"/>
      <c r="F830" s="257"/>
      <c r="G830" s="257"/>
      <c r="H830" s="257"/>
      <c r="I830" s="256"/>
      <c r="J830" s="256"/>
      <c r="K830" s="256"/>
      <c r="L830" s="256"/>
      <c r="M830" s="256"/>
      <c r="N830" s="256"/>
      <c r="O830" s="256"/>
      <c r="P830" s="256"/>
      <c r="Q830" s="256"/>
      <c r="R830" s="256"/>
      <c r="S830" s="256"/>
      <c r="T830" s="256"/>
      <c r="U830" s="256"/>
      <c r="V830" s="256"/>
      <c r="W830" s="256"/>
      <c r="X830" s="256"/>
      <c r="Y830" s="256"/>
      <c r="Z830" s="256"/>
      <c r="AA830" s="256"/>
      <c r="AB830" s="256"/>
      <c r="AC830" s="256"/>
      <c r="AD830" s="256"/>
      <c r="AE830" s="256"/>
      <c r="AF830" s="256"/>
      <c r="AG830" s="256"/>
      <c r="AH830" s="256"/>
      <c r="AI830" s="256"/>
      <c r="AJ830" s="256"/>
      <c r="AK830" s="256"/>
      <c r="AL830" s="256"/>
      <c r="AM830" s="256"/>
      <c r="AN830" s="256"/>
      <c r="AO830" s="256"/>
      <c r="AP830" s="256"/>
      <c r="AQ830" s="256"/>
      <c r="AR830" s="256"/>
    </row>
    <row r="831">
      <c r="A831" s="256"/>
      <c r="B831" s="256"/>
      <c r="C831" s="257"/>
      <c r="D831" s="257"/>
      <c r="E831" s="257"/>
      <c r="F831" s="257"/>
      <c r="G831" s="257"/>
      <c r="H831" s="257"/>
      <c r="I831" s="256"/>
      <c r="J831" s="256"/>
      <c r="K831" s="256"/>
      <c r="L831" s="256"/>
      <c r="M831" s="256"/>
      <c r="N831" s="256"/>
      <c r="O831" s="256"/>
      <c r="P831" s="256"/>
      <c r="Q831" s="256"/>
      <c r="R831" s="256"/>
      <c r="S831" s="256"/>
      <c r="T831" s="256"/>
      <c r="U831" s="256"/>
      <c r="V831" s="256"/>
      <c r="W831" s="256"/>
      <c r="X831" s="256"/>
      <c r="Y831" s="256"/>
      <c r="Z831" s="256"/>
      <c r="AA831" s="256"/>
      <c r="AB831" s="256"/>
      <c r="AC831" s="256"/>
      <c r="AD831" s="256"/>
      <c r="AE831" s="256"/>
      <c r="AF831" s="256"/>
      <c r="AG831" s="256"/>
      <c r="AH831" s="256"/>
      <c r="AI831" s="256"/>
      <c r="AJ831" s="256"/>
      <c r="AK831" s="256"/>
      <c r="AL831" s="256"/>
      <c r="AM831" s="256"/>
      <c r="AN831" s="256"/>
      <c r="AO831" s="256"/>
      <c r="AP831" s="256"/>
      <c r="AQ831" s="256"/>
      <c r="AR831" s="256"/>
    </row>
    <row r="832">
      <c r="A832" s="256"/>
      <c r="B832" s="256"/>
      <c r="C832" s="257"/>
      <c r="D832" s="257"/>
      <c r="E832" s="257"/>
      <c r="F832" s="257"/>
      <c r="G832" s="257"/>
      <c r="H832" s="257"/>
      <c r="I832" s="256"/>
      <c r="J832" s="256"/>
      <c r="K832" s="256"/>
      <c r="L832" s="256"/>
      <c r="M832" s="256"/>
      <c r="N832" s="256"/>
      <c r="O832" s="256"/>
      <c r="P832" s="256"/>
      <c r="Q832" s="256"/>
      <c r="R832" s="256"/>
      <c r="S832" s="256"/>
      <c r="T832" s="256"/>
      <c r="U832" s="256"/>
      <c r="V832" s="256"/>
      <c r="W832" s="256"/>
      <c r="X832" s="256"/>
      <c r="Y832" s="256"/>
      <c r="Z832" s="256"/>
      <c r="AA832" s="256"/>
      <c r="AB832" s="256"/>
      <c r="AC832" s="256"/>
      <c r="AD832" s="256"/>
      <c r="AE832" s="256"/>
      <c r="AF832" s="256"/>
      <c r="AG832" s="256"/>
      <c r="AH832" s="256"/>
      <c r="AI832" s="256"/>
      <c r="AJ832" s="256"/>
      <c r="AK832" s="256"/>
      <c r="AL832" s="256"/>
      <c r="AM832" s="256"/>
      <c r="AN832" s="256"/>
      <c r="AO832" s="256"/>
      <c r="AP832" s="256"/>
      <c r="AQ832" s="256"/>
      <c r="AR832" s="256"/>
    </row>
    <row r="833">
      <c r="A833" s="256"/>
      <c r="B833" s="256"/>
      <c r="C833" s="257"/>
      <c r="D833" s="257"/>
      <c r="E833" s="257"/>
      <c r="F833" s="257"/>
      <c r="G833" s="257"/>
      <c r="H833" s="257"/>
      <c r="I833" s="256"/>
      <c r="J833" s="256"/>
      <c r="K833" s="256"/>
      <c r="L833" s="256"/>
      <c r="M833" s="256"/>
      <c r="N833" s="256"/>
      <c r="O833" s="256"/>
      <c r="P833" s="256"/>
      <c r="Q833" s="256"/>
      <c r="R833" s="256"/>
      <c r="S833" s="256"/>
      <c r="T833" s="256"/>
      <c r="U833" s="256"/>
      <c r="V833" s="256"/>
      <c r="W833" s="256"/>
      <c r="X833" s="256"/>
      <c r="Y833" s="256"/>
      <c r="Z833" s="256"/>
      <c r="AA833" s="256"/>
      <c r="AB833" s="256"/>
      <c r="AC833" s="256"/>
      <c r="AD833" s="256"/>
      <c r="AE833" s="256"/>
      <c r="AF833" s="256"/>
      <c r="AG833" s="256"/>
      <c r="AH833" s="256"/>
      <c r="AI833" s="256"/>
      <c r="AJ833" s="256"/>
      <c r="AK833" s="256"/>
      <c r="AL833" s="256"/>
      <c r="AM833" s="256"/>
      <c r="AN833" s="256"/>
      <c r="AO833" s="256"/>
      <c r="AP833" s="256"/>
      <c r="AQ833" s="256"/>
      <c r="AR833" s="256"/>
    </row>
    <row r="834">
      <c r="A834" s="256"/>
      <c r="B834" s="256"/>
      <c r="C834" s="257"/>
      <c r="D834" s="257"/>
      <c r="E834" s="257"/>
      <c r="F834" s="257"/>
      <c r="G834" s="257"/>
      <c r="H834" s="257"/>
      <c r="I834" s="256"/>
      <c r="J834" s="256"/>
      <c r="K834" s="256"/>
      <c r="L834" s="256"/>
      <c r="M834" s="256"/>
      <c r="N834" s="256"/>
      <c r="O834" s="256"/>
      <c r="P834" s="256"/>
      <c r="Q834" s="256"/>
      <c r="R834" s="256"/>
      <c r="S834" s="256"/>
      <c r="T834" s="256"/>
      <c r="U834" s="256"/>
      <c r="V834" s="256"/>
      <c r="W834" s="256"/>
      <c r="X834" s="256"/>
      <c r="Y834" s="256"/>
      <c r="Z834" s="256"/>
      <c r="AA834" s="256"/>
      <c r="AB834" s="256"/>
      <c r="AC834" s="256"/>
      <c r="AD834" s="256"/>
      <c r="AE834" s="256"/>
      <c r="AF834" s="256"/>
      <c r="AG834" s="256"/>
      <c r="AH834" s="256"/>
      <c r="AI834" s="256"/>
      <c r="AJ834" s="256"/>
      <c r="AK834" s="256"/>
      <c r="AL834" s="256"/>
      <c r="AM834" s="256"/>
      <c r="AN834" s="256"/>
      <c r="AO834" s="256"/>
      <c r="AP834" s="256"/>
      <c r="AQ834" s="256"/>
      <c r="AR834" s="256"/>
    </row>
    <row r="835">
      <c r="A835" s="256"/>
      <c r="B835" s="256"/>
      <c r="C835" s="257"/>
      <c r="D835" s="257"/>
      <c r="E835" s="257"/>
      <c r="F835" s="257"/>
      <c r="G835" s="257"/>
      <c r="H835" s="257"/>
      <c r="I835" s="256"/>
      <c r="J835" s="256"/>
      <c r="K835" s="256"/>
      <c r="L835" s="256"/>
      <c r="M835" s="256"/>
      <c r="N835" s="256"/>
      <c r="O835" s="256"/>
      <c r="P835" s="256"/>
      <c r="Q835" s="256"/>
      <c r="R835" s="256"/>
      <c r="S835" s="256"/>
      <c r="T835" s="256"/>
      <c r="U835" s="256"/>
      <c r="V835" s="256"/>
      <c r="W835" s="256"/>
      <c r="X835" s="256"/>
      <c r="Y835" s="256"/>
      <c r="Z835" s="256"/>
      <c r="AA835" s="256"/>
      <c r="AB835" s="256"/>
      <c r="AC835" s="256"/>
      <c r="AD835" s="256"/>
      <c r="AE835" s="256"/>
      <c r="AF835" s="256"/>
      <c r="AG835" s="256"/>
      <c r="AH835" s="256"/>
      <c r="AI835" s="256"/>
      <c r="AJ835" s="256"/>
      <c r="AK835" s="256"/>
      <c r="AL835" s="256"/>
      <c r="AM835" s="256"/>
      <c r="AN835" s="256"/>
      <c r="AO835" s="256"/>
      <c r="AP835" s="256"/>
      <c r="AQ835" s="256"/>
      <c r="AR835" s="256"/>
    </row>
    <row r="836">
      <c r="A836" s="256"/>
      <c r="B836" s="256"/>
      <c r="C836" s="257"/>
      <c r="D836" s="257"/>
      <c r="E836" s="257"/>
      <c r="F836" s="257"/>
      <c r="G836" s="257"/>
      <c r="H836" s="257"/>
      <c r="I836" s="256"/>
      <c r="J836" s="256"/>
      <c r="K836" s="256"/>
      <c r="L836" s="256"/>
      <c r="M836" s="256"/>
      <c r="N836" s="256"/>
      <c r="O836" s="256"/>
      <c r="P836" s="256"/>
      <c r="Q836" s="256"/>
      <c r="R836" s="256"/>
      <c r="S836" s="256"/>
      <c r="T836" s="256"/>
      <c r="U836" s="256"/>
      <c r="V836" s="256"/>
      <c r="W836" s="256"/>
      <c r="X836" s="256"/>
      <c r="Y836" s="256"/>
      <c r="Z836" s="256"/>
      <c r="AA836" s="256"/>
      <c r="AB836" s="256"/>
      <c r="AC836" s="256"/>
      <c r="AD836" s="256"/>
      <c r="AE836" s="256"/>
      <c r="AF836" s="256"/>
      <c r="AG836" s="256"/>
      <c r="AH836" s="256"/>
      <c r="AI836" s="256"/>
      <c r="AJ836" s="256"/>
      <c r="AK836" s="256"/>
      <c r="AL836" s="256"/>
      <c r="AM836" s="256"/>
      <c r="AN836" s="256"/>
      <c r="AO836" s="256"/>
      <c r="AP836" s="256"/>
      <c r="AQ836" s="256"/>
      <c r="AR836" s="256"/>
    </row>
    <row r="837">
      <c r="A837" s="256"/>
      <c r="B837" s="256"/>
      <c r="C837" s="257"/>
      <c r="D837" s="257"/>
      <c r="E837" s="257"/>
      <c r="F837" s="257"/>
      <c r="G837" s="257"/>
      <c r="H837" s="257"/>
      <c r="I837" s="256"/>
      <c r="J837" s="256"/>
      <c r="K837" s="256"/>
      <c r="L837" s="256"/>
      <c r="M837" s="256"/>
      <c r="N837" s="256"/>
      <c r="O837" s="256"/>
      <c r="P837" s="256"/>
      <c r="Q837" s="256"/>
      <c r="R837" s="256"/>
      <c r="S837" s="256"/>
      <c r="T837" s="256"/>
      <c r="U837" s="256"/>
      <c r="V837" s="256"/>
      <c r="W837" s="256"/>
      <c r="X837" s="256"/>
      <c r="Y837" s="256"/>
      <c r="Z837" s="256"/>
      <c r="AA837" s="256"/>
      <c r="AB837" s="256"/>
      <c r="AC837" s="256"/>
      <c r="AD837" s="256"/>
      <c r="AE837" s="256"/>
      <c r="AF837" s="256"/>
      <c r="AG837" s="256"/>
      <c r="AH837" s="256"/>
      <c r="AI837" s="256"/>
      <c r="AJ837" s="256"/>
      <c r="AK837" s="256"/>
      <c r="AL837" s="256"/>
      <c r="AM837" s="256"/>
      <c r="AN837" s="256"/>
      <c r="AO837" s="256"/>
      <c r="AP837" s="256"/>
      <c r="AQ837" s="256"/>
      <c r="AR837" s="256"/>
    </row>
    <row r="838">
      <c r="A838" s="256"/>
      <c r="B838" s="256"/>
      <c r="C838" s="257"/>
      <c r="D838" s="257"/>
      <c r="E838" s="257"/>
      <c r="F838" s="257"/>
      <c r="G838" s="257"/>
      <c r="H838" s="257"/>
      <c r="I838" s="256"/>
      <c r="J838" s="256"/>
      <c r="K838" s="256"/>
      <c r="L838" s="256"/>
      <c r="M838" s="256"/>
      <c r="N838" s="256"/>
      <c r="O838" s="256"/>
      <c r="P838" s="256"/>
      <c r="Q838" s="256"/>
      <c r="R838" s="256"/>
      <c r="S838" s="256"/>
      <c r="T838" s="256"/>
      <c r="U838" s="256"/>
      <c r="V838" s="256"/>
      <c r="W838" s="256"/>
      <c r="X838" s="256"/>
      <c r="Y838" s="256"/>
      <c r="Z838" s="256"/>
      <c r="AA838" s="256"/>
      <c r="AB838" s="256"/>
      <c r="AC838" s="256"/>
      <c r="AD838" s="256"/>
      <c r="AE838" s="256"/>
      <c r="AF838" s="256"/>
      <c r="AG838" s="256"/>
      <c r="AH838" s="256"/>
      <c r="AI838" s="256"/>
      <c r="AJ838" s="256"/>
      <c r="AK838" s="256"/>
      <c r="AL838" s="256"/>
      <c r="AM838" s="256"/>
      <c r="AN838" s="256"/>
      <c r="AO838" s="256"/>
      <c r="AP838" s="256"/>
      <c r="AQ838" s="256"/>
      <c r="AR838" s="256"/>
    </row>
    <row r="839">
      <c r="A839" s="256"/>
      <c r="B839" s="256"/>
      <c r="C839" s="257"/>
      <c r="D839" s="257"/>
      <c r="E839" s="257"/>
      <c r="F839" s="257"/>
      <c r="G839" s="257"/>
      <c r="H839" s="257"/>
      <c r="I839" s="256"/>
      <c r="J839" s="256"/>
      <c r="K839" s="256"/>
      <c r="L839" s="256"/>
      <c r="M839" s="256"/>
      <c r="N839" s="256"/>
      <c r="O839" s="256"/>
      <c r="P839" s="256"/>
      <c r="Q839" s="256"/>
      <c r="R839" s="256"/>
      <c r="S839" s="256"/>
      <c r="T839" s="256"/>
      <c r="U839" s="256"/>
      <c r="V839" s="256"/>
      <c r="W839" s="256"/>
      <c r="X839" s="256"/>
      <c r="Y839" s="256"/>
      <c r="Z839" s="256"/>
      <c r="AA839" s="256"/>
      <c r="AB839" s="256"/>
      <c r="AC839" s="256"/>
      <c r="AD839" s="256"/>
      <c r="AE839" s="256"/>
      <c r="AF839" s="256"/>
      <c r="AG839" s="256"/>
      <c r="AH839" s="256"/>
      <c r="AI839" s="256"/>
      <c r="AJ839" s="256"/>
      <c r="AK839" s="256"/>
      <c r="AL839" s="256"/>
      <c r="AM839" s="256"/>
      <c r="AN839" s="256"/>
      <c r="AO839" s="256"/>
      <c r="AP839" s="256"/>
      <c r="AQ839" s="256"/>
      <c r="AR839" s="256"/>
    </row>
    <row r="840">
      <c r="A840" s="256"/>
      <c r="B840" s="256"/>
      <c r="C840" s="257"/>
      <c r="D840" s="257"/>
      <c r="E840" s="257"/>
      <c r="F840" s="257"/>
      <c r="G840" s="257"/>
      <c r="H840" s="257"/>
      <c r="I840" s="256"/>
      <c r="J840" s="256"/>
      <c r="K840" s="256"/>
      <c r="L840" s="256"/>
      <c r="M840" s="256"/>
      <c r="N840" s="256"/>
      <c r="O840" s="256"/>
      <c r="P840" s="256"/>
      <c r="Q840" s="256"/>
      <c r="R840" s="256"/>
      <c r="S840" s="256"/>
      <c r="T840" s="256"/>
      <c r="U840" s="256"/>
      <c r="V840" s="256"/>
      <c r="W840" s="256"/>
      <c r="X840" s="256"/>
      <c r="Y840" s="256"/>
      <c r="Z840" s="256"/>
      <c r="AA840" s="256"/>
      <c r="AB840" s="256"/>
      <c r="AC840" s="256"/>
      <c r="AD840" s="256"/>
      <c r="AE840" s="256"/>
      <c r="AF840" s="256"/>
      <c r="AG840" s="256"/>
      <c r="AH840" s="256"/>
      <c r="AI840" s="256"/>
      <c r="AJ840" s="256"/>
      <c r="AK840" s="256"/>
      <c r="AL840" s="256"/>
      <c r="AM840" s="256"/>
      <c r="AN840" s="256"/>
      <c r="AO840" s="256"/>
      <c r="AP840" s="256"/>
      <c r="AQ840" s="256"/>
      <c r="AR840" s="256"/>
    </row>
    <row r="841">
      <c r="A841" s="256"/>
      <c r="B841" s="256"/>
      <c r="C841" s="257"/>
      <c r="D841" s="257"/>
      <c r="E841" s="257"/>
      <c r="F841" s="257"/>
      <c r="G841" s="257"/>
      <c r="H841" s="257"/>
      <c r="I841" s="256"/>
      <c r="J841" s="256"/>
      <c r="K841" s="256"/>
      <c r="L841" s="256"/>
      <c r="M841" s="256"/>
      <c r="N841" s="256"/>
      <c r="O841" s="256"/>
      <c r="P841" s="256"/>
      <c r="Q841" s="256"/>
      <c r="R841" s="256"/>
      <c r="S841" s="256"/>
      <c r="T841" s="256"/>
      <c r="U841" s="256"/>
      <c r="V841" s="256"/>
      <c r="W841" s="256"/>
      <c r="X841" s="256"/>
      <c r="Y841" s="256"/>
      <c r="Z841" s="256"/>
      <c r="AA841" s="256"/>
      <c r="AB841" s="256"/>
      <c r="AC841" s="256"/>
      <c r="AD841" s="256"/>
      <c r="AE841" s="256"/>
      <c r="AF841" s="256"/>
      <c r="AG841" s="256"/>
      <c r="AH841" s="256"/>
      <c r="AI841" s="256"/>
      <c r="AJ841" s="256"/>
      <c r="AK841" s="256"/>
      <c r="AL841" s="256"/>
      <c r="AM841" s="256"/>
      <c r="AN841" s="256"/>
      <c r="AO841" s="256"/>
      <c r="AP841" s="256"/>
      <c r="AQ841" s="256"/>
      <c r="AR841" s="256"/>
    </row>
    <row r="842">
      <c r="A842" s="256"/>
      <c r="B842" s="256"/>
      <c r="C842" s="257"/>
      <c r="D842" s="257"/>
      <c r="E842" s="257"/>
      <c r="F842" s="257"/>
      <c r="G842" s="257"/>
      <c r="H842" s="257"/>
      <c r="I842" s="256"/>
      <c r="J842" s="256"/>
      <c r="K842" s="256"/>
      <c r="L842" s="256"/>
      <c r="M842" s="256"/>
      <c r="N842" s="256"/>
      <c r="O842" s="256"/>
      <c r="P842" s="256"/>
      <c r="Q842" s="256"/>
      <c r="R842" s="256"/>
      <c r="S842" s="256"/>
      <c r="T842" s="256"/>
      <c r="U842" s="256"/>
      <c r="V842" s="256"/>
      <c r="W842" s="256"/>
      <c r="X842" s="256"/>
      <c r="Y842" s="256"/>
      <c r="Z842" s="256"/>
      <c r="AA842" s="256"/>
      <c r="AB842" s="256"/>
      <c r="AC842" s="256"/>
      <c r="AD842" s="256"/>
      <c r="AE842" s="256"/>
      <c r="AF842" s="256"/>
      <c r="AG842" s="256"/>
      <c r="AH842" s="256"/>
      <c r="AI842" s="256"/>
      <c r="AJ842" s="256"/>
      <c r="AK842" s="256"/>
      <c r="AL842" s="256"/>
      <c r="AM842" s="256"/>
      <c r="AN842" s="256"/>
      <c r="AO842" s="256"/>
      <c r="AP842" s="256"/>
      <c r="AQ842" s="256"/>
      <c r="AR842" s="256"/>
    </row>
    <row r="843">
      <c r="A843" s="256"/>
      <c r="B843" s="256"/>
      <c r="C843" s="257"/>
      <c r="D843" s="257"/>
      <c r="E843" s="257"/>
      <c r="F843" s="257"/>
      <c r="G843" s="257"/>
      <c r="H843" s="257"/>
      <c r="I843" s="256"/>
      <c r="J843" s="256"/>
      <c r="K843" s="256"/>
      <c r="L843" s="256"/>
      <c r="M843" s="256"/>
      <c r="N843" s="256"/>
      <c r="O843" s="256"/>
      <c r="P843" s="256"/>
      <c r="Q843" s="256"/>
      <c r="R843" s="256"/>
      <c r="S843" s="256"/>
      <c r="T843" s="256"/>
      <c r="U843" s="256"/>
      <c r="V843" s="256"/>
      <c r="W843" s="256"/>
      <c r="X843" s="256"/>
      <c r="Y843" s="256"/>
      <c r="Z843" s="256"/>
      <c r="AA843" s="256"/>
      <c r="AB843" s="256"/>
      <c r="AC843" s="256"/>
      <c r="AD843" s="256"/>
      <c r="AE843" s="256"/>
      <c r="AF843" s="256"/>
      <c r="AG843" s="256"/>
      <c r="AH843" s="256"/>
      <c r="AI843" s="256"/>
      <c r="AJ843" s="256"/>
      <c r="AK843" s="256"/>
      <c r="AL843" s="256"/>
      <c r="AM843" s="256"/>
      <c r="AN843" s="256"/>
      <c r="AO843" s="256"/>
      <c r="AP843" s="256"/>
      <c r="AQ843" s="256"/>
      <c r="AR843" s="256"/>
    </row>
    <row r="844">
      <c r="A844" s="256"/>
      <c r="B844" s="256"/>
      <c r="C844" s="257"/>
      <c r="D844" s="257"/>
      <c r="E844" s="257"/>
      <c r="F844" s="257"/>
      <c r="G844" s="257"/>
      <c r="H844" s="257"/>
      <c r="I844" s="256"/>
      <c r="J844" s="256"/>
      <c r="K844" s="256"/>
      <c r="L844" s="256"/>
      <c r="M844" s="256"/>
      <c r="N844" s="256"/>
      <c r="O844" s="256"/>
      <c r="P844" s="256"/>
      <c r="Q844" s="256"/>
      <c r="R844" s="256"/>
      <c r="S844" s="256"/>
      <c r="T844" s="256"/>
      <c r="U844" s="256"/>
      <c r="V844" s="256"/>
      <c r="W844" s="256"/>
      <c r="X844" s="256"/>
      <c r="Y844" s="256"/>
      <c r="Z844" s="256"/>
      <c r="AA844" s="256"/>
      <c r="AB844" s="256"/>
      <c r="AC844" s="256"/>
      <c r="AD844" s="256"/>
      <c r="AE844" s="256"/>
      <c r="AF844" s="256"/>
      <c r="AG844" s="256"/>
      <c r="AH844" s="256"/>
      <c r="AI844" s="256"/>
      <c r="AJ844" s="256"/>
      <c r="AK844" s="256"/>
      <c r="AL844" s="256"/>
      <c r="AM844" s="256"/>
      <c r="AN844" s="256"/>
      <c r="AO844" s="256"/>
      <c r="AP844" s="256"/>
      <c r="AQ844" s="256"/>
      <c r="AR844" s="256"/>
    </row>
    <row r="845">
      <c r="A845" s="256"/>
      <c r="B845" s="256"/>
      <c r="C845" s="257"/>
      <c r="D845" s="257"/>
      <c r="E845" s="257"/>
      <c r="F845" s="257"/>
      <c r="G845" s="257"/>
      <c r="H845" s="257"/>
      <c r="I845" s="256"/>
      <c r="J845" s="256"/>
      <c r="K845" s="256"/>
      <c r="L845" s="256"/>
      <c r="M845" s="256"/>
      <c r="N845" s="256"/>
      <c r="O845" s="256"/>
      <c r="P845" s="256"/>
      <c r="Q845" s="256"/>
      <c r="R845" s="256"/>
      <c r="S845" s="256"/>
      <c r="T845" s="256"/>
      <c r="U845" s="256"/>
      <c r="V845" s="256"/>
      <c r="W845" s="256"/>
      <c r="X845" s="256"/>
      <c r="Y845" s="256"/>
      <c r="Z845" s="256"/>
      <c r="AA845" s="256"/>
      <c r="AB845" s="256"/>
      <c r="AC845" s="256"/>
      <c r="AD845" s="256"/>
      <c r="AE845" s="256"/>
      <c r="AF845" s="256"/>
      <c r="AG845" s="256"/>
      <c r="AH845" s="256"/>
      <c r="AI845" s="256"/>
      <c r="AJ845" s="256"/>
      <c r="AK845" s="256"/>
      <c r="AL845" s="256"/>
      <c r="AM845" s="256"/>
      <c r="AN845" s="256"/>
      <c r="AO845" s="256"/>
      <c r="AP845" s="256"/>
      <c r="AQ845" s="256"/>
      <c r="AR845" s="256"/>
    </row>
    <row r="846">
      <c r="A846" s="256"/>
      <c r="B846" s="256"/>
      <c r="C846" s="257"/>
      <c r="D846" s="257"/>
      <c r="E846" s="257"/>
      <c r="F846" s="257"/>
      <c r="G846" s="257"/>
      <c r="H846" s="257"/>
      <c r="I846" s="256"/>
      <c r="J846" s="256"/>
      <c r="K846" s="256"/>
      <c r="L846" s="256"/>
      <c r="M846" s="256"/>
      <c r="N846" s="256"/>
      <c r="O846" s="256"/>
      <c r="P846" s="256"/>
      <c r="Q846" s="256"/>
      <c r="R846" s="256"/>
      <c r="S846" s="256"/>
      <c r="T846" s="256"/>
      <c r="U846" s="256"/>
      <c r="V846" s="256"/>
      <c r="W846" s="256"/>
      <c r="X846" s="256"/>
      <c r="Y846" s="256"/>
      <c r="Z846" s="256"/>
      <c r="AA846" s="256"/>
      <c r="AB846" s="256"/>
      <c r="AC846" s="256"/>
      <c r="AD846" s="256"/>
      <c r="AE846" s="256"/>
      <c r="AF846" s="256"/>
      <c r="AG846" s="256"/>
      <c r="AH846" s="256"/>
      <c r="AI846" s="256"/>
      <c r="AJ846" s="256"/>
      <c r="AK846" s="256"/>
      <c r="AL846" s="256"/>
      <c r="AM846" s="256"/>
      <c r="AN846" s="256"/>
      <c r="AO846" s="256"/>
      <c r="AP846" s="256"/>
      <c r="AQ846" s="256"/>
      <c r="AR846" s="256"/>
    </row>
    <row r="847">
      <c r="A847" s="256"/>
      <c r="B847" s="256"/>
      <c r="C847" s="257"/>
      <c r="D847" s="257"/>
      <c r="E847" s="257"/>
      <c r="F847" s="257"/>
      <c r="G847" s="257"/>
      <c r="H847" s="257"/>
      <c r="I847" s="256"/>
      <c r="J847" s="256"/>
      <c r="K847" s="256"/>
      <c r="L847" s="256"/>
      <c r="M847" s="256"/>
      <c r="N847" s="256"/>
      <c r="O847" s="256"/>
      <c r="P847" s="256"/>
      <c r="Q847" s="256"/>
      <c r="R847" s="256"/>
      <c r="S847" s="256"/>
      <c r="T847" s="256"/>
      <c r="U847" s="256"/>
      <c r="V847" s="256"/>
      <c r="W847" s="256"/>
      <c r="X847" s="256"/>
      <c r="Y847" s="256"/>
      <c r="Z847" s="256"/>
      <c r="AA847" s="256"/>
      <c r="AB847" s="256"/>
      <c r="AC847" s="256"/>
      <c r="AD847" s="256"/>
      <c r="AE847" s="256"/>
      <c r="AF847" s="256"/>
      <c r="AG847" s="256"/>
      <c r="AH847" s="256"/>
      <c r="AI847" s="256"/>
      <c r="AJ847" s="256"/>
      <c r="AK847" s="256"/>
      <c r="AL847" s="256"/>
      <c r="AM847" s="256"/>
      <c r="AN847" s="256"/>
      <c r="AO847" s="256"/>
      <c r="AP847" s="256"/>
      <c r="AQ847" s="256"/>
      <c r="AR847" s="256"/>
    </row>
    <row r="848">
      <c r="A848" s="256"/>
      <c r="B848" s="256"/>
      <c r="C848" s="257"/>
      <c r="D848" s="257"/>
      <c r="E848" s="257"/>
      <c r="F848" s="257"/>
      <c r="G848" s="257"/>
      <c r="H848" s="257"/>
      <c r="I848" s="256"/>
      <c r="J848" s="256"/>
      <c r="K848" s="256"/>
      <c r="L848" s="256"/>
      <c r="M848" s="256"/>
      <c r="N848" s="256"/>
      <c r="O848" s="256"/>
      <c r="P848" s="256"/>
      <c r="Q848" s="256"/>
      <c r="R848" s="256"/>
      <c r="S848" s="256"/>
      <c r="T848" s="256"/>
      <c r="U848" s="256"/>
      <c r="V848" s="256"/>
      <c r="W848" s="256"/>
      <c r="X848" s="256"/>
      <c r="Y848" s="256"/>
      <c r="Z848" s="256"/>
      <c r="AA848" s="256"/>
      <c r="AB848" s="256"/>
      <c r="AC848" s="256"/>
      <c r="AD848" s="256"/>
      <c r="AE848" s="256"/>
      <c r="AF848" s="256"/>
      <c r="AG848" s="256"/>
      <c r="AH848" s="256"/>
      <c r="AI848" s="256"/>
      <c r="AJ848" s="256"/>
      <c r="AK848" s="256"/>
      <c r="AL848" s="256"/>
      <c r="AM848" s="256"/>
      <c r="AN848" s="256"/>
      <c r="AO848" s="256"/>
      <c r="AP848" s="256"/>
      <c r="AQ848" s="256"/>
      <c r="AR848" s="256"/>
    </row>
    <row r="849">
      <c r="A849" s="256"/>
      <c r="B849" s="256"/>
      <c r="C849" s="257"/>
      <c r="D849" s="257"/>
      <c r="E849" s="257"/>
      <c r="F849" s="257"/>
      <c r="G849" s="257"/>
      <c r="H849" s="257"/>
      <c r="I849" s="256"/>
      <c r="J849" s="256"/>
      <c r="K849" s="256"/>
      <c r="L849" s="256"/>
      <c r="M849" s="256"/>
      <c r="N849" s="256"/>
      <c r="O849" s="256"/>
      <c r="P849" s="256"/>
      <c r="Q849" s="256"/>
      <c r="R849" s="256"/>
      <c r="S849" s="256"/>
      <c r="T849" s="256"/>
      <c r="U849" s="256"/>
      <c r="V849" s="256"/>
      <c r="W849" s="256"/>
      <c r="X849" s="256"/>
      <c r="Y849" s="256"/>
      <c r="Z849" s="256"/>
      <c r="AA849" s="256"/>
      <c r="AB849" s="256"/>
      <c r="AC849" s="256"/>
      <c r="AD849" s="256"/>
      <c r="AE849" s="256"/>
      <c r="AF849" s="256"/>
      <c r="AG849" s="256"/>
      <c r="AH849" s="256"/>
      <c r="AI849" s="256"/>
      <c r="AJ849" s="256"/>
      <c r="AK849" s="256"/>
      <c r="AL849" s="256"/>
      <c r="AM849" s="256"/>
      <c r="AN849" s="256"/>
      <c r="AO849" s="256"/>
      <c r="AP849" s="256"/>
      <c r="AQ849" s="256"/>
      <c r="AR849" s="256"/>
    </row>
    <row r="850">
      <c r="A850" s="256"/>
      <c r="B850" s="256"/>
      <c r="C850" s="257"/>
      <c r="D850" s="257"/>
      <c r="E850" s="257"/>
      <c r="F850" s="257"/>
      <c r="G850" s="257"/>
      <c r="H850" s="257"/>
      <c r="I850" s="256"/>
      <c r="J850" s="256"/>
      <c r="K850" s="256"/>
      <c r="L850" s="256"/>
      <c r="M850" s="256"/>
      <c r="N850" s="256"/>
      <c r="O850" s="256"/>
      <c r="P850" s="256"/>
      <c r="Q850" s="256"/>
      <c r="R850" s="256"/>
      <c r="S850" s="256"/>
      <c r="T850" s="256"/>
      <c r="U850" s="256"/>
      <c r="V850" s="256"/>
      <c r="W850" s="256"/>
      <c r="X850" s="256"/>
      <c r="Y850" s="256"/>
      <c r="Z850" s="256"/>
      <c r="AA850" s="256"/>
      <c r="AB850" s="256"/>
      <c r="AC850" s="256"/>
      <c r="AD850" s="256"/>
      <c r="AE850" s="256"/>
      <c r="AF850" s="256"/>
      <c r="AG850" s="256"/>
      <c r="AH850" s="256"/>
      <c r="AI850" s="256"/>
      <c r="AJ850" s="256"/>
      <c r="AK850" s="256"/>
      <c r="AL850" s="256"/>
      <c r="AM850" s="256"/>
      <c r="AN850" s="256"/>
      <c r="AO850" s="256"/>
      <c r="AP850" s="256"/>
      <c r="AQ850" s="256"/>
      <c r="AR850" s="256"/>
    </row>
    <row r="851">
      <c r="A851" s="256"/>
      <c r="B851" s="256"/>
      <c r="C851" s="257"/>
      <c r="D851" s="257"/>
      <c r="E851" s="257"/>
      <c r="F851" s="257"/>
      <c r="G851" s="257"/>
      <c r="H851" s="257"/>
      <c r="I851" s="256"/>
      <c r="J851" s="256"/>
      <c r="K851" s="256"/>
      <c r="L851" s="256"/>
      <c r="M851" s="256"/>
      <c r="N851" s="256"/>
      <c r="O851" s="256"/>
      <c r="P851" s="256"/>
      <c r="Q851" s="256"/>
      <c r="R851" s="256"/>
      <c r="S851" s="256"/>
      <c r="T851" s="256"/>
      <c r="U851" s="256"/>
      <c r="V851" s="256"/>
      <c r="W851" s="256"/>
      <c r="X851" s="256"/>
      <c r="Y851" s="256"/>
      <c r="Z851" s="256"/>
      <c r="AA851" s="256"/>
      <c r="AB851" s="256"/>
      <c r="AC851" s="256"/>
      <c r="AD851" s="256"/>
      <c r="AE851" s="256"/>
      <c r="AF851" s="256"/>
      <c r="AG851" s="256"/>
      <c r="AH851" s="256"/>
      <c r="AI851" s="256"/>
      <c r="AJ851" s="256"/>
      <c r="AK851" s="256"/>
      <c r="AL851" s="256"/>
      <c r="AM851" s="256"/>
      <c r="AN851" s="256"/>
      <c r="AO851" s="256"/>
      <c r="AP851" s="256"/>
      <c r="AQ851" s="256"/>
      <c r="AR851" s="256"/>
    </row>
    <row r="852">
      <c r="A852" s="256"/>
      <c r="B852" s="256"/>
      <c r="C852" s="257"/>
      <c r="D852" s="257"/>
      <c r="E852" s="257"/>
      <c r="F852" s="257"/>
      <c r="G852" s="257"/>
      <c r="H852" s="257"/>
      <c r="I852" s="256"/>
      <c r="J852" s="256"/>
      <c r="K852" s="256"/>
      <c r="L852" s="256"/>
      <c r="M852" s="256"/>
      <c r="N852" s="256"/>
      <c r="O852" s="256"/>
      <c r="P852" s="256"/>
      <c r="Q852" s="256"/>
      <c r="R852" s="256"/>
      <c r="S852" s="256"/>
      <c r="T852" s="256"/>
      <c r="U852" s="256"/>
      <c r="V852" s="256"/>
      <c r="W852" s="256"/>
      <c r="X852" s="256"/>
      <c r="Y852" s="256"/>
      <c r="Z852" s="256"/>
      <c r="AA852" s="256"/>
      <c r="AB852" s="256"/>
      <c r="AC852" s="256"/>
      <c r="AD852" s="256"/>
      <c r="AE852" s="256"/>
      <c r="AF852" s="256"/>
      <c r="AG852" s="256"/>
      <c r="AH852" s="256"/>
      <c r="AI852" s="256"/>
      <c r="AJ852" s="256"/>
      <c r="AK852" s="256"/>
      <c r="AL852" s="256"/>
      <c r="AM852" s="256"/>
      <c r="AN852" s="256"/>
      <c r="AO852" s="256"/>
      <c r="AP852" s="256"/>
      <c r="AQ852" s="256"/>
      <c r="AR852" s="256"/>
    </row>
    <row r="853">
      <c r="A853" s="256"/>
      <c r="B853" s="256"/>
      <c r="C853" s="257"/>
      <c r="D853" s="257"/>
      <c r="E853" s="257"/>
      <c r="F853" s="257"/>
      <c r="G853" s="257"/>
      <c r="H853" s="257"/>
      <c r="I853" s="256"/>
      <c r="J853" s="256"/>
      <c r="K853" s="256"/>
      <c r="L853" s="256"/>
      <c r="M853" s="256"/>
      <c r="N853" s="256"/>
      <c r="O853" s="256"/>
      <c r="P853" s="256"/>
      <c r="Q853" s="256"/>
      <c r="R853" s="256"/>
      <c r="S853" s="256"/>
      <c r="T853" s="256"/>
      <c r="U853" s="256"/>
      <c r="V853" s="256"/>
      <c r="W853" s="256"/>
      <c r="X853" s="256"/>
      <c r="Y853" s="256"/>
      <c r="Z853" s="256"/>
      <c r="AA853" s="256"/>
      <c r="AB853" s="256"/>
      <c r="AC853" s="256"/>
      <c r="AD853" s="256"/>
      <c r="AE853" s="256"/>
      <c r="AF853" s="256"/>
      <c r="AG853" s="256"/>
      <c r="AH853" s="256"/>
      <c r="AI853" s="256"/>
      <c r="AJ853" s="256"/>
      <c r="AK853" s="256"/>
      <c r="AL853" s="256"/>
      <c r="AM853" s="256"/>
      <c r="AN853" s="256"/>
      <c r="AO853" s="256"/>
      <c r="AP853" s="256"/>
      <c r="AQ853" s="256"/>
      <c r="AR853" s="256"/>
    </row>
    <row r="854">
      <c r="A854" s="256"/>
      <c r="B854" s="256"/>
      <c r="C854" s="257"/>
      <c r="D854" s="257"/>
      <c r="E854" s="257"/>
      <c r="F854" s="257"/>
      <c r="G854" s="257"/>
      <c r="H854" s="257"/>
      <c r="I854" s="256"/>
      <c r="J854" s="256"/>
      <c r="K854" s="256"/>
      <c r="L854" s="256"/>
      <c r="M854" s="256"/>
      <c r="N854" s="256"/>
      <c r="O854" s="256"/>
      <c r="P854" s="256"/>
      <c r="Q854" s="256"/>
      <c r="R854" s="256"/>
      <c r="S854" s="256"/>
      <c r="T854" s="256"/>
      <c r="U854" s="256"/>
      <c r="V854" s="256"/>
      <c r="W854" s="256"/>
      <c r="X854" s="256"/>
      <c r="Y854" s="256"/>
      <c r="Z854" s="256"/>
      <c r="AA854" s="256"/>
      <c r="AB854" s="256"/>
      <c r="AC854" s="256"/>
      <c r="AD854" s="256"/>
      <c r="AE854" s="256"/>
      <c r="AF854" s="256"/>
      <c r="AG854" s="256"/>
      <c r="AH854" s="256"/>
      <c r="AI854" s="256"/>
      <c r="AJ854" s="256"/>
      <c r="AK854" s="256"/>
      <c r="AL854" s="256"/>
      <c r="AM854" s="256"/>
      <c r="AN854" s="256"/>
      <c r="AO854" s="256"/>
      <c r="AP854" s="256"/>
      <c r="AQ854" s="256"/>
      <c r="AR854" s="256"/>
    </row>
    <row r="855">
      <c r="A855" s="256"/>
      <c r="B855" s="256"/>
      <c r="C855" s="257"/>
      <c r="D855" s="257"/>
      <c r="E855" s="257"/>
      <c r="F855" s="257"/>
      <c r="G855" s="257"/>
      <c r="H855" s="257"/>
      <c r="I855" s="256"/>
      <c r="J855" s="256"/>
      <c r="K855" s="256"/>
      <c r="L855" s="256"/>
      <c r="M855" s="256"/>
      <c r="N855" s="256"/>
      <c r="O855" s="256"/>
      <c r="P855" s="256"/>
      <c r="Q855" s="256"/>
      <c r="R855" s="256"/>
      <c r="S855" s="256"/>
      <c r="T855" s="256"/>
      <c r="U855" s="256"/>
      <c r="V855" s="256"/>
      <c r="W855" s="256"/>
      <c r="X855" s="256"/>
      <c r="Y855" s="256"/>
      <c r="Z855" s="256"/>
      <c r="AA855" s="256"/>
      <c r="AB855" s="256"/>
      <c r="AC855" s="256"/>
      <c r="AD855" s="256"/>
      <c r="AE855" s="256"/>
      <c r="AF855" s="256"/>
      <c r="AG855" s="256"/>
      <c r="AH855" s="256"/>
      <c r="AI855" s="256"/>
      <c r="AJ855" s="256"/>
      <c r="AK855" s="256"/>
      <c r="AL855" s="256"/>
      <c r="AM855" s="256"/>
      <c r="AN855" s="256"/>
      <c r="AO855" s="256"/>
      <c r="AP855" s="256"/>
      <c r="AQ855" s="256"/>
      <c r="AR855" s="256"/>
    </row>
    <row r="856">
      <c r="A856" s="256"/>
      <c r="B856" s="256"/>
      <c r="C856" s="257"/>
      <c r="D856" s="257"/>
      <c r="E856" s="257"/>
      <c r="F856" s="257"/>
      <c r="G856" s="257"/>
      <c r="H856" s="257"/>
      <c r="I856" s="256"/>
      <c r="J856" s="256"/>
      <c r="K856" s="256"/>
      <c r="L856" s="256"/>
      <c r="M856" s="256"/>
      <c r="N856" s="256"/>
      <c r="O856" s="256"/>
      <c r="P856" s="256"/>
      <c r="Q856" s="256"/>
      <c r="R856" s="256"/>
      <c r="S856" s="256"/>
      <c r="T856" s="256"/>
      <c r="U856" s="256"/>
      <c r="V856" s="256"/>
      <c r="W856" s="256"/>
      <c r="X856" s="256"/>
      <c r="Y856" s="256"/>
      <c r="Z856" s="256"/>
      <c r="AA856" s="256"/>
      <c r="AB856" s="256"/>
      <c r="AC856" s="256"/>
      <c r="AD856" s="256"/>
      <c r="AE856" s="256"/>
      <c r="AF856" s="256"/>
      <c r="AG856" s="256"/>
      <c r="AH856" s="256"/>
      <c r="AI856" s="256"/>
      <c r="AJ856" s="256"/>
      <c r="AK856" s="256"/>
      <c r="AL856" s="256"/>
      <c r="AM856" s="256"/>
      <c r="AN856" s="256"/>
      <c r="AO856" s="256"/>
      <c r="AP856" s="256"/>
      <c r="AQ856" s="256"/>
      <c r="AR856" s="256"/>
    </row>
    <row r="857">
      <c r="A857" s="256"/>
      <c r="B857" s="256"/>
      <c r="C857" s="257"/>
      <c r="D857" s="257"/>
      <c r="E857" s="257"/>
      <c r="F857" s="257"/>
      <c r="G857" s="257"/>
      <c r="H857" s="257"/>
      <c r="I857" s="256"/>
      <c r="J857" s="256"/>
      <c r="K857" s="256"/>
      <c r="L857" s="256"/>
      <c r="M857" s="256"/>
      <c r="N857" s="256"/>
      <c r="O857" s="256"/>
      <c r="P857" s="256"/>
      <c r="Q857" s="256"/>
      <c r="R857" s="256"/>
      <c r="S857" s="256"/>
      <c r="T857" s="256"/>
      <c r="U857" s="256"/>
      <c r="V857" s="256"/>
      <c r="W857" s="256"/>
      <c r="X857" s="256"/>
      <c r="Y857" s="256"/>
      <c r="Z857" s="256"/>
      <c r="AA857" s="256"/>
      <c r="AB857" s="256"/>
      <c r="AC857" s="256"/>
      <c r="AD857" s="256"/>
      <c r="AE857" s="256"/>
      <c r="AF857" s="256"/>
      <c r="AG857" s="256"/>
      <c r="AH857" s="256"/>
      <c r="AI857" s="256"/>
      <c r="AJ857" s="256"/>
      <c r="AK857" s="256"/>
      <c r="AL857" s="256"/>
      <c r="AM857" s="256"/>
      <c r="AN857" s="256"/>
      <c r="AO857" s="256"/>
      <c r="AP857" s="256"/>
      <c r="AQ857" s="256"/>
      <c r="AR857" s="256"/>
    </row>
    <row r="858">
      <c r="A858" s="256"/>
      <c r="B858" s="256"/>
      <c r="C858" s="257"/>
      <c r="D858" s="257"/>
      <c r="E858" s="257"/>
      <c r="F858" s="257"/>
      <c r="G858" s="257"/>
      <c r="H858" s="257"/>
      <c r="I858" s="256"/>
      <c r="J858" s="256"/>
      <c r="K858" s="256"/>
      <c r="L858" s="256"/>
      <c r="M858" s="256"/>
      <c r="N858" s="256"/>
      <c r="O858" s="256"/>
      <c r="P858" s="256"/>
      <c r="Q858" s="256"/>
      <c r="R858" s="256"/>
      <c r="S858" s="256"/>
      <c r="T858" s="256"/>
      <c r="U858" s="256"/>
      <c r="V858" s="256"/>
      <c r="W858" s="256"/>
      <c r="X858" s="256"/>
      <c r="Y858" s="256"/>
      <c r="Z858" s="256"/>
      <c r="AA858" s="256"/>
      <c r="AB858" s="256"/>
      <c r="AC858" s="256"/>
      <c r="AD858" s="256"/>
      <c r="AE858" s="256"/>
      <c r="AF858" s="256"/>
      <c r="AG858" s="256"/>
      <c r="AH858" s="256"/>
      <c r="AI858" s="256"/>
      <c r="AJ858" s="256"/>
      <c r="AK858" s="256"/>
      <c r="AL858" s="256"/>
      <c r="AM858" s="256"/>
      <c r="AN858" s="256"/>
      <c r="AO858" s="256"/>
      <c r="AP858" s="256"/>
      <c r="AQ858" s="256"/>
      <c r="AR858" s="256"/>
    </row>
    <row r="859">
      <c r="A859" s="256"/>
      <c r="B859" s="256"/>
      <c r="C859" s="257"/>
      <c r="D859" s="257"/>
      <c r="E859" s="257"/>
      <c r="F859" s="257"/>
      <c r="G859" s="257"/>
      <c r="H859" s="257"/>
      <c r="I859" s="256"/>
      <c r="J859" s="256"/>
      <c r="K859" s="256"/>
      <c r="L859" s="256"/>
      <c r="M859" s="256"/>
      <c r="N859" s="256"/>
      <c r="O859" s="256"/>
      <c r="P859" s="256"/>
      <c r="Q859" s="256"/>
      <c r="R859" s="256"/>
      <c r="S859" s="256"/>
      <c r="T859" s="256"/>
      <c r="U859" s="256"/>
      <c r="V859" s="256"/>
      <c r="W859" s="256"/>
      <c r="X859" s="256"/>
      <c r="Y859" s="256"/>
      <c r="Z859" s="256"/>
      <c r="AA859" s="256"/>
      <c r="AB859" s="256"/>
      <c r="AC859" s="256"/>
      <c r="AD859" s="256"/>
      <c r="AE859" s="256"/>
      <c r="AF859" s="256"/>
      <c r="AG859" s="256"/>
      <c r="AH859" s="256"/>
      <c r="AI859" s="256"/>
      <c r="AJ859" s="256"/>
      <c r="AK859" s="256"/>
      <c r="AL859" s="256"/>
      <c r="AM859" s="256"/>
      <c r="AN859" s="256"/>
      <c r="AO859" s="256"/>
      <c r="AP859" s="256"/>
      <c r="AQ859" s="256"/>
      <c r="AR859" s="256"/>
    </row>
    <row r="860">
      <c r="A860" s="256"/>
      <c r="B860" s="256"/>
      <c r="C860" s="257"/>
      <c r="D860" s="257"/>
      <c r="E860" s="257"/>
      <c r="F860" s="257"/>
      <c r="G860" s="257"/>
      <c r="H860" s="257"/>
      <c r="I860" s="256"/>
      <c r="J860" s="256"/>
      <c r="K860" s="256"/>
      <c r="L860" s="256"/>
      <c r="M860" s="256"/>
      <c r="N860" s="256"/>
      <c r="O860" s="256"/>
      <c r="P860" s="256"/>
      <c r="Q860" s="256"/>
      <c r="R860" s="256"/>
      <c r="S860" s="256"/>
      <c r="T860" s="256"/>
      <c r="U860" s="256"/>
      <c r="V860" s="256"/>
      <c r="W860" s="256"/>
      <c r="X860" s="256"/>
      <c r="Y860" s="256"/>
      <c r="Z860" s="256"/>
      <c r="AA860" s="256"/>
      <c r="AB860" s="256"/>
      <c r="AC860" s="256"/>
      <c r="AD860" s="256"/>
      <c r="AE860" s="256"/>
      <c r="AF860" s="256"/>
      <c r="AG860" s="256"/>
      <c r="AH860" s="256"/>
      <c r="AI860" s="256"/>
      <c r="AJ860" s="256"/>
      <c r="AK860" s="256"/>
      <c r="AL860" s="256"/>
      <c r="AM860" s="256"/>
      <c r="AN860" s="256"/>
      <c r="AO860" s="256"/>
      <c r="AP860" s="256"/>
      <c r="AQ860" s="256"/>
      <c r="AR860" s="256"/>
    </row>
    <row r="861">
      <c r="A861" s="256"/>
      <c r="B861" s="256"/>
      <c r="C861" s="257"/>
      <c r="D861" s="257"/>
      <c r="E861" s="257"/>
      <c r="F861" s="257"/>
      <c r="G861" s="257"/>
      <c r="H861" s="257"/>
      <c r="I861" s="256"/>
      <c r="J861" s="256"/>
      <c r="K861" s="256"/>
      <c r="L861" s="256"/>
      <c r="M861" s="256"/>
      <c r="N861" s="256"/>
      <c r="O861" s="256"/>
      <c r="P861" s="256"/>
      <c r="Q861" s="256"/>
      <c r="R861" s="256"/>
      <c r="S861" s="256"/>
      <c r="T861" s="256"/>
      <c r="U861" s="256"/>
      <c r="V861" s="256"/>
      <c r="W861" s="256"/>
      <c r="X861" s="256"/>
      <c r="Y861" s="256"/>
      <c r="Z861" s="256"/>
      <c r="AA861" s="256"/>
      <c r="AB861" s="256"/>
      <c r="AC861" s="256"/>
      <c r="AD861" s="256"/>
      <c r="AE861" s="256"/>
      <c r="AF861" s="256"/>
      <c r="AG861" s="256"/>
      <c r="AH861" s="256"/>
      <c r="AI861" s="256"/>
      <c r="AJ861" s="256"/>
      <c r="AK861" s="256"/>
      <c r="AL861" s="256"/>
      <c r="AM861" s="256"/>
      <c r="AN861" s="256"/>
      <c r="AO861" s="256"/>
      <c r="AP861" s="256"/>
      <c r="AQ861" s="256"/>
      <c r="AR861" s="256"/>
    </row>
    <row r="862">
      <c r="A862" s="256"/>
      <c r="B862" s="256"/>
      <c r="C862" s="257"/>
      <c r="D862" s="257"/>
      <c r="E862" s="257"/>
      <c r="F862" s="257"/>
      <c r="G862" s="257"/>
      <c r="H862" s="257"/>
      <c r="I862" s="256"/>
      <c r="J862" s="256"/>
      <c r="K862" s="256"/>
      <c r="L862" s="256"/>
      <c r="M862" s="256"/>
      <c r="N862" s="256"/>
      <c r="O862" s="256"/>
      <c r="P862" s="256"/>
      <c r="Q862" s="256"/>
      <c r="R862" s="256"/>
      <c r="S862" s="256"/>
      <c r="T862" s="256"/>
      <c r="U862" s="256"/>
      <c r="V862" s="256"/>
      <c r="W862" s="256"/>
      <c r="X862" s="256"/>
      <c r="Y862" s="256"/>
      <c r="Z862" s="256"/>
      <c r="AA862" s="256"/>
      <c r="AB862" s="256"/>
      <c r="AC862" s="256"/>
      <c r="AD862" s="256"/>
      <c r="AE862" s="256"/>
      <c r="AF862" s="256"/>
      <c r="AG862" s="256"/>
      <c r="AH862" s="256"/>
      <c r="AI862" s="256"/>
      <c r="AJ862" s="256"/>
      <c r="AK862" s="256"/>
      <c r="AL862" s="256"/>
      <c r="AM862" s="256"/>
      <c r="AN862" s="256"/>
      <c r="AO862" s="256"/>
      <c r="AP862" s="256"/>
      <c r="AQ862" s="256"/>
      <c r="AR862" s="256"/>
    </row>
    <row r="863">
      <c r="A863" s="256"/>
      <c r="B863" s="256"/>
      <c r="C863" s="257"/>
      <c r="D863" s="257"/>
      <c r="E863" s="257"/>
      <c r="F863" s="257"/>
      <c r="G863" s="257"/>
      <c r="H863" s="257"/>
      <c r="I863" s="256"/>
      <c r="J863" s="256"/>
      <c r="K863" s="256"/>
      <c r="L863" s="256"/>
      <c r="M863" s="256"/>
      <c r="N863" s="256"/>
      <c r="O863" s="256"/>
      <c r="P863" s="256"/>
      <c r="Q863" s="256"/>
      <c r="R863" s="256"/>
      <c r="S863" s="256"/>
      <c r="T863" s="256"/>
      <c r="U863" s="256"/>
      <c r="V863" s="256"/>
      <c r="W863" s="256"/>
      <c r="X863" s="256"/>
      <c r="Y863" s="256"/>
      <c r="Z863" s="256"/>
      <c r="AA863" s="256"/>
      <c r="AB863" s="256"/>
      <c r="AC863" s="256"/>
      <c r="AD863" s="256"/>
      <c r="AE863" s="256"/>
      <c r="AF863" s="256"/>
      <c r="AG863" s="256"/>
      <c r="AH863" s="256"/>
      <c r="AI863" s="256"/>
      <c r="AJ863" s="256"/>
      <c r="AK863" s="256"/>
      <c r="AL863" s="256"/>
      <c r="AM863" s="256"/>
      <c r="AN863" s="256"/>
      <c r="AO863" s="256"/>
      <c r="AP863" s="256"/>
      <c r="AQ863" s="256"/>
      <c r="AR863" s="256"/>
    </row>
    <row r="864">
      <c r="A864" s="256"/>
      <c r="B864" s="256"/>
      <c r="C864" s="257"/>
      <c r="D864" s="257"/>
      <c r="E864" s="257"/>
      <c r="F864" s="257"/>
      <c r="G864" s="257"/>
      <c r="H864" s="257"/>
      <c r="I864" s="256"/>
      <c r="J864" s="256"/>
      <c r="K864" s="256"/>
      <c r="L864" s="256"/>
      <c r="M864" s="256"/>
      <c r="N864" s="256"/>
      <c r="O864" s="256"/>
      <c r="P864" s="256"/>
      <c r="Q864" s="256"/>
      <c r="R864" s="256"/>
      <c r="S864" s="256"/>
      <c r="T864" s="256"/>
      <c r="U864" s="256"/>
      <c r="V864" s="256"/>
      <c r="W864" s="256"/>
      <c r="X864" s="256"/>
      <c r="Y864" s="256"/>
      <c r="Z864" s="256"/>
      <c r="AA864" s="256"/>
      <c r="AB864" s="256"/>
      <c r="AC864" s="256"/>
      <c r="AD864" s="256"/>
      <c r="AE864" s="256"/>
      <c r="AF864" s="256"/>
      <c r="AG864" s="256"/>
      <c r="AH864" s="256"/>
      <c r="AI864" s="256"/>
      <c r="AJ864" s="256"/>
      <c r="AK864" s="256"/>
      <c r="AL864" s="256"/>
      <c r="AM864" s="256"/>
      <c r="AN864" s="256"/>
      <c r="AO864" s="256"/>
      <c r="AP864" s="256"/>
      <c r="AQ864" s="256"/>
      <c r="AR864" s="256"/>
    </row>
    <row r="865">
      <c r="A865" s="256"/>
      <c r="B865" s="256"/>
      <c r="C865" s="257"/>
      <c r="D865" s="257"/>
      <c r="E865" s="257"/>
      <c r="F865" s="257"/>
      <c r="G865" s="257"/>
      <c r="H865" s="257"/>
      <c r="I865" s="256"/>
      <c r="J865" s="256"/>
      <c r="K865" s="256"/>
      <c r="L865" s="256"/>
      <c r="M865" s="256"/>
      <c r="N865" s="256"/>
      <c r="O865" s="256"/>
      <c r="P865" s="256"/>
      <c r="Q865" s="256"/>
      <c r="R865" s="256"/>
      <c r="S865" s="256"/>
      <c r="T865" s="256"/>
      <c r="U865" s="256"/>
      <c r="V865" s="256"/>
      <c r="W865" s="256"/>
      <c r="X865" s="256"/>
      <c r="Y865" s="256"/>
      <c r="Z865" s="256"/>
      <c r="AA865" s="256"/>
      <c r="AB865" s="256"/>
      <c r="AC865" s="256"/>
      <c r="AD865" s="256"/>
      <c r="AE865" s="256"/>
      <c r="AF865" s="256"/>
      <c r="AG865" s="256"/>
      <c r="AH865" s="256"/>
      <c r="AI865" s="256"/>
      <c r="AJ865" s="256"/>
      <c r="AK865" s="256"/>
      <c r="AL865" s="256"/>
      <c r="AM865" s="256"/>
      <c r="AN865" s="256"/>
      <c r="AO865" s="256"/>
      <c r="AP865" s="256"/>
      <c r="AQ865" s="256"/>
      <c r="AR865" s="256"/>
    </row>
    <row r="866">
      <c r="A866" s="256"/>
      <c r="B866" s="256"/>
      <c r="C866" s="257"/>
      <c r="D866" s="257"/>
      <c r="E866" s="257"/>
      <c r="F866" s="257"/>
      <c r="G866" s="257"/>
      <c r="H866" s="257"/>
      <c r="I866" s="256"/>
      <c r="J866" s="256"/>
      <c r="K866" s="256"/>
      <c r="L866" s="256"/>
      <c r="M866" s="256"/>
      <c r="N866" s="256"/>
      <c r="O866" s="256"/>
      <c r="P866" s="256"/>
      <c r="Q866" s="256"/>
      <c r="R866" s="256"/>
      <c r="S866" s="256"/>
      <c r="T866" s="256"/>
      <c r="U866" s="256"/>
      <c r="V866" s="256"/>
      <c r="W866" s="256"/>
      <c r="X866" s="256"/>
      <c r="Y866" s="256"/>
      <c r="Z866" s="256"/>
      <c r="AA866" s="256"/>
      <c r="AB866" s="256"/>
      <c r="AC866" s="256"/>
      <c r="AD866" s="256"/>
      <c r="AE866" s="256"/>
      <c r="AF866" s="256"/>
      <c r="AG866" s="256"/>
      <c r="AH866" s="256"/>
      <c r="AI866" s="256"/>
      <c r="AJ866" s="256"/>
      <c r="AK866" s="256"/>
      <c r="AL866" s="256"/>
      <c r="AM866" s="256"/>
      <c r="AN866" s="256"/>
      <c r="AO866" s="256"/>
      <c r="AP866" s="256"/>
      <c r="AQ866" s="256"/>
      <c r="AR866" s="256"/>
    </row>
    <row r="867">
      <c r="A867" s="256"/>
      <c r="B867" s="256"/>
      <c r="C867" s="257"/>
      <c r="D867" s="257"/>
      <c r="E867" s="257"/>
      <c r="F867" s="257"/>
      <c r="G867" s="257"/>
      <c r="H867" s="257"/>
      <c r="I867" s="256"/>
      <c r="J867" s="256"/>
      <c r="K867" s="256"/>
      <c r="L867" s="256"/>
      <c r="M867" s="256"/>
      <c r="N867" s="256"/>
      <c r="O867" s="256"/>
      <c r="P867" s="256"/>
      <c r="Q867" s="256"/>
      <c r="R867" s="256"/>
      <c r="S867" s="256"/>
      <c r="T867" s="256"/>
      <c r="U867" s="256"/>
      <c r="V867" s="256"/>
      <c r="W867" s="256"/>
      <c r="X867" s="256"/>
      <c r="Y867" s="256"/>
      <c r="Z867" s="256"/>
      <c r="AA867" s="256"/>
      <c r="AB867" s="256"/>
      <c r="AC867" s="256"/>
      <c r="AD867" s="256"/>
      <c r="AE867" s="256"/>
      <c r="AF867" s="256"/>
      <c r="AG867" s="256"/>
      <c r="AH867" s="256"/>
      <c r="AI867" s="256"/>
      <c r="AJ867" s="256"/>
      <c r="AK867" s="256"/>
      <c r="AL867" s="256"/>
      <c r="AM867" s="256"/>
      <c r="AN867" s="256"/>
      <c r="AO867" s="256"/>
      <c r="AP867" s="256"/>
      <c r="AQ867" s="256"/>
      <c r="AR867" s="256"/>
    </row>
    <row r="868">
      <c r="A868" s="256"/>
      <c r="B868" s="256"/>
      <c r="C868" s="257"/>
      <c r="D868" s="257"/>
      <c r="E868" s="257"/>
      <c r="F868" s="257"/>
      <c r="G868" s="257"/>
      <c r="H868" s="257"/>
      <c r="I868" s="256"/>
      <c r="J868" s="256"/>
      <c r="K868" s="256"/>
      <c r="L868" s="256"/>
      <c r="M868" s="256"/>
      <c r="N868" s="256"/>
      <c r="O868" s="256"/>
      <c r="P868" s="256"/>
      <c r="Q868" s="256"/>
      <c r="R868" s="256"/>
      <c r="S868" s="256"/>
      <c r="T868" s="256"/>
      <c r="U868" s="256"/>
      <c r="V868" s="256"/>
      <c r="W868" s="256"/>
      <c r="X868" s="256"/>
      <c r="Y868" s="256"/>
      <c r="Z868" s="256"/>
      <c r="AA868" s="256"/>
      <c r="AB868" s="256"/>
      <c r="AC868" s="256"/>
      <c r="AD868" s="256"/>
      <c r="AE868" s="256"/>
      <c r="AF868" s="256"/>
      <c r="AG868" s="256"/>
      <c r="AH868" s="256"/>
      <c r="AI868" s="256"/>
      <c r="AJ868" s="256"/>
      <c r="AK868" s="256"/>
      <c r="AL868" s="256"/>
      <c r="AM868" s="256"/>
      <c r="AN868" s="256"/>
      <c r="AO868" s="256"/>
      <c r="AP868" s="256"/>
      <c r="AQ868" s="256"/>
      <c r="AR868" s="256"/>
    </row>
    <row r="869">
      <c r="A869" s="256"/>
      <c r="B869" s="256"/>
      <c r="C869" s="257"/>
      <c r="D869" s="257"/>
      <c r="E869" s="257"/>
      <c r="F869" s="257"/>
      <c r="G869" s="257"/>
      <c r="H869" s="257"/>
      <c r="I869" s="256"/>
      <c r="J869" s="256"/>
      <c r="K869" s="256"/>
      <c r="L869" s="256"/>
      <c r="M869" s="256"/>
      <c r="N869" s="256"/>
      <c r="O869" s="256"/>
      <c r="P869" s="256"/>
      <c r="Q869" s="256"/>
      <c r="R869" s="256"/>
      <c r="S869" s="256"/>
      <c r="T869" s="256"/>
      <c r="U869" s="256"/>
      <c r="V869" s="256"/>
      <c r="W869" s="256"/>
      <c r="X869" s="256"/>
      <c r="Y869" s="256"/>
      <c r="Z869" s="256"/>
      <c r="AA869" s="256"/>
      <c r="AB869" s="256"/>
      <c r="AC869" s="256"/>
      <c r="AD869" s="256"/>
      <c r="AE869" s="256"/>
      <c r="AF869" s="256"/>
      <c r="AG869" s="256"/>
      <c r="AH869" s="256"/>
      <c r="AI869" s="256"/>
      <c r="AJ869" s="256"/>
      <c r="AK869" s="256"/>
      <c r="AL869" s="256"/>
      <c r="AM869" s="256"/>
      <c r="AN869" s="256"/>
      <c r="AO869" s="256"/>
      <c r="AP869" s="256"/>
      <c r="AQ869" s="256"/>
      <c r="AR869" s="256"/>
    </row>
    <row r="870">
      <c r="A870" s="256"/>
      <c r="B870" s="256"/>
      <c r="C870" s="257"/>
      <c r="D870" s="257"/>
      <c r="E870" s="257"/>
      <c r="F870" s="257"/>
      <c r="G870" s="257"/>
      <c r="H870" s="257"/>
      <c r="I870" s="256"/>
      <c r="J870" s="256"/>
      <c r="K870" s="256"/>
      <c r="L870" s="256"/>
      <c r="M870" s="256"/>
      <c r="N870" s="256"/>
      <c r="O870" s="256"/>
      <c r="P870" s="256"/>
      <c r="Q870" s="256"/>
      <c r="R870" s="256"/>
      <c r="S870" s="256"/>
      <c r="T870" s="256"/>
      <c r="U870" s="256"/>
      <c r="V870" s="256"/>
      <c r="W870" s="256"/>
      <c r="X870" s="256"/>
      <c r="Y870" s="256"/>
      <c r="Z870" s="256"/>
      <c r="AA870" s="256"/>
      <c r="AB870" s="256"/>
      <c r="AC870" s="256"/>
      <c r="AD870" s="256"/>
      <c r="AE870" s="256"/>
      <c r="AF870" s="256"/>
      <c r="AG870" s="256"/>
      <c r="AH870" s="256"/>
      <c r="AI870" s="256"/>
      <c r="AJ870" s="256"/>
      <c r="AK870" s="256"/>
      <c r="AL870" s="256"/>
      <c r="AM870" s="256"/>
      <c r="AN870" s="256"/>
      <c r="AO870" s="256"/>
      <c r="AP870" s="256"/>
      <c r="AQ870" s="256"/>
      <c r="AR870" s="256"/>
    </row>
    <row r="871">
      <c r="A871" s="256"/>
      <c r="B871" s="256"/>
      <c r="C871" s="257"/>
      <c r="D871" s="257"/>
      <c r="E871" s="257"/>
      <c r="F871" s="257"/>
      <c r="G871" s="257"/>
      <c r="H871" s="257"/>
      <c r="I871" s="256"/>
      <c r="J871" s="256"/>
      <c r="K871" s="256"/>
      <c r="L871" s="256"/>
      <c r="M871" s="256"/>
      <c r="N871" s="256"/>
      <c r="O871" s="256"/>
      <c r="P871" s="256"/>
      <c r="Q871" s="256"/>
      <c r="R871" s="256"/>
      <c r="S871" s="256"/>
      <c r="T871" s="256"/>
      <c r="U871" s="256"/>
      <c r="V871" s="256"/>
      <c r="W871" s="256"/>
      <c r="X871" s="256"/>
      <c r="Y871" s="256"/>
      <c r="Z871" s="256"/>
      <c r="AA871" s="256"/>
      <c r="AB871" s="256"/>
      <c r="AC871" s="256"/>
      <c r="AD871" s="256"/>
      <c r="AE871" s="256"/>
      <c r="AF871" s="256"/>
      <c r="AG871" s="256"/>
      <c r="AH871" s="256"/>
      <c r="AI871" s="256"/>
      <c r="AJ871" s="256"/>
      <c r="AK871" s="256"/>
      <c r="AL871" s="256"/>
      <c r="AM871" s="256"/>
      <c r="AN871" s="256"/>
      <c r="AO871" s="256"/>
      <c r="AP871" s="256"/>
      <c r="AQ871" s="256"/>
      <c r="AR871" s="256"/>
    </row>
    <row r="872">
      <c r="A872" s="256"/>
      <c r="B872" s="256"/>
      <c r="C872" s="257"/>
      <c r="D872" s="257"/>
      <c r="E872" s="257"/>
      <c r="F872" s="257"/>
      <c r="G872" s="257"/>
      <c r="H872" s="257"/>
      <c r="I872" s="256"/>
      <c r="J872" s="256"/>
      <c r="K872" s="256"/>
      <c r="L872" s="256"/>
      <c r="M872" s="256"/>
      <c r="N872" s="256"/>
      <c r="O872" s="256"/>
      <c r="P872" s="256"/>
      <c r="Q872" s="256"/>
      <c r="R872" s="256"/>
      <c r="S872" s="256"/>
      <c r="T872" s="256"/>
      <c r="U872" s="256"/>
      <c r="V872" s="256"/>
      <c r="W872" s="256"/>
      <c r="X872" s="256"/>
      <c r="Y872" s="256"/>
      <c r="Z872" s="256"/>
      <c r="AA872" s="256"/>
      <c r="AB872" s="256"/>
      <c r="AC872" s="256"/>
      <c r="AD872" s="256"/>
      <c r="AE872" s="256"/>
      <c r="AF872" s="256"/>
      <c r="AG872" s="256"/>
      <c r="AH872" s="256"/>
      <c r="AI872" s="256"/>
      <c r="AJ872" s="256"/>
      <c r="AK872" s="256"/>
      <c r="AL872" s="256"/>
      <c r="AM872" s="256"/>
      <c r="AN872" s="256"/>
      <c r="AO872" s="256"/>
      <c r="AP872" s="256"/>
      <c r="AQ872" s="256"/>
      <c r="AR872" s="256"/>
    </row>
    <row r="873">
      <c r="A873" s="256"/>
      <c r="B873" s="256"/>
      <c r="C873" s="257"/>
      <c r="D873" s="257"/>
      <c r="E873" s="257"/>
      <c r="F873" s="257"/>
      <c r="G873" s="257"/>
      <c r="H873" s="257"/>
      <c r="I873" s="256"/>
      <c r="J873" s="256"/>
      <c r="K873" s="256"/>
      <c r="L873" s="256"/>
      <c r="M873" s="256"/>
      <c r="N873" s="256"/>
      <c r="O873" s="256"/>
      <c r="P873" s="256"/>
      <c r="Q873" s="256"/>
      <c r="R873" s="256"/>
      <c r="S873" s="256"/>
      <c r="T873" s="256"/>
      <c r="U873" s="256"/>
      <c r="V873" s="256"/>
      <c r="W873" s="256"/>
      <c r="X873" s="256"/>
      <c r="Y873" s="256"/>
      <c r="Z873" s="256"/>
      <c r="AA873" s="256"/>
      <c r="AB873" s="256"/>
      <c r="AC873" s="256"/>
      <c r="AD873" s="256"/>
      <c r="AE873" s="256"/>
      <c r="AF873" s="256"/>
      <c r="AG873" s="256"/>
      <c r="AH873" s="256"/>
      <c r="AI873" s="256"/>
      <c r="AJ873" s="256"/>
      <c r="AK873" s="256"/>
      <c r="AL873" s="256"/>
      <c r="AM873" s="256"/>
      <c r="AN873" s="256"/>
      <c r="AO873" s="256"/>
      <c r="AP873" s="256"/>
      <c r="AQ873" s="256"/>
      <c r="AR873" s="256"/>
    </row>
    <row r="874">
      <c r="A874" s="256"/>
      <c r="B874" s="256"/>
      <c r="C874" s="257"/>
      <c r="D874" s="257"/>
      <c r="E874" s="257"/>
      <c r="F874" s="257"/>
      <c r="G874" s="257"/>
      <c r="H874" s="257"/>
      <c r="I874" s="256"/>
      <c r="J874" s="256"/>
      <c r="K874" s="256"/>
      <c r="L874" s="256"/>
      <c r="M874" s="256"/>
      <c r="N874" s="256"/>
      <c r="O874" s="256"/>
      <c r="P874" s="256"/>
      <c r="Q874" s="256"/>
      <c r="R874" s="256"/>
      <c r="S874" s="256"/>
      <c r="T874" s="256"/>
      <c r="U874" s="256"/>
      <c r="V874" s="256"/>
      <c r="W874" s="256"/>
      <c r="X874" s="256"/>
      <c r="Y874" s="256"/>
      <c r="Z874" s="256"/>
      <c r="AA874" s="256"/>
      <c r="AB874" s="256"/>
      <c r="AC874" s="256"/>
      <c r="AD874" s="256"/>
      <c r="AE874" s="256"/>
      <c r="AF874" s="256"/>
      <c r="AG874" s="256"/>
      <c r="AH874" s="256"/>
      <c r="AI874" s="256"/>
      <c r="AJ874" s="256"/>
      <c r="AK874" s="256"/>
      <c r="AL874" s="256"/>
      <c r="AM874" s="256"/>
      <c r="AN874" s="256"/>
      <c r="AO874" s="256"/>
      <c r="AP874" s="256"/>
      <c r="AQ874" s="256"/>
      <c r="AR874" s="256"/>
    </row>
    <row r="875">
      <c r="A875" s="256"/>
      <c r="B875" s="256"/>
      <c r="C875" s="257"/>
      <c r="D875" s="257"/>
      <c r="E875" s="257"/>
      <c r="F875" s="257"/>
      <c r="G875" s="257"/>
      <c r="H875" s="257"/>
      <c r="I875" s="256"/>
      <c r="J875" s="256"/>
      <c r="K875" s="256"/>
      <c r="L875" s="256"/>
      <c r="M875" s="256"/>
      <c r="N875" s="256"/>
      <c r="O875" s="256"/>
      <c r="P875" s="256"/>
      <c r="Q875" s="256"/>
      <c r="R875" s="256"/>
      <c r="S875" s="256"/>
      <c r="T875" s="256"/>
      <c r="U875" s="256"/>
      <c r="V875" s="256"/>
      <c r="W875" s="256"/>
      <c r="X875" s="256"/>
      <c r="Y875" s="256"/>
      <c r="Z875" s="256"/>
      <c r="AA875" s="256"/>
      <c r="AB875" s="256"/>
      <c r="AC875" s="256"/>
      <c r="AD875" s="256"/>
      <c r="AE875" s="256"/>
      <c r="AF875" s="256"/>
      <c r="AG875" s="256"/>
      <c r="AH875" s="256"/>
      <c r="AI875" s="256"/>
      <c r="AJ875" s="256"/>
      <c r="AK875" s="256"/>
      <c r="AL875" s="256"/>
      <c r="AM875" s="256"/>
      <c r="AN875" s="256"/>
      <c r="AO875" s="256"/>
      <c r="AP875" s="256"/>
      <c r="AQ875" s="256"/>
      <c r="AR875" s="256"/>
    </row>
    <row r="876">
      <c r="A876" s="256"/>
      <c r="B876" s="256"/>
      <c r="C876" s="257"/>
      <c r="D876" s="257"/>
      <c r="E876" s="257"/>
      <c r="F876" s="257"/>
      <c r="G876" s="257"/>
      <c r="H876" s="257"/>
      <c r="I876" s="256"/>
      <c r="J876" s="256"/>
      <c r="K876" s="256"/>
      <c r="L876" s="256"/>
      <c r="M876" s="256"/>
      <c r="N876" s="256"/>
      <c r="O876" s="256"/>
      <c r="P876" s="256"/>
      <c r="Q876" s="256"/>
      <c r="R876" s="256"/>
      <c r="S876" s="256"/>
      <c r="T876" s="256"/>
      <c r="U876" s="256"/>
      <c r="V876" s="256"/>
      <c r="W876" s="256"/>
      <c r="X876" s="256"/>
      <c r="Y876" s="256"/>
      <c r="Z876" s="256"/>
      <c r="AA876" s="256"/>
      <c r="AB876" s="256"/>
      <c r="AC876" s="256"/>
      <c r="AD876" s="256"/>
      <c r="AE876" s="256"/>
      <c r="AF876" s="256"/>
      <c r="AG876" s="256"/>
      <c r="AH876" s="256"/>
      <c r="AI876" s="256"/>
      <c r="AJ876" s="256"/>
      <c r="AK876" s="256"/>
      <c r="AL876" s="256"/>
      <c r="AM876" s="256"/>
      <c r="AN876" s="256"/>
      <c r="AO876" s="256"/>
      <c r="AP876" s="256"/>
      <c r="AQ876" s="256"/>
      <c r="AR876" s="256"/>
    </row>
    <row r="877">
      <c r="A877" s="256"/>
      <c r="B877" s="256"/>
      <c r="C877" s="257"/>
      <c r="D877" s="257"/>
      <c r="E877" s="257"/>
      <c r="F877" s="257"/>
      <c r="G877" s="257"/>
      <c r="H877" s="257"/>
      <c r="I877" s="256"/>
      <c r="J877" s="256"/>
      <c r="K877" s="256"/>
      <c r="L877" s="256"/>
      <c r="M877" s="256"/>
      <c r="N877" s="256"/>
      <c r="O877" s="256"/>
      <c r="P877" s="256"/>
      <c r="Q877" s="256"/>
      <c r="R877" s="256"/>
      <c r="S877" s="256"/>
      <c r="T877" s="256"/>
      <c r="U877" s="256"/>
      <c r="V877" s="256"/>
      <c r="W877" s="256"/>
      <c r="X877" s="256"/>
      <c r="Y877" s="256"/>
      <c r="Z877" s="256"/>
      <c r="AA877" s="256"/>
      <c r="AB877" s="256"/>
      <c r="AC877" s="256"/>
      <c r="AD877" s="256"/>
      <c r="AE877" s="256"/>
      <c r="AF877" s="256"/>
      <c r="AG877" s="256"/>
      <c r="AH877" s="256"/>
      <c r="AI877" s="256"/>
      <c r="AJ877" s="256"/>
      <c r="AK877" s="256"/>
      <c r="AL877" s="256"/>
      <c r="AM877" s="256"/>
      <c r="AN877" s="256"/>
      <c r="AO877" s="256"/>
      <c r="AP877" s="256"/>
      <c r="AQ877" s="256"/>
      <c r="AR877" s="256"/>
    </row>
    <row r="878">
      <c r="A878" s="256"/>
      <c r="B878" s="256"/>
      <c r="C878" s="257"/>
      <c r="D878" s="257"/>
      <c r="E878" s="257"/>
      <c r="F878" s="257"/>
      <c r="G878" s="257"/>
      <c r="H878" s="257"/>
      <c r="I878" s="256"/>
      <c r="J878" s="256"/>
      <c r="K878" s="256"/>
      <c r="L878" s="256"/>
      <c r="M878" s="256"/>
      <c r="N878" s="256"/>
      <c r="O878" s="256"/>
      <c r="P878" s="256"/>
      <c r="Q878" s="256"/>
      <c r="R878" s="256"/>
      <c r="S878" s="256"/>
      <c r="T878" s="256"/>
      <c r="U878" s="256"/>
      <c r="V878" s="256"/>
      <c r="W878" s="256"/>
      <c r="X878" s="256"/>
      <c r="Y878" s="256"/>
      <c r="Z878" s="256"/>
      <c r="AA878" s="256"/>
      <c r="AB878" s="256"/>
      <c r="AC878" s="256"/>
      <c r="AD878" s="256"/>
      <c r="AE878" s="256"/>
      <c r="AF878" s="256"/>
      <c r="AG878" s="256"/>
      <c r="AH878" s="256"/>
      <c r="AI878" s="256"/>
      <c r="AJ878" s="256"/>
      <c r="AK878" s="256"/>
      <c r="AL878" s="256"/>
      <c r="AM878" s="256"/>
      <c r="AN878" s="256"/>
      <c r="AO878" s="256"/>
      <c r="AP878" s="256"/>
      <c r="AQ878" s="256"/>
      <c r="AR878" s="256"/>
    </row>
    <row r="879">
      <c r="A879" s="256"/>
      <c r="B879" s="256"/>
      <c r="C879" s="257"/>
      <c r="D879" s="257"/>
      <c r="E879" s="257"/>
      <c r="F879" s="257"/>
      <c r="G879" s="257"/>
      <c r="H879" s="257"/>
      <c r="I879" s="256"/>
      <c r="J879" s="256"/>
      <c r="K879" s="256"/>
      <c r="L879" s="256"/>
      <c r="M879" s="256"/>
      <c r="N879" s="256"/>
      <c r="O879" s="256"/>
      <c r="P879" s="256"/>
      <c r="Q879" s="256"/>
      <c r="R879" s="256"/>
      <c r="S879" s="256"/>
      <c r="T879" s="256"/>
      <c r="U879" s="256"/>
      <c r="V879" s="256"/>
      <c r="W879" s="256"/>
      <c r="X879" s="256"/>
      <c r="Y879" s="256"/>
      <c r="Z879" s="256"/>
      <c r="AA879" s="256"/>
      <c r="AB879" s="256"/>
      <c r="AC879" s="256"/>
      <c r="AD879" s="256"/>
      <c r="AE879" s="256"/>
      <c r="AF879" s="256"/>
      <c r="AG879" s="256"/>
      <c r="AH879" s="256"/>
      <c r="AI879" s="256"/>
      <c r="AJ879" s="256"/>
      <c r="AK879" s="256"/>
      <c r="AL879" s="256"/>
      <c r="AM879" s="256"/>
      <c r="AN879" s="256"/>
      <c r="AO879" s="256"/>
      <c r="AP879" s="256"/>
      <c r="AQ879" s="256"/>
      <c r="AR879" s="256"/>
    </row>
    <row r="880">
      <c r="A880" s="256"/>
      <c r="B880" s="256"/>
      <c r="C880" s="257"/>
      <c r="D880" s="257"/>
      <c r="E880" s="257"/>
      <c r="F880" s="257"/>
      <c r="G880" s="257"/>
      <c r="H880" s="257"/>
      <c r="I880" s="256"/>
      <c r="J880" s="256"/>
      <c r="K880" s="256"/>
      <c r="L880" s="256"/>
      <c r="M880" s="256"/>
      <c r="N880" s="256"/>
      <c r="O880" s="256"/>
      <c r="P880" s="256"/>
      <c r="Q880" s="256"/>
      <c r="R880" s="256"/>
      <c r="S880" s="256"/>
      <c r="T880" s="256"/>
      <c r="U880" s="256"/>
      <c r="V880" s="256"/>
      <c r="W880" s="256"/>
      <c r="X880" s="256"/>
      <c r="Y880" s="256"/>
      <c r="Z880" s="256"/>
      <c r="AA880" s="256"/>
      <c r="AB880" s="256"/>
      <c r="AC880" s="256"/>
      <c r="AD880" s="256"/>
      <c r="AE880" s="256"/>
      <c r="AF880" s="256"/>
      <c r="AG880" s="256"/>
      <c r="AH880" s="256"/>
      <c r="AI880" s="256"/>
      <c r="AJ880" s="256"/>
      <c r="AK880" s="256"/>
      <c r="AL880" s="256"/>
      <c r="AM880" s="256"/>
      <c r="AN880" s="256"/>
      <c r="AO880" s="256"/>
      <c r="AP880" s="256"/>
      <c r="AQ880" s="256"/>
      <c r="AR880" s="256"/>
    </row>
    <row r="881">
      <c r="A881" s="256"/>
      <c r="B881" s="256"/>
      <c r="C881" s="257"/>
      <c r="D881" s="257"/>
      <c r="E881" s="257"/>
      <c r="F881" s="257"/>
      <c r="G881" s="257"/>
      <c r="H881" s="257"/>
      <c r="I881" s="256"/>
      <c r="J881" s="256"/>
      <c r="K881" s="256"/>
      <c r="L881" s="256"/>
      <c r="M881" s="256"/>
      <c r="N881" s="256"/>
      <c r="O881" s="256"/>
      <c r="P881" s="256"/>
      <c r="Q881" s="256"/>
      <c r="R881" s="256"/>
      <c r="S881" s="256"/>
      <c r="T881" s="256"/>
      <c r="U881" s="256"/>
      <c r="V881" s="256"/>
      <c r="W881" s="256"/>
      <c r="X881" s="256"/>
      <c r="Y881" s="256"/>
      <c r="Z881" s="256"/>
      <c r="AA881" s="256"/>
      <c r="AB881" s="256"/>
      <c r="AC881" s="256"/>
      <c r="AD881" s="256"/>
      <c r="AE881" s="256"/>
      <c r="AF881" s="256"/>
      <c r="AG881" s="256"/>
      <c r="AH881" s="256"/>
      <c r="AI881" s="256"/>
      <c r="AJ881" s="256"/>
      <c r="AK881" s="256"/>
      <c r="AL881" s="256"/>
      <c r="AM881" s="256"/>
      <c r="AN881" s="256"/>
      <c r="AO881" s="256"/>
      <c r="AP881" s="256"/>
      <c r="AQ881" s="256"/>
      <c r="AR881" s="256"/>
    </row>
    <row r="882">
      <c r="A882" s="256"/>
      <c r="B882" s="256"/>
      <c r="C882" s="257"/>
      <c r="D882" s="257"/>
      <c r="E882" s="257"/>
      <c r="F882" s="257"/>
      <c r="G882" s="257"/>
      <c r="H882" s="257"/>
      <c r="I882" s="256"/>
      <c r="J882" s="256"/>
      <c r="K882" s="256"/>
      <c r="L882" s="256"/>
      <c r="M882" s="256"/>
      <c r="N882" s="256"/>
      <c r="O882" s="256"/>
      <c r="P882" s="256"/>
      <c r="Q882" s="256"/>
      <c r="R882" s="256"/>
      <c r="S882" s="256"/>
      <c r="T882" s="256"/>
      <c r="U882" s="256"/>
      <c r="V882" s="256"/>
      <c r="W882" s="256"/>
      <c r="X882" s="256"/>
      <c r="Y882" s="256"/>
      <c r="Z882" s="256"/>
      <c r="AA882" s="256"/>
      <c r="AB882" s="256"/>
      <c r="AC882" s="256"/>
      <c r="AD882" s="256"/>
      <c r="AE882" s="256"/>
      <c r="AF882" s="256"/>
      <c r="AG882" s="256"/>
      <c r="AH882" s="256"/>
      <c r="AI882" s="256"/>
      <c r="AJ882" s="256"/>
      <c r="AK882" s="256"/>
      <c r="AL882" s="256"/>
      <c r="AM882" s="256"/>
      <c r="AN882" s="256"/>
      <c r="AO882" s="256"/>
      <c r="AP882" s="256"/>
      <c r="AQ882" s="256"/>
      <c r="AR882" s="256"/>
    </row>
    <row r="883">
      <c r="A883" s="256"/>
      <c r="B883" s="256"/>
      <c r="C883" s="257"/>
      <c r="D883" s="257"/>
      <c r="E883" s="257"/>
      <c r="F883" s="257"/>
      <c r="G883" s="257"/>
      <c r="H883" s="257"/>
      <c r="I883" s="256"/>
      <c r="J883" s="256"/>
      <c r="K883" s="256"/>
      <c r="L883" s="256"/>
      <c r="M883" s="256"/>
      <c r="N883" s="256"/>
      <c r="O883" s="256"/>
      <c r="P883" s="256"/>
      <c r="Q883" s="256"/>
      <c r="R883" s="256"/>
      <c r="S883" s="256"/>
      <c r="T883" s="256"/>
      <c r="U883" s="256"/>
      <c r="V883" s="256"/>
      <c r="W883" s="256"/>
      <c r="X883" s="256"/>
      <c r="Y883" s="256"/>
      <c r="Z883" s="256"/>
      <c r="AA883" s="256"/>
      <c r="AB883" s="256"/>
      <c r="AC883" s="256"/>
      <c r="AD883" s="256"/>
      <c r="AE883" s="256"/>
      <c r="AF883" s="256"/>
      <c r="AG883" s="256"/>
      <c r="AH883" s="256"/>
      <c r="AI883" s="256"/>
      <c r="AJ883" s="256"/>
      <c r="AK883" s="256"/>
      <c r="AL883" s="256"/>
      <c r="AM883" s="256"/>
      <c r="AN883" s="256"/>
      <c r="AO883" s="256"/>
      <c r="AP883" s="256"/>
      <c r="AQ883" s="256"/>
      <c r="AR883" s="256"/>
    </row>
    <row r="884">
      <c r="A884" s="256"/>
      <c r="B884" s="256"/>
      <c r="C884" s="257"/>
      <c r="D884" s="257"/>
      <c r="E884" s="257"/>
      <c r="F884" s="257"/>
      <c r="G884" s="257"/>
      <c r="H884" s="257"/>
      <c r="I884" s="256"/>
      <c r="J884" s="256"/>
      <c r="K884" s="256"/>
      <c r="L884" s="256"/>
      <c r="M884" s="256"/>
      <c r="N884" s="256"/>
      <c r="O884" s="256"/>
      <c r="P884" s="256"/>
      <c r="Q884" s="256"/>
      <c r="R884" s="256"/>
      <c r="S884" s="256"/>
      <c r="T884" s="256"/>
      <c r="U884" s="256"/>
      <c r="V884" s="256"/>
      <c r="W884" s="256"/>
      <c r="X884" s="256"/>
      <c r="Y884" s="256"/>
      <c r="Z884" s="256"/>
      <c r="AA884" s="256"/>
      <c r="AB884" s="256"/>
      <c r="AC884" s="256"/>
      <c r="AD884" s="256"/>
      <c r="AE884" s="256"/>
      <c r="AF884" s="256"/>
      <c r="AG884" s="256"/>
      <c r="AH884" s="256"/>
      <c r="AI884" s="256"/>
      <c r="AJ884" s="256"/>
      <c r="AK884" s="256"/>
      <c r="AL884" s="256"/>
      <c r="AM884" s="256"/>
      <c r="AN884" s="256"/>
      <c r="AO884" s="256"/>
      <c r="AP884" s="256"/>
      <c r="AQ884" s="256"/>
      <c r="AR884" s="256"/>
    </row>
    <row r="885">
      <c r="A885" s="256"/>
      <c r="B885" s="256"/>
      <c r="C885" s="257"/>
      <c r="D885" s="257"/>
      <c r="E885" s="257"/>
      <c r="F885" s="257"/>
      <c r="G885" s="257"/>
      <c r="H885" s="257"/>
      <c r="I885" s="256"/>
      <c r="J885" s="256"/>
      <c r="K885" s="256"/>
      <c r="L885" s="256"/>
      <c r="M885" s="256"/>
      <c r="N885" s="256"/>
      <c r="O885" s="256"/>
      <c r="P885" s="256"/>
      <c r="Q885" s="256"/>
      <c r="R885" s="256"/>
      <c r="S885" s="256"/>
      <c r="T885" s="256"/>
      <c r="U885" s="256"/>
      <c r="V885" s="256"/>
      <c r="W885" s="256"/>
      <c r="X885" s="256"/>
      <c r="Y885" s="256"/>
      <c r="Z885" s="256"/>
      <c r="AA885" s="256"/>
      <c r="AB885" s="256"/>
      <c r="AC885" s="256"/>
      <c r="AD885" s="256"/>
      <c r="AE885" s="256"/>
      <c r="AF885" s="256"/>
      <c r="AG885" s="256"/>
      <c r="AH885" s="256"/>
      <c r="AI885" s="256"/>
      <c r="AJ885" s="256"/>
      <c r="AK885" s="256"/>
      <c r="AL885" s="256"/>
      <c r="AM885" s="256"/>
      <c r="AN885" s="256"/>
      <c r="AO885" s="256"/>
      <c r="AP885" s="256"/>
      <c r="AQ885" s="256"/>
      <c r="AR885" s="256"/>
    </row>
    <row r="886">
      <c r="A886" s="256"/>
      <c r="B886" s="256"/>
      <c r="C886" s="257"/>
      <c r="D886" s="257"/>
      <c r="E886" s="257"/>
      <c r="F886" s="257"/>
      <c r="G886" s="257"/>
      <c r="H886" s="257"/>
      <c r="I886" s="256"/>
      <c r="J886" s="256"/>
      <c r="K886" s="256"/>
      <c r="L886" s="256"/>
      <c r="M886" s="256"/>
      <c r="N886" s="256"/>
      <c r="O886" s="256"/>
      <c r="P886" s="256"/>
      <c r="Q886" s="256"/>
      <c r="R886" s="256"/>
      <c r="S886" s="256"/>
      <c r="T886" s="256"/>
      <c r="U886" s="256"/>
      <c r="V886" s="256"/>
      <c r="W886" s="256"/>
      <c r="X886" s="256"/>
      <c r="Y886" s="256"/>
      <c r="Z886" s="256"/>
      <c r="AA886" s="256"/>
      <c r="AB886" s="256"/>
      <c r="AC886" s="256"/>
      <c r="AD886" s="256"/>
      <c r="AE886" s="256"/>
      <c r="AF886" s="256"/>
      <c r="AG886" s="256"/>
      <c r="AH886" s="256"/>
      <c r="AI886" s="256"/>
      <c r="AJ886" s="256"/>
      <c r="AK886" s="256"/>
      <c r="AL886" s="256"/>
      <c r="AM886" s="256"/>
      <c r="AN886" s="256"/>
      <c r="AO886" s="256"/>
      <c r="AP886" s="256"/>
      <c r="AQ886" s="256"/>
      <c r="AR886" s="256"/>
    </row>
    <row r="887">
      <c r="A887" s="256"/>
      <c r="B887" s="256"/>
      <c r="C887" s="257"/>
      <c r="D887" s="257"/>
      <c r="E887" s="257"/>
      <c r="F887" s="257"/>
      <c r="G887" s="257"/>
      <c r="H887" s="257"/>
      <c r="I887" s="256"/>
      <c r="J887" s="256"/>
      <c r="K887" s="256"/>
      <c r="L887" s="256"/>
      <c r="M887" s="256"/>
      <c r="N887" s="256"/>
      <c r="O887" s="256"/>
      <c r="P887" s="256"/>
      <c r="Q887" s="256"/>
      <c r="R887" s="256"/>
      <c r="S887" s="256"/>
      <c r="T887" s="256"/>
      <c r="U887" s="256"/>
      <c r="V887" s="256"/>
      <c r="W887" s="256"/>
      <c r="X887" s="256"/>
      <c r="Y887" s="256"/>
      <c r="Z887" s="256"/>
      <c r="AA887" s="256"/>
      <c r="AB887" s="256"/>
      <c r="AC887" s="256"/>
      <c r="AD887" s="256"/>
      <c r="AE887" s="256"/>
      <c r="AF887" s="256"/>
      <c r="AG887" s="256"/>
      <c r="AH887" s="256"/>
      <c r="AI887" s="256"/>
      <c r="AJ887" s="256"/>
      <c r="AK887" s="256"/>
      <c r="AL887" s="256"/>
      <c r="AM887" s="256"/>
      <c r="AN887" s="256"/>
      <c r="AO887" s="256"/>
      <c r="AP887" s="256"/>
      <c r="AQ887" s="256"/>
      <c r="AR887" s="256"/>
    </row>
    <row r="888">
      <c r="A888" s="256"/>
      <c r="B888" s="256"/>
      <c r="C888" s="257"/>
      <c r="D888" s="257"/>
      <c r="E888" s="257"/>
      <c r="F888" s="257"/>
      <c r="G888" s="257"/>
      <c r="H888" s="257"/>
      <c r="I888" s="256"/>
      <c r="J888" s="256"/>
      <c r="K888" s="256"/>
      <c r="L888" s="256"/>
      <c r="M888" s="256"/>
      <c r="N888" s="256"/>
      <c r="O888" s="256"/>
      <c r="P888" s="256"/>
      <c r="Q888" s="256"/>
      <c r="R888" s="256"/>
      <c r="S888" s="256"/>
      <c r="T888" s="256"/>
      <c r="U888" s="256"/>
      <c r="V888" s="256"/>
      <c r="W888" s="256"/>
      <c r="X888" s="256"/>
      <c r="Y888" s="256"/>
      <c r="Z888" s="256"/>
      <c r="AA888" s="256"/>
      <c r="AB888" s="256"/>
      <c r="AC888" s="256"/>
      <c r="AD888" s="256"/>
      <c r="AE888" s="256"/>
      <c r="AF888" s="256"/>
      <c r="AG888" s="256"/>
      <c r="AH888" s="256"/>
      <c r="AI888" s="256"/>
      <c r="AJ888" s="256"/>
      <c r="AK888" s="256"/>
      <c r="AL888" s="256"/>
      <c r="AM888" s="256"/>
      <c r="AN888" s="256"/>
      <c r="AO888" s="256"/>
      <c r="AP888" s="256"/>
      <c r="AQ888" s="256"/>
      <c r="AR888" s="256"/>
    </row>
    <row r="889">
      <c r="A889" s="256"/>
      <c r="B889" s="256"/>
      <c r="C889" s="257"/>
      <c r="D889" s="257"/>
      <c r="E889" s="257"/>
      <c r="F889" s="257"/>
      <c r="G889" s="257"/>
      <c r="H889" s="257"/>
      <c r="I889" s="256"/>
      <c r="J889" s="256"/>
      <c r="K889" s="256"/>
      <c r="L889" s="256"/>
      <c r="M889" s="256"/>
      <c r="N889" s="256"/>
      <c r="O889" s="256"/>
      <c r="P889" s="256"/>
      <c r="Q889" s="256"/>
      <c r="R889" s="256"/>
      <c r="S889" s="256"/>
      <c r="T889" s="256"/>
      <c r="U889" s="256"/>
      <c r="V889" s="256"/>
      <c r="W889" s="256"/>
      <c r="X889" s="256"/>
      <c r="Y889" s="256"/>
      <c r="Z889" s="256"/>
      <c r="AA889" s="256"/>
      <c r="AB889" s="256"/>
      <c r="AC889" s="256"/>
      <c r="AD889" s="256"/>
      <c r="AE889" s="256"/>
      <c r="AF889" s="256"/>
      <c r="AG889" s="256"/>
      <c r="AH889" s="256"/>
      <c r="AI889" s="256"/>
      <c r="AJ889" s="256"/>
      <c r="AK889" s="256"/>
      <c r="AL889" s="256"/>
      <c r="AM889" s="256"/>
      <c r="AN889" s="256"/>
      <c r="AO889" s="256"/>
      <c r="AP889" s="256"/>
      <c r="AQ889" s="256"/>
      <c r="AR889" s="256"/>
    </row>
    <row r="890">
      <c r="A890" s="256"/>
      <c r="B890" s="256"/>
      <c r="C890" s="257"/>
      <c r="D890" s="257"/>
      <c r="E890" s="257"/>
      <c r="F890" s="257"/>
      <c r="G890" s="257"/>
      <c r="H890" s="257"/>
      <c r="I890" s="256"/>
      <c r="J890" s="256"/>
      <c r="K890" s="256"/>
      <c r="L890" s="256"/>
      <c r="M890" s="256"/>
      <c r="N890" s="256"/>
      <c r="O890" s="256"/>
      <c r="P890" s="256"/>
      <c r="Q890" s="256"/>
      <c r="R890" s="256"/>
      <c r="S890" s="256"/>
      <c r="T890" s="256"/>
      <c r="U890" s="256"/>
      <c r="V890" s="256"/>
      <c r="W890" s="256"/>
      <c r="X890" s="256"/>
      <c r="Y890" s="256"/>
      <c r="Z890" s="256"/>
      <c r="AA890" s="256"/>
      <c r="AB890" s="256"/>
      <c r="AC890" s="256"/>
      <c r="AD890" s="256"/>
      <c r="AE890" s="256"/>
      <c r="AF890" s="256"/>
      <c r="AG890" s="256"/>
      <c r="AH890" s="256"/>
      <c r="AI890" s="256"/>
      <c r="AJ890" s="256"/>
      <c r="AK890" s="256"/>
      <c r="AL890" s="256"/>
      <c r="AM890" s="256"/>
      <c r="AN890" s="256"/>
      <c r="AO890" s="256"/>
      <c r="AP890" s="256"/>
      <c r="AQ890" s="256"/>
      <c r="AR890" s="256"/>
    </row>
    <row r="891">
      <c r="A891" s="256"/>
      <c r="B891" s="256"/>
      <c r="C891" s="257"/>
      <c r="D891" s="257"/>
      <c r="E891" s="257"/>
      <c r="F891" s="257"/>
      <c r="G891" s="257"/>
      <c r="H891" s="257"/>
      <c r="I891" s="256"/>
      <c r="J891" s="256"/>
      <c r="K891" s="256"/>
      <c r="L891" s="256"/>
      <c r="M891" s="256"/>
      <c r="N891" s="256"/>
      <c r="O891" s="256"/>
      <c r="P891" s="256"/>
      <c r="Q891" s="256"/>
      <c r="R891" s="256"/>
      <c r="S891" s="256"/>
      <c r="T891" s="256"/>
      <c r="U891" s="256"/>
      <c r="V891" s="256"/>
      <c r="W891" s="256"/>
      <c r="X891" s="256"/>
      <c r="Y891" s="256"/>
      <c r="Z891" s="256"/>
      <c r="AA891" s="256"/>
      <c r="AB891" s="256"/>
      <c r="AC891" s="256"/>
      <c r="AD891" s="256"/>
      <c r="AE891" s="256"/>
      <c r="AF891" s="256"/>
      <c r="AG891" s="256"/>
      <c r="AH891" s="256"/>
      <c r="AI891" s="256"/>
      <c r="AJ891" s="256"/>
      <c r="AK891" s="256"/>
      <c r="AL891" s="256"/>
      <c r="AM891" s="256"/>
      <c r="AN891" s="256"/>
      <c r="AO891" s="256"/>
      <c r="AP891" s="256"/>
      <c r="AQ891" s="256"/>
      <c r="AR891" s="256"/>
    </row>
    <row r="892">
      <c r="A892" s="256"/>
      <c r="B892" s="256"/>
      <c r="C892" s="257"/>
      <c r="D892" s="257"/>
      <c r="E892" s="257"/>
      <c r="F892" s="257"/>
      <c r="G892" s="257"/>
      <c r="H892" s="257"/>
      <c r="I892" s="256"/>
      <c r="J892" s="256"/>
      <c r="K892" s="256"/>
      <c r="L892" s="256"/>
      <c r="M892" s="256"/>
      <c r="N892" s="256"/>
      <c r="O892" s="256"/>
      <c r="P892" s="256"/>
      <c r="Q892" s="256"/>
      <c r="R892" s="256"/>
      <c r="S892" s="256"/>
      <c r="T892" s="256"/>
      <c r="U892" s="256"/>
      <c r="V892" s="256"/>
      <c r="W892" s="256"/>
      <c r="X892" s="256"/>
      <c r="Y892" s="256"/>
      <c r="Z892" s="256"/>
      <c r="AA892" s="256"/>
      <c r="AB892" s="256"/>
      <c r="AC892" s="256"/>
      <c r="AD892" s="256"/>
      <c r="AE892" s="256"/>
      <c r="AF892" s="256"/>
      <c r="AG892" s="256"/>
      <c r="AH892" s="256"/>
      <c r="AI892" s="256"/>
      <c r="AJ892" s="256"/>
      <c r="AK892" s="256"/>
      <c r="AL892" s="256"/>
      <c r="AM892" s="256"/>
      <c r="AN892" s="256"/>
      <c r="AO892" s="256"/>
      <c r="AP892" s="256"/>
      <c r="AQ892" s="256"/>
      <c r="AR892" s="256"/>
    </row>
    <row r="893">
      <c r="A893" s="256"/>
      <c r="B893" s="256"/>
      <c r="C893" s="257"/>
      <c r="D893" s="257"/>
      <c r="E893" s="257"/>
      <c r="F893" s="257"/>
      <c r="G893" s="257"/>
      <c r="H893" s="257"/>
      <c r="I893" s="256"/>
      <c r="J893" s="256"/>
      <c r="K893" s="256"/>
      <c r="L893" s="256"/>
      <c r="M893" s="256"/>
      <c r="N893" s="256"/>
      <c r="O893" s="256"/>
      <c r="P893" s="256"/>
      <c r="Q893" s="256"/>
      <c r="R893" s="256"/>
      <c r="S893" s="256"/>
      <c r="T893" s="256"/>
      <c r="U893" s="256"/>
      <c r="V893" s="256"/>
      <c r="W893" s="256"/>
      <c r="X893" s="256"/>
      <c r="Y893" s="256"/>
      <c r="Z893" s="256"/>
      <c r="AA893" s="256"/>
      <c r="AB893" s="256"/>
      <c r="AC893" s="256"/>
      <c r="AD893" s="256"/>
      <c r="AE893" s="256"/>
      <c r="AF893" s="256"/>
      <c r="AG893" s="256"/>
      <c r="AH893" s="256"/>
      <c r="AI893" s="256"/>
      <c r="AJ893" s="256"/>
      <c r="AK893" s="256"/>
      <c r="AL893" s="256"/>
      <c r="AM893" s="256"/>
      <c r="AN893" s="256"/>
      <c r="AO893" s="256"/>
      <c r="AP893" s="256"/>
      <c r="AQ893" s="256"/>
      <c r="AR893" s="256"/>
    </row>
    <row r="894">
      <c r="A894" s="256"/>
      <c r="B894" s="256"/>
      <c r="C894" s="257"/>
      <c r="D894" s="257"/>
      <c r="E894" s="257"/>
      <c r="F894" s="257"/>
      <c r="G894" s="257"/>
      <c r="H894" s="257"/>
      <c r="I894" s="256"/>
      <c r="J894" s="256"/>
      <c r="K894" s="256"/>
      <c r="L894" s="256"/>
      <c r="M894" s="256"/>
      <c r="N894" s="256"/>
      <c r="O894" s="256"/>
      <c r="P894" s="256"/>
      <c r="Q894" s="256"/>
      <c r="R894" s="256"/>
      <c r="S894" s="256"/>
      <c r="T894" s="256"/>
      <c r="U894" s="256"/>
      <c r="V894" s="256"/>
      <c r="W894" s="256"/>
      <c r="X894" s="256"/>
      <c r="Y894" s="256"/>
      <c r="Z894" s="256"/>
      <c r="AA894" s="256"/>
      <c r="AB894" s="256"/>
      <c r="AC894" s="256"/>
      <c r="AD894" s="256"/>
      <c r="AE894" s="256"/>
      <c r="AF894" s="256"/>
      <c r="AG894" s="256"/>
      <c r="AH894" s="256"/>
      <c r="AI894" s="256"/>
      <c r="AJ894" s="256"/>
      <c r="AK894" s="256"/>
      <c r="AL894" s="256"/>
      <c r="AM894" s="256"/>
      <c r="AN894" s="256"/>
      <c r="AO894" s="256"/>
      <c r="AP894" s="256"/>
      <c r="AQ894" s="256"/>
      <c r="AR894" s="256"/>
    </row>
    <row r="895">
      <c r="A895" s="256"/>
      <c r="B895" s="256"/>
      <c r="C895" s="257"/>
      <c r="D895" s="257"/>
      <c r="E895" s="257"/>
      <c r="F895" s="257"/>
      <c r="G895" s="257"/>
      <c r="H895" s="257"/>
      <c r="I895" s="256"/>
      <c r="J895" s="256"/>
      <c r="K895" s="256"/>
      <c r="L895" s="256"/>
      <c r="M895" s="256"/>
      <c r="N895" s="256"/>
      <c r="O895" s="256"/>
      <c r="P895" s="256"/>
      <c r="Q895" s="256"/>
      <c r="R895" s="256"/>
      <c r="S895" s="256"/>
      <c r="T895" s="256"/>
      <c r="U895" s="256"/>
      <c r="V895" s="256"/>
      <c r="W895" s="256"/>
      <c r="X895" s="256"/>
      <c r="Y895" s="256"/>
      <c r="Z895" s="256"/>
      <c r="AA895" s="256"/>
      <c r="AB895" s="256"/>
      <c r="AC895" s="256"/>
      <c r="AD895" s="256"/>
      <c r="AE895" s="256"/>
      <c r="AF895" s="256"/>
      <c r="AG895" s="256"/>
      <c r="AH895" s="256"/>
      <c r="AI895" s="256"/>
      <c r="AJ895" s="256"/>
      <c r="AK895" s="256"/>
      <c r="AL895" s="256"/>
      <c r="AM895" s="256"/>
      <c r="AN895" s="256"/>
      <c r="AO895" s="256"/>
      <c r="AP895" s="256"/>
      <c r="AQ895" s="256"/>
      <c r="AR895" s="256"/>
    </row>
    <row r="896">
      <c r="A896" s="256"/>
      <c r="B896" s="256"/>
      <c r="C896" s="257"/>
      <c r="D896" s="257"/>
      <c r="E896" s="257"/>
      <c r="F896" s="257"/>
      <c r="G896" s="257"/>
      <c r="H896" s="257"/>
      <c r="I896" s="256"/>
      <c r="J896" s="256"/>
      <c r="K896" s="256"/>
      <c r="L896" s="256"/>
      <c r="M896" s="256"/>
      <c r="N896" s="256"/>
      <c r="O896" s="256"/>
      <c r="P896" s="256"/>
      <c r="Q896" s="256"/>
      <c r="R896" s="256"/>
      <c r="S896" s="256"/>
      <c r="T896" s="256"/>
      <c r="U896" s="256"/>
      <c r="V896" s="256"/>
      <c r="W896" s="256"/>
      <c r="X896" s="256"/>
      <c r="Y896" s="256"/>
      <c r="Z896" s="256"/>
      <c r="AA896" s="256"/>
      <c r="AB896" s="256"/>
      <c r="AC896" s="256"/>
      <c r="AD896" s="256"/>
      <c r="AE896" s="256"/>
      <c r="AF896" s="256"/>
      <c r="AG896" s="256"/>
      <c r="AH896" s="256"/>
      <c r="AI896" s="256"/>
      <c r="AJ896" s="256"/>
      <c r="AK896" s="256"/>
      <c r="AL896" s="256"/>
      <c r="AM896" s="256"/>
      <c r="AN896" s="256"/>
      <c r="AO896" s="256"/>
      <c r="AP896" s="256"/>
      <c r="AQ896" s="256"/>
      <c r="AR896" s="256"/>
    </row>
    <row r="897">
      <c r="A897" s="256"/>
      <c r="B897" s="256"/>
      <c r="C897" s="257"/>
      <c r="D897" s="257"/>
      <c r="E897" s="257"/>
      <c r="F897" s="257"/>
      <c r="G897" s="257"/>
      <c r="H897" s="257"/>
      <c r="I897" s="256"/>
      <c r="J897" s="256"/>
      <c r="K897" s="256"/>
      <c r="L897" s="256"/>
      <c r="M897" s="256"/>
      <c r="N897" s="256"/>
      <c r="O897" s="256"/>
      <c r="P897" s="256"/>
      <c r="Q897" s="256"/>
      <c r="R897" s="256"/>
      <c r="S897" s="256"/>
      <c r="T897" s="256"/>
      <c r="U897" s="256"/>
      <c r="V897" s="256"/>
      <c r="W897" s="256"/>
      <c r="X897" s="256"/>
      <c r="Y897" s="256"/>
      <c r="Z897" s="256"/>
      <c r="AA897" s="256"/>
      <c r="AB897" s="256"/>
      <c r="AC897" s="256"/>
      <c r="AD897" s="256"/>
      <c r="AE897" s="256"/>
      <c r="AF897" s="256"/>
      <c r="AG897" s="256"/>
      <c r="AH897" s="256"/>
      <c r="AI897" s="256"/>
      <c r="AJ897" s="256"/>
      <c r="AK897" s="256"/>
      <c r="AL897" s="256"/>
      <c r="AM897" s="256"/>
      <c r="AN897" s="256"/>
      <c r="AO897" s="256"/>
      <c r="AP897" s="256"/>
      <c r="AQ897" s="256"/>
      <c r="AR897" s="256"/>
    </row>
    <row r="898">
      <c r="A898" s="256"/>
      <c r="B898" s="256"/>
      <c r="C898" s="257"/>
      <c r="D898" s="257"/>
      <c r="E898" s="257"/>
      <c r="F898" s="257"/>
      <c r="G898" s="257"/>
      <c r="H898" s="257"/>
      <c r="I898" s="256"/>
      <c r="J898" s="256"/>
      <c r="K898" s="256"/>
      <c r="L898" s="256"/>
      <c r="M898" s="256"/>
      <c r="N898" s="256"/>
      <c r="O898" s="256"/>
      <c r="P898" s="256"/>
      <c r="Q898" s="256"/>
      <c r="R898" s="256"/>
      <c r="S898" s="256"/>
      <c r="T898" s="256"/>
      <c r="U898" s="256"/>
      <c r="V898" s="256"/>
      <c r="W898" s="256"/>
      <c r="X898" s="256"/>
      <c r="Y898" s="256"/>
      <c r="Z898" s="256"/>
      <c r="AA898" s="256"/>
      <c r="AB898" s="256"/>
      <c r="AC898" s="256"/>
      <c r="AD898" s="256"/>
      <c r="AE898" s="256"/>
      <c r="AF898" s="256"/>
      <c r="AG898" s="256"/>
      <c r="AH898" s="256"/>
      <c r="AI898" s="256"/>
      <c r="AJ898" s="256"/>
      <c r="AK898" s="256"/>
      <c r="AL898" s="256"/>
      <c r="AM898" s="256"/>
      <c r="AN898" s="256"/>
      <c r="AO898" s="256"/>
      <c r="AP898" s="256"/>
      <c r="AQ898" s="256"/>
      <c r="AR898" s="256"/>
    </row>
    <row r="899">
      <c r="A899" s="256"/>
      <c r="B899" s="256"/>
      <c r="C899" s="257"/>
      <c r="D899" s="257"/>
      <c r="E899" s="257"/>
      <c r="F899" s="257"/>
      <c r="G899" s="257"/>
      <c r="H899" s="257"/>
      <c r="I899" s="256"/>
      <c r="J899" s="256"/>
      <c r="K899" s="256"/>
      <c r="L899" s="256"/>
      <c r="M899" s="256"/>
      <c r="N899" s="256"/>
      <c r="O899" s="256"/>
      <c r="P899" s="256"/>
      <c r="Q899" s="256"/>
      <c r="R899" s="256"/>
      <c r="S899" s="256"/>
      <c r="T899" s="256"/>
      <c r="U899" s="256"/>
      <c r="V899" s="256"/>
      <c r="W899" s="256"/>
      <c r="X899" s="256"/>
      <c r="Y899" s="256"/>
      <c r="Z899" s="256"/>
      <c r="AA899" s="256"/>
      <c r="AB899" s="256"/>
      <c r="AC899" s="256"/>
      <c r="AD899" s="256"/>
      <c r="AE899" s="256"/>
      <c r="AF899" s="256"/>
      <c r="AG899" s="256"/>
      <c r="AH899" s="256"/>
      <c r="AI899" s="256"/>
      <c r="AJ899" s="256"/>
      <c r="AK899" s="256"/>
      <c r="AL899" s="256"/>
      <c r="AM899" s="256"/>
      <c r="AN899" s="256"/>
      <c r="AO899" s="256"/>
      <c r="AP899" s="256"/>
      <c r="AQ899" s="256"/>
      <c r="AR899" s="256"/>
    </row>
    <row r="900">
      <c r="A900" s="256"/>
      <c r="B900" s="256"/>
      <c r="C900" s="257"/>
      <c r="D900" s="257"/>
      <c r="E900" s="257"/>
      <c r="F900" s="257"/>
      <c r="G900" s="257"/>
      <c r="H900" s="257"/>
      <c r="I900" s="256"/>
      <c r="J900" s="256"/>
      <c r="K900" s="256"/>
      <c r="L900" s="256"/>
      <c r="M900" s="256"/>
      <c r="N900" s="256"/>
      <c r="O900" s="256"/>
      <c r="P900" s="256"/>
      <c r="Q900" s="256"/>
      <c r="R900" s="256"/>
      <c r="S900" s="256"/>
      <c r="T900" s="256"/>
      <c r="U900" s="256"/>
      <c r="V900" s="256"/>
      <c r="W900" s="256"/>
      <c r="X900" s="256"/>
      <c r="Y900" s="256"/>
      <c r="Z900" s="256"/>
      <c r="AA900" s="256"/>
      <c r="AB900" s="256"/>
      <c r="AC900" s="256"/>
      <c r="AD900" s="256"/>
      <c r="AE900" s="256"/>
      <c r="AF900" s="256"/>
      <c r="AG900" s="256"/>
      <c r="AH900" s="256"/>
      <c r="AI900" s="256"/>
      <c r="AJ900" s="256"/>
      <c r="AK900" s="256"/>
      <c r="AL900" s="256"/>
      <c r="AM900" s="256"/>
      <c r="AN900" s="256"/>
      <c r="AO900" s="256"/>
      <c r="AP900" s="256"/>
      <c r="AQ900" s="256"/>
      <c r="AR900" s="256"/>
    </row>
    <row r="901">
      <c r="A901" s="256"/>
      <c r="B901" s="256"/>
      <c r="C901" s="257"/>
      <c r="D901" s="257"/>
      <c r="E901" s="257"/>
      <c r="F901" s="257"/>
      <c r="G901" s="257"/>
      <c r="H901" s="257"/>
      <c r="I901" s="256"/>
      <c r="J901" s="256"/>
      <c r="K901" s="256"/>
      <c r="L901" s="256"/>
      <c r="M901" s="256"/>
      <c r="N901" s="256"/>
      <c r="O901" s="256"/>
      <c r="P901" s="256"/>
      <c r="Q901" s="256"/>
      <c r="R901" s="256"/>
      <c r="S901" s="256"/>
      <c r="T901" s="256"/>
      <c r="U901" s="256"/>
      <c r="V901" s="256"/>
      <c r="W901" s="256"/>
      <c r="X901" s="256"/>
      <c r="Y901" s="256"/>
      <c r="Z901" s="256"/>
      <c r="AA901" s="256"/>
      <c r="AB901" s="256"/>
      <c r="AC901" s="256"/>
      <c r="AD901" s="256"/>
      <c r="AE901" s="256"/>
      <c r="AF901" s="256"/>
      <c r="AG901" s="256"/>
      <c r="AH901" s="256"/>
      <c r="AI901" s="256"/>
      <c r="AJ901" s="256"/>
      <c r="AK901" s="256"/>
      <c r="AL901" s="256"/>
      <c r="AM901" s="256"/>
      <c r="AN901" s="256"/>
      <c r="AO901" s="256"/>
      <c r="AP901" s="256"/>
      <c r="AQ901" s="256"/>
      <c r="AR901" s="256"/>
    </row>
    <row r="902">
      <c r="A902" s="256"/>
      <c r="B902" s="256"/>
      <c r="C902" s="257"/>
      <c r="D902" s="257"/>
      <c r="E902" s="257"/>
      <c r="F902" s="257"/>
      <c r="G902" s="257"/>
      <c r="H902" s="257"/>
      <c r="I902" s="256"/>
      <c r="J902" s="256"/>
      <c r="K902" s="256"/>
      <c r="L902" s="256"/>
      <c r="M902" s="256"/>
      <c r="N902" s="256"/>
      <c r="O902" s="256"/>
      <c r="P902" s="256"/>
      <c r="Q902" s="256"/>
      <c r="R902" s="256"/>
      <c r="S902" s="256"/>
      <c r="T902" s="256"/>
      <c r="U902" s="256"/>
      <c r="V902" s="256"/>
      <c r="W902" s="256"/>
      <c r="X902" s="256"/>
      <c r="Y902" s="256"/>
      <c r="Z902" s="256"/>
      <c r="AA902" s="256"/>
      <c r="AB902" s="256"/>
      <c r="AC902" s="256"/>
      <c r="AD902" s="256"/>
      <c r="AE902" s="256"/>
      <c r="AF902" s="256"/>
      <c r="AG902" s="256"/>
      <c r="AH902" s="256"/>
      <c r="AI902" s="256"/>
      <c r="AJ902" s="256"/>
      <c r="AK902" s="256"/>
      <c r="AL902" s="256"/>
      <c r="AM902" s="256"/>
      <c r="AN902" s="256"/>
      <c r="AO902" s="256"/>
      <c r="AP902" s="256"/>
      <c r="AQ902" s="256"/>
      <c r="AR902" s="256"/>
    </row>
    <row r="903">
      <c r="A903" s="256"/>
      <c r="B903" s="256"/>
      <c r="C903" s="257"/>
      <c r="D903" s="257"/>
      <c r="E903" s="257"/>
      <c r="F903" s="257"/>
      <c r="G903" s="257"/>
      <c r="H903" s="257"/>
      <c r="I903" s="256"/>
      <c r="J903" s="256"/>
      <c r="K903" s="256"/>
      <c r="L903" s="256"/>
      <c r="M903" s="256"/>
      <c r="N903" s="256"/>
      <c r="O903" s="256"/>
      <c r="P903" s="256"/>
      <c r="Q903" s="256"/>
      <c r="R903" s="256"/>
      <c r="S903" s="256"/>
      <c r="T903" s="256"/>
      <c r="U903" s="256"/>
      <c r="V903" s="256"/>
      <c r="W903" s="256"/>
      <c r="X903" s="256"/>
      <c r="Y903" s="256"/>
      <c r="Z903" s="256"/>
      <c r="AA903" s="256"/>
      <c r="AB903" s="256"/>
      <c r="AC903" s="256"/>
      <c r="AD903" s="256"/>
      <c r="AE903" s="256"/>
      <c r="AF903" s="256"/>
      <c r="AG903" s="256"/>
      <c r="AH903" s="256"/>
      <c r="AI903" s="256"/>
      <c r="AJ903" s="256"/>
      <c r="AK903" s="256"/>
      <c r="AL903" s="256"/>
      <c r="AM903" s="256"/>
      <c r="AN903" s="256"/>
      <c r="AO903" s="256"/>
      <c r="AP903" s="256"/>
      <c r="AQ903" s="256"/>
      <c r="AR903" s="256"/>
    </row>
    <row r="904">
      <c r="A904" s="256"/>
      <c r="B904" s="256"/>
      <c r="C904" s="257"/>
      <c r="D904" s="257"/>
      <c r="E904" s="257"/>
      <c r="F904" s="257"/>
      <c r="G904" s="257"/>
      <c r="H904" s="257"/>
      <c r="I904" s="256"/>
      <c r="J904" s="256"/>
      <c r="K904" s="256"/>
      <c r="L904" s="256"/>
      <c r="M904" s="256"/>
      <c r="N904" s="256"/>
      <c r="O904" s="256"/>
      <c r="P904" s="256"/>
      <c r="Q904" s="256"/>
      <c r="R904" s="256"/>
      <c r="S904" s="256"/>
      <c r="T904" s="256"/>
      <c r="U904" s="256"/>
      <c r="V904" s="256"/>
      <c r="W904" s="256"/>
      <c r="X904" s="256"/>
      <c r="Y904" s="256"/>
      <c r="Z904" s="256"/>
      <c r="AA904" s="256"/>
      <c r="AB904" s="256"/>
      <c r="AC904" s="256"/>
      <c r="AD904" s="256"/>
      <c r="AE904" s="256"/>
      <c r="AF904" s="256"/>
      <c r="AG904" s="256"/>
      <c r="AH904" s="256"/>
      <c r="AI904" s="256"/>
      <c r="AJ904" s="256"/>
      <c r="AK904" s="256"/>
      <c r="AL904" s="256"/>
      <c r="AM904" s="256"/>
      <c r="AN904" s="256"/>
      <c r="AO904" s="256"/>
      <c r="AP904" s="256"/>
      <c r="AQ904" s="256"/>
      <c r="AR904" s="256"/>
    </row>
    <row r="905">
      <c r="A905" s="256"/>
      <c r="B905" s="256"/>
      <c r="C905" s="257"/>
      <c r="D905" s="257"/>
      <c r="E905" s="257"/>
      <c r="F905" s="257"/>
      <c r="G905" s="257"/>
      <c r="H905" s="257"/>
      <c r="I905" s="256"/>
      <c r="J905" s="256"/>
      <c r="K905" s="256"/>
      <c r="L905" s="256"/>
      <c r="M905" s="256"/>
      <c r="N905" s="256"/>
      <c r="O905" s="256"/>
      <c r="P905" s="256"/>
      <c r="Q905" s="256"/>
      <c r="R905" s="256"/>
      <c r="S905" s="256"/>
      <c r="T905" s="256"/>
      <c r="U905" s="256"/>
      <c r="V905" s="256"/>
      <c r="W905" s="256"/>
      <c r="X905" s="256"/>
      <c r="Y905" s="256"/>
      <c r="Z905" s="256"/>
      <c r="AA905" s="256"/>
      <c r="AB905" s="256"/>
      <c r="AC905" s="256"/>
      <c r="AD905" s="256"/>
      <c r="AE905" s="256"/>
      <c r="AF905" s="256"/>
      <c r="AG905" s="256"/>
      <c r="AH905" s="256"/>
      <c r="AI905" s="256"/>
      <c r="AJ905" s="256"/>
      <c r="AK905" s="256"/>
      <c r="AL905" s="256"/>
      <c r="AM905" s="256"/>
      <c r="AN905" s="256"/>
      <c r="AO905" s="256"/>
      <c r="AP905" s="256"/>
      <c r="AQ905" s="256"/>
      <c r="AR905" s="256"/>
    </row>
    <row r="906">
      <c r="A906" s="256"/>
      <c r="B906" s="256"/>
      <c r="C906" s="257"/>
      <c r="D906" s="257"/>
      <c r="E906" s="257"/>
      <c r="F906" s="257"/>
      <c r="G906" s="257"/>
      <c r="H906" s="257"/>
      <c r="I906" s="256"/>
      <c r="J906" s="256"/>
      <c r="K906" s="256"/>
      <c r="L906" s="256"/>
      <c r="M906" s="256"/>
      <c r="N906" s="256"/>
      <c r="O906" s="256"/>
      <c r="P906" s="256"/>
      <c r="Q906" s="256"/>
      <c r="R906" s="256"/>
      <c r="S906" s="256"/>
      <c r="T906" s="256"/>
      <c r="U906" s="256"/>
      <c r="V906" s="256"/>
      <c r="W906" s="256"/>
      <c r="X906" s="256"/>
      <c r="Y906" s="256"/>
      <c r="Z906" s="256"/>
      <c r="AA906" s="256"/>
      <c r="AB906" s="256"/>
      <c r="AC906" s="256"/>
      <c r="AD906" s="256"/>
      <c r="AE906" s="256"/>
      <c r="AF906" s="256"/>
      <c r="AG906" s="256"/>
      <c r="AH906" s="256"/>
      <c r="AI906" s="256"/>
      <c r="AJ906" s="256"/>
      <c r="AK906" s="256"/>
      <c r="AL906" s="256"/>
      <c r="AM906" s="256"/>
      <c r="AN906" s="256"/>
      <c r="AO906" s="256"/>
      <c r="AP906" s="256"/>
      <c r="AQ906" s="256"/>
      <c r="AR906" s="256"/>
    </row>
    <row r="907">
      <c r="A907" s="256"/>
      <c r="B907" s="256"/>
      <c r="C907" s="257"/>
      <c r="D907" s="257"/>
      <c r="E907" s="257"/>
      <c r="F907" s="257"/>
      <c r="G907" s="257"/>
      <c r="H907" s="257"/>
      <c r="I907" s="256"/>
      <c r="J907" s="256"/>
      <c r="K907" s="256"/>
      <c r="L907" s="256"/>
      <c r="M907" s="256"/>
      <c r="N907" s="256"/>
      <c r="O907" s="256"/>
      <c r="P907" s="256"/>
      <c r="Q907" s="256"/>
      <c r="R907" s="256"/>
      <c r="S907" s="256"/>
      <c r="T907" s="256"/>
      <c r="U907" s="256"/>
      <c r="V907" s="256"/>
      <c r="W907" s="256"/>
      <c r="X907" s="256"/>
      <c r="Y907" s="256"/>
      <c r="Z907" s="256"/>
      <c r="AA907" s="256"/>
      <c r="AB907" s="256"/>
      <c r="AC907" s="256"/>
      <c r="AD907" s="256"/>
      <c r="AE907" s="256"/>
      <c r="AF907" s="256"/>
      <c r="AG907" s="256"/>
      <c r="AH907" s="256"/>
      <c r="AI907" s="256"/>
      <c r="AJ907" s="256"/>
      <c r="AK907" s="256"/>
      <c r="AL907" s="256"/>
      <c r="AM907" s="256"/>
      <c r="AN907" s="256"/>
      <c r="AO907" s="256"/>
      <c r="AP907" s="256"/>
      <c r="AQ907" s="256"/>
      <c r="AR907" s="256"/>
    </row>
    <row r="908">
      <c r="A908" s="256"/>
      <c r="B908" s="256"/>
      <c r="C908" s="257"/>
      <c r="D908" s="257"/>
      <c r="E908" s="257"/>
      <c r="F908" s="257"/>
      <c r="G908" s="257"/>
      <c r="H908" s="257"/>
      <c r="I908" s="256"/>
      <c r="J908" s="256"/>
      <c r="K908" s="256"/>
      <c r="L908" s="256"/>
      <c r="M908" s="256"/>
      <c r="N908" s="256"/>
      <c r="O908" s="256"/>
      <c r="P908" s="256"/>
      <c r="Q908" s="256"/>
      <c r="R908" s="256"/>
      <c r="S908" s="256"/>
      <c r="T908" s="256"/>
      <c r="U908" s="256"/>
      <c r="V908" s="256"/>
      <c r="W908" s="256"/>
      <c r="X908" s="256"/>
      <c r="Y908" s="256"/>
      <c r="Z908" s="256"/>
      <c r="AA908" s="256"/>
      <c r="AB908" s="256"/>
      <c r="AC908" s="256"/>
      <c r="AD908" s="256"/>
      <c r="AE908" s="256"/>
      <c r="AF908" s="256"/>
      <c r="AG908" s="256"/>
      <c r="AH908" s="256"/>
      <c r="AI908" s="256"/>
      <c r="AJ908" s="256"/>
      <c r="AK908" s="256"/>
      <c r="AL908" s="256"/>
      <c r="AM908" s="256"/>
      <c r="AN908" s="256"/>
      <c r="AO908" s="256"/>
      <c r="AP908" s="256"/>
      <c r="AQ908" s="256"/>
      <c r="AR908" s="256"/>
    </row>
    <row r="909">
      <c r="A909" s="256"/>
      <c r="B909" s="256"/>
      <c r="C909" s="257"/>
      <c r="D909" s="257"/>
      <c r="E909" s="257"/>
      <c r="F909" s="257"/>
      <c r="G909" s="257"/>
      <c r="H909" s="257"/>
      <c r="I909" s="256"/>
      <c r="J909" s="256"/>
      <c r="K909" s="256"/>
      <c r="L909" s="256"/>
      <c r="M909" s="256"/>
      <c r="N909" s="256"/>
      <c r="O909" s="256"/>
      <c r="P909" s="256"/>
      <c r="Q909" s="256"/>
      <c r="R909" s="256"/>
      <c r="S909" s="256"/>
      <c r="T909" s="256"/>
      <c r="U909" s="256"/>
      <c r="V909" s="256"/>
      <c r="W909" s="256"/>
      <c r="X909" s="256"/>
      <c r="Y909" s="256"/>
      <c r="Z909" s="256"/>
      <c r="AA909" s="256"/>
      <c r="AB909" s="256"/>
      <c r="AC909" s="256"/>
      <c r="AD909" s="256"/>
      <c r="AE909" s="256"/>
      <c r="AF909" s="256"/>
      <c r="AG909" s="256"/>
      <c r="AH909" s="256"/>
      <c r="AI909" s="256"/>
      <c r="AJ909" s="256"/>
      <c r="AK909" s="256"/>
      <c r="AL909" s="256"/>
      <c r="AM909" s="256"/>
      <c r="AN909" s="256"/>
      <c r="AO909" s="256"/>
      <c r="AP909" s="256"/>
      <c r="AQ909" s="256"/>
      <c r="AR909" s="256"/>
    </row>
    <row r="910">
      <c r="A910" s="256"/>
      <c r="B910" s="256"/>
      <c r="C910" s="257"/>
      <c r="D910" s="257"/>
      <c r="E910" s="257"/>
      <c r="F910" s="257"/>
      <c r="G910" s="257"/>
      <c r="H910" s="257"/>
      <c r="I910" s="256"/>
      <c r="J910" s="256"/>
      <c r="K910" s="256"/>
      <c r="L910" s="256"/>
      <c r="M910" s="256"/>
      <c r="N910" s="256"/>
      <c r="O910" s="256"/>
      <c r="P910" s="256"/>
      <c r="Q910" s="256"/>
      <c r="R910" s="256"/>
      <c r="S910" s="256"/>
      <c r="T910" s="256"/>
      <c r="U910" s="256"/>
      <c r="V910" s="256"/>
      <c r="W910" s="256"/>
      <c r="X910" s="256"/>
      <c r="Y910" s="256"/>
      <c r="Z910" s="256"/>
      <c r="AA910" s="256"/>
      <c r="AB910" s="256"/>
      <c r="AC910" s="256"/>
      <c r="AD910" s="256"/>
      <c r="AE910" s="256"/>
      <c r="AF910" s="256"/>
      <c r="AG910" s="256"/>
      <c r="AH910" s="256"/>
      <c r="AI910" s="256"/>
      <c r="AJ910" s="256"/>
      <c r="AK910" s="256"/>
      <c r="AL910" s="256"/>
      <c r="AM910" s="256"/>
      <c r="AN910" s="256"/>
      <c r="AO910" s="256"/>
      <c r="AP910" s="256"/>
      <c r="AQ910" s="256"/>
      <c r="AR910" s="256"/>
    </row>
    <row r="911">
      <c r="A911" s="256"/>
      <c r="B911" s="256"/>
      <c r="C911" s="257"/>
      <c r="D911" s="257"/>
      <c r="E911" s="257"/>
      <c r="F911" s="257"/>
      <c r="G911" s="257"/>
      <c r="H911" s="257"/>
      <c r="I911" s="256"/>
      <c r="J911" s="256"/>
      <c r="K911" s="256"/>
      <c r="L911" s="256"/>
      <c r="M911" s="256"/>
      <c r="N911" s="256"/>
      <c r="O911" s="256"/>
      <c r="P911" s="256"/>
      <c r="Q911" s="256"/>
      <c r="R911" s="256"/>
      <c r="S911" s="256"/>
      <c r="T911" s="256"/>
      <c r="U911" s="256"/>
      <c r="V911" s="256"/>
      <c r="W911" s="256"/>
      <c r="X911" s="256"/>
      <c r="Y911" s="256"/>
      <c r="Z911" s="256"/>
      <c r="AA911" s="256"/>
      <c r="AB911" s="256"/>
      <c r="AC911" s="256"/>
      <c r="AD911" s="256"/>
      <c r="AE911" s="256"/>
      <c r="AF911" s="256"/>
      <c r="AG911" s="256"/>
      <c r="AH911" s="256"/>
      <c r="AI911" s="256"/>
      <c r="AJ911" s="256"/>
      <c r="AK911" s="256"/>
      <c r="AL911" s="256"/>
      <c r="AM911" s="256"/>
      <c r="AN911" s="256"/>
      <c r="AO911" s="256"/>
      <c r="AP911" s="256"/>
      <c r="AQ911" s="256"/>
      <c r="AR911" s="256"/>
    </row>
    <row r="912">
      <c r="A912" s="256"/>
      <c r="B912" s="256"/>
      <c r="C912" s="257"/>
      <c r="D912" s="257"/>
      <c r="E912" s="257"/>
      <c r="F912" s="257"/>
      <c r="G912" s="257"/>
      <c r="H912" s="257"/>
      <c r="I912" s="256"/>
      <c r="J912" s="256"/>
      <c r="K912" s="256"/>
      <c r="L912" s="256"/>
      <c r="M912" s="256"/>
      <c r="N912" s="256"/>
      <c r="O912" s="256"/>
      <c r="P912" s="256"/>
      <c r="Q912" s="256"/>
      <c r="R912" s="256"/>
      <c r="S912" s="256"/>
      <c r="T912" s="256"/>
      <c r="U912" s="256"/>
      <c r="V912" s="256"/>
      <c r="W912" s="256"/>
      <c r="X912" s="256"/>
      <c r="Y912" s="256"/>
      <c r="Z912" s="256"/>
      <c r="AA912" s="256"/>
      <c r="AB912" s="256"/>
      <c r="AC912" s="256"/>
      <c r="AD912" s="256"/>
      <c r="AE912" s="256"/>
      <c r="AF912" s="256"/>
      <c r="AG912" s="256"/>
      <c r="AH912" s="256"/>
      <c r="AI912" s="256"/>
      <c r="AJ912" s="256"/>
      <c r="AK912" s="256"/>
      <c r="AL912" s="256"/>
      <c r="AM912" s="256"/>
      <c r="AN912" s="256"/>
      <c r="AO912" s="256"/>
      <c r="AP912" s="256"/>
      <c r="AQ912" s="256"/>
      <c r="AR912" s="256"/>
    </row>
    <row r="913">
      <c r="A913" s="256"/>
      <c r="B913" s="256"/>
      <c r="C913" s="257"/>
      <c r="D913" s="257"/>
      <c r="E913" s="257"/>
      <c r="F913" s="257"/>
      <c r="G913" s="257"/>
      <c r="H913" s="257"/>
      <c r="I913" s="256"/>
      <c r="J913" s="256"/>
      <c r="K913" s="256"/>
      <c r="L913" s="256"/>
      <c r="M913" s="256"/>
      <c r="N913" s="256"/>
      <c r="O913" s="256"/>
      <c r="P913" s="256"/>
      <c r="Q913" s="256"/>
      <c r="R913" s="256"/>
      <c r="S913" s="256"/>
      <c r="T913" s="256"/>
      <c r="U913" s="256"/>
      <c r="V913" s="256"/>
      <c r="W913" s="256"/>
      <c r="X913" s="256"/>
      <c r="Y913" s="256"/>
      <c r="Z913" s="256"/>
      <c r="AA913" s="256"/>
      <c r="AB913" s="256"/>
      <c r="AC913" s="256"/>
      <c r="AD913" s="256"/>
      <c r="AE913" s="256"/>
      <c r="AF913" s="256"/>
      <c r="AG913" s="256"/>
      <c r="AH913" s="256"/>
      <c r="AI913" s="256"/>
      <c r="AJ913" s="256"/>
      <c r="AK913" s="256"/>
      <c r="AL913" s="256"/>
      <c r="AM913" s="256"/>
      <c r="AN913" s="256"/>
      <c r="AO913" s="256"/>
      <c r="AP913" s="256"/>
      <c r="AQ913" s="256"/>
      <c r="AR913" s="256"/>
    </row>
    <row r="914">
      <c r="A914" s="256"/>
      <c r="B914" s="256"/>
      <c r="C914" s="257"/>
      <c r="D914" s="257"/>
      <c r="E914" s="257"/>
      <c r="F914" s="257"/>
      <c r="G914" s="257"/>
      <c r="H914" s="257"/>
      <c r="I914" s="256"/>
      <c r="J914" s="256"/>
      <c r="K914" s="256"/>
      <c r="L914" s="256"/>
      <c r="M914" s="256"/>
      <c r="N914" s="256"/>
      <c r="O914" s="256"/>
      <c r="P914" s="256"/>
      <c r="Q914" s="256"/>
      <c r="R914" s="256"/>
      <c r="S914" s="256"/>
      <c r="T914" s="256"/>
      <c r="U914" s="256"/>
      <c r="V914" s="256"/>
      <c r="W914" s="256"/>
      <c r="X914" s="256"/>
      <c r="Y914" s="256"/>
      <c r="Z914" s="256"/>
      <c r="AA914" s="256"/>
      <c r="AB914" s="256"/>
      <c r="AC914" s="256"/>
      <c r="AD914" s="256"/>
      <c r="AE914" s="256"/>
      <c r="AF914" s="256"/>
      <c r="AG914" s="256"/>
      <c r="AH914" s="256"/>
      <c r="AI914" s="256"/>
      <c r="AJ914" s="256"/>
      <c r="AK914" s="256"/>
      <c r="AL914" s="256"/>
      <c r="AM914" s="256"/>
      <c r="AN914" s="256"/>
      <c r="AO914" s="256"/>
      <c r="AP914" s="256"/>
      <c r="AQ914" s="256"/>
      <c r="AR914" s="256"/>
    </row>
    <row r="915">
      <c r="A915" s="256"/>
      <c r="B915" s="256"/>
      <c r="C915" s="257"/>
      <c r="D915" s="257"/>
      <c r="E915" s="257"/>
      <c r="F915" s="257"/>
      <c r="G915" s="257"/>
      <c r="H915" s="257"/>
      <c r="I915" s="256"/>
      <c r="J915" s="256"/>
      <c r="K915" s="256"/>
      <c r="L915" s="256"/>
      <c r="M915" s="256"/>
      <c r="N915" s="256"/>
      <c r="O915" s="256"/>
      <c r="P915" s="256"/>
      <c r="Q915" s="256"/>
      <c r="R915" s="256"/>
      <c r="S915" s="256"/>
      <c r="T915" s="256"/>
      <c r="U915" s="256"/>
      <c r="V915" s="256"/>
      <c r="W915" s="256"/>
      <c r="X915" s="256"/>
      <c r="Y915" s="256"/>
      <c r="Z915" s="256"/>
      <c r="AA915" s="256"/>
      <c r="AB915" s="256"/>
      <c r="AC915" s="256"/>
      <c r="AD915" s="256"/>
      <c r="AE915" s="256"/>
      <c r="AF915" s="256"/>
      <c r="AG915" s="256"/>
      <c r="AH915" s="256"/>
      <c r="AI915" s="256"/>
      <c r="AJ915" s="256"/>
      <c r="AK915" s="256"/>
      <c r="AL915" s="256"/>
      <c r="AM915" s="256"/>
      <c r="AN915" s="256"/>
      <c r="AO915" s="256"/>
      <c r="AP915" s="256"/>
      <c r="AQ915" s="256"/>
      <c r="AR915" s="256"/>
    </row>
    <row r="916">
      <c r="A916" s="256"/>
      <c r="B916" s="256"/>
      <c r="C916" s="257"/>
      <c r="D916" s="257"/>
      <c r="E916" s="257"/>
      <c r="F916" s="257"/>
      <c r="G916" s="257"/>
      <c r="H916" s="257"/>
      <c r="I916" s="256"/>
      <c r="J916" s="256"/>
      <c r="K916" s="256"/>
      <c r="L916" s="256"/>
      <c r="M916" s="256"/>
      <c r="N916" s="256"/>
      <c r="O916" s="256"/>
      <c r="P916" s="256"/>
      <c r="Q916" s="256"/>
      <c r="R916" s="256"/>
      <c r="S916" s="256"/>
      <c r="T916" s="256"/>
      <c r="U916" s="256"/>
      <c r="V916" s="256"/>
      <c r="W916" s="256"/>
      <c r="X916" s="256"/>
      <c r="Y916" s="256"/>
      <c r="Z916" s="256"/>
      <c r="AA916" s="256"/>
      <c r="AB916" s="256"/>
      <c r="AC916" s="256"/>
      <c r="AD916" s="256"/>
      <c r="AE916" s="256"/>
      <c r="AF916" s="256"/>
      <c r="AG916" s="256"/>
      <c r="AH916" s="256"/>
      <c r="AI916" s="256"/>
      <c r="AJ916" s="256"/>
      <c r="AK916" s="256"/>
      <c r="AL916" s="256"/>
      <c r="AM916" s="256"/>
      <c r="AN916" s="256"/>
      <c r="AO916" s="256"/>
      <c r="AP916" s="256"/>
      <c r="AQ916" s="256"/>
      <c r="AR916" s="256"/>
    </row>
    <row r="917">
      <c r="A917" s="256"/>
      <c r="B917" s="256"/>
      <c r="C917" s="257"/>
      <c r="D917" s="257"/>
      <c r="E917" s="257"/>
      <c r="F917" s="257"/>
      <c r="G917" s="257"/>
      <c r="H917" s="257"/>
      <c r="I917" s="256"/>
      <c r="J917" s="256"/>
      <c r="K917" s="256"/>
      <c r="L917" s="256"/>
      <c r="M917" s="256"/>
      <c r="N917" s="256"/>
      <c r="O917" s="256"/>
      <c r="P917" s="256"/>
      <c r="Q917" s="256"/>
      <c r="R917" s="256"/>
      <c r="S917" s="256"/>
      <c r="T917" s="256"/>
      <c r="U917" s="256"/>
      <c r="V917" s="256"/>
      <c r="W917" s="256"/>
      <c r="X917" s="256"/>
      <c r="Y917" s="256"/>
      <c r="Z917" s="256"/>
      <c r="AA917" s="256"/>
      <c r="AB917" s="256"/>
      <c r="AC917" s="256"/>
      <c r="AD917" s="256"/>
      <c r="AE917" s="256"/>
      <c r="AF917" s="256"/>
      <c r="AG917" s="256"/>
      <c r="AH917" s="256"/>
      <c r="AI917" s="256"/>
      <c r="AJ917" s="256"/>
      <c r="AK917" s="256"/>
      <c r="AL917" s="256"/>
      <c r="AM917" s="256"/>
      <c r="AN917" s="256"/>
      <c r="AO917" s="256"/>
      <c r="AP917" s="256"/>
      <c r="AQ917" s="256"/>
      <c r="AR917" s="256"/>
    </row>
    <row r="918">
      <c r="A918" s="256"/>
      <c r="B918" s="256"/>
      <c r="C918" s="257"/>
      <c r="D918" s="257"/>
      <c r="E918" s="257"/>
      <c r="F918" s="257"/>
      <c r="G918" s="257"/>
      <c r="H918" s="257"/>
      <c r="I918" s="256"/>
      <c r="J918" s="256"/>
      <c r="K918" s="256"/>
      <c r="L918" s="256"/>
      <c r="M918" s="256"/>
      <c r="N918" s="256"/>
      <c r="O918" s="256"/>
      <c r="P918" s="256"/>
      <c r="Q918" s="256"/>
      <c r="R918" s="256"/>
      <c r="S918" s="256"/>
      <c r="T918" s="256"/>
      <c r="U918" s="256"/>
      <c r="V918" s="256"/>
      <c r="W918" s="256"/>
      <c r="X918" s="256"/>
      <c r="Y918" s="256"/>
      <c r="Z918" s="256"/>
      <c r="AA918" s="256"/>
      <c r="AB918" s="256"/>
      <c r="AC918" s="256"/>
      <c r="AD918" s="256"/>
      <c r="AE918" s="256"/>
      <c r="AF918" s="256"/>
      <c r="AG918" s="256"/>
      <c r="AH918" s="256"/>
      <c r="AI918" s="256"/>
      <c r="AJ918" s="256"/>
      <c r="AK918" s="256"/>
      <c r="AL918" s="256"/>
      <c r="AM918" s="256"/>
      <c r="AN918" s="256"/>
      <c r="AO918" s="256"/>
      <c r="AP918" s="256"/>
      <c r="AQ918" s="256"/>
      <c r="AR918" s="256"/>
    </row>
    <row r="919">
      <c r="A919" s="256"/>
      <c r="B919" s="256"/>
      <c r="C919" s="257"/>
      <c r="D919" s="257"/>
      <c r="E919" s="257"/>
      <c r="F919" s="257"/>
      <c r="G919" s="257"/>
      <c r="H919" s="257"/>
      <c r="I919" s="256"/>
      <c r="J919" s="256"/>
      <c r="K919" s="256"/>
      <c r="L919" s="256"/>
      <c r="M919" s="256"/>
      <c r="N919" s="256"/>
      <c r="O919" s="256"/>
      <c r="P919" s="256"/>
      <c r="Q919" s="256"/>
      <c r="R919" s="256"/>
      <c r="S919" s="256"/>
      <c r="T919" s="256"/>
      <c r="U919" s="256"/>
      <c r="V919" s="256"/>
      <c r="W919" s="256"/>
      <c r="X919" s="256"/>
      <c r="Y919" s="256"/>
      <c r="Z919" s="256"/>
      <c r="AA919" s="256"/>
      <c r="AB919" s="256"/>
      <c r="AC919" s="256"/>
      <c r="AD919" s="256"/>
      <c r="AE919" s="256"/>
      <c r="AF919" s="256"/>
      <c r="AG919" s="256"/>
      <c r="AH919" s="256"/>
      <c r="AI919" s="256"/>
      <c r="AJ919" s="256"/>
      <c r="AK919" s="256"/>
      <c r="AL919" s="256"/>
      <c r="AM919" s="256"/>
      <c r="AN919" s="256"/>
      <c r="AO919" s="256"/>
      <c r="AP919" s="256"/>
      <c r="AQ919" s="256"/>
      <c r="AR919" s="256"/>
    </row>
    <row r="920">
      <c r="A920" s="256"/>
      <c r="B920" s="256"/>
      <c r="C920" s="257"/>
      <c r="D920" s="257"/>
      <c r="E920" s="257"/>
      <c r="F920" s="257"/>
      <c r="G920" s="257"/>
      <c r="H920" s="257"/>
      <c r="I920" s="256"/>
      <c r="J920" s="256"/>
      <c r="K920" s="256"/>
      <c r="L920" s="256"/>
      <c r="M920" s="256"/>
      <c r="N920" s="256"/>
      <c r="O920" s="256"/>
      <c r="P920" s="256"/>
      <c r="Q920" s="256"/>
      <c r="R920" s="256"/>
      <c r="S920" s="256"/>
      <c r="T920" s="256"/>
      <c r="U920" s="256"/>
      <c r="V920" s="256"/>
      <c r="W920" s="256"/>
      <c r="X920" s="256"/>
      <c r="Y920" s="256"/>
      <c r="Z920" s="256"/>
      <c r="AA920" s="256"/>
      <c r="AB920" s="256"/>
      <c r="AC920" s="256"/>
      <c r="AD920" s="256"/>
      <c r="AE920" s="256"/>
      <c r="AF920" s="256"/>
      <c r="AG920" s="256"/>
      <c r="AH920" s="256"/>
      <c r="AI920" s="256"/>
      <c r="AJ920" s="256"/>
      <c r="AK920" s="256"/>
      <c r="AL920" s="256"/>
      <c r="AM920" s="256"/>
      <c r="AN920" s="256"/>
      <c r="AO920" s="256"/>
      <c r="AP920" s="256"/>
      <c r="AQ920" s="256"/>
      <c r="AR920" s="256"/>
    </row>
    <row r="921">
      <c r="A921" s="256"/>
      <c r="B921" s="256"/>
      <c r="C921" s="257"/>
      <c r="D921" s="257"/>
      <c r="E921" s="257"/>
      <c r="F921" s="257"/>
      <c r="G921" s="257"/>
      <c r="H921" s="257"/>
      <c r="I921" s="256"/>
      <c r="J921" s="256"/>
      <c r="K921" s="256"/>
      <c r="L921" s="256"/>
      <c r="M921" s="256"/>
      <c r="N921" s="256"/>
      <c r="O921" s="256"/>
      <c r="P921" s="256"/>
      <c r="Q921" s="256"/>
      <c r="R921" s="256"/>
      <c r="S921" s="256"/>
      <c r="T921" s="256"/>
      <c r="U921" s="256"/>
      <c r="V921" s="256"/>
      <c r="W921" s="256"/>
      <c r="X921" s="256"/>
      <c r="Y921" s="256"/>
      <c r="Z921" s="256"/>
      <c r="AA921" s="256"/>
      <c r="AB921" s="256"/>
      <c r="AC921" s="256"/>
      <c r="AD921" s="256"/>
      <c r="AE921" s="256"/>
      <c r="AF921" s="256"/>
      <c r="AG921" s="256"/>
      <c r="AH921" s="256"/>
      <c r="AI921" s="256"/>
      <c r="AJ921" s="256"/>
      <c r="AK921" s="256"/>
      <c r="AL921" s="256"/>
      <c r="AM921" s="256"/>
      <c r="AN921" s="256"/>
      <c r="AO921" s="256"/>
      <c r="AP921" s="256"/>
      <c r="AQ921" s="256"/>
      <c r="AR921" s="256"/>
    </row>
    <row r="922">
      <c r="A922" s="256"/>
      <c r="B922" s="256"/>
      <c r="C922" s="257"/>
      <c r="D922" s="257"/>
      <c r="E922" s="257"/>
      <c r="F922" s="257"/>
      <c r="G922" s="257"/>
      <c r="H922" s="257"/>
      <c r="I922" s="256"/>
      <c r="J922" s="256"/>
      <c r="K922" s="256"/>
      <c r="L922" s="256"/>
      <c r="M922" s="256"/>
      <c r="N922" s="256"/>
      <c r="O922" s="256"/>
      <c r="P922" s="256"/>
      <c r="Q922" s="256"/>
      <c r="R922" s="256"/>
      <c r="S922" s="256"/>
      <c r="T922" s="256"/>
      <c r="U922" s="256"/>
      <c r="V922" s="256"/>
      <c r="W922" s="256"/>
      <c r="X922" s="256"/>
      <c r="Y922" s="256"/>
      <c r="Z922" s="256"/>
      <c r="AA922" s="256"/>
      <c r="AB922" s="256"/>
      <c r="AC922" s="256"/>
      <c r="AD922" s="256"/>
      <c r="AE922" s="256"/>
      <c r="AF922" s="256"/>
      <c r="AG922" s="256"/>
      <c r="AH922" s="256"/>
      <c r="AI922" s="256"/>
      <c r="AJ922" s="256"/>
      <c r="AK922" s="256"/>
      <c r="AL922" s="256"/>
      <c r="AM922" s="256"/>
      <c r="AN922" s="256"/>
      <c r="AO922" s="256"/>
      <c r="AP922" s="256"/>
      <c r="AQ922" s="256"/>
      <c r="AR922" s="256"/>
    </row>
    <row r="923">
      <c r="A923" s="256"/>
      <c r="B923" s="256"/>
      <c r="C923" s="257"/>
      <c r="D923" s="257"/>
      <c r="E923" s="257"/>
      <c r="F923" s="257"/>
      <c r="G923" s="257"/>
      <c r="H923" s="257"/>
      <c r="I923" s="256"/>
      <c r="J923" s="256"/>
      <c r="K923" s="256"/>
      <c r="L923" s="256"/>
      <c r="M923" s="256"/>
      <c r="N923" s="256"/>
      <c r="O923" s="256"/>
      <c r="P923" s="256"/>
      <c r="Q923" s="256"/>
      <c r="R923" s="256"/>
      <c r="S923" s="256"/>
      <c r="T923" s="256"/>
      <c r="U923" s="256"/>
      <c r="V923" s="256"/>
      <c r="W923" s="256"/>
      <c r="X923" s="256"/>
      <c r="Y923" s="256"/>
      <c r="Z923" s="256"/>
      <c r="AA923" s="256"/>
      <c r="AB923" s="256"/>
      <c r="AC923" s="256"/>
      <c r="AD923" s="256"/>
      <c r="AE923" s="256"/>
      <c r="AF923" s="256"/>
      <c r="AG923" s="256"/>
      <c r="AH923" s="256"/>
      <c r="AI923" s="256"/>
      <c r="AJ923" s="256"/>
      <c r="AK923" s="256"/>
      <c r="AL923" s="256"/>
      <c r="AM923" s="256"/>
      <c r="AN923" s="256"/>
      <c r="AO923" s="256"/>
      <c r="AP923" s="256"/>
      <c r="AQ923" s="256"/>
      <c r="AR923" s="256"/>
    </row>
    <row r="924">
      <c r="A924" s="256"/>
      <c r="B924" s="256"/>
      <c r="C924" s="257"/>
      <c r="D924" s="257"/>
      <c r="E924" s="257"/>
      <c r="F924" s="257"/>
      <c r="G924" s="257"/>
      <c r="H924" s="257"/>
      <c r="I924" s="256"/>
      <c r="J924" s="256"/>
      <c r="K924" s="256"/>
      <c r="L924" s="256"/>
      <c r="M924" s="256"/>
      <c r="N924" s="256"/>
      <c r="O924" s="256"/>
      <c r="P924" s="256"/>
      <c r="Q924" s="256"/>
      <c r="R924" s="256"/>
      <c r="S924" s="256"/>
      <c r="T924" s="256"/>
      <c r="U924" s="256"/>
      <c r="V924" s="256"/>
      <c r="W924" s="256"/>
      <c r="X924" s="256"/>
      <c r="Y924" s="256"/>
      <c r="Z924" s="256"/>
      <c r="AA924" s="256"/>
      <c r="AB924" s="256"/>
      <c r="AC924" s="256"/>
      <c r="AD924" s="256"/>
      <c r="AE924" s="256"/>
      <c r="AF924" s="256"/>
      <c r="AG924" s="256"/>
      <c r="AH924" s="256"/>
      <c r="AI924" s="256"/>
      <c r="AJ924" s="256"/>
      <c r="AK924" s="256"/>
      <c r="AL924" s="256"/>
      <c r="AM924" s="256"/>
      <c r="AN924" s="256"/>
      <c r="AO924" s="256"/>
      <c r="AP924" s="256"/>
      <c r="AQ924" s="256"/>
      <c r="AR924" s="256"/>
    </row>
    <row r="925">
      <c r="A925" s="256"/>
      <c r="B925" s="256"/>
      <c r="C925" s="257"/>
      <c r="D925" s="257"/>
      <c r="E925" s="257"/>
      <c r="F925" s="257"/>
      <c r="G925" s="257"/>
      <c r="H925" s="257"/>
      <c r="I925" s="256"/>
      <c r="J925" s="256"/>
      <c r="K925" s="256"/>
      <c r="L925" s="256"/>
      <c r="M925" s="256"/>
      <c r="N925" s="256"/>
      <c r="O925" s="256"/>
      <c r="P925" s="256"/>
      <c r="Q925" s="256"/>
      <c r="R925" s="256"/>
      <c r="S925" s="256"/>
      <c r="T925" s="256"/>
      <c r="U925" s="256"/>
      <c r="V925" s="256"/>
      <c r="W925" s="256"/>
      <c r="X925" s="256"/>
      <c r="Y925" s="256"/>
      <c r="Z925" s="256"/>
      <c r="AA925" s="256"/>
      <c r="AB925" s="256"/>
      <c r="AC925" s="256"/>
      <c r="AD925" s="256"/>
      <c r="AE925" s="256"/>
      <c r="AF925" s="256"/>
      <c r="AG925" s="256"/>
      <c r="AH925" s="256"/>
      <c r="AI925" s="256"/>
      <c r="AJ925" s="256"/>
      <c r="AK925" s="256"/>
      <c r="AL925" s="256"/>
      <c r="AM925" s="256"/>
      <c r="AN925" s="256"/>
      <c r="AO925" s="256"/>
      <c r="AP925" s="256"/>
      <c r="AQ925" s="256"/>
      <c r="AR925" s="256"/>
    </row>
    <row r="926">
      <c r="A926" s="256"/>
      <c r="B926" s="256"/>
      <c r="C926" s="257"/>
      <c r="D926" s="257"/>
      <c r="E926" s="257"/>
      <c r="F926" s="257"/>
      <c r="G926" s="257"/>
      <c r="H926" s="257"/>
      <c r="I926" s="256"/>
      <c r="J926" s="256"/>
      <c r="K926" s="256"/>
      <c r="L926" s="256"/>
      <c r="M926" s="256"/>
      <c r="N926" s="256"/>
      <c r="O926" s="256"/>
      <c r="P926" s="256"/>
      <c r="Q926" s="256"/>
      <c r="R926" s="256"/>
      <c r="S926" s="256"/>
      <c r="T926" s="256"/>
      <c r="U926" s="256"/>
      <c r="V926" s="256"/>
      <c r="W926" s="256"/>
      <c r="X926" s="256"/>
      <c r="Y926" s="256"/>
      <c r="Z926" s="256"/>
      <c r="AA926" s="256"/>
      <c r="AB926" s="256"/>
      <c r="AC926" s="256"/>
      <c r="AD926" s="256"/>
      <c r="AE926" s="256"/>
      <c r="AF926" s="256"/>
      <c r="AG926" s="256"/>
      <c r="AH926" s="256"/>
      <c r="AI926" s="256"/>
      <c r="AJ926" s="256"/>
      <c r="AK926" s="256"/>
      <c r="AL926" s="256"/>
      <c r="AM926" s="256"/>
      <c r="AN926" s="256"/>
      <c r="AO926" s="256"/>
      <c r="AP926" s="256"/>
      <c r="AQ926" s="256"/>
      <c r="AR926" s="256"/>
    </row>
    <row r="927">
      <c r="A927" s="256"/>
      <c r="B927" s="256"/>
      <c r="C927" s="257"/>
      <c r="D927" s="257"/>
      <c r="E927" s="257"/>
      <c r="F927" s="257"/>
      <c r="G927" s="257"/>
      <c r="H927" s="257"/>
      <c r="I927" s="256"/>
      <c r="J927" s="256"/>
      <c r="K927" s="256"/>
      <c r="L927" s="256"/>
      <c r="M927" s="256"/>
      <c r="N927" s="256"/>
      <c r="O927" s="256"/>
      <c r="P927" s="256"/>
      <c r="Q927" s="256"/>
      <c r="R927" s="256"/>
      <c r="S927" s="256"/>
      <c r="T927" s="256"/>
      <c r="U927" s="256"/>
      <c r="V927" s="256"/>
      <c r="W927" s="256"/>
      <c r="X927" s="256"/>
      <c r="Y927" s="256"/>
      <c r="Z927" s="256"/>
      <c r="AA927" s="256"/>
      <c r="AB927" s="256"/>
      <c r="AC927" s="256"/>
      <c r="AD927" s="256"/>
      <c r="AE927" s="256"/>
      <c r="AF927" s="256"/>
      <c r="AG927" s="256"/>
      <c r="AH927" s="256"/>
      <c r="AI927" s="256"/>
      <c r="AJ927" s="256"/>
      <c r="AK927" s="256"/>
      <c r="AL927" s="256"/>
      <c r="AM927" s="256"/>
      <c r="AN927" s="256"/>
      <c r="AO927" s="256"/>
      <c r="AP927" s="256"/>
      <c r="AQ927" s="256"/>
      <c r="AR927" s="256"/>
    </row>
    <row r="928">
      <c r="A928" s="256"/>
      <c r="B928" s="256"/>
      <c r="C928" s="257"/>
      <c r="D928" s="257"/>
      <c r="E928" s="257"/>
      <c r="F928" s="257"/>
      <c r="G928" s="257"/>
      <c r="H928" s="257"/>
      <c r="I928" s="256"/>
      <c r="J928" s="256"/>
      <c r="K928" s="256"/>
      <c r="L928" s="256"/>
      <c r="M928" s="256"/>
      <c r="N928" s="256"/>
      <c r="O928" s="256"/>
      <c r="P928" s="256"/>
      <c r="Q928" s="256"/>
      <c r="R928" s="256"/>
      <c r="S928" s="256"/>
      <c r="T928" s="256"/>
      <c r="U928" s="256"/>
      <c r="V928" s="256"/>
      <c r="W928" s="256"/>
      <c r="X928" s="256"/>
      <c r="Y928" s="256"/>
      <c r="Z928" s="256"/>
      <c r="AA928" s="256"/>
      <c r="AB928" s="256"/>
      <c r="AC928" s="256"/>
      <c r="AD928" s="256"/>
      <c r="AE928" s="256"/>
      <c r="AF928" s="256"/>
      <c r="AG928" s="256"/>
      <c r="AH928" s="256"/>
      <c r="AI928" s="256"/>
      <c r="AJ928" s="256"/>
      <c r="AK928" s="256"/>
      <c r="AL928" s="256"/>
      <c r="AM928" s="256"/>
      <c r="AN928" s="256"/>
      <c r="AO928" s="256"/>
      <c r="AP928" s="256"/>
      <c r="AQ928" s="256"/>
      <c r="AR928" s="256"/>
    </row>
    <row r="929">
      <c r="A929" s="256"/>
      <c r="B929" s="256"/>
      <c r="C929" s="257"/>
      <c r="D929" s="257"/>
      <c r="E929" s="257"/>
      <c r="F929" s="257"/>
      <c r="G929" s="257"/>
      <c r="H929" s="257"/>
      <c r="I929" s="256"/>
      <c r="J929" s="256"/>
      <c r="K929" s="256"/>
      <c r="L929" s="256"/>
      <c r="M929" s="256"/>
      <c r="N929" s="256"/>
      <c r="O929" s="256"/>
      <c r="P929" s="256"/>
      <c r="Q929" s="256"/>
      <c r="R929" s="256"/>
      <c r="S929" s="256"/>
      <c r="T929" s="256"/>
      <c r="U929" s="256"/>
      <c r="V929" s="256"/>
      <c r="W929" s="256"/>
      <c r="X929" s="256"/>
      <c r="Y929" s="256"/>
      <c r="Z929" s="256"/>
      <c r="AA929" s="256"/>
      <c r="AB929" s="256"/>
      <c r="AC929" s="256"/>
      <c r="AD929" s="256"/>
      <c r="AE929" s="256"/>
      <c r="AF929" s="256"/>
      <c r="AG929" s="256"/>
      <c r="AH929" s="256"/>
      <c r="AI929" s="256"/>
      <c r="AJ929" s="256"/>
      <c r="AK929" s="256"/>
      <c r="AL929" s="256"/>
      <c r="AM929" s="256"/>
      <c r="AN929" s="256"/>
      <c r="AO929" s="256"/>
      <c r="AP929" s="256"/>
      <c r="AQ929" s="256"/>
      <c r="AR929" s="256"/>
    </row>
    <row r="930">
      <c r="A930" s="256"/>
      <c r="B930" s="256"/>
      <c r="C930" s="257"/>
      <c r="D930" s="257"/>
      <c r="E930" s="257"/>
      <c r="F930" s="257"/>
      <c r="G930" s="257"/>
      <c r="H930" s="257"/>
      <c r="I930" s="256"/>
      <c r="J930" s="256"/>
      <c r="K930" s="256"/>
      <c r="L930" s="256"/>
      <c r="M930" s="256"/>
      <c r="N930" s="256"/>
      <c r="O930" s="256"/>
      <c r="P930" s="256"/>
      <c r="Q930" s="256"/>
      <c r="R930" s="256"/>
      <c r="S930" s="256"/>
      <c r="T930" s="256"/>
      <c r="U930" s="256"/>
      <c r="V930" s="256"/>
      <c r="W930" s="256"/>
      <c r="X930" s="256"/>
      <c r="Y930" s="256"/>
      <c r="Z930" s="256"/>
      <c r="AA930" s="256"/>
      <c r="AB930" s="256"/>
      <c r="AC930" s="256"/>
      <c r="AD930" s="256"/>
      <c r="AE930" s="256"/>
      <c r="AF930" s="256"/>
      <c r="AG930" s="256"/>
      <c r="AH930" s="256"/>
      <c r="AI930" s="256"/>
      <c r="AJ930" s="256"/>
      <c r="AK930" s="256"/>
      <c r="AL930" s="256"/>
      <c r="AM930" s="256"/>
      <c r="AN930" s="256"/>
      <c r="AO930" s="256"/>
      <c r="AP930" s="256"/>
      <c r="AQ930" s="256"/>
      <c r="AR930" s="256"/>
    </row>
    <row r="931">
      <c r="A931" s="256"/>
      <c r="B931" s="256"/>
      <c r="C931" s="257"/>
      <c r="D931" s="257"/>
      <c r="E931" s="257"/>
      <c r="F931" s="257"/>
      <c r="G931" s="257"/>
      <c r="H931" s="257"/>
      <c r="I931" s="256"/>
      <c r="J931" s="256"/>
      <c r="K931" s="256"/>
      <c r="L931" s="256"/>
      <c r="M931" s="256"/>
      <c r="N931" s="256"/>
      <c r="O931" s="256"/>
      <c r="P931" s="256"/>
      <c r="Q931" s="256"/>
      <c r="R931" s="256"/>
      <c r="S931" s="256"/>
      <c r="T931" s="256"/>
      <c r="U931" s="256"/>
      <c r="V931" s="256"/>
      <c r="W931" s="256"/>
      <c r="X931" s="256"/>
      <c r="Y931" s="256"/>
      <c r="Z931" s="256"/>
      <c r="AA931" s="256"/>
      <c r="AB931" s="256"/>
      <c r="AC931" s="256"/>
      <c r="AD931" s="256"/>
      <c r="AE931" s="256"/>
      <c r="AF931" s="256"/>
      <c r="AG931" s="256"/>
      <c r="AH931" s="256"/>
      <c r="AI931" s="256"/>
      <c r="AJ931" s="256"/>
      <c r="AK931" s="256"/>
      <c r="AL931" s="256"/>
      <c r="AM931" s="256"/>
      <c r="AN931" s="256"/>
      <c r="AO931" s="256"/>
      <c r="AP931" s="256"/>
      <c r="AQ931" s="256"/>
      <c r="AR931" s="256"/>
    </row>
    <row r="932">
      <c r="A932" s="256"/>
      <c r="B932" s="256"/>
      <c r="C932" s="257"/>
      <c r="D932" s="257"/>
      <c r="E932" s="257"/>
      <c r="F932" s="257"/>
      <c r="G932" s="257"/>
      <c r="H932" s="257"/>
      <c r="I932" s="256"/>
      <c r="J932" s="256"/>
      <c r="K932" s="256"/>
      <c r="L932" s="256"/>
      <c r="M932" s="256"/>
      <c r="N932" s="256"/>
      <c r="O932" s="256"/>
      <c r="P932" s="256"/>
      <c r="Q932" s="256"/>
      <c r="R932" s="256"/>
      <c r="S932" s="256"/>
      <c r="T932" s="256"/>
      <c r="U932" s="256"/>
      <c r="V932" s="256"/>
      <c r="W932" s="256"/>
      <c r="X932" s="256"/>
      <c r="Y932" s="256"/>
      <c r="Z932" s="256"/>
      <c r="AA932" s="256"/>
      <c r="AB932" s="256"/>
      <c r="AC932" s="256"/>
      <c r="AD932" s="256"/>
      <c r="AE932" s="256"/>
      <c r="AF932" s="256"/>
      <c r="AG932" s="256"/>
      <c r="AH932" s="256"/>
      <c r="AI932" s="256"/>
      <c r="AJ932" s="256"/>
      <c r="AK932" s="256"/>
      <c r="AL932" s="256"/>
      <c r="AM932" s="256"/>
      <c r="AN932" s="256"/>
      <c r="AO932" s="256"/>
      <c r="AP932" s="256"/>
      <c r="AQ932" s="256"/>
      <c r="AR932" s="256"/>
    </row>
    <row r="933">
      <c r="A933" s="256"/>
      <c r="B933" s="256"/>
      <c r="C933" s="257"/>
      <c r="D933" s="257"/>
      <c r="E933" s="257"/>
      <c r="F933" s="257"/>
      <c r="G933" s="257"/>
      <c r="H933" s="257"/>
      <c r="I933" s="256"/>
      <c r="J933" s="256"/>
      <c r="K933" s="256"/>
      <c r="L933" s="256"/>
      <c r="M933" s="256"/>
      <c r="N933" s="256"/>
      <c r="O933" s="256"/>
      <c r="P933" s="256"/>
      <c r="Q933" s="256"/>
      <c r="R933" s="256"/>
      <c r="S933" s="256"/>
      <c r="T933" s="256"/>
      <c r="U933" s="256"/>
      <c r="V933" s="256"/>
      <c r="W933" s="256"/>
      <c r="X933" s="256"/>
      <c r="Y933" s="256"/>
      <c r="Z933" s="256"/>
      <c r="AA933" s="256"/>
      <c r="AB933" s="256"/>
      <c r="AC933" s="256"/>
      <c r="AD933" s="256"/>
      <c r="AE933" s="256"/>
      <c r="AF933" s="256"/>
      <c r="AG933" s="256"/>
      <c r="AH933" s="256"/>
      <c r="AI933" s="256"/>
      <c r="AJ933" s="256"/>
      <c r="AK933" s="256"/>
      <c r="AL933" s="256"/>
      <c r="AM933" s="256"/>
      <c r="AN933" s="256"/>
      <c r="AO933" s="256"/>
      <c r="AP933" s="256"/>
      <c r="AQ933" s="256"/>
      <c r="AR933" s="256"/>
    </row>
    <row r="934">
      <c r="A934" s="256"/>
      <c r="B934" s="256"/>
      <c r="C934" s="257"/>
      <c r="D934" s="257"/>
      <c r="E934" s="257"/>
      <c r="F934" s="257"/>
      <c r="G934" s="257"/>
      <c r="H934" s="257"/>
      <c r="I934" s="256"/>
      <c r="J934" s="256"/>
      <c r="K934" s="256"/>
      <c r="L934" s="256"/>
      <c r="M934" s="256"/>
      <c r="N934" s="256"/>
      <c r="O934" s="256"/>
      <c r="P934" s="256"/>
      <c r="Q934" s="256"/>
      <c r="R934" s="256"/>
      <c r="S934" s="256"/>
      <c r="T934" s="256"/>
      <c r="U934" s="256"/>
      <c r="V934" s="256"/>
      <c r="W934" s="256"/>
      <c r="X934" s="256"/>
      <c r="Y934" s="256"/>
      <c r="Z934" s="256"/>
      <c r="AA934" s="256"/>
      <c r="AB934" s="256"/>
      <c r="AC934" s="256"/>
      <c r="AD934" s="256"/>
      <c r="AE934" s="256"/>
      <c r="AF934" s="256"/>
      <c r="AG934" s="256"/>
      <c r="AH934" s="256"/>
      <c r="AI934" s="256"/>
      <c r="AJ934" s="256"/>
      <c r="AK934" s="256"/>
      <c r="AL934" s="256"/>
      <c r="AM934" s="256"/>
      <c r="AN934" s="256"/>
      <c r="AO934" s="256"/>
      <c r="AP934" s="256"/>
      <c r="AQ934" s="256"/>
      <c r="AR934" s="256"/>
    </row>
    <row r="935">
      <c r="A935" s="256"/>
      <c r="B935" s="256"/>
      <c r="C935" s="257"/>
      <c r="D935" s="257"/>
      <c r="E935" s="257"/>
      <c r="F935" s="257"/>
      <c r="G935" s="257"/>
      <c r="H935" s="257"/>
      <c r="I935" s="256"/>
      <c r="J935" s="256"/>
      <c r="K935" s="256"/>
      <c r="L935" s="256"/>
      <c r="M935" s="256"/>
      <c r="N935" s="256"/>
      <c r="O935" s="256"/>
      <c r="P935" s="256"/>
      <c r="Q935" s="256"/>
      <c r="R935" s="256"/>
      <c r="S935" s="256"/>
      <c r="T935" s="256"/>
      <c r="U935" s="256"/>
      <c r="V935" s="256"/>
      <c r="W935" s="256"/>
      <c r="X935" s="256"/>
      <c r="Y935" s="256"/>
      <c r="Z935" s="256"/>
      <c r="AA935" s="256"/>
      <c r="AB935" s="256"/>
      <c r="AC935" s="256"/>
      <c r="AD935" s="256"/>
      <c r="AE935" s="256"/>
      <c r="AF935" s="256"/>
      <c r="AG935" s="256"/>
      <c r="AH935" s="256"/>
      <c r="AI935" s="256"/>
      <c r="AJ935" s="256"/>
      <c r="AK935" s="256"/>
      <c r="AL935" s="256"/>
      <c r="AM935" s="256"/>
      <c r="AN935" s="256"/>
      <c r="AO935" s="256"/>
      <c r="AP935" s="256"/>
      <c r="AQ935" s="256"/>
      <c r="AR935" s="256"/>
    </row>
    <row r="936">
      <c r="A936" s="256"/>
      <c r="B936" s="256"/>
      <c r="C936" s="257"/>
      <c r="D936" s="257"/>
      <c r="E936" s="257"/>
      <c r="F936" s="257"/>
      <c r="G936" s="257"/>
      <c r="H936" s="257"/>
      <c r="I936" s="256"/>
      <c r="J936" s="256"/>
      <c r="K936" s="256"/>
      <c r="L936" s="256"/>
      <c r="M936" s="256"/>
      <c r="N936" s="256"/>
      <c r="O936" s="256"/>
      <c r="P936" s="256"/>
      <c r="Q936" s="256"/>
      <c r="R936" s="256"/>
      <c r="S936" s="256"/>
      <c r="T936" s="256"/>
      <c r="U936" s="256"/>
      <c r="V936" s="256"/>
      <c r="W936" s="256"/>
      <c r="X936" s="256"/>
      <c r="Y936" s="256"/>
      <c r="Z936" s="256"/>
      <c r="AA936" s="256"/>
      <c r="AB936" s="256"/>
      <c r="AC936" s="256"/>
      <c r="AD936" s="256"/>
      <c r="AE936" s="256"/>
      <c r="AF936" s="256"/>
      <c r="AG936" s="256"/>
      <c r="AH936" s="256"/>
      <c r="AI936" s="256"/>
      <c r="AJ936" s="256"/>
      <c r="AK936" s="256"/>
      <c r="AL936" s="256"/>
      <c r="AM936" s="256"/>
      <c r="AN936" s="256"/>
      <c r="AO936" s="256"/>
      <c r="AP936" s="256"/>
      <c r="AQ936" s="256"/>
      <c r="AR936" s="256"/>
    </row>
    <row r="937">
      <c r="A937" s="256"/>
      <c r="B937" s="256"/>
      <c r="C937" s="257"/>
      <c r="D937" s="257"/>
      <c r="E937" s="257"/>
      <c r="F937" s="257"/>
      <c r="G937" s="257"/>
      <c r="H937" s="257"/>
      <c r="I937" s="256"/>
      <c r="J937" s="256"/>
      <c r="K937" s="256"/>
      <c r="L937" s="256"/>
      <c r="M937" s="256"/>
      <c r="N937" s="256"/>
      <c r="O937" s="256"/>
      <c r="P937" s="256"/>
      <c r="Q937" s="256"/>
      <c r="R937" s="256"/>
      <c r="S937" s="256"/>
      <c r="T937" s="256"/>
      <c r="U937" s="256"/>
      <c r="V937" s="256"/>
      <c r="W937" s="256"/>
      <c r="X937" s="256"/>
      <c r="Y937" s="256"/>
      <c r="Z937" s="256"/>
      <c r="AA937" s="256"/>
      <c r="AB937" s="256"/>
      <c r="AC937" s="256"/>
      <c r="AD937" s="256"/>
      <c r="AE937" s="256"/>
      <c r="AF937" s="256"/>
      <c r="AG937" s="256"/>
      <c r="AH937" s="256"/>
      <c r="AI937" s="256"/>
      <c r="AJ937" s="256"/>
      <c r="AK937" s="256"/>
      <c r="AL937" s="256"/>
      <c r="AM937" s="256"/>
      <c r="AN937" s="256"/>
      <c r="AO937" s="256"/>
      <c r="AP937" s="256"/>
      <c r="AQ937" s="256"/>
      <c r="AR937" s="256"/>
    </row>
    <row r="938">
      <c r="A938" s="256"/>
      <c r="B938" s="256"/>
      <c r="C938" s="257"/>
      <c r="D938" s="257"/>
      <c r="E938" s="257"/>
      <c r="F938" s="257"/>
      <c r="G938" s="257"/>
      <c r="H938" s="257"/>
      <c r="I938" s="256"/>
      <c r="J938" s="256"/>
      <c r="K938" s="256"/>
      <c r="L938" s="256"/>
      <c r="M938" s="256"/>
      <c r="N938" s="256"/>
      <c r="O938" s="256"/>
      <c r="P938" s="256"/>
      <c r="Q938" s="256"/>
      <c r="R938" s="256"/>
      <c r="S938" s="256"/>
      <c r="T938" s="256"/>
      <c r="U938" s="256"/>
      <c r="V938" s="256"/>
      <c r="W938" s="256"/>
      <c r="X938" s="256"/>
      <c r="Y938" s="256"/>
      <c r="Z938" s="256"/>
      <c r="AA938" s="256"/>
      <c r="AB938" s="256"/>
      <c r="AC938" s="256"/>
      <c r="AD938" s="256"/>
      <c r="AE938" s="256"/>
      <c r="AF938" s="256"/>
      <c r="AG938" s="256"/>
      <c r="AH938" s="256"/>
      <c r="AI938" s="256"/>
      <c r="AJ938" s="256"/>
      <c r="AK938" s="256"/>
      <c r="AL938" s="256"/>
      <c r="AM938" s="256"/>
      <c r="AN938" s="256"/>
      <c r="AO938" s="256"/>
      <c r="AP938" s="256"/>
      <c r="AQ938" s="256"/>
      <c r="AR938" s="256"/>
    </row>
    <row r="939">
      <c r="A939" s="256"/>
      <c r="B939" s="256"/>
      <c r="C939" s="257"/>
      <c r="D939" s="257"/>
      <c r="E939" s="257"/>
      <c r="F939" s="257"/>
      <c r="G939" s="257"/>
      <c r="H939" s="257"/>
      <c r="I939" s="256"/>
      <c r="J939" s="256"/>
      <c r="K939" s="256"/>
      <c r="L939" s="256"/>
      <c r="M939" s="256"/>
      <c r="N939" s="256"/>
      <c r="O939" s="256"/>
      <c r="P939" s="256"/>
      <c r="Q939" s="256"/>
      <c r="R939" s="256"/>
      <c r="S939" s="256"/>
      <c r="T939" s="256"/>
      <c r="U939" s="256"/>
      <c r="V939" s="256"/>
      <c r="W939" s="256"/>
      <c r="X939" s="256"/>
      <c r="Y939" s="256"/>
      <c r="Z939" s="256"/>
      <c r="AA939" s="256"/>
      <c r="AB939" s="256"/>
      <c r="AC939" s="256"/>
      <c r="AD939" s="256"/>
      <c r="AE939" s="256"/>
      <c r="AF939" s="256"/>
      <c r="AG939" s="256"/>
      <c r="AH939" s="256"/>
      <c r="AI939" s="256"/>
      <c r="AJ939" s="256"/>
      <c r="AK939" s="256"/>
      <c r="AL939" s="256"/>
      <c r="AM939" s="256"/>
      <c r="AN939" s="256"/>
      <c r="AO939" s="256"/>
      <c r="AP939" s="256"/>
      <c r="AQ939" s="256"/>
      <c r="AR939" s="256"/>
    </row>
    <row r="940">
      <c r="A940" s="256"/>
      <c r="B940" s="256"/>
      <c r="C940" s="257"/>
      <c r="D940" s="257"/>
      <c r="E940" s="257"/>
      <c r="F940" s="257"/>
      <c r="G940" s="257"/>
      <c r="H940" s="257"/>
      <c r="I940" s="256"/>
      <c r="J940" s="256"/>
      <c r="K940" s="256"/>
      <c r="L940" s="256"/>
      <c r="M940" s="256"/>
      <c r="N940" s="256"/>
      <c r="O940" s="256"/>
      <c r="P940" s="256"/>
      <c r="Q940" s="256"/>
      <c r="R940" s="256"/>
      <c r="S940" s="256"/>
      <c r="T940" s="256"/>
      <c r="U940" s="256"/>
      <c r="V940" s="256"/>
      <c r="W940" s="256"/>
      <c r="X940" s="256"/>
      <c r="Y940" s="256"/>
      <c r="Z940" s="256"/>
      <c r="AA940" s="256"/>
      <c r="AB940" s="256"/>
      <c r="AC940" s="256"/>
      <c r="AD940" s="256"/>
      <c r="AE940" s="256"/>
      <c r="AF940" s="256"/>
      <c r="AG940" s="256"/>
      <c r="AH940" s="256"/>
      <c r="AI940" s="256"/>
      <c r="AJ940" s="256"/>
      <c r="AK940" s="256"/>
      <c r="AL940" s="256"/>
      <c r="AM940" s="256"/>
      <c r="AN940" s="256"/>
      <c r="AO940" s="256"/>
      <c r="AP940" s="256"/>
      <c r="AQ940" s="256"/>
      <c r="AR940" s="256"/>
    </row>
    <row r="941">
      <c r="A941" s="256"/>
      <c r="B941" s="256"/>
      <c r="C941" s="257"/>
      <c r="D941" s="257"/>
      <c r="E941" s="257"/>
      <c r="F941" s="257"/>
      <c r="G941" s="257"/>
      <c r="H941" s="257"/>
      <c r="I941" s="256"/>
      <c r="J941" s="256"/>
      <c r="K941" s="256"/>
      <c r="L941" s="256"/>
      <c r="M941" s="256"/>
      <c r="N941" s="256"/>
      <c r="O941" s="256"/>
      <c r="P941" s="256"/>
      <c r="Q941" s="256"/>
      <c r="R941" s="256"/>
      <c r="S941" s="256"/>
      <c r="T941" s="256"/>
      <c r="U941" s="256"/>
      <c r="V941" s="256"/>
      <c r="W941" s="256"/>
      <c r="X941" s="256"/>
      <c r="Y941" s="256"/>
      <c r="Z941" s="256"/>
      <c r="AA941" s="256"/>
      <c r="AB941" s="256"/>
      <c r="AC941" s="256"/>
      <c r="AD941" s="256"/>
      <c r="AE941" s="256"/>
      <c r="AF941" s="256"/>
      <c r="AG941" s="256"/>
      <c r="AH941" s="256"/>
      <c r="AI941" s="256"/>
      <c r="AJ941" s="256"/>
      <c r="AK941" s="256"/>
      <c r="AL941" s="256"/>
      <c r="AM941" s="256"/>
      <c r="AN941" s="256"/>
      <c r="AO941" s="256"/>
      <c r="AP941" s="256"/>
      <c r="AQ941" s="256"/>
      <c r="AR941" s="256"/>
    </row>
    <row r="942">
      <c r="A942" s="256"/>
      <c r="B942" s="256"/>
      <c r="C942" s="257"/>
      <c r="D942" s="257"/>
      <c r="E942" s="257"/>
      <c r="F942" s="257"/>
      <c r="G942" s="257"/>
      <c r="H942" s="257"/>
      <c r="I942" s="256"/>
      <c r="J942" s="256"/>
      <c r="K942" s="256"/>
      <c r="L942" s="256"/>
      <c r="M942" s="256"/>
      <c r="N942" s="256"/>
      <c r="O942" s="256"/>
      <c r="P942" s="256"/>
      <c r="Q942" s="256"/>
      <c r="R942" s="256"/>
      <c r="S942" s="256"/>
      <c r="T942" s="256"/>
      <c r="U942" s="256"/>
      <c r="V942" s="256"/>
      <c r="W942" s="256"/>
      <c r="X942" s="256"/>
      <c r="Y942" s="256"/>
      <c r="Z942" s="256"/>
      <c r="AA942" s="256"/>
      <c r="AB942" s="256"/>
      <c r="AC942" s="256"/>
      <c r="AD942" s="256"/>
      <c r="AE942" s="256"/>
      <c r="AF942" s="256"/>
      <c r="AG942" s="256"/>
      <c r="AH942" s="256"/>
      <c r="AI942" s="256"/>
      <c r="AJ942" s="256"/>
      <c r="AK942" s="256"/>
      <c r="AL942" s="256"/>
      <c r="AM942" s="256"/>
      <c r="AN942" s="256"/>
      <c r="AO942" s="256"/>
      <c r="AP942" s="256"/>
      <c r="AQ942" s="256"/>
      <c r="AR942" s="256"/>
    </row>
    <row r="943">
      <c r="A943" s="256"/>
      <c r="B943" s="256"/>
      <c r="C943" s="257"/>
      <c r="D943" s="257"/>
      <c r="E943" s="257"/>
      <c r="F943" s="257"/>
      <c r="G943" s="257"/>
      <c r="H943" s="257"/>
      <c r="I943" s="256"/>
      <c r="J943" s="256"/>
      <c r="K943" s="256"/>
      <c r="L943" s="256"/>
      <c r="M943" s="256"/>
      <c r="N943" s="256"/>
      <c r="O943" s="256"/>
      <c r="P943" s="256"/>
      <c r="Q943" s="256"/>
      <c r="R943" s="256"/>
      <c r="S943" s="256"/>
      <c r="T943" s="256"/>
      <c r="U943" s="256"/>
      <c r="V943" s="256"/>
      <c r="W943" s="256"/>
      <c r="X943" s="256"/>
      <c r="Y943" s="256"/>
      <c r="Z943" s="256"/>
      <c r="AA943" s="256"/>
      <c r="AB943" s="256"/>
      <c r="AC943" s="256"/>
      <c r="AD943" s="256"/>
      <c r="AE943" s="256"/>
      <c r="AF943" s="256"/>
      <c r="AG943" s="256"/>
      <c r="AH943" s="256"/>
      <c r="AI943" s="256"/>
      <c r="AJ943" s="256"/>
      <c r="AK943" s="256"/>
      <c r="AL943" s="256"/>
      <c r="AM943" s="256"/>
      <c r="AN943" s="256"/>
      <c r="AO943" s="256"/>
      <c r="AP943" s="256"/>
      <c r="AQ943" s="256"/>
      <c r="AR943" s="256"/>
    </row>
    <row r="944">
      <c r="A944" s="256"/>
      <c r="B944" s="256"/>
      <c r="C944" s="257"/>
      <c r="D944" s="257"/>
      <c r="E944" s="257"/>
      <c r="F944" s="257"/>
      <c r="G944" s="257"/>
      <c r="H944" s="257"/>
      <c r="I944" s="256"/>
      <c r="J944" s="256"/>
      <c r="K944" s="256"/>
      <c r="L944" s="256"/>
      <c r="M944" s="256"/>
      <c r="N944" s="256"/>
      <c r="O944" s="256"/>
      <c r="P944" s="256"/>
      <c r="Q944" s="256"/>
      <c r="R944" s="256"/>
      <c r="S944" s="256"/>
      <c r="T944" s="256"/>
      <c r="U944" s="256"/>
      <c r="V944" s="256"/>
      <c r="W944" s="256"/>
      <c r="X944" s="256"/>
      <c r="Y944" s="256"/>
      <c r="Z944" s="256"/>
      <c r="AA944" s="256"/>
      <c r="AB944" s="256"/>
      <c r="AC944" s="256"/>
      <c r="AD944" s="256"/>
      <c r="AE944" s="256"/>
      <c r="AF944" s="256"/>
      <c r="AG944" s="256"/>
      <c r="AH944" s="256"/>
      <c r="AI944" s="256"/>
      <c r="AJ944" s="256"/>
      <c r="AK944" s="256"/>
      <c r="AL944" s="256"/>
      <c r="AM944" s="256"/>
      <c r="AN944" s="256"/>
      <c r="AO944" s="256"/>
      <c r="AP944" s="256"/>
      <c r="AQ944" s="256"/>
      <c r="AR944" s="256"/>
    </row>
    <row r="945">
      <c r="A945" s="256"/>
      <c r="B945" s="256"/>
      <c r="C945" s="257"/>
      <c r="D945" s="257"/>
      <c r="E945" s="257"/>
      <c r="F945" s="257"/>
      <c r="G945" s="257"/>
      <c r="H945" s="257"/>
      <c r="I945" s="256"/>
      <c r="J945" s="256"/>
      <c r="K945" s="256"/>
      <c r="L945" s="256"/>
      <c r="M945" s="256"/>
      <c r="N945" s="256"/>
      <c r="O945" s="256"/>
      <c r="P945" s="256"/>
      <c r="Q945" s="256"/>
      <c r="R945" s="256"/>
      <c r="S945" s="256"/>
      <c r="T945" s="256"/>
      <c r="U945" s="256"/>
      <c r="V945" s="256"/>
      <c r="W945" s="256"/>
      <c r="X945" s="256"/>
      <c r="Y945" s="256"/>
      <c r="Z945" s="256"/>
      <c r="AA945" s="256"/>
      <c r="AB945" s="256"/>
      <c r="AC945" s="256"/>
      <c r="AD945" s="256"/>
      <c r="AE945" s="256"/>
      <c r="AF945" s="256"/>
      <c r="AG945" s="256"/>
      <c r="AH945" s="256"/>
      <c r="AI945" s="256"/>
      <c r="AJ945" s="256"/>
      <c r="AK945" s="256"/>
      <c r="AL945" s="256"/>
      <c r="AM945" s="256"/>
      <c r="AN945" s="256"/>
      <c r="AO945" s="256"/>
      <c r="AP945" s="256"/>
      <c r="AQ945" s="256"/>
      <c r="AR945" s="256"/>
    </row>
    <row r="946">
      <c r="A946" s="256"/>
      <c r="B946" s="256"/>
      <c r="C946" s="257"/>
      <c r="D946" s="257"/>
      <c r="E946" s="257"/>
      <c r="F946" s="257"/>
      <c r="G946" s="257"/>
      <c r="H946" s="257"/>
      <c r="I946" s="256"/>
      <c r="J946" s="256"/>
      <c r="K946" s="256"/>
      <c r="L946" s="256"/>
      <c r="M946" s="256"/>
      <c r="N946" s="256"/>
      <c r="O946" s="256"/>
      <c r="P946" s="256"/>
      <c r="Q946" s="256"/>
      <c r="R946" s="256"/>
      <c r="S946" s="256"/>
      <c r="T946" s="256"/>
      <c r="U946" s="256"/>
      <c r="V946" s="256"/>
      <c r="W946" s="256"/>
      <c r="X946" s="256"/>
      <c r="Y946" s="256"/>
      <c r="Z946" s="256"/>
      <c r="AA946" s="256"/>
      <c r="AB946" s="256"/>
      <c r="AC946" s="256"/>
      <c r="AD946" s="256"/>
      <c r="AE946" s="256"/>
      <c r="AF946" s="256"/>
      <c r="AG946" s="256"/>
      <c r="AH946" s="256"/>
      <c r="AI946" s="256"/>
      <c r="AJ946" s="256"/>
      <c r="AK946" s="256"/>
      <c r="AL946" s="256"/>
      <c r="AM946" s="256"/>
      <c r="AN946" s="256"/>
      <c r="AO946" s="256"/>
      <c r="AP946" s="256"/>
      <c r="AQ946" s="256"/>
      <c r="AR946" s="256"/>
    </row>
    <row r="947">
      <c r="A947" s="256"/>
      <c r="B947" s="256"/>
      <c r="C947" s="257"/>
      <c r="D947" s="257"/>
      <c r="E947" s="257"/>
      <c r="F947" s="257"/>
      <c r="G947" s="257"/>
      <c r="H947" s="257"/>
      <c r="I947" s="256"/>
      <c r="J947" s="256"/>
      <c r="K947" s="256"/>
      <c r="L947" s="256"/>
      <c r="M947" s="256"/>
      <c r="N947" s="256"/>
      <c r="O947" s="256"/>
      <c r="P947" s="256"/>
      <c r="Q947" s="256"/>
      <c r="R947" s="256"/>
      <c r="S947" s="256"/>
      <c r="T947" s="256"/>
      <c r="U947" s="256"/>
      <c r="V947" s="256"/>
      <c r="W947" s="256"/>
      <c r="X947" s="256"/>
      <c r="Y947" s="256"/>
      <c r="Z947" s="256"/>
      <c r="AA947" s="256"/>
      <c r="AB947" s="256"/>
      <c r="AC947" s="256"/>
      <c r="AD947" s="256"/>
      <c r="AE947" s="256"/>
      <c r="AF947" s="256"/>
      <c r="AG947" s="256"/>
      <c r="AH947" s="256"/>
      <c r="AI947" s="256"/>
      <c r="AJ947" s="256"/>
      <c r="AK947" s="256"/>
      <c r="AL947" s="256"/>
      <c r="AM947" s="256"/>
      <c r="AN947" s="256"/>
      <c r="AO947" s="256"/>
      <c r="AP947" s="256"/>
      <c r="AQ947" s="256"/>
      <c r="AR947" s="256"/>
    </row>
    <row r="948">
      <c r="A948" s="256"/>
      <c r="B948" s="256"/>
      <c r="C948" s="257"/>
      <c r="D948" s="257"/>
      <c r="E948" s="257"/>
      <c r="F948" s="257"/>
      <c r="G948" s="257"/>
      <c r="H948" s="257"/>
      <c r="I948" s="256"/>
      <c r="J948" s="256"/>
      <c r="K948" s="256"/>
      <c r="L948" s="256"/>
      <c r="M948" s="256"/>
      <c r="N948" s="256"/>
      <c r="O948" s="256"/>
      <c r="P948" s="256"/>
      <c r="Q948" s="256"/>
      <c r="R948" s="256"/>
      <c r="S948" s="256"/>
      <c r="T948" s="256"/>
      <c r="U948" s="256"/>
      <c r="V948" s="256"/>
      <c r="W948" s="256"/>
      <c r="X948" s="256"/>
      <c r="Y948" s="256"/>
      <c r="Z948" s="256"/>
      <c r="AA948" s="256"/>
      <c r="AB948" s="256"/>
      <c r="AC948" s="256"/>
      <c r="AD948" s="256"/>
      <c r="AE948" s="256"/>
      <c r="AF948" s="256"/>
      <c r="AG948" s="256"/>
      <c r="AH948" s="256"/>
      <c r="AI948" s="256"/>
      <c r="AJ948" s="256"/>
      <c r="AK948" s="256"/>
      <c r="AL948" s="256"/>
      <c r="AM948" s="256"/>
      <c r="AN948" s="256"/>
      <c r="AO948" s="256"/>
      <c r="AP948" s="256"/>
      <c r="AQ948" s="256"/>
      <c r="AR948" s="256"/>
    </row>
    <row r="949">
      <c r="A949" s="256"/>
      <c r="B949" s="256"/>
      <c r="C949" s="257"/>
      <c r="D949" s="257"/>
      <c r="E949" s="257"/>
      <c r="F949" s="257"/>
      <c r="G949" s="257"/>
      <c r="H949" s="257"/>
      <c r="I949" s="256"/>
      <c r="J949" s="256"/>
      <c r="K949" s="256"/>
      <c r="L949" s="256"/>
      <c r="M949" s="256"/>
      <c r="N949" s="256"/>
      <c r="O949" s="256"/>
      <c r="P949" s="256"/>
      <c r="Q949" s="256"/>
      <c r="R949" s="256"/>
      <c r="S949" s="256"/>
      <c r="T949" s="256"/>
      <c r="U949" s="256"/>
      <c r="V949" s="256"/>
      <c r="W949" s="256"/>
      <c r="X949" s="256"/>
      <c r="Y949" s="256"/>
      <c r="Z949" s="256"/>
      <c r="AA949" s="256"/>
      <c r="AB949" s="256"/>
      <c r="AC949" s="256"/>
      <c r="AD949" s="256"/>
      <c r="AE949" s="256"/>
      <c r="AF949" s="256"/>
      <c r="AG949" s="256"/>
      <c r="AH949" s="256"/>
      <c r="AI949" s="256"/>
      <c r="AJ949" s="256"/>
      <c r="AK949" s="256"/>
      <c r="AL949" s="256"/>
      <c r="AM949" s="256"/>
      <c r="AN949" s="256"/>
      <c r="AO949" s="256"/>
      <c r="AP949" s="256"/>
      <c r="AQ949" s="256"/>
      <c r="AR949" s="256"/>
    </row>
    <row r="950">
      <c r="A950" s="256"/>
      <c r="B950" s="256"/>
      <c r="C950" s="257"/>
      <c r="D950" s="257"/>
      <c r="E950" s="257"/>
      <c r="F950" s="257"/>
      <c r="G950" s="257"/>
      <c r="H950" s="257"/>
      <c r="I950" s="256"/>
      <c r="J950" s="256"/>
      <c r="K950" s="256"/>
      <c r="L950" s="256"/>
      <c r="M950" s="256"/>
      <c r="N950" s="256"/>
      <c r="O950" s="256"/>
      <c r="P950" s="256"/>
      <c r="Q950" s="256"/>
      <c r="R950" s="256"/>
      <c r="S950" s="256"/>
      <c r="T950" s="256"/>
      <c r="U950" s="256"/>
      <c r="V950" s="256"/>
      <c r="W950" s="256"/>
      <c r="X950" s="256"/>
      <c r="Y950" s="256"/>
      <c r="Z950" s="256"/>
      <c r="AA950" s="256"/>
      <c r="AB950" s="256"/>
      <c r="AC950" s="256"/>
      <c r="AD950" s="256"/>
      <c r="AE950" s="256"/>
      <c r="AF950" s="256"/>
      <c r="AG950" s="256"/>
      <c r="AH950" s="256"/>
      <c r="AI950" s="256"/>
      <c r="AJ950" s="256"/>
      <c r="AK950" s="256"/>
      <c r="AL950" s="256"/>
      <c r="AM950" s="256"/>
      <c r="AN950" s="256"/>
      <c r="AO950" s="256"/>
      <c r="AP950" s="256"/>
      <c r="AQ950" s="256"/>
      <c r="AR950" s="256"/>
    </row>
    <row r="951">
      <c r="A951" s="256"/>
      <c r="B951" s="256"/>
      <c r="C951" s="257"/>
      <c r="D951" s="257"/>
      <c r="E951" s="257"/>
      <c r="F951" s="257"/>
      <c r="G951" s="257"/>
      <c r="H951" s="257"/>
      <c r="I951" s="256"/>
      <c r="J951" s="256"/>
      <c r="K951" s="256"/>
      <c r="L951" s="256"/>
      <c r="M951" s="256"/>
      <c r="N951" s="256"/>
      <c r="O951" s="256"/>
      <c r="P951" s="256"/>
      <c r="Q951" s="256"/>
      <c r="R951" s="256"/>
      <c r="S951" s="256"/>
      <c r="T951" s="256"/>
      <c r="U951" s="256"/>
      <c r="V951" s="256"/>
      <c r="W951" s="256"/>
      <c r="X951" s="256"/>
      <c r="Y951" s="256"/>
      <c r="Z951" s="256"/>
      <c r="AA951" s="256"/>
      <c r="AB951" s="256"/>
      <c r="AC951" s="256"/>
      <c r="AD951" s="256"/>
      <c r="AE951" s="256"/>
      <c r="AF951" s="256"/>
      <c r="AG951" s="256"/>
      <c r="AH951" s="256"/>
      <c r="AI951" s="256"/>
      <c r="AJ951" s="256"/>
      <c r="AK951" s="256"/>
      <c r="AL951" s="256"/>
      <c r="AM951" s="256"/>
      <c r="AN951" s="256"/>
      <c r="AO951" s="256"/>
      <c r="AP951" s="256"/>
      <c r="AQ951" s="256"/>
      <c r="AR951" s="256"/>
    </row>
    <row r="952">
      <c r="A952" s="256"/>
      <c r="B952" s="256"/>
      <c r="C952" s="257"/>
      <c r="D952" s="257"/>
      <c r="E952" s="257"/>
      <c r="F952" s="257"/>
      <c r="G952" s="257"/>
      <c r="H952" s="257"/>
      <c r="I952" s="256"/>
      <c r="J952" s="256"/>
      <c r="K952" s="256"/>
      <c r="L952" s="256"/>
      <c r="M952" s="256"/>
      <c r="N952" s="256"/>
      <c r="O952" s="256"/>
      <c r="P952" s="256"/>
      <c r="Q952" s="256"/>
      <c r="R952" s="256"/>
      <c r="S952" s="256"/>
      <c r="T952" s="256"/>
      <c r="U952" s="256"/>
      <c r="V952" s="256"/>
      <c r="W952" s="256"/>
      <c r="X952" s="256"/>
      <c r="Y952" s="256"/>
      <c r="Z952" s="256"/>
      <c r="AA952" s="256"/>
      <c r="AB952" s="256"/>
      <c r="AC952" s="256"/>
      <c r="AD952" s="256"/>
      <c r="AE952" s="256"/>
      <c r="AF952" s="256"/>
      <c r="AG952" s="256"/>
      <c r="AH952" s="256"/>
      <c r="AI952" s="256"/>
      <c r="AJ952" s="256"/>
      <c r="AK952" s="256"/>
      <c r="AL952" s="256"/>
      <c r="AM952" s="256"/>
      <c r="AN952" s="256"/>
      <c r="AO952" s="256"/>
      <c r="AP952" s="256"/>
      <c r="AQ952" s="256"/>
      <c r="AR952" s="256"/>
    </row>
    <row r="953">
      <c r="A953" s="256"/>
      <c r="B953" s="256"/>
      <c r="C953" s="257"/>
      <c r="D953" s="257"/>
      <c r="E953" s="257"/>
      <c r="F953" s="257"/>
      <c r="G953" s="257"/>
      <c r="H953" s="257"/>
      <c r="I953" s="256"/>
      <c r="J953" s="256"/>
      <c r="K953" s="256"/>
      <c r="L953" s="256"/>
      <c r="M953" s="256"/>
      <c r="N953" s="256"/>
      <c r="O953" s="256"/>
      <c r="P953" s="256"/>
      <c r="Q953" s="256"/>
      <c r="R953" s="256"/>
      <c r="S953" s="256"/>
      <c r="T953" s="256"/>
      <c r="U953" s="256"/>
      <c r="V953" s="256"/>
      <c r="W953" s="256"/>
      <c r="X953" s="256"/>
      <c r="Y953" s="256"/>
      <c r="Z953" s="256"/>
      <c r="AA953" s="256"/>
      <c r="AB953" s="256"/>
      <c r="AC953" s="256"/>
      <c r="AD953" s="256"/>
      <c r="AE953" s="256"/>
      <c r="AF953" s="256"/>
      <c r="AG953" s="256"/>
      <c r="AH953" s="256"/>
      <c r="AI953" s="256"/>
      <c r="AJ953" s="256"/>
      <c r="AK953" s="256"/>
      <c r="AL953" s="256"/>
      <c r="AM953" s="256"/>
      <c r="AN953" s="256"/>
      <c r="AO953" s="256"/>
      <c r="AP953" s="256"/>
      <c r="AQ953" s="256"/>
      <c r="AR953" s="256"/>
    </row>
    <row r="954">
      <c r="A954" s="256"/>
      <c r="B954" s="256"/>
      <c r="C954" s="257"/>
      <c r="D954" s="257"/>
      <c r="E954" s="257"/>
      <c r="F954" s="257"/>
      <c r="G954" s="257"/>
      <c r="H954" s="257"/>
      <c r="I954" s="256"/>
      <c r="J954" s="256"/>
      <c r="K954" s="256"/>
      <c r="L954" s="256"/>
      <c r="M954" s="256"/>
      <c r="N954" s="256"/>
      <c r="O954" s="256"/>
      <c r="P954" s="256"/>
      <c r="Q954" s="256"/>
      <c r="R954" s="256"/>
      <c r="S954" s="256"/>
      <c r="T954" s="256"/>
      <c r="U954" s="256"/>
      <c r="V954" s="256"/>
      <c r="W954" s="256"/>
      <c r="X954" s="256"/>
      <c r="Y954" s="256"/>
      <c r="Z954" s="256"/>
      <c r="AA954" s="256"/>
      <c r="AB954" s="256"/>
      <c r="AC954" s="256"/>
      <c r="AD954" s="256"/>
      <c r="AE954" s="256"/>
      <c r="AF954" s="256"/>
      <c r="AG954" s="256"/>
      <c r="AH954" s="256"/>
      <c r="AI954" s="256"/>
      <c r="AJ954" s="256"/>
      <c r="AK954" s="256"/>
      <c r="AL954" s="256"/>
      <c r="AM954" s="256"/>
      <c r="AN954" s="256"/>
      <c r="AO954" s="256"/>
      <c r="AP954" s="256"/>
      <c r="AQ954" s="256"/>
      <c r="AR954" s="256"/>
    </row>
    <row r="955">
      <c r="A955" s="256"/>
      <c r="B955" s="256"/>
      <c r="C955" s="257"/>
      <c r="D955" s="257"/>
      <c r="E955" s="257"/>
      <c r="F955" s="257"/>
      <c r="G955" s="257"/>
      <c r="H955" s="257"/>
      <c r="I955" s="256"/>
      <c r="J955" s="256"/>
      <c r="K955" s="256"/>
      <c r="L955" s="256"/>
      <c r="M955" s="256"/>
      <c r="N955" s="256"/>
      <c r="O955" s="256"/>
      <c r="P955" s="256"/>
      <c r="Q955" s="256"/>
      <c r="R955" s="256"/>
      <c r="S955" s="256"/>
      <c r="T955" s="256"/>
      <c r="U955" s="256"/>
      <c r="V955" s="256"/>
      <c r="W955" s="256"/>
      <c r="X955" s="256"/>
      <c r="Y955" s="256"/>
      <c r="Z955" s="256"/>
      <c r="AA955" s="256"/>
      <c r="AB955" s="256"/>
      <c r="AC955" s="256"/>
      <c r="AD955" s="256"/>
      <c r="AE955" s="256"/>
      <c r="AF955" s="256"/>
      <c r="AG955" s="256"/>
      <c r="AH955" s="256"/>
      <c r="AI955" s="256"/>
      <c r="AJ955" s="256"/>
      <c r="AK955" s="256"/>
      <c r="AL955" s="256"/>
      <c r="AM955" s="256"/>
      <c r="AN955" s="256"/>
      <c r="AO955" s="256"/>
      <c r="AP955" s="256"/>
      <c r="AQ955" s="256"/>
      <c r="AR955" s="256"/>
    </row>
    <row r="956">
      <c r="A956" s="256"/>
      <c r="B956" s="256"/>
      <c r="C956" s="257"/>
      <c r="D956" s="257"/>
      <c r="E956" s="257"/>
      <c r="F956" s="257"/>
      <c r="G956" s="257"/>
      <c r="H956" s="257"/>
      <c r="I956" s="256"/>
      <c r="J956" s="256"/>
      <c r="K956" s="256"/>
      <c r="L956" s="256"/>
      <c r="M956" s="256"/>
      <c r="N956" s="256"/>
      <c r="O956" s="256"/>
      <c r="P956" s="256"/>
      <c r="Q956" s="256"/>
      <c r="R956" s="256"/>
      <c r="S956" s="256"/>
      <c r="T956" s="256"/>
      <c r="U956" s="256"/>
      <c r="V956" s="256"/>
      <c r="W956" s="256"/>
      <c r="X956" s="256"/>
      <c r="Y956" s="256"/>
      <c r="Z956" s="256"/>
      <c r="AA956" s="256"/>
      <c r="AB956" s="256"/>
      <c r="AC956" s="256"/>
      <c r="AD956" s="256"/>
      <c r="AE956" s="256"/>
      <c r="AF956" s="256"/>
      <c r="AG956" s="256"/>
      <c r="AH956" s="256"/>
      <c r="AI956" s="256"/>
      <c r="AJ956" s="256"/>
      <c r="AK956" s="256"/>
      <c r="AL956" s="256"/>
      <c r="AM956" s="256"/>
      <c r="AN956" s="256"/>
      <c r="AO956" s="256"/>
      <c r="AP956" s="256"/>
      <c r="AQ956" s="256"/>
      <c r="AR956" s="256"/>
    </row>
    <row r="957">
      <c r="A957" s="256"/>
      <c r="B957" s="256"/>
      <c r="C957" s="257"/>
      <c r="D957" s="257"/>
      <c r="E957" s="257"/>
      <c r="F957" s="257"/>
      <c r="G957" s="257"/>
      <c r="H957" s="257"/>
      <c r="I957" s="256"/>
      <c r="J957" s="256"/>
      <c r="K957" s="256"/>
      <c r="L957" s="256"/>
      <c r="M957" s="256"/>
      <c r="N957" s="256"/>
      <c r="O957" s="256"/>
      <c r="P957" s="256"/>
      <c r="Q957" s="256"/>
      <c r="R957" s="256"/>
      <c r="S957" s="256"/>
      <c r="T957" s="256"/>
      <c r="U957" s="256"/>
      <c r="V957" s="256"/>
      <c r="W957" s="256"/>
      <c r="X957" s="256"/>
      <c r="Y957" s="256"/>
      <c r="Z957" s="256"/>
      <c r="AA957" s="256"/>
      <c r="AB957" s="256"/>
      <c r="AC957" s="256"/>
      <c r="AD957" s="256"/>
      <c r="AE957" s="256"/>
      <c r="AF957" s="256"/>
      <c r="AG957" s="256"/>
      <c r="AH957" s="256"/>
      <c r="AI957" s="256"/>
      <c r="AJ957" s="256"/>
      <c r="AK957" s="256"/>
      <c r="AL957" s="256"/>
      <c r="AM957" s="256"/>
      <c r="AN957" s="256"/>
      <c r="AO957" s="256"/>
      <c r="AP957" s="256"/>
      <c r="AQ957" s="256"/>
      <c r="AR957" s="256"/>
    </row>
    <row r="958">
      <c r="A958" s="256"/>
      <c r="B958" s="256"/>
      <c r="C958" s="257"/>
      <c r="D958" s="257"/>
      <c r="E958" s="257"/>
      <c r="F958" s="257"/>
      <c r="G958" s="257"/>
      <c r="H958" s="257"/>
      <c r="I958" s="256"/>
      <c r="J958" s="256"/>
      <c r="K958" s="256"/>
      <c r="L958" s="256"/>
      <c r="M958" s="256"/>
      <c r="N958" s="256"/>
      <c r="O958" s="256"/>
      <c r="P958" s="256"/>
      <c r="Q958" s="256"/>
      <c r="R958" s="256"/>
      <c r="S958" s="256"/>
      <c r="T958" s="256"/>
      <c r="U958" s="256"/>
      <c r="V958" s="256"/>
      <c r="W958" s="256"/>
      <c r="X958" s="256"/>
      <c r="Y958" s="256"/>
      <c r="Z958" s="256"/>
      <c r="AA958" s="256"/>
      <c r="AB958" s="256"/>
      <c r="AC958" s="256"/>
      <c r="AD958" s="256"/>
      <c r="AE958" s="256"/>
      <c r="AF958" s="256"/>
      <c r="AG958" s="256"/>
      <c r="AH958" s="256"/>
      <c r="AI958" s="256"/>
      <c r="AJ958" s="256"/>
      <c r="AK958" s="256"/>
      <c r="AL958" s="256"/>
      <c r="AM958" s="256"/>
      <c r="AN958" s="256"/>
      <c r="AO958" s="256"/>
      <c r="AP958" s="256"/>
      <c r="AQ958" s="256"/>
      <c r="AR958" s="256"/>
    </row>
    <row r="959">
      <c r="A959" s="256"/>
      <c r="B959" s="256"/>
      <c r="C959" s="257"/>
      <c r="D959" s="257"/>
      <c r="E959" s="257"/>
      <c r="F959" s="257"/>
      <c r="G959" s="257"/>
      <c r="H959" s="257"/>
      <c r="I959" s="256"/>
      <c r="J959" s="256"/>
      <c r="K959" s="256"/>
      <c r="L959" s="256"/>
      <c r="M959" s="256"/>
      <c r="N959" s="256"/>
      <c r="O959" s="256"/>
      <c r="P959" s="256"/>
      <c r="Q959" s="256"/>
      <c r="R959" s="256"/>
      <c r="S959" s="256"/>
      <c r="T959" s="256"/>
      <c r="U959" s="256"/>
      <c r="V959" s="256"/>
      <c r="W959" s="256"/>
      <c r="X959" s="256"/>
      <c r="Y959" s="256"/>
      <c r="Z959" s="256"/>
      <c r="AA959" s="256"/>
      <c r="AB959" s="256"/>
      <c r="AC959" s="256"/>
      <c r="AD959" s="256"/>
      <c r="AE959" s="256"/>
      <c r="AF959" s="256"/>
      <c r="AG959" s="256"/>
      <c r="AH959" s="256"/>
      <c r="AI959" s="256"/>
      <c r="AJ959" s="256"/>
      <c r="AK959" s="256"/>
      <c r="AL959" s="256"/>
      <c r="AM959" s="256"/>
      <c r="AN959" s="256"/>
      <c r="AO959" s="256"/>
      <c r="AP959" s="256"/>
      <c r="AQ959" s="256"/>
      <c r="AR959" s="256"/>
    </row>
    <row r="960">
      <c r="A960" s="256"/>
      <c r="B960" s="256"/>
      <c r="C960" s="257"/>
      <c r="D960" s="257"/>
      <c r="E960" s="257"/>
      <c r="F960" s="257"/>
      <c r="G960" s="257"/>
      <c r="H960" s="257"/>
      <c r="I960" s="256"/>
      <c r="J960" s="256"/>
      <c r="K960" s="256"/>
      <c r="L960" s="256"/>
      <c r="M960" s="256"/>
      <c r="N960" s="256"/>
      <c r="O960" s="256"/>
      <c r="P960" s="256"/>
      <c r="Q960" s="256"/>
      <c r="R960" s="256"/>
      <c r="S960" s="256"/>
      <c r="T960" s="256"/>
      <c r="U960" s="256"/>
      <c r="V960" s="256"/>
      <c r="W960" s="256"/>
      <c r="X960" s="256"/>
      <c r="Y960" s="256"/>
      <c r="Z960" s="256"/>
      <c r="AA960" s="256"/>
      <c r="AB960" s="256"/>
      <c r="AC960" s="256"/>
      <c r="AD960" s="256"/>
      <c r="AE960" s="256"/>
      <c r="AF960" s="256"/>
      <c r="AG960" s="256"/>
      <c r="AH960" s="256"/>
      <c r="AI960" s="256"/>
      <c r="AJ960" s="256"/>
      <c r="AK960" s="256"/>
      <c r="AL960" s="256"/>
      <c r="AM960" s="256"/>
      <c r="AN960" s="256"/>
      <c r="AO960" s="256"/>
      <c r="AP960" s="256"/>
      <c r="AQ960" s="256"/>
      <c r="AR960" s="256"/>
    </row>
    <row r="961">
      <c r="A961" s="256"/>
      <c r="B961" s="256"/>
      <c r="C961" s="257"/>
      <c r="D961" s="257"/>
      <c r="E961" s="257"/>
      <c r="F961" s="257"/>
      <c r="G961" s="257"/>
      <c r="H961" s="257"/>
      <c r="I961" s="256"/>
      <c r="J961" s="256"/>
      <c r="K961" s="256"/>
      <c r="L961" s="256"/>
      <c r="M961" s="256"/>
      <c r="N961" s="256"/>
      <c r="O961" s="256"/>
      <c r="P961" s="256"/>
      <c r="Q961" s="256"/>
      <c r="R961" s="256"/>
      <c r="S961" s="256"/>
      <c r="T961" s="256"/>
      <c r="U961" s="256"/>
      <c r="V961" s="256"/>
      <c r="W961" s="256"/>
      <c r="X961" s="256"/>
      <c r="Y961" s="256"/>
      <c r="Z961" s="256"/>
      <c r="AA961" s="256"/>
      <c r="AB961" s="256"/>
      <c r="AC961" s="256"/>
      <c r="AD961" s="256"/>
      <c r="AE961" s="256"/>
      <c r="AF961" s="256"/>
      <c r="AG961" s="256"/>
      <c r="AH961" s="256"/>
      <c r="AI961" s="256"/>
      <c r="AJ961" s="256"/>
      <c r="AK961" s="256"/>
      <c r="AL961" s="256"/>
      <c r="AM961" s="256"/>
      <c r="AN961" s="256"/>
      <c r="AO961" s="256"/>
      <c r="AP961" s="256"/>
      <c r="AQ961" s="256"/>
      <c r="AR961" s="256"/>
    </row>
    <row r="962">
      <c r="A962" s="256"/>
      <c r="B962" s="256"/>
      <c r="C962" s="257"/>
      <c r="D962" s="257"/>
      <c r="E962" s="257"/>
      <c r="F962" s="257"/>
      <c r="G962" s="257"/>
      <c r="H962" s="257"/>
      <c r="I962" s="256"/>
      <c r="J962" s="256"/>
      <c r="K962" s="256"/>
      <c r="L962" s="256"/>
      <c r="M962" s="256"/>
      <c r="N962" s="256"/>
      <c r="O962" s="256"/>
      <c r="P962" s="256"/>
      <c r="Q962" s="256"/>
      <c r="R962" s="256"/>
      <c r="S962" s="256"/>
      <c r="T962" s="256"/>
      <c r="U962" s="256"/>
      <c r="V962" s="256"/>
      <c r="W962" s="256"/>
      <c r="X962" s="256"/>
      <c r="Y962" s="256"/>
      <c r="Z962" s="256"/>
      <c r="AA962" s="256"/>
      <c r="AB962" s="256"/>
      <c r="AC962" s="256"/>
      <c r="AD962" s="256"/>
      <c r="AE962" s="256"/>
      <c r="AF962" s="256"/>
      <c r="AG962" s="256"/>
      <c r="AH962" s="256"/>
      <c r="AI962" s="256"/>
      <c r="AJ962" s="256"/>
      <c r="AK962" s="256"/>
      <c r="AL962" s="256"/>
      <c r="AM962" s="256"/>
      <c r="AN962" s="256"/>
      <c r="AO962" s="256"/>
      <c r="AP962" s="256"/>
      <c r="AQ962" s="256"/>
      <c r="AR962" s="256"/>
    </row>
    <row r="963">
      <c r="A963" s="256"/>
      <c r="B963" s="256"/>
      <c r="C963" s="257"/>
      <c r="D963" s="257"/>
      <c r="E963" s="257"/>
      <c r="F963" s="257"/>
      <c r="G963" s="257"/>
      <c r="H963" s="257"/>
      <c r="I963" s="256"/>
      <c r="J963" s="256"/>
      <c r="K963" s="256"/>
      <c r="L963" s="256"/>
      <c r="M963" s="256"/>
      <c r="N963" s="256"/>
      <c r="O963" s="256"/>
      <c r="P963" s="256"/>
      <c r="Q963" s="256"/>
      <c r="R963" s="256"/>
      <c r="S963" s="256"/>
      <c r="T963" s="256"/>
      <c r="U963" s="256"/>
      <c r="V963" s="256"/>
      <c r="W963" s="256"/>
      <c r="X963" s="256"/>
      <c r="Y963" s="256"/>
      <c r="Z963" s="256"/>
      <c r="AA963" s="256"/>
      <c r="AB963" s="256"/>
      <c r="AC963" s="256"/>
      <c r="AD963" s="256"/>
      <c r="AE963" s="256"/>
      <c r="AF963" s="256"/>
      <c r="AG963" s="256"/>
      <c r="AH963" s="256"/>
      <c r="AI963" s="256"/>
      <c r="AJ963" s="256"/>
      <c r="AK963" s="256"/>
      <c r="AL963" s="256"/>
      <c r="AM963" s="256"/>
      <c r="AN963" s="256"/>
      <c r="AO963" s="256"/>
      <c r="AP963" s="256"/>
      <c r="AQ963" s="256"/>
      <c r="AR963" s="256"/>
    </row>
    <row r="964">
      <c r="A964" s="256"/>
      <c r="B964" s="256"/>
      <c r="C964" s="257"/>
      <c r="D964" s="257"/>
      <c r="E964" s="257"/>
      <c r="F964" s="257"/>
      <c r="G964" s="257"/>
      <c r="H964" s="257"/>
      <c r="I964" s="256"/>
      <c r="J964" s="256"/>
      <c r="K964" s="256"/>
      <c r="L964" s="256"/>
      <c r="M964" s="256"/>
      <c r="N964" s="256"/>
      <c r="O964" s="256"/>
      <c r="P964" s="256"/>
      <c r="Q964" s="256"/>
      <c r="R964" s="256"/>
      <c r="S964" s="256"/>
      <c r="T964" s="256"/>
      <c r="U964" s="256"/>
      <c r="V964" s="256"/>
      <c r="W964" s="256"/>
      <c r="X964" s="256"/>
      <c r="Y964" s="256"/>
      <c r="Z964" s="256"/>
      <c r="AA964" s="256"/>
      <c r="AB964" s="256"/>
      <c r="AC964" s="256"/>
      <c r="AD964" s="256"/>
      <c r="AE964" s="256"/>
      <c r="AF964" s="256"/>
      <c r="AG964" s="256"/>
      <c r="AH964" s="256"/>
      <c r="AI964" s="256"/>
      <c r="AJ964" s="256"/>
      <c r="AK964" s="256"/>
      <c r="AL964" s="256"/>
      <c r="AM964" s="256"/>
      <c r="AN964" s="256"/>
      <c r="AO964" s="256"/>
      <c r="AP964" s="256"/>
      <c r="AQ964" s="256"/>
      <c r="AR964" s="256"/>
    </row>
    <row r="965">
      <c r="A965" s="256"/>
      <c r="B965" s="256"/>
      <c r="C965" s="257"/>
      <c r="D965" s="257"/>
      <c r="E965" s="257"/>
      <c r="F965" s="257"/>
      <c r="G965" s="257"/>
      <c r="H965" s="257"/>
      <c r="I965" s="256"/>
      <c r="J965" s="256"/>
      <c r="K965" s="256"/>
      <c r="L965" s="256"/>
      <c r="M965" s="256"/>
      <c r="N965" s="256"/>
      <c r="O965" s="256"/>
      <c r="P965" s="256"/>
      <c r="Q965" s="256"/>
      <c r="R965" s="256"/>
      <c r="S965" s="256"/>
      <c r="T965" s="256"/>
      <c r="U965" s="256"/>
      <c r="V965" s="256"/>
      <c r="W965" s="256"/>
      <c r="X965" s="256"/>
      <c r="Y965" s="256"/>
      <c r="Z965" s="256"/>
      <c r="AA965" s="256"/>
      <c r="AB965" s="256"/>
      <c r="AC965" s="256"/>
      <c r="AD965" s="256"/>
      <c r="AE965" s="256"/>
      <c r="AF965" s="256"/>
      <c r="AG965" s="256"/>
      <c r="AH965" s="256"/>
      <c r="AI965" s="256"/>
      <c r="AJ965" s="256"/>
      <c r="AK965" s="256"/>
      <c r="AL965" s="256"/>
      <c r="AM965" s="256"/>
      <c r="AN965" s="256"/>
      <c r="AO965" s="256"/>
      <c r="AP965" s="256"/>
      <c r="AQ965" s="256"/>
      <c r="AR965" s="256"/>
    </row>
    <row r="966">
      <c r="A966" s="256"/>
      <c r="B966" s="256"/>
      <c r="C966" s="257"/>
      <c r="D966" s="257"/>
      <c r="E966" s="257"/>
      <c r="F966" s="257"/>
      <c r="G966" s="257"/>
      <c r="H966" s="257"/>
      <c r="I966" s="256"/>
      <c r="J966" s="256"/>
      <c r="K966" s="256"/>
      <c r="L966" s="256"/>
      <c r="M966" s="256"/>
      <c r="N966" s="256"/>
      <c r="O966" s="256"/>
      <c r="P966" s="256"/>
      <c r="Q966" s="256"/>
      <c r="R966" s="256"/>
      <c r="S966" s="256"/>
      <c r="T966" s="256"/>
      <c r="U966" s="256"/>
      <c r="V966" s="256"/>
      <c r="W966" s="256"/>
      <c r="X966" s="256"/>
      <c r="Y966" s="256"/>
      <c r="Z966" s="256"/>
      <c r="AA966" s="256"/>
      <c r="AB966" s="256"/>
      <c r="AC966" s="256"/>
      <c r="AD966" s="256"/>
      <c r="AE966" s="256"/>
      <c r="AF966" s="256"/>
      <c r="AG966" s="256"/>
      <c r="AH966" s="256"/>
      <c r="AI966" s="256"/>
      <c r="AJ966" s="256"/>
      <c r="AK966" s="256"/>
      <c r="AL966" s="256"/>
      <c r="AM966" s="256"/>
      <c r="AN966" s="256"/>
      <c r="AO966" s="256"/>
      <c r="AP966" s="256"/>
      <c r="AQ966" s="256"/>
      <c r="AR966" s="256"/>
    </row>
    <row r="967">
      <c r="A967" s="256"/>
      <c r="B967" s="256"/>
      <c r="C967" s="257"/>
      <c r="D967" s="257"/>
      <c r="E967" s="257"/>
      <c r="F967" s="257"/>
      <c r="G967" s="257"/>
      <c r="H967" s="257"/>
      <c r="I967" s="256"/>
      <c r="J967" s="256"/>
      <c r="K967" s="256"/>
      <c r="L967" s="256"/>
      <c r="M967" s="256"/>
      <c r="N967" s="256"/>
      <c r="O967" s="256"/>
      <c r="P967" s="256"/>
      <c r="Q967" s="256"/>
      <c r="R967" s="256"/>
      <c r="S967" s="256"/>
      <c r="T967" s="256"/>
      <c r="U967" s="256"/>
      <c r="V967" s="256"/>
      <c r="W967" s="256"/>
      <c r="X967" s="256"/>
      <c r="Y967" s="256"/>
      <c r="Z967" s="256"/>
      <c r="AA967" s="256"/>
      <c r="AB967" s="256"/>
      <c r="AC967" s="256"/>
      <c r="AD967" s="256"/>
      <c r="AE967" s="256"/>
      <c r="AF967" s="256"/>
      <c r="AG967" s="256"/>
      <c r="AH967" s="256"/>
      <c r="AI967" s="256"/>
      <c r="AJ967" s="256"/>
      <c r="AK967" s="256"/>
      <c r="AL967" s="256"/>
      <c r="AM967" s="256"/>
      <c r="AN967" s="256"/>
      <c r="AO967" s="256"/>
      <c r="AP967" s="256"/>
      <c r="AQ967" s="256"/>
      <c r="AR967" s="256"/>
    </row>
    <row r="968">
      <c r="A968" s="256"/>
      <c r="B968" s="256"/>
      <c r="C968" s="257"/>
      <c r="D968" s="257"/>
      <c r="E968" s="257"/>
      <c r="F968" s="257"/>
      <c r="G968" s="257"/>
      <c r="H968" s="257"/>
      <c r="I968" s="256"/>
      <c r="J968" s="256"/>
      <c r="K968" s="256"/>
      <c r="L968" s="256"/>
      <c r="M968" s="256"/>
      <c r="N968" s="256"/>
      <c r="O968" s="256"/>
      <c r="P968" s="256"/>
      <c r="Q968" s="256"/>
      <c r="R968" s="256"/>
      <c r="S968" s="256"/>
      <c r="T968" s="256"/>
      <c r="U968" s="256"/>
      <c r="V968" s="256"/>
      <c r="W968" s="256"/>
      <c r="X968" s="256"/>
      <c r="Y968" s="256"/>
      <c r="Z968" s="256"/>
      <c r="AA968" s="256"/>
      <c r="AB968" s="256"/>
      <c r="AC968" s="256"/>
      <c r="AD968" s="256"/>
      <c r="AE968" s="256"/>
      <c r="AF968" s="256"/>
      <c r="AG968" s="256"/>
      <c r="AH968" s="256"/>
      <c r="AI968" s="256"/>
      <c r="AJ968" s="256"/>
      <c r="AK968" s="256"/>
      <c r="AL968" s="256"/>
      <c r="AM968" s="256"/>
      <c r="AN968" s="256"/>
      <c r="AO968" s="256"/>
      <c r="AP968" s="256"/>
      <c r="AQ968" s="256"/>
      <c r="AR968" s="256"/>
    </row>
    <row r="969">
      <c r="A969" s="256"/>
      <c r="B969" s="256"/>
      <c r="C969" s="257"/>
      <c r="D969" s="257"/>
      <c r="E969" s="257"/>
      <c r="F969" s="257"/>
      <c r="G969" s="257"/>
      <c r="H969" s="257"/>
      <c r="I969" s="256"/>
      <c r="J969" s="256"/>
      <c r="K969" s="256"/>
      <c r="L969" s="256"/>
      <c r="M969" s="256"/>
      <c r="N969" s="256"/>
      <c r="O969" s="256"/>
      <c r="P969" s="256"/>
      <c r="Q969" s="256"/>
      <c r="R969" s="256"/>
      <c r="S969" s="256"/>
      <c r="T969" s="256"/>
      <c r="U969" s="256"/>
      <c r="V969" s="256"/>
      <c r="W969" s="256"/>
      <c r="X969" s="256"/>
      <c r="Y969" s="256"/>
      <c r="Z969" s="256"/>
      <c r="AA969" s="256"/>
      <c r="AB969" s="256"/>
      <c r="AC969" s="256"/>
      <c r="AD969" s="256"/>
      <c r="AE969" s="256"/>
      <c r="AF969" s="256"/>
      <c r="AG969" s="256"/>
      <c r="AH969" s="256"/>
      <c r="AI969" s="256"/>
      <c r="AJ969" s="256"/>
      <c r="AK969" s="256"/>
      <c r="AL969" s="256"/>
      <c r="AM969" s="256"/>
      <c r="AN969" s="256"/>
      <c r="AO969" s="256"/>
      <c r="AP969" s="256"/>
      <c r="AQ969" s="256"/>
      <c r="AR969" s="256"/>
    </row>
    <row r="970">
      <c r="A970" s="256"/>
      <c r="B970" s="256"/>
      <c r="C970" s="257"/>
      <c r="D970" s="257"/>
      <c r="E970" s="257"/>
      <c r="F970" s="257"/>
      <c r="G970" s="257"/>
      <c r="H970" s="257"/>
      <c r="I970" s="256"/>
      <c r="J970" s="256"/>
      <c r="K970" s="256"/>
      <c r="L970" s="256"/>
      <c r="M970" s="256"/>
      <c r="N970" s="256"/>
      <c r="O970" s="256"/>
      <c r="P970" s="256"/>
      <c r="Q970" s="256"/>
      <c r="R970" s="256"/>
      <c r="S970" s="256"/>
      <c r="T970" s="256"/>
      <c r="U970" s="256"/>
      <c r="V970" s="256"/>
      <c r="W970" s="256"/>
      <c r="X970" s="256"/>
      <c r="Y970" s="256"/>
      <c r="Z970" s="256"/>
      <c r="AA970" s="256"/>
      <c r="AB970" s="256"/>
      <c r="AC970" s="256"/>
      <c r="AD970" s="256"/>
      <c r="AE970" s="256"/>
      <c r="AF970" s="256"/>
      <c r="AG970" s="256"/>
      <c r="AH970" s="256"/>
      <c r="AI970" s="256"/>
      <c r="AJ970" s="256"/>
      <c r="AK970" s="256"/>
      <c r="AL970" s="256"/>
      <c r="AM970" s="256"/>
      <c r="AN970" s="256"/>
      <c r="AO970" s="256"/>
      <c r="AP970" s="256"/>
      <c r="AQ970" s="256"/>
      <c r="AR970" s="256"/>
    </row>
    <row r="971">
      <c r="A971" s="256"/>
      <c r="B971" s="256"/>
      <c r="C971" s="257"/>
      <c r="D971" s="257"/>
      <c r="E971" s="257"/>
      <c r="F971" s="257"/>
      <c r="G971" s="257"/>
      <c r="H971" s="257"/>
      <c r="I971" s="256"/>
      <c r="J971" s="256"/>
      <c r="K971" s="256"/>
      <c r="L971" s="256"/>
      <c r="M971" s="256"/>
      <c r="N971" s="256"/>
      <c r="O971" s="256"/>
      <c r="P971" s="256"/>
      <c r="Q971" s="256"/>
      <c r="R971" s="256"/>
      <c r="S971" s="256"/>
      <c r="T971" s="256"/>
      <c r="U971" s="256"/>
      <c r="V971" s="256"/>
      <c r="W971" s="256"/>
      <c r="X971" s="256"/>
      <c r="Y971" s="256"/>
      <c r="Z971" s="256"/>
      <c r="AA971" s="256"/>
      <c r="AB971" s="256"/>
      <c r="AC971" s="256"/>
      <c r="AD971" s="256"/>
      <c r="AE971" s="256"/>
      <c r="AF971" s="256"/>
      <c r="AG971" s="256"/>
      <c r="AH971" s="256"/>
      <c r="AI971" s="256"/>
      <c r="AJ971" s="256"/>
      <c r="AK971" s="256"/>
      <c r="AL971" s="256"/>
      <c r="AM971" s="256"/>
      <c r="AN971" s="256"/>
      <c r="AO971" s="256"/>
      <c r="AP971" s="256"/>
      <c r="AQ971" s="256"/>
      <c r="AR971" s="256"/>
    </row>
    <row r="972">
      <c r="A972" s="256"/>
      <c r="B972" s="256"/>
      <c r="C972" s="257"/>
      <c r="D972" s="257"/>
      <c r="E972" s="257"/>
      <c r="F972" s="257"/>
      <c r="G972" s="257"/>
      <c r="H972" s="257"/>
      <c r="I972" s="256"/>
      <c r="J972" s="256"/>
      <c r="K972" s="256"/>
      <c r="L972" s="256"/>
      <c r="M972" s="256"/>
      <c r="N972" s="256"/>
      <c r="O972" s="256"/>
      <c r="P972" s="256"/>
      <c r="Q972" s="256"/>
      <c r="R972" s="256"/>
      <c r="S972" s="256"/>
      <c r="T972" s="256"/>
      <c r="U972" s="256"/>
      <c r="V972" s="256"/>
      <c r="W972" s="256"/>
      <c r="X972" s="256"/>
      <c r="Y972" s="256"/>
      <c r="Z972" s="256"/>
      <c r="AA972" s="256"/>
      <c r="AB972" s="256"/>
      <c r="AC972" s="256"/>
      <c r="AD972" s="256"/>
      <c r="AE972" s="256"/>
      <c r="AF972" s="256"/>
      <c r="AG972" s="256"/>
      <c r="AH972" s="256"/>
      <c r="AI972" s="256"/>
      <c r="AJ972" s="256"/>
      <c r="AK972" s="256"/>
      <c r="AL972" s="256"/>
      <c r="AM972" s="256"/>
      <c r="AN972" s="256"/>
      <c r="AO972" s="256"/>
      <c r="AP972" s="256"/>
      <c r="AQ972" s="256"/>
      <c r="AR972" s="256"/>
    </row>
    <row r="973">
      <c r="A973" s="256"/>
      <c r="B973" s="256"/>
      <c r="C973" s="257"/>
      <c r="D973" s="257"/>
      <c r="E973" s="257"/>
      <c r="F973" s="257"/>
      <c r="G973" s="257"/>
      <c r="H973" s="257"/>
      <c r="I973" s="256"/>
      <c r="J973" s="256"/>
      <c r="K973" s="256"/>
      <c r="L973" s="256"/>
      <c r="M973" s="256"/>
      <c r="N973" s="256"/>
      <c r="O973" s="256"/>
      <c r="P973" s="256"/>
      <c r="Q973" s="256"/>
      <c r="R973" s="256"/>
      <c r="S973" s="256"/>
      <c r="T973" s="256"/>
      <c r="U973" s="256"/>
      <c r="V973" s="256"/>
      <c r="W973" s="256"/>
      <c r="X973" s="256"/>
      <c r="Y973" s="256"/>
      <c r="Z973" s="256"/>
      <c r="AA973" s="256"/>
      <c r="AB973" s="256"/>
      <c r="AC973" s="256"/>
      <c r="AD973" s="256"/>
      <c r="AE973" s="256"/>
      <c r="AF973" s="256"/>
      <c r="AG973" s="256"/>
      <c r="AH973" s="256"/>
      <c r="AI973" s="256"/>
      <c r="AJ973" s="256"/>
      <c r="AK973" s="256"/>
      <c r="AL973" s="256"/>
      <c r="AM973" s="256"/>
      <c r="AN973" s="256"/>
      <c r="AO973" s="256"/>
      <c r="AP973" s="256"/>
      <c r="AQ973" s="256"/>
      <c r="AR973" s="256"/>
    </row>
    <row r="974">
      <c r="A974" s="256"/>
      <c r="B974" s="256"/>
      <c r="C974" s="257"/>
      <c r="D974" s="257"/>
      <c r="E974" s="257"/>
      <c r="F974" s="257"/>
      <c r="G974" s="257"/>
      <c r="H974" s="257"/>
      <c r="I974" s="256"/>
      <c r="J974" s="256"/>
      <c r="K974" s="256"/>
      <c r="L974" s="256"/>
      <c r="M974" s="256"/>
      <c r="N974" s="256"/>
      <c r="O974" s="256"/>
      <c r="P974" s="256"/>
      <c r="Q974" s="256"/>
      <c r="R974" s="256"/>
      <c r="S974" s="256"/>
      <c r="T974" s="256"/>
      <c r="U974" s="256"/>
      <c r="V974" s="256"/>
      <c r="W974" s="256"/>
      <c r="X974" s="256"/>
      <c r="Y974" s="256"/>
      <c r="Z974" s="256"/>
      <c r="AA974" s="256"/>
      <c r="AB974" s="256"/>
      <c r="AC974" s="256"/>
      <c r="AD974" s="256"/>
      <c r="AE974" s="256"/>
      <c r="AF974" s="256"/>
      <c r="AG974" s="256"/>
      <c r="AH974" s="256"/>
      <c r="AI974" s="256"/>
      <c r="AJ974" s="256"/>
      <c r="AK974" s="256"/>
      <c r="AL974" s="256"/>
      <c r="AM974" s="256"/>
      <c r="AN974" s="256"/>
      <c r="AO974" s="256"/>
      <c r="AP974" s="256"/>
      <c r="AQ974" s="256"/>
      <c r="AR974" s="256"/>
    </row>
    <row r="975">
      <c r="A975" s="256"/>
      <c r="B975" s="256"/>
      <c r="C975" s="257"/>
      <c r="D975" s="257"/>
      <c r="E975" s="257"/>
      <c r="F975" s="257"/>
      <c r="G975" s="257"/>
      <c r="H975" s="257"/>
      <c r="I975" s="256"/>
      <c r="J975" s="256"/>
      <c r="K975" s="256"/>
      <c r="L975" s="256"/>
      <c r="M975" s="256"/>
      <c r="N975" s="256"/>
      <c r="O975" s="256"/>
      <c r="P975" s="256"/>
      <c r="Q975" s="256"/>
      <c r="R975" s="256"/>
      <c r="S975" s="256"/>
      <c r="T975" s="256"/>
      <c r="U975" s="256"/>
      <c r="V975" s="256"/>
      <c r="W975" s="256"/>
      <c r="X975" s="256"/>
      <c r="Y975" s="256"/>
      <c r="Z975" s="256"/>
      <c r="AA975" s="256"/>
      <c r="AB975" s="256"/>
      <c r="AC975" s="256"/>
      <c r="AD975" s="256"/>
      <c r="AE975" s="256"/>
      <c r="AF975" s="256"/>
      <c r="AG975" s="256"/>
      <c r="AH975" s="256"/>
      <c r="AI975" s="256"/>
      <c r="AJ975" s="256"/>
      <c r="AK975" s="256"/>
      <c r="AL975" s="256"/>
      <c r="AM975" s="256"/>
      <c r="AN975" s="256"/>
      <c r="AO975" s="256"/>
      <c r="AP975" s="256"/>
      <c r="AQ975" s="256"/>
      <c r="AR975" s="256"/>
    </row>
    <row r="976">
      <c r="A976" s="256"/>
      <c r="B976" s="256"/>
      <c r="C976" s="257"/>
      <c r="D976" s="257"/>
      <c r="E976" s="257"/>
      <c r="F976" s="257"/>
      <c r="G976" s="257"/>
      <c r="H976" s="257"/>
      <c r="I976" s="256"/>
      <c r="J976" s="256"/>
      <c r="K976" s="256"/>
      <c r="L976" s="256"/>
      <c r="M976" s="256"/>
      <c r="N976" s="256"/>
      <c r="O976" s="256"/>
      <c r="P976" s="256"/>
      <c r="Q976" s="256"/>
      <c r="R976" s="256"/>
      <c r="S976" s="256"/>
      <c r="T976" s="256"/>
      <c r="U976" s="256"/>
      <c r="V976" s="256"/>
      <c r="W976" s="256"/>
      <c r="X976" s="256"/>
      <c r="Y976" s="256"/>
      <c r="Z976" s="256"/>
      <c r="AA976" s="256"/>
      <c r="AB976" s="256"/>
      <c r="AC976" s="256"/>
      <c r="AD976" s="256"/>
      <c r="AE976" s="256"/>
      <c r="AF976" s="256"/>
      <c r="AG976" s="256"/>
      <c r="AH976" s="256"/>
      <c r="AI976" s="256"/>
      <c r="AJ976" s="256"/>
      <c r="AK976" s="256"/>
      <c r="AL976" s="256"/>
      <c r="AM976" s="256"/>
      <c r="AN976" s="256"/>
      <c r="AO976" s="256"/>
      <c r="AP976" s="256"/>
      <c r="AQ976" s="256"/>
      <c r="AR976" s="256"/>
    </row>
    <row r="977">
      <c r="A977" s="256"/>
      <c r="B977" s="256"/>
      <c r="C977" s="257"/>
      <c r="D977" s="257"/>
      <c r="E977" s="257"/>
      <c r="F977" s="257"/>
      <c r="G977" s="257"/>
      <c r="H977" s="257"/>
      <c r="I977" s="256"/>
      <c r="J977" s="256"/>
      <c r="K977" s="256"/>
      <c r="L977" s="256"/>
      <c r="M977" s="256"/>
      <c r="N977" s="256"/>
      <c r="O977" s="256"/>
      <c r="P977" s="256"/>
      <c r="Q977" s="256"/>
      <c r="R977" s="256"/>
      <c r="S977" s="256"/>
      <c r="T977" s="256"/>
      <c r="U977" s="256"/>
      <c r="V977" s="256"/>
      <c r="W977" s="256"/>
      <c r="X977" s="256"/>
      <c r="Y977" s="256"/>
      <c r="Z977" s="256"/>
      <c r="AA977" s="256"/>
      <c r="AB977" s="256"/>
      <c r="AC977" s="256"/>
      <c r="AD977" s="256"/>
      <c r="AE977" s="256"/>
      <c r="AF977" s="256"/>
      <c r="AG977" s="256"/>
      <c r="AH977" s="256"/>
      <c r="AI977" s="256"/>
      <c r="AJ977" s="256"/>
      <c r="AK977" s="256"/>
      <c r="AL977" s="256"/>
      <c r="AM977" s="256"/>
      <c r="AN977" s="256"/>
      <c r="AO977" s="256"/>
      <c r="AP977" s="256"/>
      <c r="AQ977" s="256"/>
      <c r="AR977" s="256"/>
    </row>
    <row r="978">
      <c r="A978" s="256"/>
      <c r="B978" s="256"/>
      <c r="C978" s="257"/>
      <c r="D978" s="257"/>
      <c r="E978" s="257"/>
      <c r="F978" s="257"/>
      <c r="G978" s="257"/>
      <c r="H978" s="257"/>
      <c r="I978" s="256"/>
      <c r="J978" s="256"/>
      <c r="K978" s="256"/>
      <c r="L978" s="256"/>
      <c r="M978" s="256"/>
      <c r="N978" s="256"/>
      <c r="O978" s="256"/>
      <c r="P978" s="256"/>
      <c r="Q978" s="256"/>
      <c r="R978" s="256"/>
      <c r="S978" s="256"/>
      <c r="T978" s="256"/>
      <c r="U978" s="256"/>
      <c r="V978" s="256"/>
      <c r="W978" s="256"/>
      <c r="X978" s="256"/>
      <c r="Y978" s="256"/>
      <c r="Z978" s="256"/>
      <c r="AA978" s="256"/>
      <c r="AB978" s="256"/>
      <c r="AC978" s="256"/>
      <c r="AD978" s="256"/>
      <c r="AE978" s="256"/>
      <c r="AF978" s="256"/>
      <c r="AG978" s="256"/>
      <c r="AH978" s="256"/>
      <c r="AI978" s="256"/>
      <c r="AJ978" s="256"/>
      <c r="AK978" s="256"/>
      <c r="AL978" s="256"/>
      <c r="AM978" s="256"/>
      <c r="AN978" s="256"/>
      <c r="AO978" s="256"/>
      <c r="AP978" s="256"/>
      <c r="AQ978" s="256"/>
      <c r="AR978" s="256"/>
    </row>
    <row r="979">
      <c r="A979" s="256"/>
      <c r="B979" s="256"/>
      <c r="C979" s="257"/>
      <c r="D979" s="257"/>
      <c r="E979" s="257"/>
      <c r="F979" s="257"/>
      <c r="G979" s="257"/>
      <c r="H979" s="257"/>
      <c r="I979" s="256"/>
      <c r="J979" s="256"/>
      <c r="K979" s="256"/>
      <c r="L979" s="256"/>
      <c r="M979" s="256"/>
      <c r="N979" s="256"/>
      <c r="O979" s="256"/>
      <c r="P979" s="256"/>
      <c r="Q979" s="256"/>
      <c r="R979" s="256"/>
      <c r="S979" s="256"/>
      <c r="T979" s="256"/>
      <c r="U979" s="256"/>
      <c r="V979" s="256"/>
      <c r="W979" s="256"/>
      <c r="X979" s="256"/>
      <c r="Y979" s="256"/>
      <c r="Z979" s="256"/>
      <c r="AA979" s="256"/>
      <c r="AB979" s="256"/>
      <c r="AC979" s="256"/>
      <c r="AD979" s="256"/>
      <c r="AE979" s="256"/>
      <c r="AF979" s="256"/>
      <c r="AG979" s="256"/>
      <c r="AH979" s="256"/>
      <c r="AI979" s="256"/>
      <c r="AJ979" s="256"/>
      <c r="AK979" s="256"/>
      <c r="AL979" s="256"/>
      <c r="AM979" s="256"/>
      <c r="AN979" s="256"/>
      <c r="AO979" s="256"/>
      <c r="AP979" s="256"/>
      <c r="AQ979" s="256"/>
      <c r="AR979" s="256"/>
    </row>
    <row r="980">
      <c r="A980" s="256"/>
      <c r="B980" s="256"/>
      <c r="C980" s="257"/>
      <c r="D980" s="257"/>
      <c r="E980" s="257"/>
      <c r="F980" s="257"/>
      <c r="G980" s="257"/>
      <c r="H980" s="257"/>
      <c r="I980" s="256"/>
      <c r="J980" s="256"/>
      <c r="K980" s="256"/>
      <c r="L980" s="256"/>
      <c r="M980" s="256"/>
      <c r="N980" s="256"/>
      <c r="O980" s="256"/>
      <c r="P980" s="256"/>
      <c r="Q980" s="256"/>
      <c r="R980" s="256"/>
      <c r="S980" s="256"/>
      <c r="T980" s="256"/>
      <c r="U980" s="256"/>
      <c r="V980" s="256"/>
      <c r="W980" s="256"/>
      <c r="X980" s="256"/>
      <c r="Y980" s="256"/>
      <c r="Z980" s="256"/>
      <c r="AA980" s="256"/>
      <c r="AB980" s="256"/>
      <c r="AC980" s="256"/>
      <c r="AD980" s="256"/>
      <c r="AE980" s="256"/>
      <c r="AF980" s="256"/>
      <c r="AG980" s="256"/>
      <c r="AH980" s="256"/>
      <c r="AI980" s="256"/>
      <c r="AJ980" s="256"/>
      <c r="AK980" s="256"/>
      <c r="AL980" s="256"/>
      <c r="AM980" s="256"/>
      <c r="AN980" s="256"/>
      <c r="AO980" s="256"/>
      <c r="AP980" s="256"/>
      <c r="AQ980" s="256"/>
      <c r="AR980" s="256"/>
    </row>
    <row r="981">
      <c r="A981" s="256"/>
      <c r="B981" s="256"/>
      <c r="C981" s="257"/>
      <c r="D981" s="257"/>
      <c r="E981" s="257"/>
      <c r="F981" s="257"/>
      <c r="G981" s="257"/>
      <c r="H981" s="257"/>
      <c r="I981" s="256"/>
      <c r="J981" s="256"/>
      <c r="K981" s="256"/>
      <c r="L981" s="256"/>
      <c r="M981" s="256"/>
      <c r="N981" s="256"/>
      <c r="O981" s="256"/>
      <c r="P981" s="256"/>
      <c r="Q981" s="256"/>
      <c r="R981" s="256"/>
      <c r="S981" s="256"/>
      <c r="T981" s="256"/>
      <c r="U981" s="256"/>
      <c r="V981" s="256"/>
      <c r="W981" s="256"/>
      <c r="X981" s="256"/>
      <c r="Y981" s="256"/>
      <c r="Z981" s="256"/>
      <c r="AA981" s="256"/>
      <c r="AB981" s="256"/>
      <c r="AC981" s="256"/>
      <c r="AD981" s="256"/>
      <c r="AE981" s="256"/>
      <c r="AF981" s="256"/>
      <c r="AG981" s="256"/>
      <c r="AH981" s="256"/>
      <c r="AI981" s="256"/>
      <c r="AJ981" s="256"/>
      <c r="AK981" s="256"/>
      <c r="AL981" s="256"/>
      <c r="AM981" s="256"/>
      <c r="AN981" s="256"/>
      <c r="AO981" s="256"/>
      <c r="AP981" s="256"/>
      <c r="AQ981" s="256"/>
      <c r="AR981" s="256"/>
    </row>
    <row r="982">
      <c r="A982" s="256"/>
      <c r="B982" s="256"/>
      <c r="C982" s="257"/>
      <c r="D982" s="257"/>
      <c r="E982" s="257"/>
      <c r="F982" s="257"/>
      <c r="G982" s="257"/>
      <c r="H982" s="257"/>
      <c r="I982" s="256"/>
      <c r="J982" s="256"/>
      <c r="K982" s="256"/>
      <c r="L982" s="256"/>
      <c r="M982" s="256"/>
      <c r="N982" s="256"/>
      <c r="O982" s="256"/>
      <c r="P982" s="256"/>
      <c r="Q982" s="256"/>
      <c r="R982" s="256"/>
      <c r="S982" s="256"/>
      <c r="T982" s="256"/>
      <c r="U982" s="256"/>
      <c r="V982" s="256"/>
      <c r="W982" s="256"/>
      <c r="X982" s="256"/>
      <c r="Y982" s="256"/>
      <c r="Z982" s="256"/>
      <c r="AA982" s="256"/>
      <c r="AB982" s="256"/>
      <c r="AC982" s="256"/>
      <c r="AD982" s="256"/>
      <c r="AE982" s="256"/>
      <c r="AF982" s="256"/>
      <c r="AG982" s="256"/>
      <c r="AH982" s="256"/>
      <c r="AI982" s="256"/>
      <c r="AJ982" s="256"/>
      <c r="AK982" s="256"/>
      <c r="AL982" s="256"/>
      <c r="AM982" s="256"/>
      <c r="AN982" s="256"/>
      <c r="AO982" s="256"/>
      <c r="AP982" s="256"/>
      <c r="AQ982" s="256"/>
      <c r="AR982" s="256"/>
    </row>
    <row r="983">
      <c r="A983" s="256"/>
      <c r="B983" s="256"/>
      <c r="C983" s="257"/>
      <c r="D983" s="257"/>
      <c r="E983" s="257"/>
      <c r="F983" s="257"/>
      <c r="G983" s="257"/>
      <c r="H983" s="257"/>
      <c r="I983" s="256"/>
      <c r="J983" s="256"/>
      <c r="K983" s="256"/>
      <c r="L983" s="256"/>
      <c r="M983" s="256"/>
      <c r="N983" s="256"/>
      <c r="O983" s="256"/>
      <c r="P983" s="256"/>
      <c r="Q983" s="256"/>
      <c r="R983" s="256"/>
      <c r="S983" s="256"/>
      <c r="T983" s="256"/>
      <c r="U983" s="256"/>
      <c r="V983" s="256"/>
      <c r="W983" s="256"/>
      <c r="X983" s="256"/>
      <c r="Y983" s="256"/>
      <c r="Z983" s="256"/>
      <c r="AA983" s="256"/>
      <c r="AB983" s="256"/>
      <c r="AC983" s="256"/>
      <c r="AD983" s="256"/>
      <c r="AE983" s="256"/>
      <c r="AF983" s="256"/>
      <c r="AG983" s="256"/>
      <c r="AH983" s="256"/>
      <c r="AI983" s="256"/>
      <c r="AJ983" s="256"/>
      <c r="AK983" s="256"/>
      <c r="AL983" s="256"/>
      <c r="AM983" s="256"/>
      <c r="AN983" s="256"/>
      <c r="AO983" s="256"/>
      <c r="AP983" s="256"/>
      <c r="AQ983" s="256"/>
      <c r="AR983" s="256"/>
    </row>
    <row r="984">
      <c r="A984" s="256"/>
      <c r="B984" s="256"/>
      <c r="C984" s="257"/>
      <c r="D984" s="257"/>
      <c r="E984" s="257"/>
      <c r="F984" s="257"/>
      <c r="G984" s="257"/>
      <c r="H984" s="257"/>
      <c r="I984" s="256"/>
      <c r="J984" s="256"/>
      <c r="K984" s="256"/>
      <c r="L984" s="256"/>
      <c r="M984" s="256"/>
      <c r="N984" s="256"/>
      <c r="O984" s="256"/>
      <c r="P984" s="256"/>
      <c r="Q984" s="256"/>
      <c r="R984" s="256"/>
      <c r="S984" s="256"/>
      <c r="T984" s="256"/>
      <c r="U984" s="256"/>
      <c r="V984" s="256"/>
      <c r="W984" s="256"/>
      <c r="X984" s="256"/>
      <c r="Y984" s="256"/>
      <c r="Z984" s="256"/>
      <c r="AA984" s="256"/>
      <c r="AB984" s="256"/>
      <c r="AC984" s="256"/>
      <c r="AD984" s="256"/>
      <c r="AE984" s="256"/>
      <c r="AF984" s="256"/>
      <c r="AG984" s="256"/>
      <c r="AH984" s="256"/>
      <c r="AI984" s="256"/>
      <c r="AJ984" s="256"/>
      <c r="AK984" s="256"/>
      <c r="AL984" s="256"/>
      <c r="AM984" s="256"/>
      <c r="AN984" s="256"/>
      <c r="AO984" s="256"/>
      <c r="AP984" s="256"/>
      <c r="AQ984" s="256"/>
      <c r="AR984" s="256"/>
    </row>
    <row r="985">
      <c r="A985" s="256"/>
      <c r="B985" s="256"/>
      <c r="C985" s="257"/>
      <c r="D985" s="257"/>
      <c r="E985" s="257"/>
      <c r="F985" s="257"/>
      <c r="G985" s="257"/>
      <c r="H985" s="257"/>
      <c r="I985" s="256"/>
      <c r="J985" s="256"/>
      <c r="K985" s="256"/>
      <c r="L985" s="256"/>
      <c r="M985" s="256"/>
      <c r="N985" s="256"/>
      <c r="O985" s="256"/>
      <c r="P985" s="256"/>
      <c r="Q985" s="256"/>
      <c r="R985" s="256"/>
      <c r="S985" s="256"/>
      <c r="T985" s="256"/>
      <c r="U985" s="256"/>
      <c r="V985" s="256"/>
      <c r="W985" s="256"/>
      <c r="X985" s="256"/>
      <c r="Y985" s="256"/>
      <c r="Z985" s="256"/>
      <c r="AA985" s="256"/>
      <c r="AB985" s="256"/>
      <c r="AC985" s="256"/>
      <c r="AD985" s="256"/>
      <c r="AE985" s="256"/>
      <c r="AF985" s="256"/>
      <c r="AG985" s="256"/>
      <c r="AH985" s="256"/>
      <c r="AI985" s="256"/>
      <c r="AJ985" s="256"/>
      <c r="AK985" s="256"/>
      <c r="AL985" s="256"/>
      <c r="AM985" s="256"/>
      <c r="AN985" s="256"/>
      <c r="AO985" s="256"/>
      <c r="AP985" s="256"/>
      <c r="AQ985" s="256"/>
      <c r="AR985" s="256"/>
    </row>
    <row r="986">
      <c r="A986" s="256"/>
      <c r="B986" s="256"/>
      <c r="C986" s="257"/>
      <c r="D986" s="257"/>
      <c r="E986" s="257"/>
      <c r="F986" s="257"/>
      <c r="G986" s="257"/>
      <c r="H986" s="257"/>
      <c r="I986" s="256"/>
      <c r="J986" s="256"/>
      <c r="K986" s="256"/>
      <c r="L986" s="256"/>
      <c r="M986" s="256"/>
      <c r="N986" s="256"/>
      <c r="O986" s="256"/>
      <c r="P986" s="256"/>
      <c r="Q986" s="256"/>
      <c r="R986" s="256"/>
      <c r="S986" s="256"/>
      <c r="T986" s="256"/>
      <c r="U986" s="256"/>
      <c r="V986" s="256"/>
      <c r="W986" s="256"/>
      <c r="X986" s="256"/>
      <c r="Y986" s="256"/>
      <c r="Z986" s="256"/>
      <c r="AA986" s="256"/>
      <c r="AB986" s="256"/>
      <c r="AC986" s="256"/>
      <c r="AD986" s="256"/>
      <c r="AE986" s="256"/>
      <c r="AF986" s="256"/>
      <c r="AG986" s="256"/>
      <c r="AH986" s="256"/>
      <c r="AI986" s="256"/>
      <c r="AJ986" s="256"/>
      <c r="AK986" s="256"/>
      <c r="AL986" s="256"/>
      <c r="AM986" s="256"/>
      <c r="AN986" s="256"/>
      <c r="AO986" s="256"/>
      <c r="AP986" s="256"/>
      <c r="AQ986" s="256"/>
      <c r="AR986" s="256"/>
    </row>
    <row r="987">
      <c r="A987" s="256"/>
      <c r="B987" s="256"/>
      <c r="C987" s="257"/>
      <c r="D987" s="257"/>
      <c r="E987" s="257"/>
      <c r="F987" s="257"/>
      <c r="G987" s="257"/>
      <c r="H987" s="257"/>
      <c r="I987" s="256"/>
      <c r="J987" s="256"/>
      <c r="K987" s="256"/>
      <c r="L987" s="256"/>
      <c r="M987" s="256"/>
      <c r="N987" s="256"/>
      <c r="O987" s="256"/>
      <c r="P987" s="256"/>
      <c r="Q987" s="256"/>
      <c r="R987" s="256"/>
      <c r="S987" s="256"/>
      <c r="T987" s="256"/>
      <c r="U987" s="256"/>
      <c r="V987" s="256"/>
      <c r="W987" s="256"/>
      <c r="X987" s="256"/>
      <c r="Y987" s="256"/>
      <c r="Z987" s="256"/>
      <c r="AA987" s="256"/>
      <c r="AB987" s="256"/>
      <c r="AC987" s="256"/>
      <c r="AD987" s="256"/>
      <c r="AE987" s="256"/>
      <c r="AF987" s="256"/>
      <c r="AG987" s="256"/>
      <c r="AH987" s="256"/>
      <c r="AI987" s="256"/>
      <c r="AJ987" s="256"/>
      <c r="AK987" s="256"/>
      <c r="AL987" s="256"/>
      <c r="AM987" s="256"/>
      <c r="AN987" s="256"/>
      <c r="AO987" s="256"/>
      <c r="AP987" s="256"/>
      <c r="AQ987" s="256"/>
      <c r="AR987" s="256"/>
    </row>
    <row r="988">
      <c r="A988" s="256"/>
      <c r="B988" s="256"/>
      <c r="C988" s="257"/>
      <c r="D988" s="257"/>
      <c r="E988" s="257"/>
      <c r="F988" s="257"/>
      <c r="G988" s="257"/>
      <c r="H988" s="257"/>
      <c r="I988" s="256"/>
      <c r="J988" s="256"/>
      <c r="K988" s="256"/>
      <c r="L988" s="256"/>
      <c r="M988" s="256"/>
      <c r="N988" s="256"/>
      <c r="O988" s="256"/>
      <c r="P988" s="256"/>
      <c r="Q988" s="256"/>
      <c r="R988" s="256"/>
      <c r="S988" s="256"/>
      <c r="T988" s="256"/>
      <c r="U988" s="256"/>
      <c r="V988" s="256"/>
      <c r="W988" s="256"/>
      <c r="X988" s="256"/>
      <c r="Y988" s="256"/>
      <c r="Z988" s="256"/>
      <c r="AA988" s="256"/>
      <c r="AB988" s="256"/>
      <c r="AC988" s="256"/>
      <c r="AD988" s="256"/>
      <c r="AE988" s="256"/>
      <c r="AF988" s="256"/>
      <c r="AG988" s="256"/>
      <c r="AH988" s="256"/>
      <c r="AI988" s="256"/>
      <c r="AJ988" s="256"/>
      <c r="AK988" s="256"/>
      <c r="AL988" s="256"/>
      <c r="AM988" s="256"/>
      <c r="AN988" s="256"/>
      <c r="AO988" s="256"/>
      <c r="AP988" s="256"/>
      <c r="AQ988" s="256"/>
      <c r="AR988" s="256"/>
    </row>
    <row r="989">
      <c r="A989" s="256"/>
      <c r="B989" s="256"/>
      <c r="C989" s="257"/>
      <c r="D989" s="257"/>
      <c r="E989" s="257"/>
      <c r="F989" s="257"/>
      <c r="G989" s="257"/>
      <c r="H989" s="257"/>
      <c r="I989" s="256"/>
      <c r="J989" s="256"/>
      <c r="K989" s="256"/>
      <c r="L989" s="256"/>
      <c r="M989" s="256"/>
      <c r="N989" s="256"/>
      <c r="O989" s="256"/>
      <c r="P989" s="256"/>
      <c r="Q989" s="256"/>
      <c r="R989" s="256"/>
      <c r="S989" s="256"/>
      <c r="T989" s="256"/>
      <c r="U989" s="256"/>
      <c r="V989" s="256"/>
      <c r="W989" s="256"/>
      <c r="X989" s="256"/>
      <c r="Y989" s="256"/>
      <c r="Z989" s="256"/>
      <c r="AA989" s="256"/>
      <c r="AB989" s="256"/>
      <c r="AC989" s="256"/>
      <c r="AD989" s="256"/>
      <c r="AE989" s="256"/>
      <c r="AF989" s="256"/>
      <c r="AG989" s="256"/>
      <c r="AH989" s="256"/>
      <c r="AI989" s="256"/>
      <c r="AJ989" s="256"/>
      <c r="AK989" s="256"/>
      <c r="AL989" s="256"/>
      <c r="AM989" s="256"/>
      <c r="AN989" s="256"/>
      <c r="AO989" s="256"/>
      <c r="AP989" s="256"/>
      <c r="AQ989" s="256"/>
      <c r="AR989" s="256"/>
    </row>
    <row r="990">
      <c r="A990" s="256"/>
      <c r="B990" s="256"/>
      <c r="C990" s="257"/>
      <c r="D990" s="257"/>
      <c r="E990" s="257"/>
      <c r="F990" s="257"/>
      <c r="G990" s="257"/>
      <c r="H990" s="257"/>
      <c r="I990" s="256"/>
      <c r="J990" s="256"/>
      <c r="K990" s="256"/>
      <c r="L990" s="256"/>
      <c r="M990" s="256"/>
      <c r="N990" s="256"/>
      <c r="O990" s="256"/>
      <c r="P990" s="256"/>
      <c r="Q990" s="256"/>
      <c r="R990" s="256"/>
      <c r="S990" s="256"/>
      <c r="T990" s="256"/>
      <c r="U990" s="256"/>
      <c r="V990" s="256"/>
      <c r="W990" s="256"/>
      <c r="X990" s="256"/>
      <c r="Y990" s="256"/>
      <c r="Z990" s="256"/>
      <c r="AA990" s="256"/>
      <c r="AB990" s="256"/>
      <c r="AC990" s="256"/>
      <c r="AD990" s="256"/>
      <c r="AE990" s="256"/>
      <c r="AF990" s="256"/>
      <c r="AG990" s="256"/>
      <c r="AH990" s="256"/>
      <c r="AI990" s="256"/>
      <c r="AJ990" s="256"/>
      <c r="AK990" s="256"/>
      <c r="AL990" s="256"/>
      <c r="AM990" s="256"/>
      <c r="AN990" s="256"/>
      <c r="AO990" s="256"/>
      <c r="AP990" s="256"/>
      <c r="AQ990" s="256"/>
      <c r="AR990" s="256"/>
    </row>
    <row r="991">
      <c r="A991" s="256"/>
      <c r="B991" s="256"/>
      <c r="C991" s="257"/>
      <c r="D991" s="257"/>
      <c r="E991" s="257"/>
      <c r="F991" s="257"/>
      <c r="G991" s="257"/>
      <c r="H991" s="257"/>
      <c r="I991" s="256"/>
      <c r="J991" s="256"/>
      <c r="K991" s="256"/>
      <c r="L991" s="256"/>
      <c r="M991" s="256"/>
      <c r="N991" s="256"/>
      <c r="O991" s="256"/>
      <c r="P991" s="256"/>
      <c r="Q991" s="256"/>
      <c r="R991" s="256"/>
      <c r="S991" s="256"/>
      <c r="T991" s="256"/>
      <c r="U991" s="256"/>
      <c r="V991" s="256"/>
      <c r="W991" s="256"/>
      <c r="X991" s="256"/>
      <c r="Y991" s="256"/>
      <c r="Z991" s="256"/>
      <c r="AA991" s="256"/>
      <c r="AB991" s="256"/>
      <c r="AC991" s="256"/>
      <c r="AD991" s="256"/>
      <c r="AE991" s="256"/>
      <c r="AF991" s="256"/>
      <c r="AG991" s="256"/>
      <c r="AH991" s="256"/>
      <c r="AI991" s="256"/>
      <c r="AJ991" s="256"/>
      <c r="AK991" s="256"/>
      <c r="AL991" s="256"/>
      <c r="AM991" s="256"/>
      <c r="AN991" s="256"/>
      <c r="AO991" s="256"/>
      <c r="AP991" s="256"/>
      <c r="AQ991" s="256"/>
      <c r="AR991" s="256"/>
    </row>
    <row r="992">
      <c r="A992" s="256"/>
      <c r="B992" s="256"/>
      <c r="C992" s="257"/>
      <c r="D992" s="257"/>
      <c r="E992" s="257"/>
      <c r="F992" s="257"/>
      <c r="G992" s="257"/>
      <c r="H992" s="257"/>
      <c r="I992" s="256"/>
      <c r="J992" s="256"/>
      <c r="K992" s="256"/>
      <c r="L992" s="256"/>
      <c r="M992" s="256"/>
      <c r="N992" s="256"/>
      <c r="O992" s="256"/>
      <c r="P992" s="256"/>
      <c r="Q992" s="256"/>
      <c r="R992" s="256"/>
      <c r="S992" s="256"/>
      <c r="T992" s="256"/>
      <c r="U992" s="256"/>
      <c r="V992" s="256"/>
      <c r="W992" s="256"/>
      <c r="X992" s="256"/>
      <c r="Y992" s="256"/>
      <c r="Z992" s="256"/>
      <c r="AA992" s="256"/>
      <c r="AB992" s="256"/>
      <c r="AC992" s="256"/>
      <c r="AD992" s="256"/>
      <c r="AE992" s="256"/>
      <c r="AF992" s="256"/>
      <c r="AG992" s="256"/>
      <c r="AH992" s="256"/>
      <c r="AI992" s="256"/>
      <c r="AJ992" s="256"/>
      <c r="AK992" s="256"/>
      <c r="AL992" s="256"/>
      <c r="AM992" s="256"/>
      <c r="AN992" s="256"/>
      <c r="AO992" s="256"/>
      <c r="AP992" s="256"/>
      <c r="AQ992" s="256"/>
      <c r="AR992" s="256"/>
    </row>
  </sheetData>
  <autoFilter ref="$A$6:$AR$273">
    <sortState ref="A6:AR273">
      <sortCondition descending="1" ref="M6:M273"/>
      <sortCondition ref="AA6:AA273"/>
      <sortCondition ref="B6:B273"/>
      <sortCondition ref="C6:C273"/>
      <sortCondition ref="AC6:AC273"/>
    </sortState>
  </autoFilter>
  <mergeCells count="48">
    <mergeCell ref="N4:N5"/>
    <mergeCell ref="O4:O5"/>
    <mergeCell ref="P4:P5"/>
    <mergeCell ref="Q4:Q5"/>
    <mergeCell ref="R4:R5"/>
    <mergeCell ref="S4:S5"/>
    <mergeCell ref="T4:T5"/>
    <mergeCell ref="U4:U5"/>
    <mergeCell ref="A3:A5"/>
    <mergeCell ref="B3:B5"/>
    <mergeCell ref="C3:C5"/>
    <mergeCell ref="D3:E3"/>
    <mergeCell ref="F3:H3"/>
    <mergeCell ref="I3:M3"/>
    <mergeCell ref="N3:U3"/>
    <mergeCell ref="D5:E5"/>
    <mergeCell ref="X4:X5"/>
    <mergeCell ref="Y4:Y5"/>
    <mergeCell ref="V3:Y3"/>
    <mergeCell ref="AA3:AA5"/>
    <mergeCell ref="AB3:AB5"/>
    <mergeCell ref="AC3:AC5"/>
    <mergeCell ref="AD3:AD5"/>
    <mergeCell ref="AE3:AE5"/>
    <mergeCell ref="AF3:AF5"/>
    <mergeCell ref="Z4:Z5"/>
    <mergeCell ref="AN3:AN5"/>
    <mergeCell ref="AO3:AO5"/>
    <mergeCell ref="AP3:AP5"/>
    <mergeCell ref="AQ3:AQ5"/>
    <mergeCell ref="AR3:AR5"/>
    <mergeCell ref="AG3:AG5"/>
    <mergeCell ref="AH3:AH5"/>
    <mergeCell ref="AI3:AI5"/>
    <mergeCell ref="AJ3:AJ5"/>
    <mergeCell ref="AK3:AK5"/>
    <mergeCell ref="AL3:AL5"/>
    <mergeCell ref="AM3:AM5"/>
    <mergeCell ref="F4:F5"/>
    <mergeCell ref="G4:G5"/>
    <mergeCell ref="H4:H5"/>
    <mergeCell ref="I4:I5"/>
    <mergeCell ref="J4:J5"/>
    <mergeCell ref="K4:K5"/>
    <mergeCell ref="L4:L5"/>
    <mergeCell ref="M4:M5"/>
    <mergeCell ref="V4:V5"/>
    <mergeCell ref="W4:W5"/>
  </mergeCells>
  <conditionalFormatting sqref="B1:B6 B274:B992">
    <cfRule type="cellIs" dxfId="0" priority="1" operator="equal">
      <formula>"formula"</formula>
    </cfRule>
  </conditionalFormatting>
  <hyperlinks>
    <hyperlink r:id="rId1" ref="S103"/>
    <hyperlink r:id="rId2" ref="S20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8.38"/>
    <col customWidth="1" min="3" max="3" width="10.88"/>
    <col customWidth="1" min="4" max="5" width="26.25"/>
    <col customWidth="1" min="6" max="6" width="16.25"/>
    <col customWidth="1" min="7" max="7" width="20.63"/>
    <col customWidth="1" min="8" max="8" width="15.38"/>
    <col customWidth="1" min="9" max="9" width="10.88"/>
    <col customWidth="1" min="10" max="10" width="12.63"/>
    <col customWidth="1" min="11" max="11" width="16.25"/>
    <col customWidth="1" min="12" max="13" width="12.63"/>
    <col customWidth="1" min="14" max="14" width="18.13"/>
    <col customWidth="1" min="15" max="15" width="10.88"/>
    <col customWidth="1" min="16" max="16" width="12.63"/>
    <col customWidth="1" min="17" max="17" width="16.25"/>
    <col customWidth="1" min="18" max="26" width="12.63"/>
  </cols>
  <sheetData>
    <row r="1">
      <c r="A1" s="258" t="s">
        <v>5886</v>
      </c>
      <c r="B1" s="259"/>
      <c r="C1" s="259"/>
      <c r="D1" s="260"/>
      <c r="E1" s="260"/>
      <c r="F1" s="260"/>
      <c r="G1" s="260"/>
      <c r="H1" s="261"/>
      <c r="I1" s="261"/>
      <c r="J1" s="261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</row>
    <row r="2" ht="10.5" customHeight="1">
      <c r="A2" s="262"/>
      <c r="B2" s="262"/>
      <c r="C2" s="262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</row>
    <row r="3">
      <c r="A3" s="263" t="s">
        <v>5887</v>
      </c>
      <c r="B3" s="263" t="s">
        <v>5888</v>
      </c>
      <c r="C3" s="263" t="s">
        <v>66</v>
      </c>
      <c r="D3" s="263" t="s">
        <v>5889</v>
      </c>
      <c r="E3" s="263" t="s">
        <v>5890</v>
      </c>
      <c r="F3" s="263" t="s">
        <v>5891</v>
      </c>
      <c r="G3" s="264" t="s">
        <v>5892</v>
      </c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</row>
    <row r="4">
      <c r="A4" s="265">
        <v>1.0</v>
      </c>
      <c r="B4" s="266" t="s">
        <v>5893</v>
      </c>
      <c r="C4" s="267">
        <v>41.0</v>
      </c>
      <c r="D4" s="265">
        <v>14.0</v>
      </c>
      <c r="E4" s="267">
        <v>88.0</v>
      </c>
      <c r="F4" s="265">
        <f t="shared" ref="F4:F15" si="1">SUM(C4:D4:E4)</f>
        <v>143</v>
      </c>
      <c r="G4" s="268">
        <v>7.0</v>
      </c>
      <c r="H4" s="261"/>
      <c r="I4" s="261"/>
      <c r="J4" s="261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</row>
    <row r="5">
      <c r="A5" s="265">
        <v>2.0</v>
      </c>
      <c r="B5" s="266" t="s">
        <v>1292</v>
      </c>
      <c r="C5" s="267">
        <v>49.0</v>
      </c>
      <c r="D5" s="265">
        <v>4.0</v>
      </c>
      <c r="E5" s="267">
        <v>31.0</v>
      </c>
      <c r="F5" s="265">
        <f t="shared" si="1"/>
        <v>84</v>
      </c>
      <c r="G5" s="268">
        <v>4.0</v>
      </c>
      <c r="H5" s="261"/>
      <c r="I5" s="261"/>
      <c r="J5" s="261"/>
      <c r="K5" s="260"/>
      <c r="L5" s="260"/>
      <c r="M5" s="260"/>
      <c r="N5" s="260"/>
      <c r="O5" s="260"/>
      <c r="P5" s="260"/>
      <c r="Q5" s="260"/>
      <c r="R5" s="260"/>
      <c r="S5" s="260"/>
      <c r="T5" s="260"/>
      <c r="U5" s="260"/>
      <c r="V5" s="260"/>
      <c r="W5" s="260"/>
      <c r="X5" s="260"/>
      <c r="Y5" s="260"/>
      <c r="Z5" s="260"/>
    </row>
    <row r="6">
      <c r="A6" s="265">
        <v>3.0</v>
      </c>
      <c r="B6" s="266" t="s">
        <v>1918</v>
      </c>
      <c r="C6" s="267">
        <v>40.0</v>
      </c>
      <c r="D6" s="265">
        <v>5.0</v>
      </c>
      <c r="E6" s="265">
        <v>47.0</v>
      </c>
      <c r="F6" s="265">
        <f t="shared" si="1"/>
        <v>92</v>
      </c>
      <c r="G6" s="268">
        <v>4.0</v>
      </c>
      <c r="H6" s="261"/>
      <c r="I6" s="261"/>
      <c r="J6" s="261"/>
      <c r="K6" s="260"/>
      <c r="L6" s="260"/>
      <c r="M6" s="260"/>
      <c r="N6" s="260"/>
      <c r="O6" s="260"/>
      <c r="P6" s="260"/>
      <c r="Q6" s="260"/>
      <c r="R6" s="260"/>
      <c r="S6" s="260"/>
      <c r="T6" s="260"/>
      <c r="U6" s="260"/>
      <c r="V6" s="260"/>
      <c r="W6" s="260"/>
      <c r="X6" s="260"/>
      <c r="Y6" s="260"/>
      <c r="Z6" s="260"/>
    </row>
    <row r="7">
      <c r="A7" s="265">
        <v>4.0</v>
      </c>
      <c r="B7" s="266" t="s">
        <v>5894</v>
      </c>
      <c r="C7" s="267">
        <v>50.0</v>
      </c>
      <c r="D7" s="265">
        <v>6.0</v>
      </c>
      <c r="E7" s="265">
        <v>65.0</v>
      </c>
      <c r="F7" s="265">
        <f t="shared" si="1"/>
        <v>121</v>
      </c>
      <c r="G7" s="268">
        <v>5.0</v>
      </c>
      <c r="H7" s="261"/>
      <c r="I7" s="261"/>
      <c r="J7" s="261"/>
      <c r="K7" s="260"/>
      <c r="L7" s="260"/>
      <c r="M7" s="260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</row>
    <row r="8">
      <c r="A8" s="265">
        <v>5.0</v>
      </c>
      <c r="B8" s="266" t="s">
        <v>3341</v>
      </c>
      <c r="C8" s="267">
        <v>20.0</v>
      </c>
      <c r="D8" s="265">
        <v>3.0</v>
      </c>
      <c r="E8" s="265">
        <v>4.0</v>
      </c>
      <c r="F8" s="265">
        <f t="shared" si="1"/>
        <v>27</v>
      </c>
      <c r="G8" s="268">
        <v>1.0</v>
      </c>
      <c r="H8" s="261"/>
      <c r="I8" s="261"/>
      <c r="J8" s="261"/>
      <c r="K8" s="260"/>
      <c r="L8" s="260"/>
      <c r="M8" s="260"/>
      <c r="N8" s="260"/>
      <c r="O8" s="260"/>
      <c r="P8" s="260"/>
      <c r="Q8" s="260"/>
      <c r="R8" s="260"/>
      <c r="S8" s="260"/>
      <c r="T8" s="260"/>
      <c r="U8" s="260"/>
      <c r="V8" s="260"/>
      <c r="W8" s="260"/>
      <c r="X8" s="260"/>
      <c r="Y8" s="260"/>
      <c r="Z8" s="260"/>
    </row>
    <row r="9">
      <c r="A9" s="265">
        <v>6.0</v>
      </c>
      <c r="B9" s="266" t="s">
        <v>3538</v>
      </c>
      <c r="C9" s="265">
        <v>8.0</v>
      </c>
      <c r="D9" s="265">
        <v>2.0</v>
      </c>
      <c r="E9" s="265">
        <v>40.0</v>
      </c>
      <c r="F9" s="265">
        <f t="shared" si="1"/>
        <v>50</v>
      </c>
      <c r="G9" s="268">
        <v>3.0</v>
      </c>
      <c r="H9" s="261"/>
      <c r="I9" s="261"/>
      <c r="J9" s="261"/>
      <c r="K9" s="260"/>
      <c r="L9" s="260"/>
      <c r="M9" s="260"/>
      <c r="N9" s="260"/>
      <c r="O9" s="260"/>
      <c r="P9" s="260"/>
      <c r="Q9" s="260"/>
      <c r="R9" s="260"/>
      <c r="S9" s="260"/>
      <c r="T9" s="260"/>
      <c r="U9" s="260"/>
      <c r="V9" s="260"/>
      <c r="W9" s="260"/>
      <c r="X9" s="260"/>
      <c r="Y9" s="260"/>
      <c r="Z9" s="260"/>
    </row>
    <row r="10">
      <c r="A10" s="265">
        <v>7.0</v>
      </c>
      <c r="B10" s="266" t="s">
        <v>3849</v>
      </c>
      <c r="C10" s="265">
        <v>9.0</v>
      </c>
      <c r="D10" s="265">
        <v>2.0</v>
      </c>
      <c r="E10" s="265">
        <v>45.0</v>
      </c>
      <c r="F10" s="265">
        <f t="shared" si="1"/>
        <v>56</v>
      </c>
      <c r="G10" s="268">
        <v>3.0</v>
      </c>
      <c r="H10" s="261"/>
      <c r="I10" s="261"/>
      <c r="J10" s="261"/>
      <c r="K10" s="260"/>
      <c r="L10" s="260"/>
      <c r="M10" s="260"/>
      <c r="N10" s="260"/>
      <c r="O10" s="260"/>
      <c r="P10" s="260"/>
      <c r="Q10" s="260"/>
      <c r="R10" s="260"/>
      <c r="S10" s="260"/>
      <c r="T10" s="260"/>
      <c r="U10" s="260"/>
      <c r="V10" s="260"/>
      <c r="W10" s="260"/>
      <c r="X10" s="260"/>
      <c r="Y10" s="260"/>
      <c r="Z10" s="260"/>
    </row>
    <row r="11">
      <c r="A11" s="265">
        <v>8.0</v>
      </c>
      <c r="B11" s="266" t="s">
        <v>4204</v>
      </c>
      <c r="C11" s="267">
        <v>9.0</v>
      </c>
      <c r="D11" s="265">
        <v>2.0</v>
      </c>
      <c r="E11" s="265">
        <v>41.0</v>
      </c>
      <c r="F11" s="265">
        <f t="shared" si="1"/>
        <v>52</v>
      </c>
      <c r="G11" s="268">
        <v>3.0</v>
      </c>
      <c r="H11" s="261"/>
      <c r="I11" s="261"/>
      <c r="J11" s="261"/>
      <c r="K11" s="260"/>
      <c r="L11" s="260"/>
      <c r="M11" s="260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60"/>
      <c r="Y11" s="260"/>
      <c r="Z11" s="260"/>
    </row>
    <row r="12">
      <c r="A12" s="265">
        <v>9.0</v>
      </c>
      <c r="B12" s="266" t="s">
        <v>4532</v>
      </c>
      <c r="C12" s="265">
        <v>7.0</v>
      </c>
      <c r="D12" s="265">
        <v>2.0</v>
      </c>
      <c r="E12" s="267">
        <v>48.0</v>
      </c>
      <c r="F12" s="265">
        <f t="shared" si="1"/>
        <v>57</v>
      </c>
      <c r="G12" s="268">
        <v>1.0</v>
      </c>
      <c r="H12" s="261"/>
      <c r="I12" s="261"/>
      <c r="J12" s="261"/>
      <c r="K12" s="260"/>
      <c r="L12" s="260"/>
      <c r="M12" s="260"/>
      <c r="N12" s="260"/>
      <c r="O12" s="260"/>
      <c r="P12" s="260"/>
      <c r="Q12" s="260"/>
      <c r="R12" s="260"/>
      <c r="S12" s="260"/>
      <c r="T12" s="260"/>
      <c r="U12" s="260"/>
      <c r="V12" s="260"/>
      <c r="W12" s="260"/>
      <c r="X12" s="260"/>
      <c r="Y12" s="260"/>
      <c r="Z12" s="260"/>
    </row>
    <row r="13">
      <c r="A13" s="265">
        <v>10.0</v>
      </c>
      <c r="B13" s="266" t="s">
        <v>4878</v>
      </c>
      <c r="C13" s="267">
        <v>5.0</v>
      </c>
      <c r="D13" s="265">
        <v>2.0</v>
      </c>
      <c r="E13" s="265">
        <v>47.0</v>
      </c>
      <c r="F13" s="265">
        <f t="shared" si="1"/>
        <v>54</v>
      </c>
      <c r="G13" s="268">
        <v>1.0</v>
      </c>
      <c r="H13" s="261"/>
      <c r="I13" s="261"/>
      <c r="J13" s="261"/>
      <c r="K13" s="260"/>
      <c r="L13" s="260"/>
      <c r="M13" s="260"/>
      <c r="N13" s="260"/>
      <c r="O13" s="260"/>
      <c r="P13" s="260"/>
      <c r="Q13" s="260"/>
      <c r="R13" s="260"/>
      <c r="S13" s="260"/>
      <c r="T13" s="260"/>
      <c r="U13" s="260"/>
      <c r="V13" s="260"/>
      <c r="W13" s="260"/>
      <c r="X13" s="260"/>
      <c r="Y13" s="260"/>
      <c r="Z13" s="260"/>
    </row>
    <row r="14">
      <c r="A14" s="265">
        <v>11.0</v>
      </c>
      <c r="B14" s="266" t="s">
        <v>5215</v>
      </c>
      <c r="C14" s="265">
        <v>11.0</v>
      </c>
      <c r="D14" s="265">
        <v>2.0</v>
      </c>
      <c r="E14" s="265">
        <v>50.0</v>
      </c>
      <c r="F14" s="265">
        <f t="shared" si="1"/>
        <v>63</v>
      </c>
      <c r="G14" s="268">
        <v>1.0</v>
      </c>
      <c r="H14" s="261"/>
      <c r="I14" s="261"/>
      <c r="J14" s="261"/>
      <c r="K14" s="260"/>
      <c r="L14" s="260"/>
      <c r="M14" s="260"/>
      <c r="N14" s="260"/>
      <c r="O14" s="260"/>
      <c r="P14" s="260"/>
      <c r="Q14" s="260"/>
      <c r="R14" s="260"/>
      <c r="S14" s="260"/>
      <c r="T14" s="260"/>
      <c r="U14" s="260"/>
      <c r="V14" s="260"/>
      <c r="W14" s="260"/>
      <c r="X14" s="260"/>
      <c r="Y14" s="260"/>
      <c r="Z14" s="260"/>
    </row>
    <row r="15">
      <c r="A15" s="265">
        <v>12.0</v>
      </c>
      <c r="B15" s="266" t="s">
        <v>5895</v>
      </c>
      <c r="C15" s="265">
        <v>7.0</v>
      </c>
      <c r="D15" s="265">
        <v>2.0</v>
      </c>
      <c r="E15" s="265">
        <v>36.0</v>
      </c>
      <c r="F15" s="265">
        <f t="shared" si="1"/>
        <v>45</v>
      </c>
      <c r="G15" s="268">
        <v>0.0</v>
      </c>
      <c r="H15" s="261"/>
      <c r="I15" s="261"/>
      <c r="J15" s="261"/>
      <c r="K15" s="260"/>
      <c r="L15" s="260"/>
      <c r="M15" s="260"/>
      <c r="N15" s="260"/>
      <c r="O15" s="260"/>
      <c r="P15" s="260"/>
      <c r="Q15" s="260"/>
      <c r="R15" s="260"/>
      <c r="S15" s="260"/>
      <c r="T15" s="260"/>
      <c r="U15" s="260"/>
      <c r="V15" s="260"/>
      <c r="W15" s="260"/>
      <c r="X15" s="260"/>
      <c r="Y15" s="260"/>
      <c r="Z15" s="260"/>
    </row>
    <row r="16">
      <c r="A16" s="269" t="s">
        <v>5896</v>
      </c>
      <c r="B16" s="10"/>
      <c r="C16" s="263">
        <f t="shared" ref="C16:G16" si="2">SUM(C4:C15)</f>
        <v>256</v>
      </c>
      <c r="D16" s="263">
        <f t="shared" si="2"/>
        <v>46</v>
      </c>
      <c r="E16" s="263">
        <f t="shared" si="2"/>
        <v>542</v>
      </c>
      <c r="F16" s="263">
        <f t="shared" si="2"/>
        <v>844</v>
      </c>
      <c r="G16" s="270">
        <f t="shared" si="2"/>
        <v>33</v>
      </c>
      <c r="H16" s="261"/>
      <c r="I16" s="261"/>
      <c r="J16" s="261"/>
      <c r="K16" s="260"/>
      <c r="L16" s="260"/>
      <c r="M16" s="260"/>
      <c r="N16" s="260"/>
      <c r="O16" s="260"/>
      <c r="P16" s="260"/>
      <c r="Q16" s="260"/>
      <c r="R16" s="260"/>
      <c r="S16" s="260"/>
      <c r="T16" s="260"/>
      <c r="U16" s="260"/>
      <c r="V16" s="260"/>
      <c r="W16" s="260"/>
      <c r="X16" s="260"/>
      <c r="Y16" s="260"/>
      <c r="Z16" s="260"/>
    </row>
    <row r="17">
      <c r="A17" s="261"/>
      <c r="B17" s="260"/>
      <c r="C17" s="260"/>
      <c r="D17" s="260"/>
      <c r="E17" s="260"/>
      <c r="F17" s="260"/>
      <c r="G17" s="260"/>
      <c r="H17" s="261"/>
      <c r="I17" s="261"/>
      <c r="J17" s="261"/>
      <c r="K17" s="260"/>
      <c r="L17" s="260"/>
      <c r="M17" s="260"/>
      <c r="N17" s="260"/>
      <c r="O17" s="260"/>
      <c r="P17" s="260"/>
      <c r="Q17" s="260"/>
      <c r="R17" s="260"/>
      <c r="S17" s="260"/>
      <c r="T17" s="260"/>
      <c r="U17" s="260"/>
      <c r="V17" s="260"/>
      <c r="W17" s="260"/>
      <c r="X17" s="260"/>
      <c r="Y17" s="260"/>
      <c r="Z17" s="260"/>
    </row>
    <row r="18">
      <c r="A18" s="271" t="s">
        <v>5897</v>
      </c>
      <c r="B18" s="260"/>
      <c r="C18" s="260"/>
      <c r="D18" s="260"/>
      <c r="E18" s="260"/>
      <c r="F18" s="260"/>
      <c r="G18" s="260"/>
      <c r="H18" s="261"/>
      <c r="I18" s="261"/>
      <c r="J18" s="261"/>
      <c r="K18" s="260"/>
      <c r="L18" s="260"/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60"/>
    </row>
    <row r="19">
      <c r="A19" s="261" t="s">
        <v>66</v>
      </c>
      <c r="B19" s="260"/>
      <c r="C19" s="260"/>
      <c r="D19" s="260"/>
      <c r="E19" s="260"/>
      <c r="F19" s="260"/>
      <c r="G19" s="260"/>
      <c r="H19" s="261"/>
      <c r="I19" s="261"/>
      <c r="J19" s="261"/>
      <c r="K19" s="260"/>
      <c r="L19" s="260"/>
      <c r="M19" s="260"/>
      <c r="N19" s="260"/>
      <c r="O19" s="260"/>
      <c r="P19" s="260"/>
      <c r="Q19" s="260"/>
      <c r="R19" s="260"/>
      <c r="S19" s="260"/>
      <c r="T19" s="260"/>
      <c r="U19" s="260"/>
      <c r="V19" s="260"/>
      <c r="W19" s="260"/>
      <c r="X19" s="260"/>
      <c r="Y19" s="260"/>
      <c r="Z19" s="260"/>
    </row>
    <row r="20">
      <c r="A20" s="272" t="s">
        <v>5887</v>
      </c>
      <c r="B20" s="273" t="s">
        <v>37</v>
      </c>
      <c r="C20" s="273" t="s">
        <v>5898</v>
      </c>
      <c r="D20" s="273" t="s">
        <v>11</v>
      </c>
      <c r="E20" s="273" t="s">
        <v>5899</v>
      </c>
      <c r="F20" s="273" t="s">
        <v>5900</v>
      </c>
      <c r="G20" s="260"/>
      <c r="H20" s="260"/>
      <c r="I20" s="260"/>
      <c r="J20" s="260"/>
      <c r="K20" s="260"/>
      <c r="L20" s="260"/>
      <c r="M20" s="260"/>
      <c r="N20" s="260"/>
      <c r="O20" s="260"/>
      <c r="P20" s="260"/>
      <c r="Q20" s="260"/>
      <c r="R20" s="260"/>
      <c r="S20" s="260"/>
      <c r="T20" s="260"/>
      <c r="U20" s="260"/>
      <c r="V20" s="260"/>
      <c r="W20" s="260"/>
      <c r="X20" s="260"/>
      <c r="Y20" s="260"/>
      <c r="Z20" s="260"/>
    </row>
    <row r="21">
      <c r="A21" s="274">
        <v>1.0</v>
      </c>
      <c r="B21" s="275" t="s">
        <v>5901</v>
      </c>
      <c r="C21" s="275">
        <v>1.0</v>
      </c>
      <c r="D21" s="276" t="s">
        <v>5902</v>
      </c>
      <c r="E21" s="275">
        <v>1.0</v>
      </c>
      <c r="F21" s="275">
        <v>0.0</v>
      </c>
      <c r="G21" s="260"/>
      <c r="H21" s="277"/>
      <c r="I21" s="277"/>
      <c r="J21" s="277"/>
      <c r="K21" s="278"/>
      <c r="L21" s="278"/>
      <c r="M21" s="278"/>
      <c r="N21" s="260"/>
      <c r="O21" s="260"/>
      <c r="P21" s="260"/>
      <c r="Q21" s="260"/>
      <c r="R21" s="260"/>
      <c r="S21" s="260"/>
      <c r="T21" s="260"/>
      <c r="U21" s="260"/>
      <c r="V21" s="260"/>
      <c r="W21" s="260"/>
      <c r="X21" s="260"/>
      <c r="Y21" s="260"/>
      <c r="Z21" s="260"/>
    </row>
    <row r="22">
      <c r="A22" s="274">
        <v>2.0</v>
      </c>
      <c r="B22" s="275" t="s">
        <v>5903</v>
      </c>
      <c r="C22" s="275">
        <v>4.0</v>
      </c>
      <c r="D22" s="276" t="s">
        <v>5904</v>
      </c>
      <c r="E22" s="275">
        <v>3.0</v>
      </c>
      <c r="F22" s="275">
        <v>1.0</v>
      </c>
      <c r="G22" s="260"/>
      <c r="H22" s="261"/>
      <c r="I22" s="261"/>
      <c r="J22" s="261"/>
      <c r="K22" s="260"/>
      <c r="L22" s="260"/>
      <c r="M22" s="260"/>
      <c r="N22" s="260"/>
      <c r="O22" s="260"/>
      <c r="P22" s="260"/>
      <c r="Q22" s="260"/>
      <c r="R22" s="260"/>
      <c r="S22" s="260"/>
      <c r="T22" s="260"/>
      <c r="U22" s="260"/>
      <c r="V22" s="260"/>
      <c r="W22" s="260"/>
      <c r="X22" s="260"/>
      <c r="Y22" s="260"/>
      <c r="Z22" s="260"/>
    </row>
    <row r="23">
      <c r="A23" s="274">
        <v>3.0</v>
      </c>
      <c r="B23" s="275" t="s">
        <v>5905</v>
      </c>
      <c r="C23" s="275">
        <v>23.0</v>
      </c>
      <c r="D23" s="276" t="s">
        <v>5906</v>
      </c>
      <c r="E23" s="275">
        <v>19.0</v>
      </c>
      <c r="F23" s="275">
        <f t="shared" ref="F23:F25" si="3">C23-E23</f>
        <v>4</v>
      </c>
      <c r="G23" s="260"/>
      <c r="H23" s="261"/>
      <c r="I23" s="261"/>
      <c r="J23" s="261"/>
      <c r="K23" s="260"/>
      <c r="L23" s="260"/>
      <c r="M23" s="260"/>
      <c r="N23" s="260"/>
      <c r="O23" s="260"/>
      <c r="P23" s="260"/>
      <c r="Q23" s="260"/>
      <c r="R23" s="260"/>
      <c r="S23" s="260"/>
      <c r="T23" s="260"/>
      <c r="U23" s="260"/>
      <c r="V23" s="260"/>
      <c r="W23" s="260"/>
      <c r="X23" s="260"/>
      <c r="Y23" s="260"/>
      <c r="Z23" s="260"/>
    </row>
    <row r="24">
      <c r="A24" s="274">
        <v>4.0</v>
      </c>
      <c r="B24" s="275" t="s">
        <v>5907</v>
      </c>
      <c r="C24" s="275">
        <v>3.0</v>
      </c>
      <c r="D24" s="276" t="s">
        <v>5908</v>
      </c>
      <c r="E24" s="275">
        <v>1.0</v>
      </c>
      <c r="F24" s="275">
        <f t="shared" si="3"/>
        <v>2</v>
      </c>
      <c r="G24" s="260"/>
      <c r="H24" s="261"/>
      <c r="I24" s="261"/>
      <c r="J24" s="261"/>
      <c r="K24" s="260"/>
      <c r="L24" s="260"/>
      <c r="M24" s="260"/>
      <c r="N24" s="260"/>
      <c r="O24" s="260"/>
      <c r="P24" s="260"/>
      <c r="Q24" s="260"/>
      <c r="R24" s="260"/>
      <c r="S24" s="260"/>
      <c r="T24" s="260"/>
      <c r="U24" s="260"/>
      <c r="V24" s="260"/>
      <c r="W24" s="260"/>
      <c r="X24" s="260"/>
      <c r="Y24" s="260"/>
      <c r="Z24" s="260"/>
    </row>
    <row r="25">
      <c r="A25" s="274">
        <v>5.0</v>
      </c>
      <c r="B25" s="275" t="s">
        <v>5909</v>
      </c>
      <c r="C25" s="275">
        <v>229.0</v>
      </c>
      <c r="D25" s="276" t="s">
        <v>5910</v>
      </c>
      <c r="E25" s="275">
        <v>119.0</v>
      </c>
      <c r="F25" s="275">
        <f t="shared" si="3"/>
        <v>110</v>
      </c>
      <c r="G25" s="260"/>
      <c r="H25" s="261"/>
      <c r="I25" s="261"/>
      <c r="J25" s="261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Y25" s="260"/>
      <c r="Z25" s="260"/>
    </row>
    <row r="26">
      <c r="A26" s="279" t="s">
        <v>5911</v>
      </c>
      <c r="B26" s="280"/>
      <c r="C26" s="281">
        <f>SUM(C21:C25)</f>
        <v>260</v>
      </c>
      <c r="D26" s="275"/>
      <c r="E26" s="281">
        <f t="shared" ref="E26:F26" si="4">SUM(E21:E25)</f>
        <v>143</v>
      </c>
      <c r="F26" s="281">
        <f t="shared" si="4"/>
        <v>117</v>
      </c>
      <c r="G26" s="260"/>
      <c r="H26" s="261"/>
      <c r="I26" s="261"/>
      <c r="J26" s="261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60"/>
      <c r="X26" s="260"/>
      <c r="Y26" s="260"/>
      <c r="Z26" s="260"/>
    </row>
    <row r="27">
      <c r="A27" s="261"/>
      <c r="B27" s="260"/>
      <c r="C27" s="260"/>
      <c r="D27" s="260"/>
      <c r="E27" s="260"/>
      <c r="F27" s="260"/>
      <c r="G27" s="260"/>
      <c r="H27" s="261"/>
      <c r="I27" s="261"/>
      <c r="J27" s="261"/>
      <c r="K27" s="260"/>
      <c r="L27" s="260"/>
      <c r="M27" s="260"/>
      <c r="N27" s="260"/>
      <c r="O27" s="260"/>
      <c r="P27" s="260"/>
      <c r="Q27" s="260"/>
      <c r="R27" s="260"/>
      <c r="S27" s="260"/>
      <c r="T27" s="260"/>
      <c r="U27" s="260"/>
      <c r="V27" s="260"/>
      <c r="W27" s="260"/>
      <c r="X27" s="260"/>
      <c r="Y27" s="260"/>
      <c r="Z27" s="260"/>
    </row>
    <row r="28">
      <c r="A28" s="271" t="s">
        <v>5912</v>
      </c>
      <c r="B28" s="260"/>
      <c r="C28" s="260"/>
      <c r="D28" s="260"/>
      <c r="E28" s="260"/>
      <c r="F28" s="260"/>
      <c r="G28" s="260"/>
      <c r="H28" s="261"/>
      <c r="I28" s="261"/>
      <c r="J28" s="261"/>
      <c r="K28" s="260"/>
      <c r="L28" s="260"/>
      <c r="M28" s="260"/>
      <c r="N28" s="260"/>
      <c r="O28" s="260"/>
      <c r="P28" s="260"/>
      <c r="Q28" s="260"/>
      <c r="R28" s="260"/>
      <c r="S28" s="260"/>
      <c r="T28" s="260"/>
      <c r="U28" s="260"/>
      <c r="V28" s="260"/>
      <c r="W28" s="260"/>
      <c r="X28" s="260"/>
      <c r="Y28" s="260"/>
      <c r="Z28" s="260"/>
    </row>
    <row r="29">
      <c r="A29" s="261" t="s">
        <v>66</v>
      </c>
      <c r="B29" s="260"/>
      <c r="C29" s="260"/>
      <c r="D29" s="260"/>
      <c r="E29" s="260"/>
      <c r="F29" s="260"/>
      <c r="G29" s="282" t="s">
        <v>522</v>
      </c>
      <c r="H29" s="261"/>
      <c r="I29" s="261"/>
      <c r="J29" s="261"/>
      <c r="K29" s="260"/>
      <c r="L29" s="260"/>
      <c r="M29" s="282" t="s">
        <v>5890</v>
      </c>
      <c r="N29" s="261"/>
      <c r="O29" s="261"/>
      <c r="P29" s="261"/>
      <c r="Q29" s="260"/>
      <c r="R29" s="260"/>
      <c r="S29" s="260"/>
      <c r="T29" s="260"/>
      <c r="U29" s="260"/>
      <c r="V29" s="260"/>
      <c r="W29" s="260"/>
      <c r="X29" s="260"/>
      <c r="Y29" s="260"/>
      <c r="Z29" s="260"/>
    </row>
    <row r="30">
      <c r="A30" s="272" t="s">
        <v>5887</v>
      </c>
      <c r="B30" s="273" t="s">
        <v>5913</v>
      </c>
      <c r="C30" s="273" t="s">
        <v>5898</v>
      </c>
      <c r="D30" s="273" t="s">
        <v>5899</v>
      </c>
      <c r="E30" s="273" t="s">
        <v>5900</v>
      </c>
      <c r="F30" s="260"/>
      <c r="G30" s="272" t="s">
        <v>5887</v>
      </c>
      <c r="H30" s="272" t="s">
        <v>5913</v>
      </c>
      <c r="I30" s="272" t="s">
        <v>5898</v>
      </c>
      <c r="J30" s="272" t="s">
        <v>5899</v>
      </c>
      <c r="K30" s="272" t="s">
        <v>5900</v>
      </c>
      <c r="L30" s="260"/>
      <c r="M30" s="272" t="s">
        <v>5887</v>
      </c>
      <c r="N30" s="272" t="s">
        <v>5913</v>
      </c>
      <c r="O30" s="272" t="s">
        <v>5898</v>
      </c>
      <c r="P30" s="272" t="s">
        <v>5899</v>
      </c>
      <c r="Q30" s="272" t="s">
        <v>5900</v>
      </c>
      <c r="R30" s="260"/>
      <c r="S30" s="260"/>
      <c r="T30" s="260"/>
      <c r="U30" s="260"/>
      <c r="V30" s="260"/>
      <c r="W30" s="260"/>
      <c r="X30" s="260"/>
      <c r="Y30" s="260"/>
      <c r="Z30" s="260"/>
    </row>
    <row r="31">
      <c r="A31" s="283">
        <v>1.0</v>
      </c>
      <c r="B31" s="284" t="s">
        <v>5914</v>
      </c>
      <c r="C31" s="284">
        <v>0.0</v>
      </c>
      <c r="D31" s="284">
        <v>0.0</v>
      </c>
      <c r="E31" s="284">
        <f t="shared" ref="E31:E45" si="5">C31-D31</f>
        <v>0</v>
      </c>
      <c r="F31" s="260"/>
      <c r="G31" s="265">
        <v>1.0</v>
      </c>
      <c r="H31" s="265" t="s">
        <v>5915</v>
      </c>
      <c r="I31" s="265">
        <f t="shared" ref="I31:I45" si="6">SUM(J31:K31)</f>
        <v>0</v>
      </c>
      <c r="J31" s="265">
        <v>0.0</v>
      </c>
      <c r="K31" s="265">
        <v>0.0</v>
      </c>
      <c r="L31" s="260"/>
      <c r="M31" s="265">
        <v>1.0</v>
      </c>
      <c r="N31" s="265" t="s">
        <v>5915</v>
      </c>
      <c r="O31" s="265">
        <f t="shared" ref="O31:O45" si="7">SUM(P31:Q31)</f>
        <v>0</v>
      </c>
      <c r="P31" s="265">
        <v>0.0</v>
      </c>
      <c r="Q31" s="265">
        <v>0.0</v>
      </c>
      <c r="R31" s="260"/>
      <c r="S31" s="260"/>
      <c r="T31" s="260"/>
      <c r="U31" s="260"/>
      <c r="V31" s="260"/>
      <c r="W31" s="260"/>
      <c r="X31" s="260"/>
      <c r="Y31" s="260"/>
      <c r="Z31" s="260"/>
    </row>
    <row r="32">
      <c r="A32" s="283">
        <v>2.0</v>
      </c>
      <c r="B32" s="284" t="s">
        <v>5916</v>
      </c>
      <c r="C32" s="284">
        <v>3.0</v>
      </c>
      <c r="D32" s="284">
        <v>3.0</v>
      </c>
      <c r="E32" s="284">
        <f t="shared" si="5"/>
        <v>0</v>
      </c>
      <c r="F32" s="260"/>
      <c r="G32" s="265">
        <v>2.0</v>
      </c>
      <c r="H32" s="265" t="s">
        <v>5917</v>
      </c>
      <c r="I32" s="265">
        <f t="shared" si="6"/>
        <v>0</v>
      </c>
      <c r="J32" s="265">
        <v>0.0</v>
      </c>
      <c r="K32" s="265">
        <v>0.0</v>
      </c>
      <c r="L32" s="260"/>
      <c r="M32" s="265">
        <v>2.0</v>
      </c>
      <c r="N32" s="265" t="s">
        <v>5917</v>
      </c>
      <c r="O32" s="265">
        <f t="shared" si="7"/>
        <v>0</v>
      </c>
      <c r="P32" s="265">
        <v>0.0</v>
      </c>
      <c r="Q32" s="265">
        <v>0.0</v>
      </c>
      <c r="R32" s="260"/>
      <c r="S32" s="260"/>
      <c r="T32" s="260"/>
      <c r="U32" s="260"/>
      <c r="V32" s="260"/>
      <c r="W32" s="260"/>
      <c r="X32" s="260"/>
      <c r="Y32" s="260"/>
      <c r="Z32" s="260"/>
    </row>
    <row r="33">
      <c r="A33" s="283">
        <v>3.0</v>
      </c>
      <c r="B33" s="284" t="s">
        <v>5918</v>
      </c>
      <c r="C33" s="284">
        <v>24.0</v>
      </c>
      <c r="D33" s="284">
        <v>15.0</v>
      </c>
      <c r="E33" s="284">
        <f t="shared" si="5"/>
        <v>9</v>
      </c>
      <c r="F33" s="260"/>
      <c r="G33" s="265">
        <v>3.0</v>
      </c>
      <c r="H33" s="265" t="s">
        <v>5919</v>
      </c>
      <c r="I33" s="265">
        <f t="shared" si="6"/>
        <v>0</v>
      </c>
      <c r="J33" s="265">
        <v>0.0</v>
      </c>
      <c r="K33" s="265">
        <v>0.0</v>
      </c>
      <c r="L33" s="260"/>
      <c r="M33" s="265">
        <v>3.0</v>
      </c>
      <c r="N33" s="265" t="s">
        <v>5919</v>
      </c>
      <c r="O33" s="265">
        <f t="shared" si="7"/>
        <v>0</v>
      </c>
      <c r="P33" s="265">
        <v>0.0</v>
      </c>
      <c r="Q33" s="265">
        <v>0.0</v>
      </c>
      <c r="R33" s="260"/>
      <c r="S33" s="260"/>
      <c r="T33" s="260"/>
      <c r="U33" s="260"/>
      <c r="V33" s="260"/>
      <c r="W33" s="260"/>
      <c r="X33" s="260"/>
      <c r="Y33" s="260"/>
      <c r="Z33" s="260"/>
    </row>
    <row r="34">
      <c r="A34" s="283">
        <v>4.0</v>
      </c>
      <c r="B34" s="284" t="s">
        <v>5920</v>
      </c>
      <c r="C34" s="284">
        <v>126.0</v>
      </c>
      <c r="D34" s="284">
        <v>68.0</v>
      </c>
      <c r="E34" s="284">
        <f t="shared" si="5"/>
        <v>58</v>
      </c>
      <c r="F34" s="260"/>
      <c r="G34" s="265">
        <v>4.0</v>
      </c>
      <c r="H34" s="265" t="s">
        <v>5921</v>
      </c>
      <c r="I34" s="265">
        <f t="shared" si="6"/>
        <v>0</v>
      </c>
      <c r="J34" s="265">
        <v>0.0</v>
      </c>
      <c r="K34" s="265">
        <v>0.0</v>
      </c>
      <c r="L34" s="260"/>
      <c r="M34" s="265">
        <v>4.0</v>
      </c>
      <c r="N34" s="265" t="s">
        <v>5921</v>
      </c>
      <c r="O34" s="265">
        <f t="shared" si="7"/>
        <v>0</v>
      </c>
      <c r="P34" s="265">
        <v>0.0</v>
      </c>
      <c r="Q34" s="265">
        <v>0.0</v>
      </c>
      <c r="R34" s="260"/>
      <c r="S34" s="260"/>
      <c r="T34" s="260"/>
      <c r="U34" s="260"/>
      <c r="V34" s="260"/>
      <c r="W34" s="260"/>
      <c r="X34" s="260"/>
      <c r="Y34" s="260"/>
      <c r="Z34" s="260"/>
    </row>
    <row r="35">
      <c r="A35" s="283">
        <v>5.0</v>
      </c>
      <c r="B35" s="284" t="s">
        <v>5922</v>
      </c>
      <c r="C35" s="284">
        <v>43.0</v>
      </c>
      <c r="D35" s="284">
        <v>25.0</v>
      </c>
      <c r="E35" s="284">
        <f t="shared" si="5"/>
        <v>18</v>
      </c>
      <c r="F35" s="260"/>
      <c r="G35" s="265">
        <v>5.0</v>
      </c>
      <c r="H35" s="265" t="s">
        <v>5923</v>
      </c>
      <c r="I35" s="265">
        <f t="shared" si="6"/>
        <v>0</v>
      </c>
      <c r="J35" s="265">
        <v>0.0</v>
      </c>
      <c r="K35" s="265">
        <v>0.0</v>
      </c>
      <c r="L35" s="260"/>
      <c r="M35" s="265">
        <v>5.0</v>
      </c>
      <c r="N35" s="265" t="s">
        <v>5923</v>
      </c>
      <c r="O35" s="265">
        <f t="shared" si="7"/>
        <v>0</v>
      </c>
      <c r="P35" s="265">
        <v>0.0</v>
      </c>
      <c r="Q35" s="265">
        <v>0.0</v>
      </c>
      <c r="R35" s="260"/>
      <c r="S35" s="260"/>
      <c r="T35" s="260"/>
      <c r="U35" s="260"/>
      <c r="V35" s="260"/>
      <c r="W35" s="260"/>
      <c r="X35" s="260"/>
      <c r="Y35" s="260"/>
      <c r="Z35" s="260"/>
    </row>
    <row r="36">
      <c r="A36" s="283">
        <v>6.0</v>
      </c>
      <c r="B36" s="284" t="s">
        <v>5924</v>
      </c>
      <c r="C36" s="284">
        <v>22.0</v>
      </c>
      <c r="D36" s="284">
        <v>8.0</v>
      </c>
      <c r="E36" s="284">
        <f t="shared" si="5"/>
        <v>14</v>
      </c>
      <c r="F36" s="260"/>
      <c r="G36" s="265">
        <v>6.0</v>
      </c>
      <c r="H36" s="265" t="s">
        <v>5925</v>
      </c>
      <c r="I36" s="265">
        <f t="shared" si="6"/>
        <v>0</v>
      </c>
      <c r="J36" s="265">
        <v>0.0</v>
      </c>
      <c r="K36" s="265">
        <v>0.0</v>
      </c>
      <c r="L36" s="260"/>
      <c r="M36" s="265">
        <v>6.0</v>
      </c>
      <c r="N36" s="265" t="s">
        <v>5925</v>
      </c>
      <c r="O36" s="265">
        <f t="shared" si="7"/>
        <v>0</v>
      </c>
      <c r="P36" s="265">
        <v>0.0</v>
      </c>
      <c r="Q36" s="265">
        <v>0.0</v>
      </c>
      <c r="R36" s="260"/>
      <c r="S36" s="260"/>
      <c r="T36" s="260"/>
      <c r="U36" s="260"/>
      <c r="V36" s="260"/>
      <c r="W36" s="260"/>
      <c r="X36" s="260"/>
      <c r="Y36" s="260"/>
      <c r="Z36" s="260"/>
    </row>
    <row r="37">
      <c r="A37" s="283">
        <v>7.0</v>
      </c>
      <c r="B37" s="284" t="s">
        <v>5926</v>
      </c>
      <c r="C37" s="284">
        <v>33.0</v>
      </c>
      <c r="D37" s="284">
        <v>19.0</v>
      </c>
      <c r="E37" s="284">
        <f t="shared" si="5"/>
        <v>14</v>
      </c>
      <c r="F37" s="260"/>
      <c r="G37" s="265">
        <v>7.0</v>
      </c>
      <c r="H37" s="265" t="s">
        <v>550</v>
      </c>
      <c r="I37" s="265">
        <f t="shared" si="6"/>
        <v>9</v>
      </c>
      <c r="J37" s="265">
        <v>4.0</v>
      </c>
      <c r="K37" s="265">
        <v>5.0</v>
      </c>
      <c r="L37" s="260"/>
      <c r="M37" s="265">
        <v>7.0</v>
      </c>
      <c r="N37" s="265" t="s">
        <v>550</v>
      </c>
      <c r="O37" s="265">
        <f t="shared" si="7"/>
        <v>393</v>
      </c>
      <c r="P37" s="265">
        <v>197.0</v>
      </c>
      <c r="Q37" s="265">
        <v>196.0</v>
      </c>
      <c r="R37" s="260"/>
      <c r="S37" s="260"/>
      <c r="T37" s="260"/>
      <c r="U37" s="260"/>
      <c r="V37" s="260"/>
      <c r="W37" s="260"/>
      <c r="X37" s="260"/>
      <c r="Y37" s="260"/>
      <c r="Z37" s="260"/>
    </row>
    <row r="38">
      <c r="A38" s="283">
        <v>8.0</v>
      </c>
      <c r="B38" s="284" t="s">
        <v>5927</v>
      </c>
      <c r="C38" s="284">
        <v>6.0</v>
      </c>
      <c r="D38" s="284">
        <v>3.0</v>
      </c>
      <c r="E38" s="284">
        <f t="shared" si="5"/>
        <v>3</v>
      </c>
      <c r="F38" s="260"/>
      <c r="G38" s="265">
        <v>8.0</v>
      </c>
      <c r="H38" s="265" t="s">
        <v>5928</v>
      </c>
      <c r="I38" s="265">
        <f t="shared" si="6"/>
        <v>0</v>
      </c>
      <c r="J38" s="265">
        <v>0.0</v>
      </c>
      <c r="K38" s="265">
        <v>0.0</v>
      </c>
      <c r="L38" s="260"/>
      <c r="M38" s="265">
        <v>8.0</v>
      </c>
      <c r="N38" s="265" t="s">
        <v>5928</v>
      </c>
      <c r="O38" s="265">
        <f t="shared" si="7"/>
        <v>0</v>
      </c>
      <c r="P38" s="265">
        <v>0.0</v>
      </c>
      <c r="Q38" s="265">
        <v>0.0</v>
      </c>
      <c r="R38" s="260"/>
      <c r="S38" s="260"/>
      <c r="T38" s="260"/>
      <c r="U38" s="260"/>
      <c r="V38" s="260"/>
      <c r="W38" s="260"/>
      <c r="X38" s="260"/>
      <c r="Y38" s="260"/>
      <c r="Z38" s="260"/>
    </row>
    <row r="39">
      <c r="A39" s="283">
        <v>9.0</v>
      </c>
      <c r="B39" s="284" t="s">
        <v>5929</v>
      </c>
      <c r="C39" s="284">
        <v>1.0</v>
      </c>
      <c r="D39" s="284">
        <v>1.0</v>
      </c>
      <c r="E39" s="284">
        <f t="shared" si="5"/>
        <v>0</v>
      </c>
      <c r="F39" s="260"/>
      <c r="G39" s="265">
        <v>9.0</v>
      </c>
      <c r="H39" s="265" t="s">
        <v>517</v>
      </c>
      <c r="I39" s="265">
        <f t="shared" si="6"/>
        <v>14</v>
      </c>
      <c r="J39" s="265">
        <v>9.0</v>
      </c>
      <c r="K39" s="265">
        <v>5.0</v>
      </c>
      <c r="L39" s="260"/>
      <c r="M39" s="265">
        <v>9.0</v>
      </c>
      <c r="N39" s="265" t="s">
        <v>517</v>
      </c>
      <c r="O39" s="265">
        <f t="shared" si="7"/>
        <v>32</v>
      </c>
      <c r="P39" s="267">
        <v>17.0</v>
      </c>
      <c r="Q39" s="265">
        <v>15.0</v>
      </c>
      <c r="R39" s="260"/>
      <c r="S39" s="260"/>
      <c r="T39" s="260"/>
      <c r="U39" s="260"/>
      <c r="V39" s="260"/>
      <c r="W39" s="260"/>
      <c r="X39" s="260"/>
      <c r="Y39" s="260"/>
      <c r="Z39" s="260"/>
    </row>
    <row r="40">
      <c r="A40" s="283">
        <v>10.0</v>
      </c>
      <c r="B40" s="284" t="s">
        <v>5930</v>
      </c>
      <c r="C40" s="284">
        <v>2.0</v>
      </c>
      <c r="D40" s="284">
        <v>2.0</v>
      </c>
      <c r="E40" s="284">
        <f t="shared" si="5"/>
        <v>0</v>
      </c>
      <c r="F40" s="260"/>
      <c r="G40" s="265">
        <v>10.0</v>
      </c>
      <c r="H40" s="265" t="s">
        <v>5931</v>
      </c>
      <c r="I40" s="265">
        <f t="shared" si="6"/>
        <v>0</v>
      </c>
      <c r="J40" s="265">
        <v>0.0</v>
      </c>
      <c r="K40" s="265">
        <v>0.0</v>
      </c>
      <c r="L40" s="260"/>
      <c r="M40" s="265">
        <v>10.0</v>
      </c>
      <c r="N40" s="265" t="s">
        <v>5931</v>
      </c>
      <c r="O40" s="265">
        <f t="shared" si="7"/>
        <v>0</v>
      </c>
      <c r="P40" s="265">
        <v>0.0</v>
      </c>
      <c r="Q40" s="265">
        <v>0.0</v>
      </c>
      <c r="R40" s="260"/>
      <c r="S40" s="260"/>
      <c r="T40" s="260"/>
      <c r="U40" s="260"/>
      <c r="V40" s="260"/>
      <c r="W40" s="260"/>
      <c r="X40" s="260"/>
      <c r="Y40" s="260"/>
      <c r="Z40" s="260"/>
    </row>
    <row r="41">
      <c r="A41" s="283">
        <v>11.0</v>
      </c>
      <c r="B41" s="284" t="s">
        <v>5932</v>
      </c>
      <c r="C41" s="285">
        <v>0.0</v>
      </c>
      <c r="D41" s="285">
        <v>0.0</v>
      </c>
      <c r="E41" s="284">
        <f t="shared" si="5"/>
        <v>0</v>
      </c>
      <c r="F41" s="260"/>
      <c r="G41" s="265">
        <v>11.0</v>
      </c>
      <c r="H41" s="265" t="s">
        <v>531</v>
      </c>
      <c r="I41" s="265">
        <f t="shared" si="6"/>
        <v>23</v>
      </c>
      <c r="J41" s="265">
        <v>17.0</v>
      </c>
      <c r="K41" s="265">
        <v>6.0</v>
      </c>
      <c r="L41" s="260"/>
      <c r="M41" s="265">
        <v>11.0</v>
      </c>
      <c r="N41" s="265" t="s">
        <v>531</v>
      </c>
      <c r="O41" s="265">
        <f t="shared" si="7"/>
        <v>118</v>
      </c>
      <c r="P41" s="267">
        <v>87.0</v>
      </c>
      <c r="Q41" s="265">
        <v>31.0</v>
      </c>
      <c r="R41" s="260"/>
      <c r="S41" s="260"/>
      <c r="T41" s="260"/>
      <c r="U41" s="260"/>
      <c r="V41" s="260"/>
      <c r="W41" s="260"/>
      <c r="X41" s="260"/>
      <c r="Y41" s="260"/>
      <c r="Z41" s="260"/>
    </row>
    <row r="42">
      <c r="A42" s="283">
        <v>12.0</v>
      </c>
      <c r="B42" s="284" t="s">
        <v>5933</v>
      </c>
      <c r="C42" s="285">
        <v>0.0</v>
      </c>
      <c r="D42" s="285">
        <v>0.0</v>
      </c>
      <c r="E42" s="284">
        <f t="shared" si="5"/>
        <v>0</v>
      </c>
      <c r="F42" s="260"/>
      <c r="G42" s="265">
        <v>12.0</v>
      </c>
      <c r="H42" s="265" t="s">
        <v>551</v>
      </c>
      <c r="I42" s="265">
        <f t="shared" si="6"/>
        <v>0</v>
      </c>
      <c r="J42" s="265">
        <v>0.0</v>
      </c>
      <c r="K42" s="265">
        <v>0.0</v>
      </c>
      <c r="L42" s="260"/>
      <c r="M42" s="265">
        <v>12.0</v>
      </c>
      <c r="N42" s="265" t="s">
        <v>551</v>
      </c>
      <c r="O42" s="265">
        <f t="shared" si="7"/>
        <v>0</v>
      </c>
      <c r="P42" s="265">
        <v>0.0</v>
      </c>
      <c r="Q42" s="265">
        <v>0.0</v>
      </c>
      <c r="R42" s="260"/>
      <c r="S42" s="260"/>
      <c r="T42" s="260"/>
      <c r="U42" s="260"/>
      <c r="V42" s="260"/>
      <c r="W42" s="260"/>
      <c r="X42" s="260"/>
      <c r="Y42" s="260"/>
      <c r="Z42" s="260"/>
    </row>
    <row r="43">
      <c r="A43" s="283">
        <v>13.0</v>
      </c>
      <c r="B43" s="284" t="s">
        <v>5934</v>
      </c>
      <c r="C43" s="285">
        <v>0.0</v>
      </c>
      <c r="D43" s="285">
        <v>0.0</v>
      </c>
      <c r="E43" s="284">
        <f t="shared" si="5"/>
        <v>0</v>
      </c>
      <c r="F43" s="260"/>
      <c r="G43" s="265">
        <v>13.0</v>
      </c>
      <c r="H43" s="265" t="s">
        <v>5935</v>
      </c>
      <c r="I43" s="265">
        <f t="shared" si="6"/>
        <v>0</v>
      </c>
      <c r="J43" s="265">
        <v>0.0</v>
      </c>
      <c r="K43" s="265">
        <v>0.0</v>
      </c>
      <c r="L43" s="260"/>
      <c r="M43" s="265">
        <v>13.0</v>
      </c>
      <c r="N43" s="265" t="s">
        <v>5935</v>
      </c>
      <c r="O43" s="265">
        <f t="shared" si="7"/>
        <v>0</v>
      </c>
      <c r="P43" s="265">
        <v>0.0</v>
      </c>
      <c r="Q43" s="265">
        <v>0.0</v>
      </c>
      <c r="R43" s="260"/>
      <c r="S43" s="260"/>
      <c r="T43" s="260"/>
      <c r="U43" s="260"/>
      <c r="V43" s="260"/>
      <c r="W43" s="260"/>
      <c r="X43" s="260"/>
      <c r="Y43" s="260"/>
      <c r="Z43" s="260"/>
    </row>
    <row r="44">
      <c r="A44" s="283">
        <v>14.0</v>
      </c>
      <c r="B44" s="284" t="s">
        <v>5936</v>
      </c>
      <c r="C44" s="285">
        <v>0.0</v>
      </c>
      <c r="D44" s="285">
        <v>0.0</v>
      </c>
      <c r="E44" s="284">
        <f t="shared" si="5"/>
        <v>0</v>
      </c>
      <c r="F44" s="260"/>
      <c r="G44" s="265">
        <v>14.0</v>
      </c>
      <c r="H44" s="265" t="s">
        <v>5937</v>
      </c>
      <c r="I44" s="265">
        <f t="shared" si="6"/>
        <v>0</v>
      </c>
      <c r="J44" s="265">
        <v>0.0</v>
      </c>
      <c r="K44" s="265">
        <v>0.0</v>
      </c>
      <c r="L44" s="260"/>
      <c r="M44" s="265">
        <v>14.0</v>
      </c>
      <c r="N44" s="265" t="s">
        <v>5937</v>
      </c>
      <c r="O44" s="265">
        <f t="shared" si="7"/>
        <v>0</v>
      </c>
      <c r="P44" s="265">
        <v>0.0</v>
      </c>
      <c r="Q44" s="265">
        <v>0.0</v>
      </c>
      <c r="R44" s="260"/>
      <c r="S44" s="260"/>
      <c r="T44" s="260"/>
      <c r="U44" s="260"/>
      <c r="V44" s="260"/>
      <c r="W44" s="260"/>
      <c r="X44" s="260"/>
      <c r="Y44" s="260"/>
      <c r="Z44" s="260"/>
    </row>
    <row r="45">
      <c r="A45" s="283">
        <v>15.0</v>
      </c>
      <c r="B45" s="284" t="s">
        <v>5938</v>
      </c>
      <c r="C45" s="285">
        <v>0.0</v>
      </c>
      <c r="D45" s="285">
        <v>0.0</v>
      </c>
      <c r="E45" s="284">
        <f t="shared" si="5"/>
        <v>0</v>
      </c>
      <c r="F45" s="260"/>
      <c r="G45" s="265">
        <v>15.0</v>
      </c>
      <c r="H45" s="265" t="s">
        <v>5939</v>
      </c>
      <c r="I45" s="265">
        <f t="shared" si="6"/>
        <v>0</v>
      </c>
      <c r="J45" s="265">
        <v>0.0</v>
      </c>
      <c r="K45" s="265">
        <v>0.0</v>
      </c>
      <c r="L45" s="260"/>
      <c r="M45" s="265">
        <v>15.0</v>
      </c>
      <c r="N45" s="265" t="s">
        <v>5939</v>
      </c>
      <c r="O45" s="265">
        <f t="shared" si="7"/>
        <v>0</v>
      </c>
      <c r="P45" s="265">
        <v>0.0</v>
      </c>
      <c r="Q45" s="265">
        <v>0.0</v>
      </c>
      <c r="R45" s="260"/>
      <c r="S45" s="260"/>
      <c r="T45" s="260"/>
      <c r="U45" s="260"/>
      <c r="V45" s="260"/>
      <c r="W45" s="260"/>
      <c r="X45" s="260"/>
      <c r="Y45" s="260"/>
      <c r="Z45" s="260"/>
    </row>
    <row r="46">
      <c r="A46" s="286" t="s">
        <v>5911</v>
      </c>
      <c r="B46" s="280"/>
      <c r="C46" s="287">
        <f t="shared" ref="C46:E46" si="8">SUM(C31:C45)</f>
        <v>260</v>
      </c>
      <c r="D46" s="287">
        <f t="shared" si="8"/>
        <v>144</v>
      </c>
      <c r="E46" s="287">
        <f t="shared" si="8"/>
        <v>116</v>
      </c>
      <c r="F46" s="260"/>
      <c r="G46" s="269" t="s">
        <v>5911</v>
      </c>
      <c r="H46" s="10"/>
      <c r="I46" s="265">
        <f t="shared" ref="I46:J46" si="9">SUM(I31:I45)</f>
        <v>46</v>
      </c>
      <c r="J46" s="265">
        <f t="shared" si="9"/>
        <v>30</v>
      </c>
      <c r="K46" s="265">
        <f>SUM(K29:K45)</f>
        <v>16</v>
      </c>
      <c r="L46" s="260"/>
      <c r="M46" s="269" t="s">
        <v>5911</v>
      </c>
      <c r="N46" s="10"/>
      <c r="O46" s="265">
        <f t="shared" ref="O46:P46" si="10">SUM(O31:O45)</f>
        <v>543</v>
      </c>
      <c r="P46" s="265">
        <f t="shared" si="10"/>
        <v>301</v>
      </c>
      <c r="Q46" s="265">
        <f>SUM(Q29:Q45)</f>
        <v>242</v>
      </c>
      <c r="R46" s="260"/>
      <c r="S46" s="260"/>
      <c r="T46" s="260"/>
      <c r="U46" s="260"/>
      <c r="V46" s="260"/>
      <c r="W46" s="260"/>
      <c r="X46" s="260"/>
      <c r="Y46" s="260"/>
      <c r="Z46" s="260"/>
    </row>
    <row r="47">
      <c r="A47" s="261"/>
      <c r="B47" s="260"/>
      <c r="C47" s="260"/>
      <c r="D47" s="260"/>
      <c r="E47" s="260"/>
      <c r="F47" s="260"/>
      <c r="G47" s="260"/>
      <c r="H47" s="261"/>
      <c r="I47" s="261"/>
      <c r="J47" s="261"/>
      <c r="K47" s="260"/>
      <c r="L47" s="260"/>
      <c r="M47" s="260"/>
      <c r="N47" s="260"/>
      <c r="O47" s="260"/>
      <c r="P47" s="260"/>
      <c r="Q47" s="260"/>
      <c r="R47" s="260"/>
      <c r="S47" s="260"/>
      <c r="T47" s="260"/>
      <c r="U47" s="260"/>
      <c r="V47" s="260"/>
      <c r="W47" s="260"/>
      <c r="X47" s="260"/>
      <c r="Y47" s="260"/>
      <c r="Z47" s="260"/>
    </row>
    <row r="48">
      <c r="A48" s="271" t="s">
        <v>5940</v>
      </c>
      <c r="B48" s="260"/>
      <c r="C48" s="260"/>
      <c r="D48" s="260"/>
      <c r="E48" s="260"/>
      <c r="F48" s="260"/>
      <c r="G48" s="260"/>
      <c r="H48" s="261"/>
      <c r="I48" s="261"/>
      <c r="J48" s="261"/>
      <c r="K48" s="260"/>
      <c r="L48" s="260"/>
      <c r="M48" s="260"/>
      <c r="N48" s="260"/>
      <c r="O48" s="260"/>
      <c r="P48" s="260"/>
      <c r="Q48" s="260"/>
      <c r="R48" s="260"/>
      <c r="S48" s="260"/>
      <c r="T48" s="260"/>
      <c r="U48" s="260"/>
      <c r="V48" s="260"/>
      <c r="W48" s="260"/>
      <c r="X48" s="260"/>
      <c r="Y48" s="260"/>
      <c r="Z48" s="260"/>
    </row>
    <row r="49">
      <c r="A49" s="261" t="s">
        <v>66</v>
      </c>
      <c r="B49" s="260"/>
      <c r="C49" s="260"/>
      <c r="D49" s="260"/>
      <c r="E49" s="260"/>
      <c r="F49" s="260"/>
      <c r="G49" s="282" t="s">
        <v>522</v>
      </c>
      <c r="H49" s="261"/>
      <c r="I49" s="261"/>
      <c r="J49" s="261"/>
      <c r="K49" s="260"/>
      <c r="L49" s="260"/>
      <c r="M49" s="282" t="s">
        <v>5890</v>
      </c>
      <c r="N49" s="261"/>
      <c r="O49" s="261"/>
      <c r="P49" s="261"/>
      <c r="Q49" s="260"/>
      <c r="R49" s="260"/>
      <c r="S49" s="260"/>
      <c r="T49" s="260"/>
      <c r="U49" s="260"/>
      <c r="V49" s="260"/>
      <c r="W49" s="260"/>
      <c r="X49" s="260"/>
      <c r="Y49" s="260"/>
      <c r="Z49" s="260"/>
    </row>
    <row r="50">
      <c r="A50" s="272" t="s">
        <v>5887</v>
      </c>
      <c r="B50" s="273" t="s">
        <v>5941</v>
      </c>
      <c r="C50" s="273" t="s">
        <v>5898</v>
      </c>
      <c r="D50" s="273" t="s">
        <v>5899</v>
      </c>
      <c r="E50" s="273" t="s">
        <v>5900</v>
      </c>
      <c r="F50" s="260"/>
      <c r="G50" s="272" t="s">
        <v>5887</v>
      </c>
      <c r="H50" s="273" t="s">
        <v>5941</v>
      </c>
      <c r="I50" s="273" t="s">
        <v>5898</v>
      </c>
      <c r="J50" s="273" t="s">
        <v>5899</v>
      </c>
      <c r="K50" s="273" t="s">
        <v>5900</v>
      </c>
      <c r="L50" s="260"/>
      <c r="M50" s="272" t="s">
        <v>5887</v>
      </c>
      <c r="N50" s="273" t="s">
        <v>5941</v>
      </c>
      <c r="O50" s="273" t="s">
        <v>5898</v>
      </c>
      <c r="P50" s="273" t="s">
        <v>5899</v>
      </c>
      <c r="Q50" s="273" t="s">
        <v>5900</v>
      </c>
      <c r="R50" s="260"/>
      <c r="S50" s="260"/>
      <c r="T50" s="260"/>
      <c r="U50" s="260"/>
      <c r="V50" s="260"/>
      <c r="W50" s="260"/>
      <c r="X50" s="260"/>
      <c r="Y50" s="260"/>
      <c r="Z50" s="260"/>
    </row>
    <row r="51">
      <c r="A51" s="283">
        <v>1.0</v>
      </c>
      <c r="B51" s="288" t="s">
        <v>5942</v>
      </c>
      <c r="C51" s="285">
        <v>1.0</v>
      </c>
      <c r="D51" s="285">
        <v>1.0</v>
      </c>
      <c r="E51" s="285">
        <f t="shared" ref="E51:E57" si="11">C51-D51</f>
        <v>0</v>
      </c>
      <c r="F51" s="260"/>
      <c r="G51" s="283">
        <v>1.0</v>
      </c>
      <c r="H51" s="288" t="s">
        <v>5942</v>
      </c>
      <c r="I51" s="285">
        <f t="shared" ref="I51:I57" si="12">SUM(J51:K51)</f>
        <v>0</v>
      </c>
      <c r="J51" s="285">
        <v>0.0</v>
      </c>
      <c r="K51" s="285">
        <v>0.0</v>
      </c>
      <c r="L51" s="260"/>
      <c r="M51" s="283">
        <v>1.0</v>
      </c>
      <c r="N51" s="288" t="s">
        <v>5942</v>
      </c>
      <c r="O51" s="285">
        <f t="shared" ref="O51:O57" si="13">SUM(P51:Q51)</f>
        <v>0</v>
      </c>
      <c r="P51" s="285">
        <v>0.0</v>
      </c>
      <c r="Q51" s="285">
        <v>0.0</v>
      </c>
      <c r="R51" s="260"/>
      <c r="S51" s="260"/>
      <c r="T51" s="260"/>
      <c r="U51" s="260"/>
      <c r="V51" s="260"/>
      <c r="W51" s="260"/>
      <c r="X51" s="260"/>
      <c r="Y51" s="260"/>
      <c r="Z51" s="260"/>
    </row>
    <row r="52">
      <c r="A52" s="283">
        <v>2.0</v>
      </c>
      <c r="B52" s="288" t="s">
        <v>5943</v>
      </c>
      <c r="C52" s="285">
        <v>67.0</v>
      </c>
      <c r="D52" s="285">
        <v>36.0</v>
      </c>
      <c r="E52" s="285">
        <f t="shared" si="11"/>
        <v>31</v>
      </c>
      <c r="F52" s="260"/>
      <c r="G52" s="283">
        <v>2.0</v>
      </c>
      <c r="H52" s="288" t="s">
        <v>5943</v>
      </c>
      <c r="I52" s="285">
        <f t="shared" si="12"/>
        <v>0</v>
      </c>
      <c r="J52" s="285">
        <v>0.0</v>
      </c>
      <c r="K52" s="285">
        <v>0.0</v>
      </c>
      <c r="L52" s="260"/>
      <c r="M52" s="283">
        <v>2.0</v>
      </c>
      <c r="N52" s="288" t="s">
        <v>5943</v>
      </c>
      <c r="O52" s="285">
        <f t="shared" si="13"/>
        <v>5</v>
      </c>
      <c r="P52" s="285">
        <v>2.0</v>
      </c>
      <c r="Q52" s="285">
        <v>3.0</v>
      </c>
      <c r="R52" s="260"/>
      <c r="S52" s="260"/>
      <c r="T52" s="260"/>
      <c r="U52" s="260"/>
      <c r="V52" s="260"/>
      <c r="W52" s="260"/>
      <c r="X52" s="260"/>
      <c r="Y52" s="260"/>
      <c r="Z52" s="260"/>
    </row>
    <row r="53">
      <c r="A53" s="283">
        <v>3.0</v>
      </c>
      <c r="B53" s="288" t="s">
        <v>5944</v>
      </c>
      <c r="C53" s="285">
        <v>148.0</v>
      </c>
      <c r="D53" s="285">
        <v>85.0</v>
      </c>
      <c r="E53" s="285">
        <f t="shared" si="11"/>
        <v>63</v>
      </c>
      <c r="F53" s="260"/>
      <c r="G53" s="283">
        <v>3.0</v>
      </c>
      <c r="H53" s="288" t="s">
        <v>5944</v>
      </c>
      <c r="I53" s="285">
        <f t="shared" si="12"/>
        <v>6</v>
      </c>
      <c r="J53" s="285">
        <v>3.0</v>
      </c>
      <c r="K53" s="285">
        <v>3.0</v>
      </c>
      <c r="L53" s="260"/>
      <c r="M53" s="283">
        <v>3.0</v>
      </c>
      <c r="N53" s="288" t="s">
        <v>5944</v>
      </c>
      <c r="O53" s="285">
        <f t="shared" si="13"/>
        <v>387</v>
      </c>
      <c r="P53" s="285">
        <v>196.0</v>
      </c>
      <c r="Q53" s="285">
        <v>191.0</v>
      </c>
      <c r="R53" s="260"/>
      <c r="S53" s="260"/>
      <c r="T53" s="260"/>
      <c r="U53" s="260"/>
      <c r="V53" s="260"/>
      <c r="W53" s="260"/>
      <c r="X53" s="260"/>
      <c r="Y53" s="260"/>
      <c r="Z53" s="260"/>
    </row>
    <row r="54">
      <c r="A54" s="283">
        <v>4.0</v>
      </c>
      <c r="B54" s="288" t="s">
        <v>5945</v>
      </c>
      <c r="C54" s="285">
        <v>19.0</v>
      </c>
      <c r="D54" s="285">
        <v>7.0</v>
      </c>
      <c r="E54" s="285">
        <f t="shared" si="11"/>
        <v>12</v>
      </c>
      <c r="F54" s="260"/>
      <c r="G54" s="283">
        <v>4.0</v>
      </c>
      <c r="H54" s="288" t="s">
        <v>5945</v>
      </c>
      <c r="I54" s="285">
        <f t="shared" si="12"/>
        <v>17</v>
      </c>
      <c r="J54" s="285">
        <v>11.0</v>
      </c>
      <c r="K54" s="285">
        <v>6.0</v>
      </c>
      <c r="L54" s="260"/>
      <c r="M54" s="283">
        <v>4.0</v>
      </c>
      <c r="N54" s="288" t="s">
        <v>5945</v>
      </c>
      <c r="O54" s="285">
        <f t="shared" si="13"/>
        <v>33</v>
      </c>
      <c r="P54" s="285">
        <v>17.0</v>
      </c>
      <c r="Q54" s="285">
        <v>16.0</v>
      </c>
      <c r="R54" s="260"/>
      <c r="S54" s="260"/>
      <c r="T54" s="260"/>
      <c r="U54" s="260"/>
      <c r="V54" s="260"/>
      <c r="W54" s="260"/>
      <c r="X54" s="260"/>
      <c r="Y54" s="260"/>
      <c r="Z54" s="260"/>
    </row>
    <row r="55">
      <c r="A55" s="283">
        <v>5.0</v>
      </c>
      <c r="B55" s="288" t="s">
        <v>5946</v>
      </c>
      <c r="C55" s="285">
        <v>25.0</v>
      </c>
      <c r="D55" s="285">
        <v>14.0</v>
      </c>
      <c r="E55" s="285">
        <f t="shared" si="11"/>
        <v>11</v>
      </c>
      <c r="F55" s="260"/>
      <c r="G55" s="283">
        <v>5.0</v>
      </c>
      <c r="H55" s="288" t="s">
        <v>5946</v>
      </c>
      <c r="I55" s="285">
        <f t="shared" si="12"/>
        <v>23</v>
      </c>
      <c r="J55" s="285">
        <v>17.0</v>
      </c>
      <c r="K55" s="285">
        <v>6.0</v>
      </c>
      <c r="L55" s="260"/>
      <c r="M55" s="283">
        <v>5.0</v>
      </c>
      <c r="N55" s="288" t="s">
        <v>5946</v>
      </c>
      <c r="O55" s="285">
        <f t="shared" si="13"/>
        <v>114</v>
      </c>
      <c r="P55" s="285">
        <v>82.0</v>
      </c>
      <c r="Q55" s="285">
        <v>32.0</v>
      </c>
      <c r="R55" s="260"/>
      <c r="S55" s="260"/>
      <c r="T55" s="260"/>
      <c r="U55" s="260"/>
      <c r="V55" s="260"/>
      <c r="W55" s="260"/>
      <c r="X55" s="260"/>
      <c r="Y55" s="260"/>
      <c r="Z55" s="260"/>
    </row>
    <row r="56">
      <c r="A56" s="283">
        <v>6.0</v>
      </c>
      <c r="B56" s="288" t="s">
        <v>5947</v>
      </c>
      <c r="C56" s="285">
        <v>0.0</v>
      </c>
      <c r="D56" s="285">
        <v>0.0</v>
      </c>
      <c r="E56" s="285">
        <f t="shared" si="11"/>
        <v>0</v>
      </c>
      <c r="F56" s="260"/>
      <c r="G56" s="283">
        <v>6.0</v>
      </c>
      <c r="H56" s="288" t="s">
        <v>5947</v>
      </c>
      <c r="I56" s="285">
        <f t="shared" si="12"/>
        <v>0</v>
      </c>
      <c r="J56" s="285">
        <v>0.0</v>
      </c>
      <c r="K56" s="285">
        <v>0.0</v>
      </c>
      <c r="L56" s="260"/>
      <c r="M56" s="283">
        <v>6.0</v>
      </c>
      <c r="N56" s="288" t="s">
        <v>5947</v>
      </c>
      <c r="O56" s="285">
        <f t="shared" si="13"/>
        <v>2</v>
      </c>
      <c r="P56" s="285">
        <v>2.0</v>
      </c>
      <c r="Q56" s="285">
        <v>0.0</v>
      </c>
      <c r="R56" s="260"/>
      <c r="S56" s="260"/>
      <c r="T56" s="260"/>
      <c r="U56" s="260"/>
      <c r="V56" s="260"/>
      <c r="W56" s="260"/>
      <c r="X56" s="260"/>
      <c r="Y56" s="260"/>
      <c r="Z56" s="260"/>
    </row>
    <row r="57">
      <c r="A57" s="283">
        <v>7.0</v>
      </c>
      <c r="B57" s="288" t="s">
        <v>600</v>
      </c>
      <c r="C57" s="285">
        <v>0.0</v>
      </c>
      <c r="D57" s="285">
        <v>0.0</v>
      </c>
      <c r="E57" s="285">
        <f t="shared" si="11"/>
        <v>0</v>
      </c>
      <c r="F57" s="260"/>
      <c r="G57" s="283">
        <v>7.0</v>
      </c>
      <c r="H57" s="288" t="s">
        <v>600</v>
      </c>
      <c r="I57" s="285">
        <f t="shared" si="12"/>
        <v>0</v>
      </c>
      <c r="J57" s="285">
        <v>0.0</v>
      </c>
      <c r="K57" s="285">
        <v>0.0</v>
      </c>
      <c r="L57" s="260"/>
      <c r="M57" s="283">
        <v>7.0</v>
      </c>
      <c r="N57" s="288" t="s">
        <v>600</v>
      </c>
      <c r="O57" s="285">
        <f t="shared" si="13"/>
        <v>2</v>
      </c>
      <c r="P57" s="285">
        <v>2.0</v>
      </c>
      <c r="Q57" s="285">
        <v>0.0</v>
      </c>
      <c r="R57" s="260"/>
      <c r="S57" s="260"/>
      <c r="T57" s="260"/>
      <c r="U57" s="260"/>
      <c r="V57" s="260"/>
      <c r="W57" s="260"/>
      <c r="X57" s="260"/>
      <c r="Y57" s="260"/>
      <c r="Z57" s="260"/>
    </row>
    <row r="58">
      <c r="A58" s="286" t="s">
        <v>5911</v>
      </c>
      <c r="B58" s="280"/>
      <c r="C58" s="287">
        <f t="shared" ref="C58:E58" si="14">SUM(C51:C57)</f>
        <v>260</v>
      </c>
      <c r="D58" s="287">
        <f t="shared" si="14"/>
        <v>143</v>
      </c>
      <c r="E58" s="287">
        <f t="shared" si="14"/>
        <v>117</v>
      </c>
      <c r="F58" s="260"/>
      <c r="G58" s="286" t="s">
        <v>5911</v>
      </c>
      <c r="H58" s="280"/>
      <c r="I58" s="287">
        <f t="shared" ref="I58:K58" si="15">SUM(I51:I57)</f>
        <v>46</v>
      </c>
      <c r="J58" s="287">
        <f t="shared" si="15"/>
        <v>31</v>
      </c>
      <c r="K58" s="287">
        <f t="shared" si="15"/>
        <v>15</v>
      </c>
      <c r="L58" s="260"/>
      <c r="M58" s="286" t="s">
        <v>5911</v>
      </c>
      <c r="N58" s="280"/>
      <c r="O58" s="287">
        <f t="shared" ref="O58:Q58" si="16">SUM(O51:O57)</f>
        <v>543</v>
      </c>
      <c r="P58" s="287">
        <f t="shared" si="16"/>
        <v>301</v>
      </c>
      <c r="Q58" s="287">
        <f t="shared" si="16"/>
        <v>242</v>
      </c>
      <c r="R58" s="260"/>
      <c r="S58" s="260"/>
      <c r="T58" s="260"/>
      <c r="U58" s="260"/>
      <c r="V58" s="260"/>
      <c r="W58" s="260"/>
      <c r="X58" s="260"/>
      <c r="Y58" s="260"/>
      <c r="Z58" s="260"/>
    </row>
    <row r="59">
      <c r="A59" s="289"/>
      <c r="B59" s="260"/>
      <c r="C59" s="260"/>
      <c r="D59" s="260"/>
      <c r="E59" s="260"/>
      <c r="F59" s="260"/>
      <c r="G59" s="260"/>
      <c r="H59" s="261"/>
      <c r="I59" s="261"/>
      <c r="J59" s="261"/>
      <c r="K59" s="260"/>
      <c r="L59" s="260"/>
      <c r="M59" s="260"/>
      <c r="N59" s="260"/>
      <c r="O59" s="260"/>
      <c r="P59" s="260"/>
      <c r="Q59" s="260"/>
      <c r="R59" s="260"/>
      <c r="S59" s="260"/>
      <c r="T59" s="260"/>
      <c r="U59" s="260"/>
      <c r="V59" s="260"/>
      <c r="W59" s="260"/>
      <c r="X59" s="260"/>
      <c r="Y59" s="260"/>
      <c r="Z59" s="260"/>
    </row>
    <row r="60">
      <c r="A60" s="261"/>
      <c r="B60" s="260"/>
      <c r="C60" s="260"/>
      <c r="D60" s="260"/>
      <c r="E60" s="260"/>
      <c r="F60" s="260"/>
      <c r="G60" s="260"/>
      <c r="H60" s="261"/>
      <c r="I60" s="261"/>
      <c r="J60" s="261"/>
      <c r="K60" s="260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60"/>
      <c r="Z60" s="260"/>
    </row>
    <row r="61">
      <c r="A61" s="261"/>
      <c r="B61" s="260"/>
      <c r="C61" s="260"/>
      <c r="D61" s="260"/>
      <c r="E61" s="260"/>
      <c r="F61" s="260"/>
      <c r="G61" s="260"/>
      <c r="H61" s="261"/>
      <c r="I61" s="261"/>
      <c r="J61" s="261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0"/>
    </row>
    <row r="62">
      <c r="A62" s="261"/>
      <c r="B62" s="260"/>
      <c r="C62" s="260"/>
      <c r="D62" s="260"/>
      <c r="E62" s="260"/>
      <c r="F62" s="260"/>
      <c r="G62" s="260"/>
      <c r="H62" s="261"/>
      <c r="I62" s="261"/>
      <c r="J62" s="261"/>
      <c r="K62" s="260"/>
      <c r="L62" s="260"/>
      <c r="M62" s="260"/>
      <c r="N62" s="260"/>
      <c r="O62" s="260"/>
      <c r="P62" s="260"/>
      <c r="Q62" s="260"/>
      <c r="R62" s="260"/>
      <c r="S62" s="260"/>
      <c r="T62" s="260"/>
      <c r="U62" s="260"/>
      <c r="V62" s="260"/>
      <c r="W62" s="260"/>
      <c r="X62" s="260"/>
      <c r="Y62" s="260"/>
      <c r="Z62" s="260"/>
    </row>
    <row r="63">
      <c r="A63" s="261"/>
      <c r="B63" s="260"/>
      <c r="C63" s="260"/>
      <c r="D63" s="260"/>
      <c r="E63" s="260"/>
      <c r="F63" s="260"/>
      <c r="G63" s="260"/>
      <c r="H63" s="261"/>
      <c r="I63" s="261"/>
      <c r="J63" s="261"/>
      <c r="K63" s="260"/>
      <c r="L63" s="260"/>
      <c r="M63" s="260"/>
      <c r="N63" s="260"/>
      <c r="O63" s="260"/>
      <c r="P63" s="260"/>
      <c r="Q63" s="260"/>
      <c r="R63" s="260"/>
      <c r="S63" s="260"/>
      <c r="T63" s="260"/>
      <c r="U63" s="260"/>
      <c r="V63" s="260"/>
      <c r="W63" s="260"/>
      <c r="X63" s="260"/>
      <c r="Y63" s="260"/>
      <c r="Z63" s="260"/>
    </row>
    <row r="64">
      <c r="A64" s="261"/>
      <c r="B64" s="260"/>
      <c r="C64" s="260"/>
      <c r="D64" s="260"/>
      <c r="E64" s="260"/>
      <c r="F64" s="260"/>
      <c r="G64" s="260"/>
      <c r="H64" s="261"/>
      <c r="I64" s="261"/>
      <c r="J64" s="261"/>
      <c r="K64" s="260"/>
      <c r="L64" s="260"/>
      <c r="M64" s="260"/>
      <c r="N64" s="260"/>
      <c r="O64" s="260"/>
      <c r="P64" s="260"/>
      <c r="Q64" s="260"/>
      <c r="R64" s="260"/>
      <c r="S64" s="260"/>
      <c r="T64" s="260"/>
      <c r="U64" s="260"/>
      <c r="V64" s="260"/>
      <c r="W64" s="260"/>
      <c r="X64" s="260"/>
      <c r="Y64" s="260"/>
      <c r="Z64" s="260"/>
    </row>
    <row r="65">
      <c r="A65" s="261"/>
      <c r="B65" s="260"/>
      <c r="C65" s="260"/>
      <c r="D65" s="260"/>
      <c r="E65" s="260"/>
      <c r="F65" s="260"/>
      <c r="G65" s="260"/>
      <c r="H65" s="261"/>
      <c r="I65" s="261"/>
      <c r="J65" s="261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Y65" s="260"/>
      <c r="Z65" s="260"/>
    </row>
    <row r="66">
      <c r="A66" s="261"/>
      <c r="B66" s="260"/>
      <c r="C66" s="260"/>
      <c r="D66" s="260"/>
      <c r="E66" s="260"/>
      <c r="F66" s="260"/>
      <c r="G66" s="260"/>
      <c r="H66" s="261"/>
      <c r="I66" s="261"/>
      <c r="J66" s="261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60"/>
      <c r="X66" s="260"/>
      <c r="Y66" s="260"/>
      <c r="Z66" s="260"/>
    </row>
    <row r="67">
      <c r="A67" s="261"/>
      <c r="B67" s="260"/>
      <c r="C67" s="260"/>
      <c r="D67" s="260"/>
      <c r="E67" s="260"/>
      <c r="F67" s="260"/>
      <c r="G67" s="260"/>
      <c r="H67" s="261"/>
      <c r="I67" s="261"/>
      <c r="J67" s="261"/>
      <c r="K67" s="260"/>
      <c r="L67" s="260"/>
      <c r="M67" s="260"/>
      <c r="N67" s="260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</row>
    <row r="68">
      <c r="A68" s="261"/>
      <c r="B68" s="260"/>
      <c r="C68" s="260"/>
      <c r="D68" s="260"/>
      <c r="E68" s="260"/>
      <c r="F68" s="260"/>
      <c r="G68" s="260"/>
      <c r="H68" s="261"/>
      <c r="I68" s="261"/>
      <c r="J68" s="261"/>
      <c r="K68" s="260"/>
      <c r="L68" s="260"/>
      <c r="M68" s="260"/>
      <c r="N68" s="260"/>
      <c r="O68" s="260"/>
      <c r="P68" s="260"/>
      <c r="Q68" s="260"/>
      <c r="R68" s="260"/>
      <c r="S68" s="260"/>
      <c r="T68" s="260"/>
      <c r="U68" s="260"/>
      <c r="V68" s="260"/>
      <c r="W68" s="260"/>
      <c r="X68" s="260"/>
      <c r="Y68" s="260"/>
      <c r="Z68" s="260"/>
    </row>
    <row r="69">
      <c r="A69" s="261"/>
      <c r="B69" s="260"/>
      <c r="C69" s="260"/>
      <c r="D69" s="260"/>
      <c r="E69" s="260"/>
      <c r="F69" s="260"/>
      <c r="G69" s="260"/>
      <c r="H69" s="261"/>
      <c r="I69" s="261"/>
      <c r="J69" s="261"/>
      <c r="K69" s="260"/>
      <c r="L69" s="260"/>
      <c r="M69" s="260"/>
      <c r="N69" s="260"/>
      <c r="O69" s="260"/>
      <c r="P69" s="260"/>
      <c r="Q69" s="260"/>
      <c r="R69" s="260"/>
      <c r="S69" s="260"/>
      <c r="T69" s="260"/>
      <c r="U69" s="260"/>
      <c r="V69" s="260"/>
      <c r="W69" s="260"/>
      <c r="X69" s="260"/>
      <c r="Y69" s="260"/>
      <c r="Z69" s="260"/>
    </row>
    <row r="70">
      <c r="A70" s="261"/>
      <c r="B70" s="260"/>
      <c r="C70" s="260"/>
      <c r="D70" s="260"/>
      <c r="E70" s="260"/>
      <c r="F70" s="260"/>
      <c r="G70" s="260"/>
      <c r="H70" s="261"/>
      <c r="I70" s="261"/>
      <c r="J70" s="261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60"/>
      <c r="X70" s="260"/>
      <c r="Y70" s="260"/>
      <c r="Z70" s="260"/>
    </row>
    <row r="71">
      <c r="A71" s="261"/>
      <c r="B71" s="260"/>
      <c r="C71" s="260"/>
      <c r="D71" s="260"/>
      <c r="E71" s="260"/>
      <c r="F71" s="260"/>
      <c r="G71" s="260"/>
      <c r="H71" s="261"/>
      <c r="I71" s="261"/>
      <c r="J71" s="261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60"/>
      <c r="X71" s="260"/>
      <c r="Y71" s="260"/>
      <c r="Z71" s="260"/>
    </row>
    <row r="72">
      <c r="A72" s="261"/>
      <c r="B72" s="260"/>
      <c r="C72" s="260"/>
      <c r="D72" s="260"/>
      <c r="E72" s="260"/>
      <c r="F72" s="260"/>
      <c r="G72" s="260"/>
      <c r="H72" s="261"/>
      <c r="I72" s="261"/>
      <c r="J72" s="261"/>
      <c r="K72" s="260"/>
      <c r="L72" s="260"/>
      <c r="M72" s="260"/>
      <c r="N72" s="260"/>
      <c r="O72" s="260"/>
      <c r="P72" s="260"/>
      <c r="Q72" s="260"/>
      <c r="R72" s="260"/>
      <c r="S72" s="260"/>
      <c r="T72" s="260"/>
      <c r="U72" s="260"/>
      <c r="V72" s="260"/>
      <c r="W72" s="260"/>
      <c r="X72" s="260"/>
      <c r="Y72" s="260"/>
      <c r="Z72" s="260"/>
    </row>
    <row r="73">
      <c r="A73" s="261"/>
      <c r="B73" s="260"/>
      <c r="C73" s="260"/>
      <c r="D73" s="260"/>
      <c r="E73" s="260"/>
      <c r="F73" s="260"/>
      <c r="G73" s="260"/>
      <c r="H73" s="261"/>
      <c r="I73" s="261"/>
      <c r="J73" s="261"/>
      <c r="K73" s="260"/>
      <c r="L73" s="260"/>
      <c r="M73" s="260"/>
      <c r="N73" s="260"/>
      <c r="O73" s="260"/>
      <c r="P73" s="260"/>
      <c r="Q73" s="260"/>
      <c r="R73" s="260"/>
      <c r="S73" s="260"/>
      <c r="T73" s="260"/>
      <c r="U73" s="260"/>
      <c r="V73" s="260"/>
      <c r="W73" s="260"/>
      <c r="X73" s="260"/>
      <c r="Y73" s="260"/>
      <c r="Z73" s="260"/>
    </row>
    <row r="74">
      <c r="A74" s="261"/>
      <c r="B74" s="260"/>
      <c r="C74" s="260"/>
      <c r="D74" s="260"/>
      <c r="E74" s="260"/>
      <c r="F74" s="260"/>
      <c r="G74" s="260"/>
      <c r="H74" s="261"/>
      <c r="I74" s="261"/>
      <c r="J74" s="261"/>
      <c r="K74" s="260"/>
      <c r="L74" s="260"/>
      <c r="M74" s="260"/>
      <c r="N74" s="260"/>
      <c r="O74" s="260"/>
      <c r="P74" s="260"/>
      <c r="Q74" s="260"/>
      <c r="R74" s="260"/>
      <c r="S74" s="260"/>
      <c r="T74" s="260"/>
      <c r="U74" s="260"/>
      <c r="V74" s="260"/>
      <c r="W74" s="260"/>
      <c r="X74" s="260"/>
      <c r="Y74" s="260"/>
      <c r="Z74" s="260"/>
    </row>
    <row r="75">
      <c r="A75" s="261"/>
      <c r="B75" s="260"/>
      <c r="C75" s="260"/>
      <c r="D75" s="260"/>
      <c r="E75" s="260"/>
      <c r="F75" s="260"/>
      <c r="G75" s="260"/>
      <c r="H75" s="261"/>
      <c r="I75" s="261"/>
      <c r="J75" s="261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60"/>
      <c r="X75" s="260"/>
      <c r="Y75" s="260"/>
      <c r="Z75" s="260"/>
    </row>
    <row r="76">
      <c r="A76" s="261"/>
      <c r="B76" s="260"/>
      <c r="C76" s="260"/>
      <c r="D76" s="260"/>
      <c r="E76" s="260"/>
      <c r="F76" s="260"/>
      <c r="G76" s="260"/>
      <c r="H76" s="261"/>
      <c r="I76" s="261"/>
      <c r="J76" s="261"/>
      <c r="K76" s="260"/>
      <c r="L76" s="260"/>
      <c r="M76" s="260"/>
      <c r="N76" s="260"/>
      <c r="O76" s="260"/>
      <c r="P76" s="260"/>
      <c r="Q76" s="260"/>
      <c r="R76" s="260"/>
      <c r="S76" s="260"/>
      <c r="T76" s="260"/>
      <c r="U76" s="260"/>
      <c r="V76" s="260"/>
      <c r="W76" s="260"/>
      <c r="X76" s="260"/>
      <c r="Y76" s="260"/>
      <c r="Z76" s="260"/>
    </row>
    <row r="77">
      <c r="A77" s="261"/>
      <c r="B77" s="260"/>
      <c r="C77" s="260"/>
      <c r="D77" s="260"/>
      <c r="E77" s="260"/>
      <c r="F77" s="260"/>
      <c r="G77" s="260"/>
      <c r="H77" s="261"/>
      <c r="I77" s="261"/>
      <c r="J77" s="261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260"/>
      <c r="W77" s="260"/>
      <c r="X77" s="260"/>
      <c r="Y77" s="260"/>
      <c r="Z77" s="260"/>
    </row>
    <row r="78">
      <c r="A78" s="261"/>
      <c r="B78" s="260"/>
      <c r="C78" s="260"/>
      <c r="D78" s="260"/>
      <c r="E78" s="260"/>
      <c r="F78" s="260"/>
      <c r="G78" s="260"/>
      <c r="H78" s="261"/>
      <c r="I78" s="261"/>
      <c r="J78" s="261"/>
      <c r="K78" s="260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260"/>
      <c r="W78" s="260"/>
      <c r="X78" s="260"/>
      <c r="Y78" s="260"/>
      <c r="Z78" s="260"/>
    </row>
    <row r="79">
      <c r="A79" s="261"/>
      <c r="B79" s="260"/>
      <c r="C79" s="260"/>
      <c r="D79" s="260"/>
      <c r="E79" s="260"/>
      <c r="F79" s="260"/>
      <c r="G79" s="260"/>
      <c r="H79" s="261"/>
      <c r="I79" s="261"/>
      <c r="J79" s="261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60"/>
      <c r="X79" s="260"/>
      <c r="Y79" s="260"/>
      <c r="Z79" s="260"/>
    </row>
    <row r="80">
      <c r="A80" s="261"/>
      <c r="B80" s="260"/>
      <c r="C80" s="260"/>
      <c r="D80" s="260"/>
      <c r="E80" s="260"/>
      <c r="F80" s="260"/>
      <c r="G80" s="260"/>
      <c r="H80" s="261"/>
      <c r="I80" s="261"/>
      <c r="J80" s="261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60"/>
      <c r="X80" s="260"/>
      <c r="Y80" s="260"/>
      <c r="Z80" s="260"/>
    </row>
    <row r="81">
      <c r="A81" s="261"/>
      <c r="B81" s="260"/>
      <c r="C81" s="260"/>
      <c r="D81" s="260"/>
      <c r="E81" s="260"/>
      <c r="F81" s="260"/>
      <c r="G81" s="260"/>
      <c r="H81" s="261"/>
      <c r="I81" s="261"/>
      <c r="J81" s="261"/>
      <c r="K81" s="260"/>
      <c r="L81" s="260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60"/>
      <c r="X81" s="260"/>
      <c r="Y81" s="260"/>
      <c r="Z81" s="260"/>
    </row>
    <row r="82">
      <c r="A82" s="261"/>
      <c r="B82" s="260"/>
      <c r="C82" s="260"/>
      <c r="D82" s="260"/>
      <c r="E82" s="260"/>
      <c r="F82" s="260"/>
      <c r="G82" s="260"/>
      <c r="H82" s="261"/>
      <c r="I82" s="261"/>
      <c r="J82" s="261"/>
      <c r="K82" s="260"/>
      <c r="L82" s="260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60"/>
      <c r="X82" s="260"/>
      <c r="Y82" s="260"/>
      <c r="Z82" s="260"/>
    </row>
    <row r="83">
      <c r="A83" s="261"/>
      <c r="B83" s="260"/>
      <c r="C83" s="260"/>
      <c r="D83" s="260"/>
      <c r="E83" s="260"/>
      <c r="F83" s="260"/>
      <c r="G83" s="260"/>
      <c r="H83" s="261"/>
      <c r="I83" s="261"/>
      <c r="J83" s="261"/>
      <c r="K83" s="260"/>
      <c r="L83" s="260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60"/>
      <c r="X83" s="260"/>
      <c r="Y83" s="260"/>
      <c r="Z83" s="260"/>
    </row>
    <row r="84">
      <c r="A84" s="261"/>
      <c r="B84" s="260"/>
      <c r="C84" s="260"/>
      <c r="D84" s="260"/>
      <c r="E84" s="260"/>
      <c r="F84" s="260"/>
      <c r="G84" s="260"/>
      <c r="H84" s="261"/>
      <c r="I84" s="261"/>
      <c r="J84" s="261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60"/>
      <c r="Z84" s="260"/>
    </row>
    <row r="85">
      <c r="A85" s="261"/>
      <c r="B85" s="260"/>
      <c r="C85" s="260"/>
      <c r="D85" s="260"/>
      <c r="E85" s="260"/>
      <c r="F85" s="260"/>
      <c r="G85" s="260"/>
      <c r="H85" s="261"/>
      <c r="I85" s="261"/>
      <c r="J85" s="261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60"/>
      <c r="X85" s="260"/>
      <c r="Y85" s="260"/>
      <c r="Z85" s="260"/>
    </row>
    <row r="86">
      <c r="A86" s="261"/>
      <c r="B86" s="260"/>
      <c r="C86" s="260"/>
      <c r="D86" s="260"/>
      <c r="E86" s="260"/>
      <c r="F86" s="260"/>
      <c r="G86" s="260"/>
      <c r="H86" s="261"/>
      <c r="I86" s="261"/>
      <c r="J86" s="261"/>
      <c r="K86" s="260"/>
      <c r="L86" s="260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60"/>
      <c r="X86" s="260"/>
      <c r="Y86" s="260"/>
      <c r="Z86" s="260"/>
    </row>
    <row r="87">
      <c r="A87" s="261"/>
      <c r="B87" s="260"/>
      <c r="C87" s="260"/>
      <c r="D87" s="260"/>
      <c r="E87" s="260"/>
      <c r="F87" s="260"/>
      <c r="G87" s="260"/>
      <c r="H87" s="261"/>
      <c r="I87" s="261"/>
      <c r="J87" s="261"/>
      <c r="K87" s="260"/>
      <c r="L87" s="260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60"/>
      <c r="X87" s="260"/>
      <c r="Y87" s="260"/>
      <c r="Z87" s="260"/>
    </row>
    <row r="88">
      <c r="A88" s="261"/>
      <c r="B88" s="260"/>
      <c r="C88" s="260"/>
      <c r="D88" s="260"/>
      <c r="E88" s="260"/>
      <c r="F88" s="260"/>
      <c r="G88" s="260"/>
      <c r="H88" s="261"/>
      <c r="I88" s="261"/>
      <c r="J88" s="261"/>
      <c r="K88" s="260"/>
      <c r="L88" s="260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60"/>
      <c r="X88" s="260"/>
      <c r="Y88" s="260"/>
      <c r="Z88" s="260"/>
    </row>
    <row r="89">
      <c r="A89" s="261"/>
      <c r="B89" s="260"/>
      <c r="C89" s="260"/>
      <c r="D89" s="260"/>
      <c r="E89" s="260"/>
      <c r="F89" s="260"/>
      <c r="G89" s="260"/>
      <c r="H89" s="261"/>
      <c r="I89" s="261"/>
      <c r="J89" s="261"/>
      <c r="K89" s="260"/>
      <c r="L89" s="260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60"/>
      <c r="X89" s="260"/>
      <c r="Y89" s="260"/>
      <c r="Z89" s="260"/>
    </row>
    <row r="90">
      <c r="A90" s="261"/>
      <c r="B90" s="260"/>
      <c r="C90" s="260"/>
      <c r="D90" s="260"/>
      <c r="E90" s="260"/>
      <c r="F90" s="260"/>
      <c r="G90" s="260"/>
      <c r="H90" s="261"/>
      <c r="I90" s="261"/>
      <c r="J90" s="261"/>
      <c r="K90" s="260"/>
      <c r="L90" s="260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60"/>
      <c r="X90" s="260"/>
      <c r="Y90" s="260"/>
      <c r="Z90" s="260"/>
    </row>
    <row r="91">
      <c r="A91" s="261"/>
      <c r="B91" s="260"/>
      <c r="C91" s="260"/>
      <c r="D91" s="260"/>
      <c r="E91" s="260"/>
      <c r="F91" s="260"/>
      <c r="G91" s="260"/>
      <c r="H91" s="261"/>
      <c r="I91" s="261"/>
      <c r="J91" s="261"/>
      <c r="K91" s="260"/>
      <c r="L91" s="260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60"/>
      <c r="X91" s="260"/>
      <c r="Y91" s="260"/>
      <c r="Z91" s="260"/>
    </row>
    <row r="92">
      <c r="A92" s="261"/>
      <c r="B92" s="260"/>
      <c r="C92" s="260"/>
      <c r="D92" s="260"/>
      <c r="E92" s="260"/>
      <c r="F92" s="260"/>
      <c r="G92" s="260"/>
      <c r="H92" s="261"/>
      <c r="I92" s="261"/>
      <c r="J92" s="261"/>
      <c r="K92" s="260"/>
      <c r="L92" s="260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60"/>
      <c r="X92" s="260"/>
      <c r="Y92" s="260"/>
      <c r="Z92" s="260"/>
    </row>
    <row r="93">
      <c r="A93" s="261"/>
      <c r="B93" s="260"/>
      <c r="C93" s="260"/>
      <c r="D93" s="260"/>
      <c r="E93" s="260"/>
      <c r="F93" s="260"/>
      <c r="G93" s="260"/>
      <c r="H93" s="261"/>
      <c r="I93" s="261"/>
      <c r="J93" s="261"/>
      <c r="K93" s="260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60"/>
      <c r="X93" s="260"/>
      <c r="Y93" s="260"/>
      <c r="Z93" s="260"/>
    </row>
    <row r="94">
      <c r="A94" s="261"/>
      <c r="B94" s="260"/>
      <c r="C94" s="260"/>
      <c r="D94" s="260"/>
      <c r="E94" s="260"/>
      <c r="F94" s="260"/>
      <c r="G94" s="260"/>
      <c r="H94" s="261"/>
      <c r="I94" s="261"/>
      <c r="J94" s="261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60"/>
      <c r="X94" s="260"/>
      <c r="Y94" s="260"/>
      <c r="Z94" s="260"/>
    </row>
    <row r="95">
      <c r="A95" s="261"/>
      <c r="B95" s="260"/>
      <c r="C95" s="260"/>
      <c r="D95" s="260"/>
      <c r="E95" s="260"/>
      <c r="F95" s="260"/>
      <c r="G95" s="260"/>
      <c r="H95" s="261"/>
      <c r="I95" s="261"/>
      <c r="J95" s="261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60"/>
      <c r="X95" s="260"/>
      <c r="Y95" s="260"/>
      <c r="Z95" s="260"/>
    </row>
    <row r="96">
      <c r="A96" s="261"/>
      <c r="B96" s="260"/>
      <c r="C96" s="260"/>
      <c r="D96" s="260"/>
      <c r="E96" s="260"/>
      <c r="F96" s="260"/>
      <c r="G96" s="260"/>
      <c r="H96" s="261"/>
      <c r="I96" s="261"/>
      <c r="J96" s="261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60"/>
      <c r="X96" s="260"/>
      <c r="Y96" s="260"/>
      <c r="Z96" s="260"/>
    </row>
    <row r="97">
      <c r="A97" s="261"/>
      <c r="B97" s="260"/>
      <c r="C97" s="260"/>
      <c r="D97" s="260"/>
      <c r="E97" s="260"/>
      <c r="F97" s="260"/>
      <c r="G97" s="260"/>
      <c r="H97" s="261"/>
      <c r="I97" s="261"/>
      <c r="J97" s="261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60"/>
      <c r="X97" s="260"/>
      <c r="Y97" s="260"/>
      <c r="Z97" s="260"/>
    </row>
    <row r="98">
      <c r="A98" s="261"/>
      <c r="B98" s="260"/>
      <c r="C98" s="260"/>
      <c r="D98" s="260"/>
      <c r="E98" s="260"/>
      <c r="F98" s="260"/>
      <c r="G98" s="260"/>
      <c r="H98" s="261"/>
      <c r="I98" s="261"/>
      <c r="J98" s="261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60"/>
      <c r="X98" s="260"/>
      <c r="Y98" s="260"/>
      <c r="Z98" s="260"/>
    </row>
    <row r="99">
      <c r="A99" s="261"/>
      <c r="B99" s="260"/>
      <c r="C99" s="260"/>
      <c r="D99" s="260"/>
      <c r="E99" s="260"/>
      <c r="F99" s="260"/>
      <c r="G99" s="260"/>
      <c r="H99" s="261"/>
      <c r="I99" s="261"/>
      <c r="J99" s="261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60"/>
      <c r="X99" s="260"/>
      <c r="Y99" s="260"/>
      <c r="Z99" s="260"/>
    </row>
    <row r="100">
      <c r="A100" s="261"/>
      <c r="B100" s="260"/>
      <c r="C100" s="260"/>
      <c r="D100" s="260"/>
      <c r="E100" s="260"/>
      <c r="F100" s="260"/>
      <c r="G100" s="260"/>
      <c r="H100" s="261"/>
      <c r="I100" s="261"/>
      <c r="J100" s="261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60"/>
      <c r="X100" s="260"/>
      <c r="Y100" s="260"/>
      <c r="Z100" s="260"/>
    </row>
    <row r="101">
      <c r="A101" s="261"/>
      <c r="B101" s="260"/>
      <c r="C101" s="260"/>
      <c r="D101" s="260"/>
      <c r="E101" s="260"/>
      <c r="F101" s="260"/>
      <c r="G101" s="260"/>
      <c r="H101" s="261"/>
      <c r="I101" s="261"/>
      <c r="J101" s="261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60"/>
      <c r="X101" s="260"/>
      <c r="Y101" s="260"/>
      <c r="Z101" s="260"/>
    </row>
    <row r="102">
      <c r="A102" s="261"/>
      <c r="B102" s="260"/>
      <c r="C102" s="260"/>
      <c r="D102" s="260"/>
      <c r="E102" s="260"/>
      <c r="F102" s="260"/>
      <c r="G102" s="260"/>
      <c r="H102" s="261"/>
      <c r="I102" s="261"/>
      <c r="J102" s="261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60"/>
      <c r="X102" s="260"/>
      <c r="Y102" s="260"/>
      <c r="Z102" s="260"/>
    </row>
    <row r="103">
      <c r="A103" s="261"/>
      <c r="B103" s="260"/>
      <c r="C103" s="260"/>
      <c r="D103" s="260"/>
      <c r="E103" s="260"/>
      <c r="F103" s="260"/>
      <c r="G103" s="260"/>
      <c r="H103" s="261"/>
      <c r="I103" s="261"/>
      <c r="J103" s="261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60"/>
      <c r="X103" s="260"/>
      <c r="Y103" s="260"/>
      <c r="Z103" s="260"/>
    </row>
    <row r="104">
      <c r="A104" s="261"/>
      <c r="B104" s="260"/>
      <c r="C104" s="260"/>
      <c r="D104" s="260"/>
      <c r="E104" s="260"/>
      <c r="F104" s="260"/>
      <c r="G104" s="260"/>
      <c r="H104" s="261"/>
      <c r="I104" s="261"/>
      <c r="J104" s="261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60"/>
      <c r="X104" s="260"/>
      <c r="Y104" s="260"/>
      <c r="Z104" s="260"/>
    </row>
    <row r="105">
      <c r="A105" s="261"/>
      <c r="B105" s="260"/>
      <c r="C105" s="260"/>
      <c r="D105" s="260"/>
      <c r="E105" s="260"/>
      <c r="F105" s="260"/>
      <c r="G105" s="260"/>
      <c r="H105" s="261"/>
      <c r="I105" s="261"/>
      <c r="J105" s="261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60"/>
      <c r="X105" s="260"/>
      <c r="Y105" s="260"/>
      <c r="Z105" s="260"/>
    </row>
    <row r="106">
      <c r="A106" s="261"/>
      <c r="B106" s="260"/>
      <c r="C106" s="260"/>
      <c r="D106" s="260"/>
      <c r="E106" s="260"/>
      <c r="F106" s="260"/>
      <c r="G106" s="260"/>
      <c r="H106" s="261"/>
      <c r="I106" s="261"/>
      <c r="J106" s="261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60"/>
      <c r="X106" s="260"/>
      <c r="Y106" s="260"/>
      <c r="Z106" s="260"/>
    </row>
    <row r="107">
      <c r="A107" s="261"/>
      <c r="B107" s="260"/>
      <c r="C107" s="260"/>
      <c r="D107" s="260"/>
      <c r="E107" s="260"/>
      <c r="F107" s="260"/>
      <c r="G107" s="260"/>
      <c r="H107" s="261"/>
      <c r="I107" s="261"/>
      <c r="J107" s="261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60"/>
      <c r="X107" s="260"/>
      <c r="Y107" s="260"/>
      <c r="Z107" s="260"/>
    </row>
    <row r="108">
      <c r="A108" s="261"/>
      <c r="B108" s="260"/>
      <c r="C108" s="260"/>
      <c r="D108" s="260"/>
      <c r="E108" s="260"/>
      <c r="F108" s="260"/>
      <c r="G108" s="260"/>
      <c r="H108" s="261"/>
      <c r="I108" s="261"/>
      <c r="J108" s="261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60"/>
      <c r="X108" s="260"/>
      <c r="Y108" s="260"/>
      <c r="Z108" s="260"/>
    </row>
    <row r="109">
      <c r="A109" s="261"/>
      <c r="B109" s="260"/>
      <c r="C109" s="260"/>
      <c r="D109" s="260"/>
      <c r="E109" s="260"/>
      <c r="F109" s="260"/>
      <c r="G109" s="260"/>
      <c r="H109" s="261"/>
      <c r="I109" s="261"/>
      <c r="J109" s="261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60"/>
      <c r="X109" s="260"/>
      <c r="Y109" s="260"/>
      <c r="Z109" s="260"/>
    </row>
    <row r="110">
      <c r="A110" s="261"/>
      <c r="B110" s="260"/>
      <c r="C110" s="260"/>
      <c r="D110" s="260"/>
      <c r="E110" s="260"/>
      <c r="F110" s="260"/>
      <c r="G110" s="260"/>
      <c r="H110" s="261"/>
      <c r="I110" s="261"/>
      <c r="J110" s="261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260"/>
      <c r="W110" s="260"/>
      <c r="X110" s="260"/>
      <c r="Y110" s="260"/>
      <c r="Z110" s="260"/>
    </row>
    <row r="111">
      <c r="A111" s="261"/>
      <c r="B111" s="260"/>
      <c r="C111" s="260"/>
      <c r="D111" s="260"/>
      <c r="E111" s="260"/>
      <c r="F111" s="260"/>
      <c r="G111" s="260"/>
      <c r="H111" s="261"/>
      <c r="I111" s="261"/>
      <c r="J111" s="261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260"/>
      <c r="W111" s="260"/>
      <c r="X111" s="260"/>
      <c r="Y111" s="260"/>
      <c r="Z111" s="260"/>
    </row>
    <row r="112">
      <c r="A112" s="261"/>
      <c r="B112" s="260"/>
      <c r="C112" s="260"/>
      <c r="D112" s="260"/>
      <c r="E112" s="260"/>
      <c r="F112" s="260"/>
      <c r="G112" s="260"/>
      <c r="H112" s="261"/>
      <c r="I112" s="261"/>
      <c r="J112" s="261"/>
      <c r="K112" s="260"/>
      <c r="L112" s="260"/>
      <c r="M112" s="260"/>
      <c r="N112" s="260"/>
      <c r="O112" s="260"/>
      <c r="P112" s="260"/>
      <c r="Q112" s="260"/>
      <c r="R112" s="260"/>
      <c r="S112" s="260"/>
      <c r="T112" s="260"/>
      <c r="U112" s="260"/>
      <c r="V112" s="260"/>
      <c r="W112" s="260"/>
      <c r="X112" s="260"/>
      <c r="Y112" s="260"/>
      <c r="Z112" s="260"/>
    </row>
    <row r="113">
      <c r="A113" s="261"/>
      <c r="B113" s="260"/>
      <c r="C113" s="260"/>
      <c r="D113" s="260"/>
      <c r="E113" s="260"/>
      <c r="F113" s="260"/>
      <c r="G113" s="260"/>
      <c r="H113" s="261"/>
      <c r="I113" s="261"/>
      <c r="J113" s="261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60"/>
      <c r="X113" s="260"/>
      <c r="Y113" s="260"/>
      <c r="Z113" s="260"/>
    </row>
    <row r="114">
      <c r="A114" s="261"/>
      <c r="B114" s="260"/>
      <c r="C114" s="260"/>
      <c r="D114" s="260"/>
      <c r="E114" s="260"/>
      <c r="F114" s="260"/>
      <c r="G114" s="260"/>
      <c r="H114" s="261"/>
      <c r="I114" s="261"/>
      <c r="J114" s="261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60"/>
      <c r="X114" s="260"/>
      <c r="Y114" s="260"/>
      <c r="Z114" s="260"/>
    </row>
    <row r="115">
      <c r="A115" s="261"/>
      <c r="B115" s="260"/>
      <c r="C115" s="260"/>
      <c r="D115" s="260"/>
      <c r="E115" s="260"/>
      <c r="F115" s="260"/>
      <c r="G115" s="260"/>
      <c r="H115" s="261"/>
      <c r="I115" s="261"/>
      <c r="J115" s="261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60"/>
      <c r="X115" s="260"/>
      <c r="Y115" s="260"/>
      <c r="Z115" s="260"/>
    </row>
    <row r="116">
      <c r="A116" s="261"/>
      <c r="B116" s="260"/>
      <c r="C116" s="260"/>
      <c r="D116" s="260"/>
      <c r="E116" s="260"/>
      <c r="F116" s="260"/>
      <c r="G116" s="260"/>
      <c r="H116" s="261"/>
      <c r="I116" s="261"/>
      <c r="J116" s="261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60"/>
      <c r="X116" s="260"/>
      <c r="Y116" s="260"/>
      <c r="Z116" s="260"/>
    </row>
    <row r="117">
      <c r="A117" s="261"/>
      <c r="B117" s="260"/>
      <c r="C117" s="260"/>
      <c r="D117" s="260"/>
      <c r="E117" s="260"/>
      <c r="F117" s="260"/>
      <c r="G117" s="260"/>
      <c r="H117" s="261"/>
      <c r="I117" s="261"/>
      <c r="J117" s="261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60"/>
      <c r="X117" s="260"/>
      <c r="Y117" s="260"/>
      <c r="Z117" s="260"/>
    </row>
    <row r="118">
      <c r="A118" s="261"/>
      <c r="B118" s="260"/>
      <c r="C118" s="260"/>
      <c r="D118" s="260"/>
      <c r="E118" s="260"/>
      <c r="F118" s="260"/>
      <c r="G118" s="260"/>
      <c r="H118" s="261"/>
      <c r="I118" s="261"/>
      <c r="J118" s="261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60"/>
      <c r="X118" s="260"/>
      <c r="Y118" s="260"/>
      <c r="Z118" s="260"/>
    </row>
    <row r="119">
      <c r="A119" s="261"/>
      <c r="B119" s="260"/>
      <c r="C119" s="260"/>
      <c r="D119" s="260"/>
      <c r="E119" s="260"/>
      <c r="F119" s="260"/>
      <c r="G119" s="260"/>
      <c r="H119" s="261"/>
      <c r="I119" s="261"/>
      <c r="J119" s="261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60"/>
      <c r="X119" s="260"/>
      <c r="Y119" s="260"/>
      <c r="Z119" s="260"/>
    </row>
    <row r="120">
      <c r="A120" s="261"/>
      <c r="B120" s="260"/>
      <c r="C120" s="260"/>
      <c r="D120" s="260"/>
      <c r="E120" s="260"/>
      <c r="F120" s="260"/>
      <c r="G120" s="260"/>
      <c r="H120" s="261"/>
      <c r="I120" s="261"/>
      <c r="J120" s="261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60"/>
      <c r="X120" s="260"/>
      <c r="Y120" s="260"/>
      <c r="Z120" s="260"/>
    </row>
    <row r="121">
      <c r="A121" s="261"/>
      <c r="B121" s="260"/>
      <c r="C121" s="260"/>
      <c r="D121" s="260"/>
      <c r="E121" s="260"/>
      <c r="F121" s="260"/>
      <c r="G121" s="260"/>
      <c r="H121" s="261"/>
      <c r="I121" s="261"/>
      <c r="J121" s="261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60"/>
      <c r="X121" s="260"/>
      <c r="Y121" s="260"/>
      <c r="Z121" s="260"/>
    </row>
    <row r="122">
      <c r="A122" s="261"/>
      <c r="B122" s="260"/>
      <c r="C122" s="260"/>
      <c r="D122" s="260"/>
      <c r="E122" s="260"/>
      <c r="F122" s="260"/>
      <c r="G122" s="260"/>
      <c r="H122" s="261"/>
      <c r="I122" s="261"/>
      <c r="J122" s="261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60"/>
      <c r="X122" s="260"/>
      <c r="Y122" s="260"/>
      <c r="Z122" s="260"/>
    </row>
    <row r="123">
      <c r="A123" s="261"/>
      <c r="B123" s="260"/>
      <c r="C123" s="260"/>
      <c r="D123" s="260"/>
      <c r="E123" s="260"/>
      <c r="F123" s="260"/>
      <c r="G123" s="260"/>
      <c r="H123" s="261"/>
      <c r="I123" s="261"/>
      <c r="J123" s="261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260"/>
      <c r="W123" s="260"/>
      <c r="X123" s="260"/>
      <c r="Y123" s="260"/>
      <c r="Z123" s="260"/>
    </row>
    <row r="124">
      <c r="A124" s="261"/>
      <c r="B124" s="260"/>
      <c r="C124" s="260"/>
      <c r="D124" s="260"/>
      <c r="E124" s="260"/>
      <c r="F124" s="260"/>
      <c r="G124" s="260"/>
      <c r="H124" s="261"/>
      <c r="I124" s="261"/>
      <c r="J124" s="261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260"/>
      <c r="W124" s="260"/>
      <c r="X124" s="260"/>
      <c r="Y124" s="260"/>
      <c r="Z124" s="260"/>
    </row>
    <row r="125">
      <c r="A125" s="261"/>
      <c r="B125" s="260"/>
      <c r="C125" s="260"/>
      <c r="D125" s="260"/>
      <c r="E125" s="260"/>
      <c r="F125" s="260"/>
      <c r="G125" s="260"/>
      <c r="H125" s="261"/>
      <c r="I125" s="261"/>
      <c r="J125" s="261"/>
      <c r="K125" s="260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260"/>
      <c r="W125" s="260"/>
      <c r="X125" s="260"/>
      <c r="Y125" s="260"/>
      <c r="Z125" s="260"/>
    </row>
    <row r="126">
      <c r="A126" s="261"/>
      <c r="B126" s="260"/>
      <c r="C126" s="260"/>
      <c r="D126" s="260"/>
      <c r="E126" s="260"/>
      <c r="F126" s="260"/>
      <c r="G126" s="260"/>
      <c r="H126" s="261"/>
      <c r="I126" s="261"/>
      <c r="J126" s="261"/>
      <c r="K126" s="260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260"/>
      <c r="W126" s="260"/>
      <c r="X126" s="260"/>
      <c r="Y126" s="260"/>
      <c r="Z126" s="260"/>
    </row>
    <row r="127">
      <c r="A127" s="261"/>
      <c r="B127" s="260"/>
      <c r="C127" s="260"/>
      <c r="D127" s="260"/>
      <c r="E127" s="260"/>
      <c r="F127" s="260"/>
      <c r="G127" s="260"/>
      <c r="H127" s="261"/>
      <c r="I127" s="261"/>
      <c r="J127" s="261"/>
      <c r="K127" s="260"/>
      <c r="L127" s="260"/>
      <c r="M127" s="260"/>
      <c r="N127" s="260"/>
      <c r="O127" s="260"/>
      <c r="P127" s="260"/>
      <c r="Q127" s="260"/>
      <c r="R127" s="260"/>
      <c r="S127" s="260"/>
      <c r="T127" s="260"/>
      <c r="U127" s="260"/>
      <c r="V127" s="260"/>
      <c r="W127" s="260"/>
      <c r="X127" s="260"/>
      <c r="Y127" s="260"/>
      <c r="Z127" s="260"/>
    </row>
    <row r="128">
      <c r="A128" s="261"/>
      <c r="B128" s="260"/>
      <c r="C128" s="260"/>
      <c r="D128" s="260"/>
      <c r="E128" s="260"/>
      <c r="F128" s="260"/>
      <c r="G128" s="260"/>
      <c r="H128" s="261"/>
      <c r="I128" s="261"/>
      <c r="J128" s="261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260"/>
      <c r="W128" s="260"/>
      <c r="X128" s="260"/>
      <c r="Y128" s="260"/>
      <c r="Z128" s="260"/>
    </row>
    <row r="129">
      <c r="A129" s="261"/>
      <c r="B129" s="260"/>
      <c r="C129" s="260"/>
      <c r="D129" s="260"/>
      <c r="E129" s="260"/>
      <c r="F129" s="260"/>
      <c r="G129" s="260"/>
      <c r="H129" s="261"/>
      <c r="I129" s="261"/>
      <c r="J129" s="261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  <c r="Y129" s="260"/>
      <c r="Z129" s="260"/>
    </row>
    <row r="130">
      <c r="A130" s="261"/>
      <c r="B130" s="260"/>
      <c r="C130" s="260"/>
      <c r="D130" s="260"/>
      <c r="E130" s="260"/>
      <c r="F130" s="260"/>
      <c r="G130" s="260"/>
      <c r="H130" s="261"/>
      <c r="I130" s="261"/>
      <c r="J130" s="261"/>
      <c r="K130" s="260"/>
      <c r="L130" s="260"/>
      <c r="M130" s="260"/>
      <c r="N130" s="260"/>
      <c r="O130" s="260"/>
      <c r="P130" s="260"/>
      <c r="Q130" s="260"/>
      <c r="R130" s="260"/>
      <c r="S130" s="260"/>
      <c r="T130" s="260"/>
      <c r="U130" s="260"/>
      <c r="V130" s="260"/>
      <c r="W130" s="260"/>
      <c r="X130" s="260"/>
      <c r="Y130" s="260"/>
      <c r="Z130" s="260"/>
    </row>
    <row r="131">
      <c r="A131" s="261"/>
      <c r="B131" s="260"/>
      <c r="C131" s="260"/>
      <c r="D131" s="260"/>
      <c r="E131" s="260"/>
      <c r="F131" s="260"/>
      <c r="G131" s="260"/>
      <c r="H131" s="261"/>
      <c r="I131" s="261"/>
      <c r="J131" s="261"/>
      <c r="K131" s="260"/>
      <c r="L131" s="260"/>
      <c r="M131" s="260"/>
      <c r="N131" s="260"/>
      <c r="O131" s="260"/>
      <c r="P131" s="260"/>
      <c r="Q131" s="260"/>
      <c r="R131" s="260"/>
      <c r="S131" s="260"/>
      <c r="T131" s="260"/>
      <c r="U131" s="260"/>
      <c r="V131" s="260"/>
      <c r="W131" s="260"/>
      <c r="X131" s="260"/>
      <c r="Y131" s="260"/>
      <c r="Z131" s="260"/>
    </row>
    <row r="132">
      <c r="A132" s="261"/>
      <c r="B132" s="260"/>
      <c r="C132" s="260"/>
      <c r="D132" s="260"/>
      <c r="E132" s="260"/>
      <c r="F132" s="260"/>
      <c r="G132" s="260"/>
      <c r="H132" s="261"/>
      <c r="I132" s="261"/>
      <c r="J132" s="261"/>
      <c r="K132" s="260"/>
      <c r="L132" s="260"/>
      <c r="M132" s="260"/>
      <c r="N132" s="260"/>
      <c r="O132" s="260"/>
      <c r="P132" s="260"/>
      <c r="Q132" s="260"/>
      <c r="R132" s="260"/>
      <c r="S132" s="260"/>
      <c r="T132" s="260"/>
      <c r="U132" s="260"/>
      <c r="V132" s="260"/>
      <c r="W132" s="260"/>
      <c r="X132" s="260"/>
      <c r="Y132" s="260"/>
      <c r="Z132" s="260"/>
    </row>
    <row r="133">
      <c r="A133" s="261"/>
      <c r="B133" s="260"/>
      <c r="C133" s="260"/>
      <c r="D133" s="260"/>
      <c r="E133" s="260"/>
      <c r="F133" s="260"/>
      <c r="G133" s="260"/>
      <c r="H133" s="261"/>
      <c r="I133" s="261"/>
      <c r="J133" s="261"/>
      <c r="K133" s="260"/>
      <c r="L133" s="260"/>
      <c r="M133" s="260"/>
      <c r="N133" s="260"/>
      <c r="O133" s="260"/>
      <c r="P133" s="260"/>
      <c r="Q133" s="260"/>
      <c r="R133" s="260"/>
      <c r="S133" s="260"/>
      <c r="T133" s="260"/>
      <c r="U133" s="260"/>
      <c r="V133" s="260"/>
      <c r="W133" s="260"/>
      <c r="X133" s="260"/>
      <c r="Y133" s="260"/>
      <c r="Z133" s="260"/>
    </row>
    <row r="134">
      <c r="A134" s="261"/>
      <c r="B134" s="260"/>
      <c r="C134" s="260"/>
      <c r="D134" s="260"/>
      <c r="E134" s="260"/>
      <c r="F134" s="260"/>
      <c r="G134" s="260"/>
      <c r="H134" s="261"/>
      <c r="I134" s="261"/>
      <c r="J134" s="261"/>
      <c r="K134" s="260"/>
      <c r="L134" s="260"/>
      <c r="M134" s="260"/>
      <c r="N134" s="260"/>
      <c r="O134" s="260"/>
      <c r="P134" s="260"/>
      <c r="Q134" s="260"/>
      <c r="R134" s="260"/>
      <c r="S134" s="260"/>
      <c r="T134" s="260"/>
      <c r="U134" s="260"/>
      <c r="V134" s="260"/>
      <c r="W134" s="260"/>
      <c r="X134" s="260"/>
      <c r="Y134" s="260"/>
      <c r="Z134" s="260"/>
    </row>
    <row r="135">
      <c r="A135" s="261"/>
      <c r="B135" s="260"/>
      <c r="C135" s="260"/>
      <c r="D135" s="260"/>
      <c r="E135" s="260"/>
      <c r="F135" s="260"/>
      <c r="G135" s="260"/>
      <c r="H135" s="261"/>
      <c r="I135" s="261"/>
      <c r="J135" s="261"/>
      <c r="K135" s="260"/>
      <c r="L135" s="260"/>
      <c r="M135" s="260"/>
      <c r="N135" s="260"/>
      <c r="O135" s="260"/>
      <c r="P135" s="260"/>
      <c r="Q135" s="260"/>
      <c r="R135" s="260"/>
      <c r="S135" s="260"/>
      <c r="T135" s="260"/>
      <c r="U135" s="260"/>
      <c r="V135" s="260"/>
      <c r="W135" s="260"/>
      <c r="X135" s="260"/>
      <c r="Y135" s="260"/>
      <c r="Z135" s="260"/>
    </row>
    <row r="136">
      <c r="A136" s="261"/>
      <c r="B136" s="260"/>
      <c r="C136" s="260"/>
      <c r="D136" s="260"/>
      <c r="E136" s="260"/>
      <c r="F136" s="260"/>
      <c r="G136" s="260"/>
      <c r="H136" s="261"/>
      <c r="I136" s="261"/>
      <c r="J136" s="261"/>
      <c r="K136" s="260"/>
      <c r="L136" s="260"/>
      <c r="M136" s="260"/>
      <c r="N136" s="260"/>
      <c r="O136" s="260"/>
      <c r="P136" s="260"/>
      <c r="Q136" s="260"/>
      <c r="R136" s="260"/>
      <c r="S136" s="260"/>
      <c r="T136" s="260"/>
      <c r="U136" s="260"/>
      <c r="V136" s="260"/>
      <c r="W136" s="260"/>
      <c r="X136" s="260"/>
      <c r="Y136" s="260"/>
      <c r="Z136" s="260"/>
    </row>
    <row r="137">
      <c r="A137" s="261"/>
      <c r="B137" s="260"/>
      <c r="C137" s="260"/>
      <c r="D137" s="260"/>
      <c r="E137" s="260"/>
      <c r="F137" s="260"/>
      <c r="G137" s="260"/>
      <c r="H137" s="261"/>
      <c r="I137" s="261"/>
      <c r="J137" s="261"/>
      <c r="K137" s="260"/>
      <c r="L137" s="260"/>
      <c r="M137" s="260"/>
      <c r="N137" s="260"/>
      <c r="O137" s="260"/>
      <c r="P137" s="260"/>
      <c r="Q137" s="260"/>
      <c r="R137" s="260"/>
      <c r="S137" s="260"/>
      <c r="T137" s="260"/>
      <c r="U137" s="260"/>
      <c r="V137" s="260"/>
      <c r="W137" s="260"/>
      <c r="X137" s="260"/>
      <c r="Y137" s="260"/>
      <c r="Z137" s="260"/>
    </row>
    <row r="138">
      <c r="A138" s="261"/>
      <c r="B138" s="260"/>
      <c r="C138" s="260"/>
      <c r="D138" s="260"/>
      <c r="E138" s="260"/>
      <c r="F138" s="260"/>
      <c r="G138" s="260"/>
      <c r="H138" s="261"/>
      <c r="I138" s="261"/>
      <c r="J138" s="261"/>
      <c r="K138" s="260"/>
      <c r="L138" s="260"/>
      <c r="M138" s="260"/>
      <c r="N138" s="260"/>
      <c r="O138" s="260"/>
      <c r="P138" s="260"/>
      <c r="Q138" s="260"/>
      <c r="R138" s="260"/>
      <c r="S138" s="260"/>
      <c r="T138" s="260"/>
      <c r="U138" s="260"/>
      <c r="V138" s="260"/>
      <c r="W138" s="260"/>
      <c r="X138" s="260"/>
      <c r="Y138" s="260"/>
      <c r="Z138" s="260"/>
    </row>
    <row r="139">
      <c r="A139" s="261"/>
      <c r="B139" s="260"/>
      <c r="C139" s="260"/>
      <c r="D139" s="260"/>
      <c r="E139" s="260"/>
      <c r="F139" s="260"/>
      <c r="G139" s="260"/>
      <c r="H139" s="261"/>
      <c r="I139" s="261"/>
      <c r="J139" s="261"/>
      <c r="K139" s="260"/>
      <c r="L139" s="260"/>
      <c r="M139" s="260"/>
      <c r="N139" s="260"/>
      <c r="O139" s="260"/>
      <c r="P139" s="260"/>
      <c r="Q139" s="260"/>
      <c r="R139" s="260"/>
      <c r="S139" s="260"/>
      <c r="T139" s="260"/>
      <c r="U139" s="260"/>
      <c r="V139" s="260"/>
      <c r="W139" s="260"/>
      <c r="X139" s="260"/>
      <c r="Y139" s="260"/>
      <c r="Z139" s="260"/>
    </row>
    <row r="140">
      <c r="A140" s="261"/>
      <c r="B140" s="260"/>
      <c r="C140" s="260"/>
      <c r="D140" s="260"/>
      <c r="E140" s="260"/>
      <c r="F140" s="260"/>
      <c r="G140" s="260"/>
      <c r="H140" s="261"/>
      <c r="I140" s="261"/>
      <c r="J140" s="261"/>
      <c r="K140" s="260"/>
      <c r="L140" s="260"/>
      <c r="M140" s="260"/>
      <c r="N140" s="260"/>
      <c r="O140" s="260"/>
      <c r="P140" s="260"/>
      <c r="Q140" s="260"/>
      <c r="R140" s="260"/>
      <c r="S140" s="260"/>
      <c r="T140" s="260"/>
      <c r="U140" s="260"/>
      <c r="V140" s="260"/>
      <c r="W140" s="260"/>
      <c r="X140" s="260"/>
      <c r="Y140" s="260"/>
      <c r="Z140" s="260"/>
    </row>
    <row r="141">
      <c r="A141" s="261"/>
      <c r="B141" s="260"/>
      <c r="C141" s="260"/>
      <c r="D141" s="260"/>
      <c r="E141" s="260"/>
      <c r="F141" s="260"/>
      <c r="G141" s="260"/>
      <c r="H141" s="261"/>
      <c r="I141" s="261"/>
      <c r="J141" s="261"/>
      <c r="K141" s="260"/>
      <c r="L141" s="260"/>
      <c r="M141" s="260"/>
      <c r="N141" s="260"/>
      <c r="O141" s="260"/>
      <c r="P141" s="260"/>
      <c r="Q141" s="260"/>
      <c r="R141" s="260"/>
      <c r="S141" s="260"/>
      <c r="T141" s="260"/>
      <c r="U141" s="260"/>
      <c r="V141" s="260"/>
      <c r="W141" s="260"/>
      <c r="X141" s="260"/>
      <c r="Y141" s="260"/>
      <c r="Z141" s="260"/>
    </row>
    <row r="142">
      <c r="A142" s="261"/>
      <c r="B142" s="260"/>
      <c r="C142" s="260"/>
      <c r="D142" s="260"/>
      <c r="E142" s="260"/>
      <c r="F142" s="260"/>
      <c r="G142" s="260"/>
      <c r="H142" s="261"/>
      <c r="I142" s="261"/>
      <c r="J142" s="261"/>
      <c r="K142" s="260"/>
      <c r="L142" s="260"/>
      <c r="M142" s="260"/>
      <c r="N142" s="260"/>
      <c r="O142" s="260"/>
      <c r="P142" s="260"/>
      <c r="Q142" s="260"/>
      <c r="R142" s="260"/>
      <c r="S142" s="260"/>
      <c r="T142" s="260"/>
      <c r="U142" s="260"/>
      <c r="V142" s="260"/>
      <c r="W142" s="260"/>
      <c r="X142" s="260"/>
      <c r="Y142" s="260"/>
      <c r="Z142" s="260"/>
    </row>
    <row r="143">
      <c r="A143" s="261"/>
      <c r="B143" s="260"/>
      <c r="C143" s="260"/>
      <c r="D143" s="260"/>
      <c r="E143" s="260"/>
      <c r="F143" s="260"/>
      <c r="G143" s="260"/>
      <c r="H143" s="261"/>
      <c r="I143" s="261"/>
      <c r="J143" s="261"/>
      <c r="K143" s="260"/>
      <c r="L143" s="260"/>
      <c r="M143" s="260"/>
      <c r="N143" s="260"/>
      <c r="O143" s="260"/>
      <c r="P143" s="260"/>
      <c r="Q143" s="260"/>
      <c r="R143" s="260"/>
      <c r="S143" s="260"/>
      <c r="T143" s="260"/>
      <c r="U143" s="260"/>
      <c r="V143" s="260"/>
      <c r="W143" s="260"/>
      <c r="X143" s="260"/>
      <c r="Y143" s="260"/>
      <c r="Z143" s="260"/>
    </row>
    <row r="144">
      <c r="A144" s="261"/>
      <c r="B144" s="260"/>
      <c r="C144" s="260"/>
      <c r="D144" s="260"/>
      <c r="E144" s="260"/>
      <c r="F144" s="260"/>
      <c r="G144" s="260"/>
      <c r="H144" s="261"/>
      <c r="I144" s="261"/>
      <c r="J144" s="261"/>
      <c r="K144" s="260"/>
      <c r="L144" s="260"/>
      <c r="M144" s="260"/>
      <c r="N144" s="260"/>
      <c r="O144" s="260"/>
      <c r="P144" s="260"/>
      <c r="Q144" s="260"/>
      <c r="R144" s="260"/>
      <c r="S144" s="260"/>
      <c r="T144" s="260"/>
      <c r="U144" s="260"/>
      <c r="V144" s="260"/>
      <c r="W144" s="260"/>
      <c r="X144" s="260"/>
      <c r="Y144" s="260"/>
      <c r="Z144" s="260"/>
    </row>
    <row r="145">
      <c r="A145" s="261"/>
      <c r="B145" s="260"/>
      <c r="C145" s="260"/>
      <c r="D145" s="260"/>
      <c r="E145" s="260"/>
      <c r="F145" s="260"/>
      <c r="G145" s="260"/>
      <c r="H145" s="261"/>
      <c r="I145" s="261"/>
      <c r="J145" s="261"/>
      <c r="K145" s="260"/>
      <c r="L145" s="260"/>
      <c r="M145" s="260"/>
      <c r="N145" s="260"/>
      <c r="O145" s="260"/>
      <c r="P145" s="260"/>
      <c r="Q145" s="260"/>
      <c r="R145" s="260"/>
      <c r="S145" s="260"/>
      <c r="T145" s="260"/>
      <c r="U145" s="260"/>
      <c r="V145" s="260"/>
      <c r="W145" s="260"/>
      <c r="X145" s="260"/>
      <c r="Y145" s="260"/>
      <c r="Z145" s="260"/>
    </row>
    <row r="146">
      <c r="A146" s="261"/>
      <c r="B146" s="260"/>
      <c r="C146" s="260"/>
      <c r="D146" s="260"/>
      <c r="E146" s="260"/>
      <c r="F146" s="260"/>
      <c r="G146" s="260"/>
      <c r="H146" s="261"/>
      <c r="I146" s="261"/>
      <c r="J146" s="261"/>
      <c r="K146" s="260"/>
      <c r="L146" s="260"/>
      <c r="M146" s="260"/>
      <c r="N146" s="260"/>
      <c r="O146" s="260"/>
      <c r="P146" s="260"/>
      <c r="Q146" s="260"/>
      <c r="R146" s="260"/>
      <c r="S146" s="260"/>
      <c r="T146" s="260"/>
      <c r="U146" s="260"/>
      <c r="V146" s="260"/>
      <c r="W146" s="260"/>
      <c r="X146" s="260"/>
      <c r="Y146" s="260"/>
      <c r="Z146" s="260"/>
    </row>
    <row r="147">
      <c r="A147" s="261"/>
      <c r="B147" s="260"/>
      <c r="C147" s="260"/>
      <c r="D147" s="260"/>
      <c r="E147" s="260"/>
      <c r="F147" s="260"/>
      <c r="G147" s="260"/>
      <c r="H147" s="261"/>
      <c r="I147" s="261"/>
      <c r="J147" s="261"/>
      <c r="K147" s="260"/>
      <c r="L147" s="260"/>
      <c r="M147" s="260"/>
      <c r="N147" s="260"/>
      <c r="O147" s="260"/>
      <c r="P147" s="260"/>
      <c r="Q147" s="260"/>
      <c r="R147" s="260"/>
      <c r="S147" s="260"/>
      <c r="T147" s="260"/>
      <c r="U147" s="260"/>
      <c r="V147" s="260"/>
      <c r="W147" s="260"/>
      <c r="X147" s="260"/>
      <c r="Y147" s="260"/>
      <c r="Z147" s="260"/>
    </row>
    <row r="148">
      <c r="A148" s="261"/>
      <c r="B148" s="260"/>
      <c r="C148" s="260"/>
      <c r="D148" s="260"/>
      <c r="E148" s="260"/>
      <c r="F148" s="260"/>
      <c r="G148" s="260"/>
      <c r="H148" s="261"/>
      <c r="I148" s="261"/>
      <c r="J148" s="261"/>
      <c r="K148" s="260"/>
      <c r="L148" s="260"/>
      <c r="M148" s="260"/>
      <c r="N148" s="260"/>
      <c r="O148" s="260"/>
      <c r="P148" s="260"/>
      <c r="Q148" s="260"/>
      <c r="R148" s="260"/>
      <c r="S148" s="260"/>
      <c r="T148" s="260"/>
      <c r="U148" s="260"/>
      <c r="V148" s="260"/>
      <c r="W148" s="260"/>
      <c r="X148" s="260"/>
      <c r="Y148" s="260"/>
      <c r="Z148" s="260"/>
    </row>
    <row r="149">
      <c r="A149" s="261"/>
      <c r="B149" s="260"/>
      <c r="C149" s="260"/>
      <c r="D149" s="260"/>
      <c r="E149" s="260"/>
      <c r="F149" s="260"/>
      <c r="G149" s="260"/>
      <c r="H149" s="261"/>
      <c r="I149" s="261"/>
      <c r="J149" s="261"/>
      <c r="K149" s="260"/>
      <c r="L149" s="260"/>
      <c r="M149" s="260"/>
      <c r="N149" s="260"/>
      <c r="O149" s="260"/>
      <c r="P149" s="260"/>
      <c r="Q149" s="260"/>
      <c r="R149" s="260"/>
      <c r="S149" s="260"/>
      <c r="T149" s="260"/>
      <c r="U149" s="260"/>
      <c r="V149" s="260"/>
      <c r="W149" s="260"/>
      <c r="X149" s="260"/>
      <c r="Y149" s="260"/>
      <c r="Z149" s="260"/>
    </row>
    <row r="150">
      <c r="A150" s="261"/>
      <c r="B150" s="260"/>
      <c r="C150" s="260"/>
      <c r="D150" s="260"/>
      <c r="E150" s="260"/>
      <c r="F150" s="260"/>
      <c r="G150" s="260"/>
      <c r="H150" s="261"/>
      <c r="I150" s="261"/>
      <c r="J150" s="261"/>
      <c r="K150" s="260"/>
      <c r="L150" s="260"/>
      <c r="M150" s="260"/>
      <c r="N150" s="260"/>
      <c r="O150" s="260"/>
      <c r="P150" s="260"/>
      <c r="Q150" s="260"/>
      <c r="R150" s="260"/>
      <c r="S150" s="260"/>
      <c r="T150" s="260"/>
      <c r="U150" s="260"/>
      <c r="V150" s="260"/>
      <c r="W150" s="260"/>
      <c r="X150" s="260"/>
      <c r="Y150" s="260"/>
      <c r="Z150" s="260"/>
    </row>
    <row r="151">
      <c r="A151" s="261"/>
      <c r="B151" s="260"/>
      <c r="C151" s="260"/>
      <c r="D151" s="260"/>
      <c r="E151" s="260"/>
      <c r="F151" s="260"/>
      <c r="G151" s="260"/>
      <c r="H151" s="261"/>
      <c r="I151" s="261"/>
      <c r="J151" s="261"/>
      <c r="K151" s="260"/>
      <c r="L151" s="260"/>
      <c r="M151" s="260"/>
      <c r="N151" s="260"/>
      <c r="O151" s="260"/>
      <c r="P151" s="260"/>
      <c r="Q151" s="260"/>
      <c r="R151" s="260"/>
      <c r="S151" s="260"/>
      <c r="T151" s="260"/>
      <c r="U151" s="260"/>
      <c r="V151" s="260"/>
      <c r="W151" s="260"/>
      <c r="X151" s="260"/>
      <c r="Y151" s="260"/>
      <c r="Z151" s="260"/>
    </row>
    <row r="152">
      <c r="A152" s="261"/>
      <c r="B152" s="260"/>
      <c r="C152" s="260"/>
      <c r="D152" s="260"/>
      <c r="E152" s="260"/>
      <c r="F152" s="260"/>
      <c r="G152" s="260"/>
      <c r="H152" s="261"/>
      <c r="I152" s="261"/>
      <c r="J152" s="261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260"/>
      <c r="W152" s="260"/>
      <c r="X152" s="260"/>
      <c r="Y152" s="260"/>
      <c r="Z152" s="260"/>
    </row>
    <row r="153">
      <c r="A153" s="261"/>
      <c r="B153" s="260"/>
      <c r="C153" s="260"/>
      <c r="D153" s="260"/>
      <c r="E153" s="260"/>
      <c r="F153" s="260"/>
      <c r="G153" s="260"/>
      <c r="H153" s="261"/>
      <c r="I153" s="261"/>
      <c r="J153" s="261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</row>
    <row r="154">
      <c r="A154" s="261"/>
      <c r="B154" s="260"/>
      <c r="C154" s="260"/>
      <c r="D154" s="260"/>
      <c r="E154" s="260"/>
      <c r="F154" s="260"/>
      <c r="G154" s="260"/>
      <c r="H154" s="261"/>
      <c r="I154" s="261"/>
      <c r="J154" s="261"/>
      <c r="K154" s="260"/>
      <c r="L154" s="260"/>
      <c r="M154" s="260"/>
      <c r="N154" s="260"/>
      <c r="O154" s="260"/>
      <c r="P154" s="260"/>
      <c r="Q154" s="260"/>
      <c r="R154" s="260"/>
      <c r="S154" s="260"/>
      <c r="T154" s="260"/>
      <c r="U154" s="260"/>
      <c r="V154" s="260"/>
      <c r="W154" s="260"/>
      <c r="X154" s="260"/>
      <c r="Y154" s="260"/>
      <c r="Z154" s="260"/>
    </row>
    <row r="155">
      <c r="A155" s="261"/>
      <c r="B155" s="260"/>
      <c r="C155" s="260"/>
      <c r="D155" s="260"/>
      <c r="E155" s="260"/>
      <c r="F155" s="260"/>
      <c r="G155" s="260"/>
      <c r="H155" s="261"/>
      <c r="I155" s="261"/>
      <c r="J155" s="261"/>
      <c r="K155" s="260"/>
      <c r="L155" s="260"/>
      <c r="M155" s="260"/>
      <c r="N155" s="260"/>
      <c r="O155" s="260"/>
      <c r="P155" s="260"/>
      <c r="Q155" s="260"/>
      <c r="R155" s="260"/>
      <c r="S155" s="260"/>
      <c r="T155" s="260"/>
      <c r="U155" s="260"/>
      <c r="V155" s="260"/>
      <c r="W155" s="260"/>
      <c r="X155" s="260"/>
      <c r="Y155" s="260"/>
      <c r="Z155" s="260"/>
    </row>
    <row r="156">
      <c r="A156" s="261"/>
      <c r="B156" s="260"/>
      <c r="C156" s="260"/>
      <c r="D156" s="260"/>
      <c r="E156" s="260"/>
      <c r="F156" s="260"/>
      <c r="G156" s="260"/>
      <c r="H156" s="261"/>
      <c r="I156" s="261"/>
      <c r="J156" s="261"/>
      <c r="K156" s="260"/>
      <c r="L156" s="260"/>
      <c r="M156" s="260"/>
      <c r="N156" s="260"/>
      <c r="O156" s="260"/>
      <c r="P156" s="260"/>
      <c r="Q156" s="260"/>
      <c r="R156" s="260"/>
      <c r="S156" s="260"/>
      <c r="T156" s="260"/>
      <c r="U156" s="260"/>
      <c r="V156" s="260"/>
      <c r="W156" s="260"/>
      <c r="X156" s="260"/>
      <c r="Y156" s="260"/>
      <c r="Z156" s="260"/>
    </row>
    <row r="157">
      <c r="A157" s="261"/>
      <c r="B157" s="260"/>
      <c r="C157" s="260"/>
      <c r="D157" s="260"/>
      <c r="E157" s="260"/>
      <c r="F157" s="260"/>
      <c r="G157" s="260"/>
      <c r="H157" s="261"/>
      <c r="I157" s="261"/>
      <c r="J157" s="261"/>
      <c r="K157" s="260"/>
      <c r="L157" s="260"/>
      <c r="M157" s="260"/>
      <c r="N157" s="260"/>
      <c r="O157" s="260"/>
      <c r="P157" s="260"/>
      <c r="Q157" s="260"/>
      <c r="R157" s="260"/>
      <c r="S157" s="260"/>
      <c r="T157" s="260"/>
      <c r="U157" s="260"/>
      <c r="V157" s="260"/>
      <c r="W157" s="260"/>
      <c r="X157" s="260"/>
      <c r="Y157" s="260"/>
      <c r="Z157" s="260"/>
    </row>
    <row r="158">
      <c r="A158" s="261"/>
      <c r="B158" s="260"/>
      <c r="C158" s="260"/>
      <c r="D158" s="260"/>
      <c r="E158" s="260"/>
      <c r="F158" s="260"/>
      <c r="G158" s="260"/>
      <c r="H158" s="261"/>
      <c r="I158" s="261"/>
      <c r="J158" s="261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</row>
    <row r="159">
      <c r="A159" s="261"/>
      <c r="B159" s="260"/>
      <c r="C159" s="260"/>
      <c r="D159" s="260"/>
      <c r="E159" s="260"/>
      <c r="F159" s="260"/>
      <c r="G159" s="260"/>
      <c r="H159" s="261"/>
      <c r="I159" s="261"/>
      <c r="J159" s="261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</row>
    <row r="160">
      <c r="A160" s="261"/>
      <c r="B160" s="260"/>
      <c r="C160" s="260"/>
      <c r="D160" s="260"/>
      <c r="E160" s="260"/>
      <c r="F160" s="260"/>
      <c r="G160" s="260"/>
      <c r="H160" s="261"/>
      <c r="I160" s="261"/>
      <c r="J160" s="261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X160" s="260"/>
      <c r="Y160" s="260"/>
      <c r="Z160" s="260"/>
    </row>
    <row r="161">
      <c r="A161" s="261"/>
      <c r="B161" s="260"/>
      <c r="C161" s="260"/>
      <c r="D161" s="260"/>
      <c r="E161" s="260"/>
      <c r="F161" s="260"/>
      <c r="G161" s="260"/>
      <c r="H161" s="261"/>
      <c r="I161" s="261"/>
      <c r="J161" s="261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260"/>
      <c r="W161" s="260"/>
      <c r="X161" s="260"/>
      <c r="Y161" s="260"/>
      <c r="Z161" s="260"/>
    </row>
    <row r="162">
      <c r="A162" s="261"/>
      <c r="B162" s="260"/>
      <c r="C162" s="260"/>
      <c r="D162" s="260"/>
      <c r="E162" s="260"/>
      <c r="F162" s="260"/>
      <c r="G162" s="260"/>
      <c r="H162" s="261"/>
      <c r="I162" s="261"/>
      <c r="J162" s="261"/>
      <c r="K162" s="260"/>
      <c r="L162" s="260"/>
      <c r="M162" s="260"/>
      <c r="N162" s="260"/>
      <c r="O162" s="260"/>
      <c r="P162" s="260"/>
      <c r="Q162" s="260"/>
      <c r="R162" s="260"/>
      <c r="S162" s="260"/>
      <c r="T162" s="260"/>
      <c r="U162" s="260"/>
      <c r="V162" s="260"/>
      <c r="W162" s="260"/>
      <c r="X162" s="260"/>
      <c r="Y162" s="260"/>
      <c r="Z162" s="260"/>
    </row>
    <row r="163">
      <c r="A163" s="261"/>
      <c r="B163" s="260"/>
      <c r="C163" s="260"/>
      <c r="D163" s="260"/>
      <c r="E163" s="260"/>
      <c r="F163" s="260"/>
      <c r="G163" s="260"/>
      <c r="H163" s="261"/>
      <c r="I163" s="261"/>
      <c r="J163" s="261"/>
      <c r="K163" s="260"/>
      <c r="L163" s="260"/>
      <c r="M163" s="260"/>
      <c r="N163" s="260"/>
      <c r="O163" s="260"/>
      <c r="P163" s="260"/>
      <c r="Q163" s="260"/>
      <c r="R163" s="260"/>
      <c r="S163" s="260"/>
      <c r="T163" s="260"/>
      <c r="U163" s="260"/>
      <c r="V163" s="260"/>
      <c r="W163" s="260"/>
      <c r="X163" s="260"/>
      <c r="Y163" s="260"/>
      <c r="Z163" s="260"/>
    </row>
    <row r="164">
      <c r="A164" s="261"/>
      <c r="B164" s="260"/>
      <c r="C164" s="260"/>
      <c r="D164" s="260"/>
      <c r="E164" s="260"/>
      <c r="F164" s="260"/>
      <c r="G164" s="260"/>
      <c r="H164" s="261"/>
      <c r="I164" s="261"/>
      <c r="J164" s="261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260"/>
      <c r="W164" s="260"/>
      <c r="X164" s="260"/>
      <c r="Y164" s="260"/>
      <c r="Z164" s="260"/>
    </row>
    <row r="165">
      <c r="A165" s="261"/>
      <c r="B165" s="260"/>
      <c r="C165" s="260"/>
      <c r="D165" s="260"/>
      <c r="E165" s="260"/>
      <c r="F165" s="260"/>
      <c r="G165" s="260"/>
      <c r="H165" s="261"/>
      <c r="I165" s="261"/>
      <c r="J165" s="261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260"/>
      <c r="W165" s="260"/>
      <c r="X165" s="260"/>
      <c r="Y165" s="260"/>
      <c r="Z165" s="260"/>
    </row>
    <row r="166">
      <c r="A166" s="261"/>
      <c r="B166" s="260"/>
      <c r="C166" s="260"/>
      <c r="D166" s="260"/>
      <c r="E166" s="260"/>
      <c r="F166" s="260"/>
      <c r="G166" s="260"/>
      <c r="H166" s="261"/>
      <c r="I166" s="261"/>
      <c r="J166" s="261"/>
      <c r="K166" s="260"/>
      <c r="L166" s="260"/>
      <c r="M166" s="260"/>
      <c r="N166" s="260"/>
      <c r="O166" s="260"/>
      <c r="P166" s="260"/>
      <c r="Q166" s="260"/>
      <c r="R166" s="260"/>
      <c r="S166" s="260"/>
      <c r="T166" s="260"/>
      <c r="U166" s="260"/>
      <c r="V166" s="260"/>
      <c r="W166" s="260"/>
      <c r="X166" s="260"/>
      <c r="Y166" s="260"/>
      <c r="Z166" s="260"/>
    </row>
    <row r="167">
      <c r="A167" s="261"/>
      <c r="B167" s="260"/>
      <c r="C167" s="260"/>
      <c r="D167" s="260"/>
      <c r="E167" s="260"/>
      <c r="F167" s="260"/>
      <c r="G167" s="260"/>
      <c r="H167" s="261"/>
      <c r="I167" s="261"/>
      <c r="J167" s="261"/>
      <c r="K167" s="260"/>
      <c r="L167" s="260"/>
      <c r="M167" s="260"/>
      <c r="N167" s="260"/>
      <c r="O167" s="260"/>
      <c r="P167" s="260"/>
      <c r="Q167" s="260"/>
      <c r="R167" s="260"/>
      <c r="S167" s="260"/>
      <c r="T167" s="260"/>
      <c r="U167" s="260"/>
      <c r="V167" s="260"/>
      <c r="W167" s="260"/>
      <c r="X167" s="260"/>
      <c r="Y167" s="260"/>
      <c r="Z167" s="260"/>
    </row>
    <row r="168">
      <c r="A168" s="261"/>
      <c r="B168" s="260"/>
      <c r="C168" s="260"/>
      <c r="D168" s="260"/>
      <c r="E168" s="260"/>
      <c r="F168" s="260"/>
      <c r="G168" s="260"/>
      <c r="H168" s="261"/>
      <c r="I168" s="261"/>
      <c r="J168" s="261"/>
      <c r="K168" s="260"/>
      <c r="L168" s="260"/>
      <c r="M168" s="260"/>
      <c r="N168" s="260"/>
      <c r="O168" s="260"/>
      <c r="P168" s="260"/>
      <c r="Q168" s="260"/>
      <c r="R168" s="260"/>
      <c r="S168" s="260"/>
      <c r="T168" s="260"/>
      <c r="U168" s="260"/>
      <c r="V168" s="260"/>
      <c r="W168" s="260"/>
      <c r="X168" s="260"/>
      <c r="Y168" s="260"/>
      <c r="Z168" s="260"/>
    </row>
    <row r="169">
      <c r="A169" s="261"/>
      <c r="B169" s="260"/>
      <c r="C169" s="260"/>
      <c r="D169" s="260"/>
      <c r="E169" s="260"/>
      <c r="F169" s="260"/>
      <c r="G169" s="260"/>
      <c r="H169" s="261"/>
      <c r="I169" s="261"/>
      <c r="J169" s="261"/>
      <c r="K169" s="260"/>
      <c r="L169" s="260"/>
      <c r="M169" s="260"/>
      <c r="N169" s="260"/>
      <c r="O169" s="260"/>
      <c r="P169" s="260"/>
      <c r="Q169" s="260"/>
      <c r="R169" s="260"/>
      <c r="S169" s="260"/>
      <c r="T169" s="260"/>
      <c r="U169" s="260"/>
      <c r="V169" s="260"/>
      <c r="W169" s="260"/>
      <c r="X169" s="260"/>
      <c r="Y169" s="260"/>
      <c r="Z169" s="260"/>
    </row>
    <row r="170">
      <c r="A170" s="261"/>
      <c r="B170" s="260"/>
      <c r="C170" s="260"/>
      <c r="D170" s="260"/>
      <c r="E170" s="260"/>
      <c r="F170" s="260"/>
      <c r="G170" s="260"/>
      <c r="H170" s="261"/>
      <c r="I170" s="261"/>
      <c r="J170" s="261"/>
      <c r="K170" s="260"/>
      <c r="L170" s="260"/>
      <c r="M170" s="260"/>
      <c r="N170" s="260"/>
      <c r="O170" s="260"/>
      <c r="P170" s="260"/>
      <c r="Q170" s="260"/>
      <c r="R170" s="260"/>
      <c r="S170" s="260"/>
      <c r="T170" s="260"/>
      <c r="U170" s="260"/>
      <c r="V170" s="260"/>
      <c r="W170" s="260"/>
      <c r="X170" s="260"/>
      <c r="Y170" s="260"/>
      <c r="Z170" s="260"/>
    </row>
    <row r="171">
      <c r="A171" s="261"/>
      <c r="B171" s="260"/>
      <c r="C171" s="260"/>
      <c r="D171" s="260"/>
      <c r="E171" s="260"/>
      <c r="F171" s="260"/>
      <c r="G171" s="260"/>
      <c r="H171" s="261"/>
      <c r="I171" s="261"/>
      <c r="J171" s="261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</row>
    <row r="172">
      <c r="A172" s="261"/>
      <c r="B172" s="260"/>
      <c r="C172" s="260"/>
      <c r="D172" s="260"/>
      <c r="E172" s="260"/>
      <c r="F172" s="260"/>
      <c r="G172" s="260"/>
      <c r="H172" s="261"/>
      <c r="I172" s="261"/>
      <c r="J172" s="261"/>
      <c r="K172" s="260"/>
      <c r="L172" s="260"/>
      <c r="M172" s="260"/>
      <c r="N172" s="260"/>
      <c r="O172" s="260"/>
      <c r="P172" s="260"/>
      <c r="Q172" s="260"/>
      <c r="R172" s="260"/>
      <c r="S172" s="260"/>
      <c r="T172" s="260"/>
      <c r="U172" s="260"/>
      <c r="V172" s="260"/>
      <c r="W172" s="260"/>
      <c r="X172" s="260"/>
      <c r="Y172" s="260"/>
      <c r="Z172" s="260"/>
    </row>
    <row r="173">
      <c r="A173" s="261"/>
      <c r="B173" s="260"/>
      <c r="C173" s="260"/>
      <c r="D173" s="260"/>
      <c r="E173" s="260"/>
      <c r="F173" s="260"/>
      <c r="G173" s="260"/>
      <c r="H173" s="261"/>
      <c r="I173" s="261"/>
      <c r="J173" s="261"/>
      <c r="K173" s="260"/>
      <c r="L173" s="260"/>
      <c r="M173" s="260"/>
      <c r="N173" s="260"/>
      <c r="O173" s="260"/>
      <c r="P173" s="260"/>
      <c r="Q173" s="260"/>
      <c r="R173" s="260"/>
      <c r="S173" s="260"/>
      <c r="T173" s="260"/>
      <c r="U173" s="260"/>
      <c r="V173" s="260"/>
      <c r="W173" s="260"/>
      <c r="X173" s="260"/>
      <c r="Y173" s="260"/>
      <c r="Z173" s="260"/>
    </row>
    <row r="174">
      <c r="A174" s="261"/>
      <c r="B174" s="260"/>
      <c r="C174" s="260"/>
      <c r="D174" s="260"/>
      <c r="E174" s="260"/>
      <c r="F174" s="260"/>
      <c r="G174" s="260"/>
      <c r="H174" s="261"/>
      <c r="I174" s="261"/>
      <c r="J174" s="261"/>
      <c r="K174" s="260"/>
      <c r="L174" s="260"/>
      <c r="M174" s="260"/>
      <c r="N174" s="260"/>
      <c r="O174" s="260"/>
      <c r="P174" s="260"/>
      <c r="Q174" s="260"/>
      <c r="R174" s="260"/>
      <c r="S174" s="260"/>
      <c r="T174" s="260"/>
      <c r="U174" s="260"/>
      <c r="V174" s="260"/>
      <c r="W174" s="260"/>
      <c r="X174" s="260"/>
      <c r="Y174" s="260"/>
      <c r="Z174" s="260"/>
    </row>
    <row r="175">
      <c r="A175" s="261"/>
      <c r="B175" s="260"/>
      <c r="C175" s="260"/>
      <c r="D175" s="260"/>
      <c r="E175" s="260"/>
      <c r="F175" s="260"/>
      <c r="G175" s="260"/>
      <c r="H175" s="261"/>
      <c r="I175" s="261"/>
      <c r="J175" s="261"/>
      <c r="K175" s="260"/>
      <c r="L175" s="260"/>
      <c r="M175" s="260"/>
      <c r="N175" s="260"/>
      <c r="O175" s="260"/>
      <c r="P175" s="260"/>
      <c r="Q175" s="260"/>
      <c r="R175" s="260"/>
      <c r="S175" s="260"/>
      <c r="T175" s="260"/>
      <c r="U175" s="260"/>
      <c r="V175" s="260"/>
      <c r="W175" s="260"/>
      <c r="X175" s="260"/>
      <c r="Y175" s="260"/>
      <c r="Z175" s="260"/>
    </row>
    <row r="176">
      <c r="A176" s="261"/>
      <c r="B176" s="260"/>
      <c r="C176" s="260"/>
      <c r="D176" s="260"/>
      <c r="E176" s="260"/>
      <c r="F176" s="260"/>
      <c r="G176" s="260"/>
      <c r="H176" s="261"/>
      <c r="I176" s="261"/>
      <c r="J176" s="261"/>
      <c r="K176" s="260"/>
      <c r="L176" s="260"/>
      <c r="M176" s="260"/>
      <c r="N176" s="260"/>
      <c r="O176" s="260"/>
      <c r="P176" s="260"/>
      <c r="Q176" s="260"/>
      <c r="R176" s="260"/>
      <c r="S176" s="260"/>
      <c r="T176" s="260"/>
      <c r="U176" s="260"/>
      <c r="V176" s="260"/>
      <c r="W176" s="260"/>
      <c r="X176" s="260"/>
      <c r="Y176" s="260"/>
      <c r="Z176" s="260"/>
    </row>
    <row r="177">
      <c r="A177" s="261"/>
      <c r="B177" s="260"/>
      <c r="C177" s="260"/>
      <c r="D177" s="260"/>
      <c r="E177" s="260"/>
      <c r="F177" s="260"/>
      <c r="G177" s="260"/>
      <c r="H177" s="261"/>
      <c r="I177" s="261"/>
      <c r="J177" s="261"/>
      <c r="K177" s="260"/>
      <c r="L177" s="260"/>
      <c r="M177" s="260"/>
      <c r="N177" s="260"/>
      <c r="O177" s="260"/>
      <c r="P177" s="260"/>
      <c r="Q177" s="260"/>
      <c r="R177" s="260"/>
      <c r="S177" s="260"/>
      <c r="T177" s="260"/>
      <c r="U177" s="260"/>
      <c r="V177" s="260"/>
      <c r="W177" s="260"/>
      <c r="X177" s="260"/>
      <c r="Y177" s="260"/>
      <c r="Z177" s="260"/>
    </row>
    <row r="178">
      <c r="A178" s="261"/>
      <c r="B178" s="260"/>
      <c r="C178" s="260"/>
      <c r="D178" s="260"/>
      <c r="E178" s="260"/>
      <c r="F178" s="260"/>
      <c r="G178" s="260"/>
      <c r="H178" s="261"/>
      <c r="I178" s="261"/>
      <c r="J178" s="261"/>
      <c r="K178" s="260"/>
      <c r="L178" s="260"/>
      <c r="M178" s="260"/>
      <c r="N178" s="260"/>
      <c r="O178" s="260"/>
      <c r="P178" s="260"/>
      <c r="Q178" s="260"/>
      <c r="R178" s="260"/>
      <c r="S178" s="260"/>
      <c r="T178" s="260"/>
      <c r="U178" s="260"/>
      <c r="V178" s="260"/>
      <c r="W178" s="260"/>
      <c r="X178" s="260"/>
      <c r="Y178" s="260"/>
      <c r="Z178" s="260"/>
    </row>
    <row r="179">
      <c r="A179" s="261"/>
      <c r="B179" s="260"/>
      <c r="C179" s="260"/>
      <c r="D179" s="260"/>
      <c r="E179" s="260"/>
      <c r="F179" s="260"/>
      <c r="G179" s="260"/>
      <c r="H179" s="261"/>
      <c r="I179" s="261"/>
      <c r="J179" s="261"/>
      <c r="K179" s="260"/>
      <c r="L179" s="260"/>
      <c r="M179" s="260"/>
      <c r="N179" s="260"/>
      <c r="O179" s="260"/>
      <c r="P179" s="260"/>
      <c r="Q179" s="260"/>
      <c r="R179" s="260"/>
      <c r="S179" s="260"/>
      <c r="T179" s="260"/>
      <c r="U179" s="260"/>
      <c r="V179" s="260"/>
      <c r="W179" s="260"/>
      <c r="X179" s="260"/>
      <c r="Y179" s="260"/>
      <c r="Z179" s="260"/>
    </row>
    <row r="180">
      <c r="A180" s="261"/>
      <c r="B180" s="260"/>
      <c r="C180" s="260"/>
      <c r="D180" s="260"/>
      <c r="E180" s="260"/>
      <c r="F180" s="260"/>
      <c r="G180" s="260"/>
      <c r="H180" s="261"/>
      <c r="I180" s="261"/>
      <c r="J180" s="261"/>
      <c r="K180" s="260"/>
      <c r="L180" s="260"/>
      <c r="M180" s="260"/>
      <c r="N180" s="260"/>
      <c r="O180" s="260"/>
      <c r="P180" s="260"/>
      <c r="Q180" s="260"/>
      <c r="R180" s="260"/>
      <c r="S180" s="260"/>
      <c r="T180" s="260"/>
      <c r="U180" s="260"/>
      <c r="V180" s="260"/>
      <c r="W180" s="260"/>
      <c r="X180" s="260"/>
      <c r="Y180" s="260"/>
      <c r="Z180" s="260"/>
    </row>
    <row r="181">
      <c r="A181" s="261"/>
      <c r="B181" s="260"/>
      <c r="C181" s="260"/>
      <c r="D181" s="260"/>
      <c r="E181" s="260"/>
      <c r="F181" s="260"/>
      <c r="G181" s="260"/>
      <c r="H181" s="261"/>
      <c r="I181" s="261"/>
      <c r="J181" s="261"/>
      <c r="K181" s="260"/>
      <c r="L181" s="260"/>
      <c r="M181" s="260"/>
      <c r="N181" s="260"/>
      <c r="O181" s="260"/>
      <c r="P181" s="260"/>
      <c r="Q181" s="260"/>
      <c r="R181" s="260"/>
      <c r="S181" s="260"/>
      <c r="T181" s="260"/>
      <c r="U181" s="260"/>
      <c r="V181" s="260"/>
      <c r="W181" s="260"/>
      <c r="X181" s="260"/>
      <c r="Y181" s="260"/>
      <c r="Z181" s="260"/>
    </row>
    <row r="182">
      <c r="A182" s="261"/>
      <c r="B182" s="260"/>
      <c r="C182" s="260"/>
      <c r="D182" s="260"/>
      <c r="E182" s="260"/>
      <c r="F182" s="260"/>
      <c r="G182" s="260"/>
      <c r="H182" s="261"/>
      <c r="I182" s="261"/>
      <c r="J182" s="261"/>
      <c r="K182" s="260"/>
      <c r="L182" s="260"/>
      <c r="M182" s="260"/>
      <c r="N182" s="260"/>
      <c r="O182" s="260"/>
      <c r="P182" s="260"/>
      <c r="Q182" s="260"/>
      <c r="R182" s="260"/>
      <c r="S182" s="260"/>
      <c r="T182" s="260"/>
      <c r="U182" s="260"/>
      <c r="V182" s="260"/>
      <c r="W182" s="260"/>
      <c r="X182" s="260"/>
      <c r="Y182" s="260"/>
      <c r="Z182" s="260"/>
    </row>
    <row r="183">
      <c r="A183" s="261"/>
      <c r="B183" s="260"/>
      <c r="C183" s="260"/>
      <c r="D183" s="260"/>
      <c r="E183" s="260"/>
      <c r="F183" s="260"/>
      <c r="G183" s="260"/>
      <c r="H183" s="261"/>
      <c r="I183" s="261"/>
      <c r="J183" s="261"/>
      <c r="K183" s="260"/>
      <c r="L183" s="260"/>
      <c r="M183" s="260"/>
      <c r="N183" s="260"/>
      <c r="O183" s="260"/>
      <c r="P183" s="260"/>
      <c r="Q183" s="260"/>
      <c r="R183" s="260"/>
      <c r="S183" s="260"/>
      <c r="T183" s="260"/>
      <c r="U183" s="260"/>
      <c r="V183" s="260"/>
      <c r="W183" s="260"/>
      <c r="X183" s="260"/>
      <c r="Y183" s="260"/>
      <c r="Z183" s="260"/>
    </row>
    <row r="184">
      <c r="A184" s="261"/>
      <c r="B184" s="260"/>
      <c r="C184" s="260"/>
      <c r="D184" s="260"/>
      <c r="E184" s="260"/>
      <c r="F184" s="260"/>
      <c r="G184" s="260"/>
      <c r="H184" s="261"/>
      <c r="I184" s="261"/>
      <c r="J184" s="261"/>
      <c r="K184" s="260"/>
      <c r="L184" s="260"/>
      <c r="M184" s="260"/>
      <c r="N184" s="260"/>
      <c r="O184" s="260"/>
      <c r="P184" s="260"/>
      <c r="Q184" s="260"/>
      <c r="R184" s="260"/>
      <c r="S184" s="260"/>
      <c r="T184" s="260"/>
      <c r="U184" s="260"/>
      <c r="V184" s="260"/>
      <c r="W184" s="260"/>
      <c r="X184" s="260"/>
      <c r="Y184" s="260"/>
      <c r="Z184" s="260"/>
    </row>
    <row r="185">
      <c r="A185" s="261"/>
      <c r="B185" s="260"/>
      <c r="C185" s="260"/>
      <c r="D185" s="260"/>
      <c r="E185" s="260"/>
      <c r="F185" s="260"/>
      <c r="G185" s="260"/>
      <c r="H185" s="261"/>
      <c r="I185" s="261"/>
      <c r="J185" s="261"/>
      <c r="K185" s="260"/>
      <c r="L185" s="260"/>
      <c r="M185" s="260"/>
      <c r="N185" s="260"/>
      <c r="O185" s="260"/>
      <c r="P185" s="260"/>
      <c r="Q185" s="260"/>
      <c r="R185" s="260"/>
      <c r="S185" s="260"/>
      <c r="T185" s="260"/>
      <c r="U185" s="260"/>
      <c r="V185" s="260"/>
      <c r="W185" s="260"/>
      <c r="X185" s="260"/>
      <c r="Y185" s="260"/>
      <c r="Z185" s="260"/>
    </row>
    <row r="186">
      <c r="A186" s="261"/>
      <c r="B186" s="260"/>
      <c r="C186" s="260"/>
      <c r="D186" s="260"/>
      <c r="E186" s="260"/>
      <c r="F186" s="260"/>
      <c r="G186" s="260"/>
      <c r="H186" s="261"/>
      <c r="I186" s="261"/>
      <c r="J186" s="261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260"/>
      <c r="W186" s="260"/>
      <c r="X186" s="260"/>
      <c r="Y186" s="260"/>
      <c r="Z186" s="260"/>
    </row>
    <row r="187">
      <c r="A187" s="261"/>
      <c r="B187" s="260"/>
      <c r="C187" s="260"/>
      <c r="D187" s="260"/>
      <c r="E187" s="260"/>
      <c r="F187" s="260"/>
      <c r="G187" s="260"/>
      <c r="H187" s="261"/>
      <c r="I187" s="261"/>
      <c r="J187" s="261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260"/>
      <c r="W187" s="260"/>
      <c r="X187" s="260"/>
      <c r="Y187" s="260"/>
      <c r="Z187" s="260"/>
    </row>
    <row r="188">
      <c r="A188" s="261"/>
      <c r="B188" s="260"/>
      <c r="C188" s="260"/>
      <c r="D188" s="260"/>
      <c r="E188" s="260"/>
      <c r="F188" s="260"/>
      <c r="G188" s="260"/>
      <c r="H188" s="261"/>
      <c r="I188" s="261"/>
      <c r="J188" s="261"/>
      <c r="K188" s="260"/>
      <c r="L188" s="260"/>
      <c r="M188" s="260"/>
      <c r="N188" s="260"/>
      <c r="O188" s="260"/>
      <c r="P188" s="260"/>
      <c r="Q188" s="260"/>
      <c r="R188" s="260"/>
      <c r="S188" s="260"/>
      <c r="T188" s="260"/>
      <c r="U188" s="260"/>
      <c r="V188" s="260"/>
      <c r="W188" s="260"/>
      <c r="X188" s="260"/>
      <c r="Y188" s="260"/>
      <c r="Z188" s="260"/>
    </row>
    <row r="189">
      <c r="A189" s="261"/>
      <c r="B189" s="260"/>
      <c r="C189" s="260"/>
      <c r="D189" s="260"/>
      <c r="E189" s="260"/>
      <c r="F189" s="260"/>
      <c r="G189" s="260"/>
      <c r="H189" s="261"/>
      <c r="I189" s="261"/>
      <c r="J189" s="261"/>
      <c r="K189" s="260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260"/>
      <c r="W189" s="260"/>
      <c r="X189" s="260"/>
      <c r="Y189" s="260"/>
      <c r="Z189" s="260"/>
    </row>
    <row r="190">
      <c r="A190" s="261"/>
      <c r="B190" s="260"/>
      <c r="C190" s="260"/>
      <c r="D190" s="260"/>
      <c r="E190" s="260"/>
      <c r="F190" s="260"/>
      <c r="G190" s="260"/>
      <c r="H190" s="261"/>
      <c r="I190" s="261"/>
      <c r="J190" s="261"/>
      <c r="K190" s="260"/>
      <c r="L190" s="260"/>
      <c r="M190" s="260"/>
      <c r="N190" s="260"/>
      <c r="O190" s="260"/>
      <c r="P190" s="260"/>
      <c r="Q190" s="260"/>
      <c r="R190" s="260"/>
      <c r="S190" s="260"/>
      <c r="T190" s="260"/>
      <c r="U190" s="260"/>
      <c r="V190" s="260"/>
      <c r="W190" s="260"/>
      <c r="X190" s="260"/>
      <c r="Y190" s="260"/>
      <c r="Z190" s="260"/>
    </row>
    <row r="191">
      <c r="A191" s="261"/>
      <c r="B191" s="260"/>
      <c r="C191" s="260"/>
      <c r="D191" s="260"/>
      <c r="E191" s="260"/>
      <c r="F191" s="260"/>
      <c r="G191" s="260"/>
      <c r="H191" s="261"/>
      <c r="I191" s="261"/>
      <c r="J191" s="261"/>
      <c r="K191" s="260"/>
      <c r="L191" s="260"/>
      <c r="M191" s="260"/>
      <c r="N191" s="260"/>
      <c r="O191" s="260"/>
      <c r="P191" s="260"/>
      <c r="Q191" s="260"/>
      <c r="R191" s="260"/>
      <c r="S191" s="260"/>
      <c r="T191" s="260"/>
      <c r="U191" s="260"/>
      <c r="V191" s="260"/>
      <c r="W191" s="260"/>
      <c r="X191" s="260"/>
      <c r="Y191" s="260"/>
      <c r="Z191" s="260"/>
    </row>
    <row r="192">
      <c r="A192" s="261"/>
      <c r="B192" s="260"/>
      <c r="C192" s="260"/>
      <c r="D192" s="260"/>
      <c r="E192" s="260"/>
      <c r="F192" s="260"/>
      <c r="G192" s="260"/>
      <c r="H192" s="261"/>
      <c r="I192" s="261"/>
      <c r="J192" s="261"/>
      <c r="K192" s="260"/>
      <c r="L192" s="260"/>
      <c r="M192" s="260"/>
      <c r="N192" s="260"/>
      <c r="O192" s="260"/>
      <c r="P192" s="260"/>
      <c r="Q192" s="260"/>
      <c r="R192" s="260"/>
      <c r="S192" s="260"/>
      <c r="T192" s="260"/>
      <c r="U192" s="260"/>
      <c r="V192" s="260"/>
      <c r="W192" s="260"/>
      <c r="X192" s="260"/>
      <c r="Y192" s="260"/>
      <c r="Z192" s="260"/>
    </row>
    <row r="193">
      <c r="A193" s="261"/>
      <c r="B193" s="260"/>
      <c r="C193" s="260"/>
      <c r="D193" s="260"/>
      <c r="E193" s="260"/>
      <c r="F193" s="260"/>
      <c r="G193" s="260"/>
      <c r="H193" s="261"/>
      <c r="I193" s="261"/>
      <c r="J193" s="261"/>
      <c r="K193" s="260"/>
      <c r="L193" s="260"/>
      <c r="M193" s="260"/>
      <c r="N193" s="260"/>
      <c r="O193" s="260"/>
      <c r="P193" s="260"/>
      <c r="Q193" s="260"/>
      <c r="R193" s="260"/>
      <c r="S193" s="260"/>
      <c r="T193" s="260"/>
      <c r="U193" s="260"/>
      <c r="V193" s="260"/>
      <c r="W193" s="260"/>
      <c r="X193" s="260"/>
      <c r="Y193" s="260"/>
      <c r="Z193" s="260"/>
    </row>
    <row r="194">
      <c r="A194" s="261"/>
      <c r="B194" s="260"/>
      <c r="C194" s="260"/>
      <c r="D194" s="260"/>
      <c r="E194" s="260"/>
      <c r="F194" s="260"/>
      <c r="G194" s="260"/>
      <c r="H194" s="261"/>
      <c r="I194" s="261"/>
      <c r="J194" s="261"/>
      <c r="K194" s="260"/>
      <c r="L194" s="260"/>
      <c r="M194" s="260"/>
      <c r="N194" s="260"/>
      <c r="O194" s="260"/>
      <c r="P194" s="260"/>
      <c r="Q194" s="260"/>
      <c r="R194" s="260"/>
      <c r="S194" s="260"/>
      <c r="T194" s="260"/>
      <c r="U194" s="260"/>
      <c r="V194" s="260"/>
      <c r="W194" s="260"/>
      <c r="X194" s="260"/>
      <c r="Y194" s="260"/>
      <c r="Z194" s="260"/>
    </row>
    <row r="195">
      <c r="A195" s="261"/>
      <c r="B195" s="260"/>
      <c r="C195" s="260"/>
      <c r="D195" s="260"/>
      <c r="E195" s="260"/>
      <c r="F195" s="260"/>
      <c r="G195" s="260"/>
      <c r="H195" s="261"/>
      <c r="I195" s="261"/>
      <c r="J195" s="261"/>
      <c r="K195" s="260"/>
      <c r="L195" s="260"/>
      <c r="M195" s="260"/>
      <c r="N195" s="260"/>
      <c r="O195" s="260"/>
      <c r="P195" s="260"/>
      <c r="Q195" s="260"/>
      <c r="R195" s="260"/>
      <c r="S195" s="260"/>
      <c r="T195" s="260"/>
      <c r="U195" s="260"/>
      <c r="V195" s="260"/>
      <c r="W195" s="260"/>
      <c r="X195" s="260"/>
      <c r="Y195" s="260"/>
      <c r="Z195" s="260"/>
    </row>
    <row r="196">
      <c r="A196" s="261"/>
      <c r="B196" s="260"/>
      <c r="C196" s="260"/>
      <c r="D196" s="260"/>
      <c r="E196" s="260"/>
      <c r="F196" s="260"/>
      <c r="G196" s="260"/>
      <c r="H196" s="261"/>
      <c r="I196" s="261"/>
      <c r="J196" s="261"/>
      <c r="K196" s="260"/>
      <c r="L196" s="260"/>
      <c r="M196" s="260"/>
      <c r="N196" s="260"/>
      <c r="O196" s="260"/>
      <c r="P196" s="260"/>
      <c r="Q196" s="260"/>
      <c r="R196" s="260"/>
      <c r="S196" s="260"/>
      <c r="T196" s="260"/>
      <c r="U196" s="260"/>
      <c r="V196" s="260"/>
      <c r="W196" s="260"/>
      <c r="X196" s="260"/>
      <c r="Y196" s="260"/>
      <c r="Z196" s="260"/>
    </row>
    <row r="197">
      <c r="A197" s="261"/>
      <c r="B197" s="260"/>
      <c r="C197" s="260"/>
      <c r="D197" s="260"/>
      <c r="E197" s="260"/>
      <c r="F197" s="260"/>
      <c r="G197" s="260"/>
      <c r="H197" s="261"/>
      <c r="I197" s="261"/>
      <c r="J197" s="261"/>
      <c r="K197" s="260"/>
      <c r="L197" s="260"/>
      <c r="M197" s="260"/>
      <c r="N197" s="260"/>
      <c r="O197" s="260"/>
      <c r="P197" s="260"/>
      <c r="Q197" s="260"/>
      <c r="R197" s="260"/>
      <c r="S197" s="260"/>
      <c r="T197" s="260"/>
      <c r="U197" s="260"/>
      <c r="V197" s="260"/>
      <c r="W197" s="260"/>
      <c r="X197" s="260"/>
      <c r="Y197" s="260"/>
      <c r="Z197" s="260"/>
    </row>
    <row r="198">
      <c r="A198" s="261"/>
      <c r="B198" s="260"/>
      <c r="C198" s="260"/>
      <c r="D198" s="260"/>
      <c r="E198" s="260"/>
      <c r="F198" s="260"/>
      <c r="G198" s="260"/>
      <c r="H198" s="261"/>
      <c r="I198" s="261"/>
      <c r="J198" s="261"/>
      <c r="K198" s="260"/>
      <c r="L198" s="260"/>
      <c r="M198" s="260"/>
      <c r="N198" s="260"/>
      <c r="O198" s="260"/>
      <c r="P198" s="260"/>
      <c r="Q198" s="260"/>
      <c r="R198" s="260"/>
      <c r="S198" s="260"/>
      <c r="T198" s="260"/>
      <c r="U198" s="260"/>
      <c r="V198" s="260"/>
      <c r="W198" s="260"/>
      <c r="X198" s="260"/>
      <c r="Y198" s="260"/>
      <c r="Z198" s="260"/>
    </row>
    <row r="199">
      <c r="A199" s="261"/>
      <c r="B199" s="260"/>
      <c r="C199" s="260"/>
      <c r="D199" s="260"/>
      <c r="E199" s="260"/>
      <c r="F199" s="260"/>
      <c r="G199" s="260"/>
      <c r="H199" s="261"/>
      <c r="I199" s="261"/>
      <c r="J199" s="261"/>
      <c r="K199" s="260"/>
      <c r="L199" s="260"/>
      <c r="M199" s="260"/>
      <c r="N199" s="260"/>
      <c r="O199" s="260"/>
      <c r="P199" s="260"/>
      <c r="Q199" s="260"/>
      <c r="R199" s="260"/>
      <c r="S199" s="260"/>
      <c r="T199" s="260"/>
      <c r="U199" s="260"/>
      <c r="V199" s="260"/>
      <c r="W199" s="260"/>
      <c r="X199" s="260"/>
      <c r="Y199" s="260"/>
      <c r="Z199" s="260"/>
    </row>
    <row r="200">
      <c r="A200" s="261"/>
      <c r="B200" s="260"/>
      <c r="C200" s="260"/>
      <c r="D200" s="260"/>
      <c r="E200" s="260"/>
      <c r="F200" s="260"/>
      <c r="G200" s="260"/>
      <c r="H200" s="261"/>
      <c r="I200" s="261"/>
      <c r="J200" s="261"/>
      <c r="K200" s="260"/>
      <c r="L200" s="260"/>
      <c r="M200" s="260"/>
      <c r="N200" s="260"/>
      <c r="O200" s="260"/>
      <c r="P200" s="260"/>
      <c r="Q200" s="260"/>
      <c r="R200" s="260"/>
      <c r="S200" s="260"/>
      <c r="T200" s="260"/>
      <c r="U200" s="260"/>
      <c r="V200" s="260"/>
      <c r="W200" s="260"/>
      <c r="X200" s="260"/>
      <c r="Y200" s="260"/>
      <c r="Z200" s="260"/>
    </row>
    <row r="201">
      <c r="A201" s="261"/>
      <c r="B201" s="260"/>
      <c r="C201" s="260"/>
      <c r="D201" s="260"/>
      <c r="E201" s="260"/>
      <c r="F201" s="260"/>
      <c r="G201" s="260"/>
      <c r="H201" s="261"/>
      <c r="I201" s="261"/>
      <c r="J201" s="261"/>
      <c r="K201" s="260"/>
      <c r="L201" s="260"/>
      <c r="M201" s="260"/>
      <c r="N201" s="260"/>
      <c r="O201" s="260"/>
      <c r="P201" s="260"/>
      <c r="Q201" s="260"/>
      <c r="R201" s="260"/>
      <c r="S201" s="260"/>
      <c r="T201" s="260"/>
      <c r="U201" s="260"/>
      <c r="V201" s="260"/>
      <c r="W201" s="260"/>
      <c r="X201" s="260"/>
      <c r="Y201" s="260"/>
      <c r="Z201" s="260"/>
    </row>
    <row r="202">
      <c r="A202" s="261"/>
      <c r="B202" s="260"/>
      <c r="C202" s="260"/>
      <c r="D202" s="260"/>
      <c r="E202" s="260"/>
      <c r="F202" s="260"/>
      <c r="G202" s="260"/>
      <c r="H202" s="261"/>
      <c r="I202" s="261"/>
      <c r="J202" s="261"/>
      <c r="K202" s="260"/>
      <c r="L202" s="260"/>
      <c r="M202" s="260"/>
      <c r="N202" s="260"/>
      <c r="O202" s="260"/>
      <c r="P202" s="260"/>
      <c r="Q202" s="260"/>
      <c r="R202" s="260"/>
      <c r="S202" s="260"/>
      <c r="T202" s="260"/>
      <c r="U202" s="260"/>
      <c r="V202" s="260"/>
      <c r="W202" s="260"/>
      <c r="X202" s="260"/>
      <c r="Y202" s="260"/>
      <c r="Z202" s="260"/>
    </row>
    <row r="203">
      <c r="A203" s="261"/>
      <c r="B203" s="260"/>
      <c r="C203" s="260"/>
      <c r="D203" s="260"/>
      <c r="E203" s="260"/>
      <c r="F203" s="260"/>
      <c r="G203" s="260"/>
      <c r="H203" s="261"/>
      <c r="I203" s="261"/>
      <c r="J203" s="261"/>
      <c r="K203" s="260"/>
      <c r="L203" s="260"/>
      <c r="M203" s="260"/>
      <c r="N203" s="260"/>
      <c r="O203" s="260"/>
      <c r="P203" s="260"/>
      <c r="Q203" s="260"/>
      <c r="R203" s="260"/>
      <c r="S203" s="260"/>
      <c r="T203" s="260"/>
      <c r="U203" s="260"/>
      <c r="V203" s="260"/>
      <c r="W203" s="260"/>
      <c r="X203" s="260"/>
      <c r="Y203" s="260"/>
      <c r="Z203" s="260"/>
    </row>
    <row r="204">
      <c r="A204" s="261"/>
      <c r="B204" s="260"/>
      <c r="C204" s="260"/>
      <c r="D204" s="260"/>
      <c r="E204" s="260"/>
      <c r="F204" s="260"/>
      <c r="G204" s="260"/>
      <c r="H204" s="261"/>
      <c r="I204" s="261"/>
      <c r="J204" s="261"/>
      <c r="K204" s="260"/>
      <c r="L204" s="260"/>
      <c r="M204" s="260"/>
      <c r="N204" s="260"/>
      <c r="O204" s="260"/>
      <c r="P204" s="260"/>
      <c r="Q204" s="260"/>
      <c r="R204" s="260"/>
      <c r="S204" s="260"/>
      <c r="T204" s="260"/>
      <c r="U204" s="260"/>
      <c r="V204" s="260"/>
      <c r="W204" s="260"/>
      <c r="X204" s="260"/>
      <c r="Y204" s="260"/>
      <c r="Z204" s="260"/>
    </row>
    <row r="205">
      <c r="A205" s="261"/>
      <c r="B205" s="260"/>
      <c r="C205" s="260"/>
      <c r="D205" s="260"/>
      <c r="E205" s="260"/>
      <c r="F205" s="260"/>
      <c r="G205" s="260"/>
      <c r="H205" s="261"/>
      <c r="I205" s="261"/>
      <c r="J205" s="261"/>
      <c r="K205" s="260"/>
      <c r="L205" s="260"/>
      <c r="M205" s="260"/>
      <c r="N205" s="260"/>
      <c r="O205" s="260"/>
      <c r="P205" s="260"/>
      <c r="Q205" s="260"/>
      <c r="R205" s="260"/>
      <c r="S205" s="260"/>
      <c r="T205" s="260"/>
      <c r="U205" s="260"/>
      <c r="V205" s="260"/>
      <c r="W205" s="260"/>
      <c r="X205" s="260"/>
      <c r="Y205" s="260"/>
      <c r="Z205" s="260"/>
    </row>
    <row r="206">
      <c r="A206" s="261"/>
      <c r="B206" s="260"/>
      <c r="C206" s="260"/>
      <c r="D206" s="260"/>
      <c r="E206" s="260"/>
      <c r="F206" s="260"/>
      <c r="G206" s="260"/>
      <c r="H206" s="261"/>
      <c r="I206" s="261"/>
      <c r="J206" s="261"/>
      <c r="K206" s="260"/>
      <c r="L206" s="260"/>
      <c r="M206" s="260"/>
      <c r="N206" s="260"/>
      <c r="O206" s="260"/>
      <c r="P206" s="260"/>
      <c r="Q206" s="260"/>
      <c r="R206" s="260"/>
      <c r="S206" s="260"/>
      <c r="T206" s="260"/>
      <c r="U206" s="260"/>
      <c r="V206" s="260"/>
      <c r="W206" s="260"/>
      <c r="X206" s="260"/>
      <c r="Y206" s="260"/>
      <c r="Z206" s="260"/>
    </row>
    <row r="207">
      <c r="A207" s="261"/>
      <c r="B207" s="260"/>
      <c r="C207" s="260"/>
      <c r="D207" s="260"/>
      <c r="E207" s="260"/>
      <c r="F207" s="260"/>
      <c r="G207" s="260"/>
      <c r="H207" s="261"/>
      <c r="I207" s="261"/>
      <c r="J207" s="261"/>
      <c r="K207" s="260"/>
      <c r="L207" s="260"/>
      <c r="M207" s="260"/>
      <c r="N207" s="260"/>
      <c r="O207" s="260"/>
      <c r="P207" s="260"/>
      <c r="Q207" s="260"/>
      <c r="R207" s="260"/>
      <c r="S207" s="260"/>
      <c r="T207" s="260"/>
      <c r="U207" s="260"/>
      <c r="V207" s="260"/>
      <c r="W207" s="260"/>
      <c r="X207" s="260"/>
      <c r="Y207" s="260"/>
      <c r="Z207" s="260"/>
    </row>
    <row r="208">
      <c r="A208" s="261"/>
      <c r="B208" s="260"/>
      <c r="C208" s="260"/>
      <c r="D208" s="260"/>
      <c r="E208" s="260"/>
      <c r="F208" s="260"/>
      <c r="G208" s="260"/>
      <c r="H208" s="261"/>
      <c r="I208" s="261"/>
      <c r="J208" s="261"/>
      <c r="K208" s="260"/>
      <c r="L208" s="260"/>
      <c r="M208" s="260"/>
      <c r="N208" s="260"/>
      <c r="O208" s="260"/>
      <c r="P208" s="260"/>
      <c r="Q208" s="260"/>
      <c r="R208" s="260"/>
      <c r="S208" s="260"/>
      <c r="T208" s="260"/>
      <c r="U208" s="260"/>
      <c r="V208" s="260"/>
      <c r="W208" s="260"/>
      <c r="X208" s="260"/>
      <c r="Y208" s="260"/>
      <c r="Z208" s="260"/>
    </row>
    <row r="209">
      <c r="A209" s="261"/>
      <c r="B209" s="260"/>
      <c r="C209" s="260"/>
      <c r="D209" s="260"/>
      <c r="E209" s="260"/>
      <c r="F209" s="260"/>
      <c r="G209" s="260"/>
      <c r="H209" s="261"/>
      <c r="I209" s="261"/>
      <c r="J209" s="261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260"/>
      <c r="W209" s="260"/>
      <c r="X209" s="260"/>
      <c r="Y209" s="260"/>
      <c r="Z209" s="260"/>
    </row>
    <row r="210">
      <c r="A210" s="261"/>
      <c r="B210" s="260"/>
      <c r="C210" s="260"/>
      <c r="D210" s="260"/>
      <c r="E210" s="260"/>
      <c r="F210" s="260"/>
      <c r="G210" s="260"/>
      <c r="H210" s="261"/>
      <c r="I210" s="261"/>
      <c r="J210" s="261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260"/>
      <c r="W210" s="260"/>
      <c r="X210" s="260"/>
      <c r="Y210" s="260"/>
      <c r="Z210" s="260"/>
    </row>
    <row r="211">
      <c r="A211" s="261"/>
      <c r="B211" s="260"/>
      <c r="C211" s="260"/>
      <c r="D211" s="260"/>
      <c r="E211" s="260"/>
      <c r="F211" s="260"/>
      <c r="G211" s="260"/>
      <c r="H211" s="261"/>
      <c r="I211" s="261"/>
      <c r="J211" s="261"/>
      <c r="K211" s="260"/>
      <c r="L211" s="260"/>
      <c r="M211" s="260"/>
      <c r="N211" s="260"/>
      <c r="O211" s="260"/>
      <c r="P211" s="260"/>
      <c r="Q211" s="260"/>
      <c r="R211" s="260"/>
      <c r="S211" s="260"/>
      <c r="T211" s="260"/>
      <c r="U211" s="260"/>
      <c r="V211" s="260"/>
      <c r="W211" s="260"/>
      <c r="X211" s="260"/>
      <c r="Y211" s="260"/>
      <c r="Z211" s="260"/>
    </row>
    <row r="212">
      <c r="A212" s="261"/>
      <c r="B212" s="260"/>
      <c r="C212" s="260"/>
      <c r="D212" s="260"/>
      <c r="E212" s="260"/>
      <c r="F212" s="260"/>
      <c r="G212" s="260"/>
      <c r="H212" s="261"/>
      <c r="I212" s="261"/>
      <c r="J212" s="261"/>
      <c r="K212" s="260"/>
      <c r="L212" s="260"/>
      <c r="M212" s="260"/>
      <c r="N212" s="260"/>
      <c r="O212" s="260"/>
      <c r="P212" s="260"/>
      <c r="Q212" s="260"/>
      <c r="R212" s="260"/>
      <c r="S212" s="260"/>
      <c r="T212" s="260"/>
      <c r="U212" s="260"/>
      <c r="V212" s="260"/>
      <c r="W212" s="260"/>
      <c r="X212" s="260"/>
      <c r="Y212" s="260"/>
      <c r="Z212" s="260"/>
    </row>
    <row r="213">
      <c r="A213" s="261"/>
      <c r="B213" s="260"/>
      <c r="C213" s="260"/>
      <c r="D213" s="260"/>
      <c r="E213" s="260"/>
      <c r="F213" s="260"/>
      <c r="G213" s="260"/>
      <c r="H213" s="261"/>
      <c r="I213" s="261"/>
      <c r="J213" s="261"/>
      <c r="K213" s="260"/>
      <c r="L213" s="260"/>
      <c r="M213" s="260"/>
      <c r="N213" s="260"/>
      <c r="O213" s="260"/>
      <c r="P213" s="260"/>
      <c r="Q213" s="260"/>
      <c r="R213" s="260"/>
      <c r="S213" s="260"/>
      <c r="T213" s="260"/>
      <c r="U213" s="260"/>
      <c r="V213" s="260"/>
      <c r="W213" s="260"/>
      <c r="X213" s="260"/>
      <c r="Y213" s="260"/>
      <c r="Z213" s="260"/>
    </row>
    <row r="214">
      <c r="A214" s="261"/>
      <c r="B214" s="260"/>
      <c r="C214" s="260"/>
      <c r="D214" s="260"/>
      <c r="E214" s="260"/>
      <c r="F214" s="260"/>
      <c r="G214" s="260"/>
      <c r="H214" s="261"/>
      <c r="I214" s="261"/>
      <c r="J214" s="261"/>
      <c r="K214" s="260"/>
      <c r="L214" s="260"/>
      <c r="M214" s="260"/>
      <c r="N214" s="260"/>
      <c r="O214" s="260"/>
      <c r="P214" s="260"/>
      <c r="Q214" s="260"/>
      <c r="R214" s="260"/>
      <c r="S214" s="260"/>
      <c r="T214" s="260"/>
      <c r="U214" s="260"/>
      <c r="V214" s="260"/>
      <c r="W214" s="260"/>
      <c r="X214" s="260"/>
      <c r="Y214" s="260"/>
      <c r="Z214" s="260"/>
    </row>
    <row r="215">
      <c r="A215" s="261"/>
      <c r="B215" s="260"/>
      <c r="C215" s="260"/>
      <c r="D215" s="260"/>
      <c r="E215" s="260"/>
      <c r="F215" s="260"/>
      <c r="G215" s="260"/>
      <c r="H215" s="261"/>
      <c r="I215" s="261"/>
      <c r="J215" s="261"/>
      <c r="K215" s="260"/>
      <c r="L215" s="260"/>
      <c r="M215" s="260"/>
      <c r="N215" s="260"/>
      <c r="O215" s="260"/>
      <c r="P215" s="260"/>
      <c r="Q215" s="260"/>
      <c r="R215" s="260"/>
      <c r="S215" s="260"/>
      <c r="T215" s="260"/>
      <c r="U215" s="260"/>
      <c r="V215" s="260"/>
      <c r="W215" s="260"/>
      <c r="X215" s="260"/>
      <c r="Y215" s="260"/>
      <c r="Z215" s="260"/>
    </row>
    <row r="216">
      <c r="A216" s="261"/>
      <c r="B216" s="260"/>
      <c r="C216" s="260"/>
      <c r="D216" s="260"/>
      <c r="E216" s="260"/>
      <c r="F216" s="260"/>
      <c r="G216" s="260"/>
      <c r="H216" s="261"/>
      <c r="I216" s="261"/>
      <c r="J216" s="261"/>
      <c r="K216" s="260"/>
      <c r="L216" s="260"/>
      <c r="M216" s="260"/>
      <c r="N216" s="260"/>
      <c r="O216" s="260"/>
      <c r="P216" s="260"/>
      <c r="Q216" s="260"/>
      <c r="R216" s="260"/>
      <c r="S216" s="260"/>
      <c r="T216" s="260"/>
      <c r="U216" s="260"/>
      <c r="V216" s="260"/>
      <c r="W216" s="260"/>
      <c r="X216" s="260"/>
      <c r="Y216" s="260"/>
      <c r="Z216" s="260"/>
    </row>
    <row r="217">
      <c r="A217" s="261"/>
      <c r="B217" s="260"/>
      <c r="C217" s="260"/>
      <c r="D217" s="260"/>
      <c r="E217" s="260"/>
      <c r="F217" s="260"/>
      <c r="G217" s="260"/>
      <c r="H217" s="261"/>
      <c r="I217" s="261"/>
      <c r="J217" s="261"/>
      <c r="K217" s="260"/>
      <c r="L217" s="260"/>
      <c r="M217" s="260"/>
      <c r="N217" s="260"/>
      <c r="O217" s="260"/>
      <c r="P217" s="260"/>
      <c r="Q217" s="260"/>
      <c r="R217" s="260"/>
      <c r="S217" s="260"/>
      <c r="T217" s="260"/>
      <c r="U217" s="260"/>
      <c r="V217" s="260"/>
      <c r="W217" s="260"/>
      <c r="X217" s="260"/>
      <c r="Y217" s="260"/>
      <c r="Z217" s="260"/>
    </row>
    <row r="218">
      <c r="A218" s="261"/>
      <c r="B218" s="260"/>
      <c r="C218" s="260"/>
      <c r="D218" s="260"/>
      <c r="E218" s="260"/>
      <c r="F218" s="260"/>
      <c r="G218" s="260"/>
      <c r="H218" s="261"/>
      <c r="I218" s="261"/>
      <c r="J218" s="261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260"/>
      <c r="W218" s="260"/>
      <c r="X218" s="260"/>
      <c r="Y218" s="260"/>
      <c r="Z218" s="260"/>
    </row>
    <row r="219">
      <c r="A219" s="261"/>
      <c r="B219" s="260"/>
      <c r="C219" s="260"/>
      <c r="D219" s="260"/>
      <c r="E219" s="260"/>
      <c r="F219" s="260"/>
      <c r="G219" s="260"/>
      <c r="H219" s="261"/>
      <c r="I219" s="261"/>
      <c r="J219" s="261"/>
      <c r="K219" s="260"/>
      <c r="L219" s="260"/>
      <c r="M219" s="260"/>
      <c r="N219" s="260"/>
      <c r="O219" s="260"/>
      <c r="P219" s="260"/>
      <c r="Q219" s="260"/>
      <c r="R219" s="260"/>
      <c r="S219" s="260"/>
      <c r="T219" s="260"/>
      <c r="U219" s="260"/>
      <c r="V219" s="260"/>
      <c r="W219" s="260"/>
      <c r="X219" s="260"/>
      <c r="Y219" s="260"/>
      <c r="Z219" s="260"/>
    </row>
    <row r="220">
      <c r="A220" s="261"/>
      <c r="B220" s="260"/>
      <c r="C220" s="260"/>
      <c r="D220" s="260"/>
      <c r="E220" s="260"/>
      <c r="F220" s="260"/>
      <c r="G220" s="260"/>
      <c r="H220" s="261"/>
      <c r="I220" s="261"/>
      <c r="J220" s="261"/>
      <c r="K220" s="260"/>
      <c r="L220" s="260"/>
      <c r="M220" s="260"/>
      <c r="N220" s="260"/>
      <c r="O220" s="260"/>
      <c r="P220" s="260"/>
      <c r="Q220" s="260"/>
      <c r="R220" s="260"/>
      <c r="S220" s="260"/>
      <c r="T220" s="260"/>
      <c r="U220" s="260"/>
      <c r="V220" s="260"/>
      <c r="W220" s="260"/>
      <c r="X220" s="260"/>
      <c r="Y220" s="260"/>
      <c r="Z220" s="260"/>
    </row>
    <row r="221">
      <c r="A221" s="261"/>
      <c r="B221" s="260"/>
      <c r="C221" s="260"/>
      <c r="D221" s="260"/>
      <c r="E221" s="260"/>
      <c r="F221" s="260"/>
      <c r="G221" s="260"/>
      <c r="H221" s="261"/>
      <c r="I221" s="261"/>
      <c r="J221" s="261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260"/>
      <c r="W221" s="260"/>
      <c r="X221" s="260"/>
      <c r="Y221" s="260"/>
      <c r="Z221" s="260"/>
    </row>
    <row r="222">
      <c r="A222" s="261"/>
      <c r="B222" s="260"/>
      <c r="C222" s="260"/>
      <c r="D222" s="260"/>
      <c r="E222" s="260"/>
      <c r="F222" s="260"/>
      <c r="G222" s="260"/>
      <c r="H222" s="261"/>
      <c r="I222" s="261"/>
      <c r="J222" s="261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260"/>
      <c r="W222" s="260"/>
      <c r="X222" s="260"/>
      <c r="Y222" s="260"/>
      <c r="Z222" s="260"/>
    </row>
    <row r="223">
      <c r="A223" s="261"/>
      <c r="B223" s="260"/>
      <c r="C223" s="260"/>
      <c r="D223" s="260"/>
      <c r="E223" s="260"/>
      <c r="F223" s="260"/>
      <c r="G223" s="260"/>
      <c r="H223" s="261"/>
      <c r="I223" s="261"/>
      <c r="J223" s="261"/>
      <c r="K223" s="260"/>
      <c r="L223" s="260"/>
      <c r="M223" s="260"/>
      <c r="N223" s="260"/>
      <c r="O223" s="260"/>
      <c r="P223" s="260"/>
      <c r="Q223" s="260"/>
      <c r="R223" s="260"/>
      <c r="S223" s="260"/>
      <c r="T223" s="260"/>
      <c r="U223" s="260"/>
      <c r="V223" s="260"/>
      <c r="W223" s="260"/>
      <c r="X223" s="260"/>
      <c r="Y223" s="260"/>
      <c r="Z223" s="260"/>
    </row>
    <row r="224">
      <c r="A224" s="261"/>
      <c r="B224" s="260"/>
      <c r="C224" s="260"/>
      <c r="D224" s="260"/>
      <c r="E224" s="260"/>
      <c r="F224" s="260"/>
      <c r="G224" s="260"/>
      <c r="H224" s="261"/>
      <c r="I224" s="261"/>
      <c r="J224" s="261"/>
      <c r="K224" s="260"/>
      <c r="L224" s="260"/>
      <c r="M224" s="260"/>
      <c r="N224" s="260"/>
      <c r="O224" s="260"/>
      <c r="P224" s="260"/>
      <c r="Q224" s="260"/>
      <c r="R224" s="260"/>
      <c r="S224" s="260"/>
      <c r="T224" s="260"/>
      <c r="U224" s="260"/>
      <c r="V224" s="260"/>
      <c r="W224" s="260"/>
      <c r="X224" s="260"/>
      <c r="Y224" s="260"/>
      <c r="Z224" s="260"/>
    </row>
    <row r="225">
      <c r="A225" s="261"/>
      <c r="B225" s="260"/>
      <c r="C225" s="260"/>
      <c r="D225" s="260"/>
      <c r="E225" s="260"/>
      <c r="F225" s="260"/>
      <c r="G225" s="260"/>
      <c r="H225" s="261"/>
      <c r="I225" s="261"/>
      <c r="J225" s="261"/>
      <c r="K225" s="260"/>
      <c r="L225" s="260"/>
      <c r="M225" s="260"/>
      <c r="N225" s="260"/>
      <c r="O225" s="260"/>
      <c r="P225" s="260"/>
      <c r="Q225" s="260"/>
      <c r="R225" s="260"/>
      <c r="S225" s="260"/>
      <c r="T225" s="260"/>
      <c r="U225" s="260"/>
      <c r="V225" s="260"/>
      <c r="W225" s="260"/>
      <c r="X225" s="260"/>
      <c r="Y225" s="260"/>
      <c r="Z225" s="260"/>
    </row>
    <row r="226">
      <c r="A226" s="261"/>
      <c r="B226" s="260"/>
      <c r="C226" s="260"/>
      <c r="D226" s="260"/>
      <c r="E226" s="260"/>
      <c r="F226" s="260"/>
      <c r="G226" s="260"/>
      <c r="H226" s="261"/>
      <c r="I226" s="261"/>
      <c r="J226" s="261"/>
      <c r="K226" s="260"/>
      <c r="L226" s="260"/>
      <c r="M226" s="260"/>
      <c r="N226" s="260"/>
      <c r="O226" s="260"/>
      <c r="P226" s="260"/>
      <c r="Q226" s="260"/>
      <c r="R226" s="260"/>
      <c r="S226" s="260"/>
      <c r="T226" s="260"/>
      <c r="U226" s="260"/>
      <c r="V226" s="260"/>
      <c r="W226" s="260"/>
      <c r="X226" s="260"/>
      <c r="Y226" s="260"/>
      <c r="Z226" s="260"/>
    </row>
    <row r="227">
      <c r="A227" s="261"/>
      <c r="B227" s="260"/>
      <c r="C227" s="260"/>
      <c r="D227" s="260"/>
      <c r="E227" s="260"/>
      <c r="F227" s="260"/>
      <c r="G227" s="260"/>
      <c r="H227" s="261"/>
      <c r="I227" s="261"/>
      <c r="J227" s="261"/>
      <c r="K227" s="260"/>
      <c r="L227" s="260"/>
      <c r="M227" s="260"/>
      <c r="N227" s="260"/>
      <c r="O227" s="260"/>
      <c r="P227" s="260"/>
      <c r="Q227" s="260"/>
      <c r="R227" s="260"/>
      <c r="S227" s="260"/>
      <c r="T227" s="260"/>
      <c r="U227" s="260"/>
      <c r="V227" s="260"/>
      <c r="W227" s="260"/>
      <c r="X227" s="260"/>
      <c r="Y227" s="260"/>
      <c r="Z227" s="260"/>
    </row>
    <row r="228">
      <c r="A228" s="261"/>
      <c r="B228" s="260"/>
      <c r="C228" s="260"/>
      <c r="D228" s="260"/>
      <c r="E228" s="260"/>
      <c r="F228" s="260"/>
      <c r="G228" s="260"/>
      <c r="H228" s="261"/>
      <c r="I228" s="261"/>
      <c r="J228" s="261"/>
      <c r="K228" s="260"/>
      <c r="L228" s="260"/>
      <c r="M228" s="260"/>
      <c r="N228" s="260"/>
      <c r="O228" s="260"/>
      <c r="P228" s="260"/>
      <c r="Q228" s="260"/>
      <c r="R228" s="260"/>
      <c r="S228" s="260"/>
      <c r="T228" s="260"/>
      <c r="U228" s="260"/>
      <c r="V228" s="260"/>
      <c r="W228" s="260"/>
      <c r="X228" s="260"/>
      <c r="Y228" s="260"/>
      <c r="Z228" s="260"/>
    </row>
    <row r="229">
      <c r="A229" s="261"/>
      <c r="B229" s="260"/>
      <c r="C229" s="260"/>
      <c r="D229" s="260"/>
      <c r="E229" s="260"/>
      <c r="F229" s="260"/>
      <c r="G229" s="260"/>
      <c r="H229" s="261"/>
      <c r="I229" s="261"/>
      <c r="J229" s="261"/>
      <c r="K229" s="260"/>
      <c r="L229" s="260"/>
      <c r="M229" s="260"/>
      <c r="N229" s="260"/>
      <c r="O229" s="260"/>
      <c r="P229" s="260"/>
      <c r="Q229" s="260"/>
      <c r="R229" s="260"/>
      <c r="S229" s="260"/>
      <c r="T229" s="260"/>
      <c r="U229" s="260"/>
      <c r="V229" s="260"/>
      <c r="W229" s="260"/>
      <c r="X229" s="260"/>
      <c r="Y229" s="260"/>
      <c r="Z229" s="260"/>
    </row>
    <row r="230">
      <c r="A230" s="261"/>
      <c r="B230" s="260"/>
      <c r="C230" s="260"/>
      <c r="D230" s="260"/>
      <c r="E230" s="260"/>
      <c r="F230" s="260"/>
      <c r="G230" s="260"/>
      <c r="H230" s="261"/>
      <c r="I230" s="261"/>
      <c r="J230" s="261"/>
      <c r="K230" s="260"/>
      <c r="L230" s="260"/>
      <c r="M230" s="260"/>
      <c r="N230" s="260"/>
      <c r="O230" s="260"/>
      <c r="P230" s="260"/>
      <c r="Q230" s="260"/>
      <c r="R230" s="260"/>
      <c r="S230" s="260"/>
      <c r="T230" s="260"/>
      <c r="U230" s="260"/>
      <c r="V230" s="260"/>
      <c r="W230" s="260"/>
      <c r="X230" s="260"/>
      <c r="Y230" s="260"/>
      <c r="Z230" s="260"/>
    </row>
    <row r="231">
      <c r="A231" s="261"/>
      <c r="B231" s="260"/>
      <c r="C231" s="260"/>
      <c r="D231" s="260"/>
      <c r="E231" s="260"/>
      <c r="F231" s="260"/>
      <c r="G231" s="260"/>
      <c r="H231" s="261"/>
      <c r="I231" s="261"/>
      <c r="J231" s="261"/>
      <c r="K231" s="260"/>
      <c r="L231" s="260"/>
      <c r="M231" s="260"/>
      <c r="N231" s="260"/>
      <c r="O231" s="260"/>
      <c r="P231" s="260"/>
      <c r="Q231" s="260"/>
      <c r="R231" s="260"/>
      <c r="S231" s="260"/>
      <c r="T231" s="260"/>
      <c r="U231" s="260"/>
      <c r="V231" s="260"/>
      <c r="W231" s="260"/>
      <c r="X231" s="260"/>
      <c r="Y231" s="260"/>
      <c r="Z231" s="260"/>
    </row>
    <row r="232">
      <c r="A232" s="261"/>
      <c r="B232" s="260"/>
      <c r="C232" s="260"/>
      <c r="D232" s="260"/>
      <c r="E232" s="260"/>
      <c r="F232" s="260"/>
      <c r="G232" s="260"/>
      <c r="H232" s="261"/>
      <c r="I232" s="261"/>
      <c r="J232" s="261"/>
      <c r="K232" s="260"/>
      <c r="L232" s="260"/>
      <c r="M232" s="260"/>
      <c r="N232" s="260"/>
      <c r="O232" s="260"/>
      <c r="P232" s="260"/>
      <c r="Q232" s="260"/>
      <c r="R232" s="260"/>
      <c r="S232" s="260"/>
      <c r="T232" s="260"/>
      <c r="U232" s="260"/>
      <c r="V232" s="260"/>
      <c r="W232" s="260"/>
      <c r="X232" s="260"/>
      <c r="Y232" s="260"/>
      <c r="Z232" s="260"/>
    </row>
    <row r="233">
      <c r="A233" s="261"/>
      <c r="B233" s="260"/>
      <c r="C233" s="260"/>
      <c r="D233" s="260"/>
      <c r="E233" s="260"/>
      <c r="F233" s="260"/>
      <c r="G233" s="260"/>
      <c r="H233" s="261"/>
      <c r="I233" s="261"/>
      <c r="J233" s="261"/>
      <c r="K233" s="260"/>
      <c r="L233" s="260"/>
      <c r="M233" s="260"/>
      <c r="N233" s="260"/>
      <c r="O233" s="260"/>
      <c r="P233" s="260"/>
      <c r="Q233" s="260"/>
      <c r="R233" s="260"/>
      <c r="S233" s="260"/>
      <c r="T233" s="260"/>
      <c r="U233" s="260"/>
      <c r="V233" s="260"/>
      <c r="W233" s="260"/>
      <c r="X233" s="260"/>
      <c r="Y233" s="260"/>
      <c r="Z233" s="260"/>
    </row>
    <row r="234">
      <c r="A234" s="261"/>
      <c r="B234" s="260"/>
      <c r="C234" s="260"/>
      <c r="D234" s="260"/>
      <c r="E234" s="260"/>
      <c r="F234" s="260"/>
      <c r="G234" s="260"/>
      <c r="H234" s="261"/>
      <c r="I234" s="261"/>
      <c r="J234" s="261"/>
      <c r="K234" s="260"/>
      <c r="L234" s="260"/>
      <c r="M234" s="260"/>
      <c r="N234" s="260"/>
      <c r="O234" s="260"/>
      <c r="P234" s="260"/>
      <c r="Q234" s="260"/>
      <c r="R234" s="260"/>
      <c r="S234" s="260"/>
      <c r="T234" s="260"/>
      <c r="U234" s="260"/>
      <c r="V234" s="260"/>
      <c r="W234" s="260"/>
      <c r="X234" s="260"/>
      <c r="Y234" s="260"/>
      <c r="Z234" s="260"/>
    </row>
    <row r="235">
      <c r="A235" s="261"/>
      <c r="B235" s="260"/>
      <c r="C235" s="260"/>
      <c r="D235" s="260"/>
      <c r="E235" s="260"/>
      <c r="F235" s="260"/>
      <c r="G235" s="260"/>
      <c r="H235" s="261"/>
      <c r="I235" s="261"/>
      <c r="J235" s="261"/>
      <c r="K235" s="260"/>
      <c r="L235" s="260"/>
      <c r="M235" s="260"/>
      <c r="N235" s="260"/>
      <c r="O235" s="260"/>
      <c r="P235" s="260"/>
      <c r="Q235" s="260"/>
      <c r="R235" s="260"/>
      <c r="S235" s="260"/>
      <c r="T235" s="260"/>
      <c r="U235" s="260"/>
      <c r="V235" s="260"/>
      <c r="W235" s="260"/>
      <c r="X235" s="260"/>
      <c r="Y235" s="260"/>
      <c r="Z235" s="260"/>
    </row>
    <row r="236">
      <c r="A236" s="261"/>
      <c r="B236" s="260"/>
      <c r="C236" s="260"/>
      <c r="D236" s="260"/>
      <c r="E236" s="260"/>
      <c r="F236" s="260"/>
      <c r="G236" s="260"/>
      <c r="H236" s="261"/>
      <c r="I236" s="261"/>
      <c r="J236" s="261"/>
      <c r="K236" s="260"/>
      <c r="L236" s="260"/>
      <c r="M236" s="260"/>
      <c r="N236" s="260"/>
      <c r="O236" s="260"/>
      <c r="P236" s="260"/>
      <c r="Q236" s="260"/>
      <c r="R236" s="260"/>
      <c r="S236" s="260"/>
      <c r="T236" s="260"/>
      <c r="U236" s="260"/>
      <c r="V236" s="260"/>
      <c r="W236" s="260"/>
      <c r="X236" s="260"/>
      <c r="Y236" s="260"/>
      <c r="Z236" s="260"/>
    </row>
    <row r="237">
      <c r="A237" s="261"/>
      <c r="B237" s="260"/>
      <c r="C237" s="260"/>
      <c r="D237" s="260"/>
      <c r="E237" s="260"/>
      <c r="F237" s="260"/>
      <c r="G237" s="260"/>
      <c r="H237" s="261"/>
      <c r="I237" s="261"/>
      <c r="J237" s="261"/>
      <c r="K237" s="260"/>
      <c r="L237" s="260"/>
      <c r="M237" s="260"/>
      <c r="N237" s="260"/>
      <c r="O237" s="260"/>
      <c r="P237" s="260"/>
      <c r="Q237" s="260"/>
      <c r="R237" s="260"/>
      <c r="S237" s="260"/>
      <c r="T237" s="260"/>
      <c r="U237" s="260"/>
      <c r="V237" s="260"/>
      <c r="W237" s="260"/>
      <c r="X237" s="260"/>
      <c r="Y237" s="260"/>
      <c r="Z237" s="260"/>
    </row>
    <row r="238">
      <c r="A238" s="261"/>
      <c r="B238" s="260"/>
      <c r="C238" s="260"/>
      <c r="D238" s="260"/>
      <c r="E238" s="260"/>
      <c r="F238" s="260"/>
      <c r="G238" s="260"/>
      <c r="H238" s="261"/>
      <c r="I238" s="261"/>
      <c r="J238" s="261"/>
      <c r="K238" s="260"/>
      <c r="L238" s="260"/>
      <c r="M238" s="260"/>
      <c r="N238" s="260"/>
      <c r="O238" s="260"/>
      <c r="P238" s="260"/>
      <c r="Q238" s="260"/>
      <c r="R238" s="260"/>
      <c r="S238" s="260"/>
      <c r="T238" s="260"/>
      <c r="U238" s="260"/>
      <c r="V238" s="260"/>
      <c r="W238" s="260"/>
      <c r="X238" s="260"/>
      <c r="Y238" s="260"/>
      <c r="Z238" s="260"/>
    </row>
    <row r="239">
      <c r="A239" s="261"/>
      <c r="B239" s="260"/>
      <c r="C239" s="260"/>
      <c r="D239" s="260"/>
      <c r="E239" s="260"/>
      <c r="F239" s="260"/>
      <c r="G239" s="260"/>
      <c r="H239" s="261"/>
      <c r="I239" s="261"/>
      <c r="J239" s="261"/>
      <c r="K239" s="260"/>
      <c r="L239" s="260"/>
      <c r="M239" s="260"/>
      <c r="N239" s="260"/>
      <c r="O239" s="260"/>
      <c r="P239" s="260"/>
      <c r="Q239" s="260"/>
      <c r="R239" s="260"/>
      <c r="S239" s="260"/>
      <c r="T239" s="260"/>
      <c r="U239" s="260"/>
      <c r="V239" s="260"/>
      <c r="W239" s="260"/>
      <c r="X239" s="260"/>
      <c r="Y239" s="260"/>
      <c r="Z239" s="260"/>
    </row>
    <row r="240">
      <c r="A240" s="261"/>
      <c r="B240" s="260"/>
      <c r="C240" s="260"/>
      <c r="D240" s="260"/>
      <c r="E240" s="260"/>
      <c r="F240" s="260"/>
      <c r="G240" s="260"/>
      <c r="H240" s="261"/>
      <c r="I240" s="261"/>
      <c r="J240" s="261"/>
      <c r="K240" s="260"/>
      <c r="L240" s="260"/>
      <c r="M240" s="260"/>
      <c r="N240" s="260"/>
      <c r="O240" s="260"/>
      <c r="P240" s="260"/>
      <c r="Q240" s="260"/>
      <c r="R240" s="260"/>
      <c r="S240" s="260"/>
      <c r="T240" s="260"/>
      <c r="U240" s="260"/>
      <c r="V240" s="260"/>
      <c r="W240" s="260"/>
      <c r="X240" s="260"/>
      <c r="Y240" s="260"/>
      <c r="Z240" s="260"/>
    </row>
    <row r="241">
      <c r="A241" s="261"/>
      <c r="B241" s="260"/>
      <c r="C241" s="260"/>
      <c r="D241" s="260"/>
      <c r="E241" s="260"/>
      <c r="F241" s="260"/>
      <c r="G241" s="260"/>
      <c r="H241" s="261"/>
      <c r="I241" s="261"/>
      <c r="J241" s="261"/>
      <c r="K241" s="260"/>
      <c r="L241" s="260"/>
      <c r="M241" s="260"/>
      <c r="N241" s="260"/>
      <c r="O241" s="260"/>
      <c r="P241" s="260"/>
      <c r="Q241" s="260"/>
      <c r="R241" s="260"/>
      <c r="S241" s="260"/>
      <c r="T241" s="260"/>
      <c r="U241" s="260"/>
      <c r="V241" s="260"/>
      <c r="W241" s="260"/>
      <c r="X241" s="260"/>
      <c r="Y241" s="260"/>
      <c r="Z241" s="260"/>
    </row>
    <row r="242">
      <c r="A242" s="261"/>
      <c r="B242" s="260"/>
      <c r="C242" s="260"/>
      <c r="D242" s="260"/>
      <c r="E242" s="260"/>
      <c r="F242" s="260"/>
      <c r="G242" s="260"/>
      <c r="H242" s="261"/>
      <c r="I242" s="261"/>
      <c r="J242" s="261"/>
      <c r="K242" s="260"/>
      <c r="L242" s="260"/>
      <c r="M242" s="260"/>
      <c r="N242" s="260"/>
      <c r="O242" s="260"/>
      <c r="P242" s="260"/>
      <c r="Q242" s="260"/>
      <c r="R242" s="260"/>
      <c r="S242" s="260"/>
      <c r="T242" s="260"/>
      <c r="U242" s="260"/>
      <c r="V242" s="260"/>
      <c r="W242" s="260"/>
      <c r="X242" s="260"/>
      <c r="Y242" s="260"/>
      <c r="Z242" s="260"/>
    </row>
    <row r="243">
      <c r="A243" s="261"/>
      <c r="B243" s="260"/>
      <c r="C243" s="260"/>
      <c r="D243" s="260"/>
      <c r="E243" s="260"/>
      <c r="F243" s="260"/>
      <c r="G243" s="260"/>
      <c r="H243" s="261"/>
      <c r="I243" s="261"/>
      <c r="J243" s="261"/>
      <c r="K243" s="260"/>
      <c r="L243" s="260"/>
      <c r="M243" s="260"/>
      <c r="N243" s="260"/>
      <c r="O243" s="260"/>
      <c r="P243" s="260"/>
      <c r="Q243" s="260"/>
      <c r="R243" s="260"/>
      <c r="S243" s="260"/>
      <c r="T243" s="260"/>
      <c r="U243" s="260"/>
      <c r="V243" s="260"/>
      <c r="W243" s="260"/>
      <c r="X243" s="260"/>
      <c r="Y243" s="260"/>
      <c r="Z243" s="260"/>
    </row>
    <row r="244">
      <c r="A244" s="261"/>
      <c r="B244" s="260"/>
      <c r="C244" s="260"/>
      <c r="D244" s="260"/>
      <c r="E244" s="260"/>
      <c r="F244" s="260"/>
      <c r="G244" s="260"/>
      <c r="H244" s="261"/>
      <c r="I244" s="261"/>
      <c r="J244" s="261"/>
      <c r="K244" s="260"/>
      <c r="L244" s="260"/>
      <c r="M244" s="260"/>
      <c r="N244" s="260"/>
      <c r="O244" s="260"/>
      <c r="P244" s="260"/>
      <c r="Q244" s="260"/>
      <c r="R244" s="260"/>
      <c r="S244" s="260"/>
      <c r="T244" s="260"/>
      <c r="U244" s="260"/>
      <c r="V244" s="260"/>
      <c r="W244" s="260"/>
      <c r="X244" s="260"/>
      <c r="Y244" s="260"/>
      <c r="Z244" s="260"/>
    </row>
    <row r="245">
      <c r="A245" s="261"/>
      <c r="B245" s="260"/>
      <c r="C245" s="260"/>
      <c r="D245" s="260"/>
      <c r="E245" s="260"/>
      <c r="F245" s="260"/>
      <c r="G245" s="260"/>
      <c r="H245" s="261"/>
      <c r="I245" s="261"/>
      <c r="J245" s="261"/>
      <c r="K245" s="260"/>
      <c r="L245" s="260"/>
      <c r="M245" s="260"/>
      <c r="N245" s="260"/>
      <c r="O245" s="260"/>
      <c r="P245" s="260"/>
      <c r="Q245" s="260"/>
      <c r="R245" s="260"/>
      <c r="S245" s="260"/>
      <c r="T245" s="260"/>
      <c r="U245" s="260"/>
      <c r="V245" s="260"/>
      <c r="W245" s="260"/>
      <c r="X245" s="260"/>
      <c r="Y245" s="260"/>
      <c r="Z245" s="260"/>
    </row>
    <row r="246">
      <c r="A246" s="261"/>
      <c r="B246" s="260"/>
      <c r="C246" s="260"/>
      <c r="D246" s="260"/>
      <c r="E246" s="260"/>
      <c r="F246" s="260"/>
      <c r="G246" s="260"/>
      <c r="H246" s="261"/>
      <c r="I246" s="261"/>
      <c r="J246" s="261"/>
      <c r="K246" s="260"/>
      <c r="L246" s="260"/>
      <c r="M246" s="260"/>
      <c r="N246" s="260"/>
      <c r="O246" s="260"/>
      <c r="P246" s="260"/>
      <c r="Q246" s="260"/>
      <c r="R246" s="260"/>
      <c r="S246" s="260"/>
      <c r="T246" s="260"/>
      <c r="U246" s="260"/>
      <c r="V246" s="260"/>
      <c r="W246" s="260"/>
      <c r="X246" s="260"/>
      <c r="Y246" s="260"/>
      <c r="Z246" s="260"/>
    </row>
    <row r="247">
      <c r="A247" s="261"/>
      <c r="B247" s="260"/>
      <c r="C247" s="260"/>
      <c r="D247" s="260"/>
      <c r="E247" s="260"/>
      <c r="F247" s="260"/>
      <c r="G247" s="260"/>
      <c r="H247" s="261"/>
      <c r="I247" s="261"/>
      <c r="J247" s="261"/>
      <c r="K247" s="260"/>
      <c r="L247" s="260"/>
      <c r="M247" s="260"/>
      <c r="N247" s="260"/>
      <c r="O247" s="260"/>
      <c r="P247" s="260"/>
      <c r="Q247" s="260"/>
      <c r="R247" s="260"/>
      <c r="S247" s="260"/>
      <c r="T247" s="260"/>
      <c r="U247" s="260"/>
      <c r="V247" s="260"/>
      <c r="W247" s="260"/>
      <c r="X247" s="260"/>
      <c r="Y247" s="260"/>
      <c r="Z247" s="260"/>
    </row>
    <row r="248">
      <c r="A248" s="261"/>
      <c r="B248" s="260"/>
      <c r="C248" s="260"/>
      <c r="D248" s="260"/>
      <c r="E248" s="260"/>
      <c r="F248" s="260"/>
      <c r="G248" s="260"/>
      <c r="H248" s="261"/>
      <c r="I248" s="261"/>
      <c r="J248" s="261"/>
      <c r="K248" s="260"/>
      <c r="L248" s="260"/>
      <c r="M248" s="260"/>
      <c r="N248" s="260"/>
      <c r="O248" s="260"/>
      <c r="P248" s="260"/>
      <c r="Q248" s="260"/>
      <c r="R248" s="260"/>
      <c r="S248" s="260"/>
      <c r="T248" s="260"/>
      <c r="U248" s="260"/>
      <c r="V248" s="260"/>
      <c r="W248" s="260"/>
      <c r="X248" s="260"/>
      <c r="Y248" s="260"/>
      <c r="Z248" s="260"/>
    </row>
    <row r="249">
      <c r="A249" s="261"/>
      <c r="B249" s="260"/>
      <c r="C249" s="260"/>
      <c r="D249" s="260"/>
      <c r="E249" s="260"/>
      <c r="F249" s="260"/>
      <c r="G249" s="260"/>
      <c r="H249" s="261"/>
      <c r="I249" s="261"/>
      <c r="J249" s="261"/>
      <c r="K249" s="260"/>
      <c r="L249" s="260"/>
      <c r="M249" s="260"/>
      <c r="N249" s="260"/>
      <c r="O249" s="260"/>
      <c r="P249" s="260"/>
      <c r="Q249" s="260"/>
      <c r="R249" s="260"/>
      <c r="S249" s="260"/>
      <c r="T249" s="260"/>
      <c r="U249" s="260"/>
      <c r="V249" s="260"/>
      <c r="W249" s="260"/>
      <c r="X249" s="260"/>
      <c r="Y249" s="260"/>
      <c r="Z249" s="260"/>
    </row>
    <row r="250">
      <c r="A250" s="261"/>
      <c r="B250" s="260"/>
      <c r="C250" s="260"/>
      <c r="D250" s="260"/>
      <c r="E250" s="260"/>
      <c r="F250" s="260"/>
      <c r="G250" s="260"/>
      <c r="H250" s="261"/>
      <c r="I250" s="261"/>
      <c r="J250" s="261"/>
      <c r="K250" s="260"/>
      <c r="L250" s="260"/>
      <c r="M250" s="260"/>
      <c r="N250" s="260"/>
      <c r="O250" s="260"/>
      <c r="P250" s="260"/>
      <c r="Q250" s="260"/>
      <c r="R250" s="260"/>
      <c r="S250" s="260"/>
      <c r="T250" s="260"/>
      <c r="U250" s="260"/>
      <c r="V250" s="260"/>
      <c r="W250" s="260"/>
      <c r="X250" s="260"/>
      <c r="Y250" s="260"/>
      <c r="Z250" s="260"/>
    </row>
    <row r="251">
      <c r="A251" s="261"/>
      <c r="B251" s="260"/>
      <c r="C251" s="260"/>
      <c r="D251" s="260"/>
      <c r="E251" s="260"/>
      <c r="F251" s="260"/>
      <c r="G251" s="260"/>
      <c r="H251" s="261"/>
      <c r="I251" s="261"/>
      <c r="J251" s="261"/>
      <c r="K251" s="260"/>
      <c r="L251" s="260"/>
      <c r="M251" s="260"/>
      <c r="N251" s="260"/>
      <c r="O251" s="260"/>
      <c r="P251" s="260"/>
      <c r="Q251" s="260"/>
      <c r="R251" s="260"/>
      <c r="S251" s="260"/>
      <c r="T251" s="260"/>
      <c r="U251" s="260"/>
      <c r="V251" s="260"/>
      <c r="W251" s="260"/>
      <c r="X251" s="260"/>
      <c r="Y251" s="260"/>
      <c r="Z251" s="260"/>
    </row>
    <row r="252">
      <c r="A252" s="261"/>
      <c r="B252" s="260"/>
      <c r="C252" s="260"/>
      <c r="D252" s="260"/>
      <c r="E252" s="260"/>
      <c r="F252" s="260"/>
      <c r="G252" s="260"/>
      <c r="H252" s="261"/>
      <c r="I252" s="261"/>
      <c r="J252" s="261"/>
      <c r="K252" s="260"/>
      <c r="L252" s="260"/>
      <c r="M252" s="260"/>
      <c r="N252" s="260"/>
      <c r="O252" s="260"/>
      <c r="P252" s="260"/>
      <c r="Q252" s="260"/>
      <c r="R252" s="260"/>
      <c r="S252" s="260"/>
      <c r="T252" s="260"/>
      <c r="U252" s="260"/>
      <c r="V252" s="260"/>
      <c r="W252" s="260"/>
      <c r="X252" s="260"/>
      <c r="Y252" s="260"/>
      <c r="Z252" s="260"/>
    </row>
    <row r="253">
      <c r="A253" s="261"/>
      <c r="B253" s="260"/>
      <c r="C253" s="260"/>
      <c r="D253" s="260"/>
      <c r="E253" s="260"/>
      <c r="F253" s="260"/>
      <c r="G253" s="260"/>
      <c r="H253" s="261"/>
      <c r="I253" s="261"/>
      <c r="J253" s="261"/>
      <c r="K253" s="260"/>
      <c r="L253" s="260"/>
      <c r="M253" s="260"/>
      <c r="N253" s="260"/>
      <c r="O253" s="260"/>
      <c r="P253" s="260"/>
      <c r="Q253" s="260"/>
      <c r="R253" s="260"/>
      <c r="S253" s="260"/>
      <c r="T253" s="260"/>
      <c r="U253" s="260"/>
      <c r="V253" s="260"/>
      <c r="W253" s="260"/>
      <c r="X253" s="260"/>
      <c r="Y253" s="260"/>
      <c r="Z253" s="260"/>
    </row>
    <row r="254">
      <c r="A254" s="261"/>
      <c r="B254" s="260"/>
      <c r="C254" s="260"/>
      <c r="D254" s="260"/>
      <c r="E254" s="260"/>
      <c r="F254" s="260"/>
      <c r="G254" s="260"/>
      <c r="H254" s="261"/>
      <c r="I254" s="261"/>
      <c r="J254" s="261"/>
      <c r="K254" s="260"/>
      <c r="L254" s="260"/>
      <c r="M254" s="260"/>
      <c r="N254" s="260"/>
      <c r="O254" s="260"/>
      <c r="P254" s="260"/>
      <c r="Q254" s="260"/>
      <c r="R254" s="260"/>
      <c r="S254" s="260"/>
      <c r="T254" s="260"/>
      <c r="U254" s="260"/>
      <c r="V254" s="260"/>
      <c r="W254" s="260"/>
      <c r="X254" s="260"/>
      <c r="Y254" s="260"/>
      <c r="Z254" s="260"/>
    </row>
    <row r="255">
      <c r="A255" s="261"/>
      <c r="B255" s="260"/>
      <c r="C255" s="260"/>
      <c r="D255" s="260"/>
      <c r="E255" s="260"/>
      <c r="F255" s="260"/>
      <c r="G255" s="260"/>
      <c r="H255" s="261"/>
      <c r="I255" s="261"/>
      <c r="J255" s="261"/>
      <c r="K255" s="260"/>
      <c r="L255" s="260"/>
      <c r="M255" s="260"/>
      <c r="N255" s="260"/>
      <c r="O255" s="260"/>
      <c r="P255" s="260"/>
      <c r="Q255" s="260"/>
      <c r="R255" s="260"/>
      <c r="S255" s="260"/>
      <c r="T255" s="260"/>
      <c r="U255" s="260"/>
      <c r="V255" s="260"/>
      <c r="W255" s="260"/>
      <c r="X255" s="260"/>
      <c r="Y255" s="260"/>
      <c r="Z255" s="260"/>
    </row>
    <row r="256">
      <c r="A256" s="261"/>
      <c r="B256" s="260"/>
      <c r="C256" s="260"/>
      <c r="D256" s="260"/>
      <c r="E256" s="260"/>
      <c r="F256" s="260"/>
      <c r="G256" s="260"/>
      <c r="H256" s="261"/>
      <c r="I256" s="261"/>
      <c r="J256" s="261"/>
      <c r="K256" s="260"/>
      <c r="L256" s="260"/>
      <c r="M256" s="260"/>
      <c r="N256" s="260"/>
      <c r="O256" s="260"/>
      <c r="P256" s="260"/>
      <c r="Q256" s="260"/>
      <c r="R256" s="260"/>
      <c r="S256" s="260"/>
      <c r="T256" s="260"/>
      <c r="U256" s="260"/>
      <c r="V256" s="260"/>
      <c r="W256" s="260"/>
      <c r="X256" s="260"/>
      <c r="Y256" s="260"/>
      <c r="Z256" s="260"/>
    </row>
    <row r="257">
      <c r="A257" s="261"/>
      <c r="B257" s="260"/>
      <c r="C257" s="260"/>
      <c r="D257" s="260"/>
      <c r="E257" s="260"/>
      <c r="F257" s="260"/>
      <c r="G257" s="260"/>
      <c r="H257" s="261"/>
      <c r="I257" s="261"/>
      <c r="J257" s="261"/>
      <c r="K257" s="260"/>
      <c r="L257" s="260"/>
      <c r="M257" s="260"/>
      <c r="N257" s="260"/>
      <c r="O257" s="260"/>
      <c r="P257" s="260"/>
      <c r="Q257" s="260"/>
      <c r="R257" s="260"/>
      <c r="S257" s="260"/>
      <c r="T257" s="260"/>
      <c r="U257" s="260"/>
      <c r="V257" s="260"/>
      <c r="W257" s="260"/>
      <c r="X257" s="260"/>
      <c r="Y257" s="260"/>
      <c r="Z257" s="260"/>
    </row>
    <row r="258">
      <c r="A258" s="261"/>
      <c r="B258" s="260"/>
      <c r="C258" s="260"/>
      <c r="D258" s="260"/>
      <c r="E258" s="260"/>
      <c r="F258" s="260"/>
      <c r="G258" s="260"/>
      <c r="H258" s="261"/>
      <c r="I258" s="261"/>
      <c r="J258" s="261"/>
      <c r="K258" s="260"/>
      <c r="L258" s="260"/>
      <c r="M258" s="260"/>
      <c r="N258" s="260"/>
      <c r="O258" s="260"/>
      <c r="P258" s="260"/>
      <c r="Q258" s="260"/>
      <c r="R258" s="260"/>
      <c r="S258" s="260"/>
      <c r="T258" s="260"/>
      <c r="U258" s="260"/>
      <c r="V258" s="260"/>
      <c r="W258" s="260"/>
      <c r="X258" s="260"/>
      <c r="Y258" s="260"/>
      <c r="Z258" s="260"/>
    </row>
    <row r="259">
      <c r="A259" s="260"/>
      <c r="B259" s="260"/>
      <c r="C259" s="260"/>
      <c r="D259" s="260"/>
      <c r="E259" s="260"/>
      <c r="F259" s="260"/>
      <c r="G259" s="260"/>
      <c r="H259" s="260"/>
      <c r="I259" s="260"/>
      <c r="J259" s="260"/>
      <c r="K259" s="260"/>
      <c r="L259" s="260"/>
      <c r="M259" s="260"/>
      <c r="N259" s="260"/>
      <c r="O259" s="260"/>
      <c r="P259" s="260"/>
      <c r="Q259" s="260"/>
      <c r="R259" s="260"/>
      <c r="S259" s="260"/>
      <c r="T259" s="260"/>
      <c r="U259" s="260"/>
      <c r="V259" s="260"/>
      <c r="W259" s="260"/>
      <c r="X259" s="260"/>
      <c r="Y259" s="260"/>
      <c r="Z259" s="260"/>
    </row>
    <row r="260">
      <c r="A260" s="260"/>
      <c r="B260" s="260"/>
      <c r="C260" s="260"/>
      <c r="D260" s="260"/>
      <c r="E260" s="260"/>
      <c r="F260" s="260"/>
      <c r="G260" s="260"/>
      <c r="H260" s="260"/>
      <c r="I260" s="260"/>
      <c r="J260" s="260"/>
      <c r="K260" s="260"/>
      <c r="L260" s="260"/>
      <c r="M260" s="260"/>
      <c r="N260" s="260"/>
      <c r="O260" s="260"/>
      <c r="P260" s="260"/>
      <c r="Q260" s="260"/>
      <c r="R260" s="260"/>
      <c r="S260" s="260"/>
      <c r="T260" s="260"/>
      <c r="U260" s="260"/>
      <c r="V260" s="260"/>
      <c r="W260" s="260"/>
      <c r="X260" s="260"/>
      <c r="Y260" s="260"/>
      <c r="Z260" s="260"/>
    </row>
    <row r="261">
      <c r="A261" s="260"/>
      <c r="B261" s="260"/>
      <c r="C261" s="260"/>
      <c r="D261" s="260"/>
      <c r="E261" s="260"/>
      <c r="F261" s="260"/>
      <c r="G261" s="260"/>
      <c r="H261" s="260"/>
      <c r="I261" s="260"/>
      <c r="J261" s="260"/>
      <c r="K261" s="260"/>
      <c r="L261" s="260"/>
      <c r="M261" s="260"/>
      <c r="N261" s="260"/>
      <c r="O261" s="260"/>
      <c r="P261" s="260"/>
      <c r="Q261" s="260"/>
      <c r="R261" s="260"/>
      <c r="S261" s="260"/>
      <c r="T261" s="260"/>
      <c r="U261" s="260"/>
      <c r="V261" s="260"/>
      <c r="W261" s="260"/>
      <c r="X261" s="260"/>
      <c r="Y261" s="260"/>
      <c r="Z261" s="260"/>
    </row>
    <row r="262">
      <c r="A262" s="260"/>
      <c r="B262" s="260"/>
      <c r="C262" s="260"/>
      <c r="D262" s="260"/>
      <c r="E262" s="260"/>
      <c r="F262" s="260"/>
      <c r="G262" s="260"/>
      <c r="H262" s="260"/>
      <c r="I262" s="260"/>
      <c r="J262" s="260"/>
      <c r="K262" s="260"/>
      <c r="L262" s="260"/>
      <c r="M262" s="260"/>
      <c r="N262" s="260"/>
      <c r="O262" s="260"/>
      <c r="P262" s="260"/>
      <c r="Q262" s="260"/>
      <c r="R262" s="260"/>
      <c r="S262" s="260"/>
      <c r="T262" s="260"/>
      <c r="U262" s="260"/>
      <c r="V262" s="260"/>
      <c r="W262" s="260"/>
      <c r="X262" s="260"/>
      <c r="Y262" s="260"/>
      <c r="Z262" s="260"/>
    </row>
    <row r="263">
      <c r="A263" s="260"/>
      <c r="B263" s="260"/>
      <c r="C263" s="260"/>
      <c r="D263" s="260"/>
      <c r="E263" s="260"/>
      <c r="F263" s="260"/>
      <c r="G263" s="260"/>
      <c r="H263" s="260"/>
      <c r="I263" s="260"/>
      <c r="J263" s="260"/>
      <c r="K263" s="260"/>
      <c r="L263" s="260"/>
      <c r="M263" s="260"/>
      <c r="N263" s="260"/>
      <c r="O263" s="260"/>
      <c r="P263" s="260"/>
      <c r="Q263" s="260"/>
      <c r="R263" s="260"/>
      <c r="S263" s="260"/>
      <c r="T263" s="260"/>
      <c r="U263" s="260"/>
      <c r="V263" s="260"/>
      <c r="W263" s="260"/>
      <c r="X263" s="260"/>
      <c r="Y263" s="260"/>
      <c r="Z263" s="260"/>
    </row>
    <row r="264">
      <c r="A264" s="260"/>
      <c r="B264" s="260"/>
      <c r="C264" s="260"/>
      <c r="D264" s="260"/>
      <c r="E264" s="260"/>
      <c r="F264" s="260"/>
      <c r="G264" s="260"/>
      <c r="H264" s="260"/>
      <c r="I264" s="260"/>
      <c r="J264" s="260"/>
      <c r="K264" s="260"/>
      <c r="L264" s="260"/>
      <c r="M264" s="260"/>
      <c r="N264" s="260"/>
      <c r="O264" s="260"/>
      <c r="P264" s="260"/>
      <c r="Q264" s="260"/>
      <c r="R264" s="260"/>
      <c r="S264" s="260"/>
      <c r="T264" s="260"/>
      <c r="U264" s="260"/>
      <c r="V264" s="260"/>
      <c r="W264" s="260"/>
      <c r="X264" s="260"/>
      <c r="Y264" s="260"/>
      <c r="Z264" s="260"/>
    </row>
    <row r="265">
      <c r="A265" s="260"/>
      <c r="B265" s="260"/>
      <c r="C265" s="260"/>
      <c r="D265" s="260"/>
      <c r="E265" s="260"/>
      <c r="F265" s="260"/>
      <c r="G265" s="260"/>
      <c r="H265" s="260"/>
      <c r="I265" s="260"/>
      <c r="J265" s="260"/>
      <c r="K265" s="260"/>
      <c r="L265" s="260"/>
      <c r="M265" s="260"/>
      <c r="N265" s="260"/>
      <c r="O265" s="260"/>
      <c r="P265" s="260"/>
      <c r="Q265" s="260"/>
      <c r="R265" s="260"/>
      <c r="S265" s="260"/>
      <c r="T265" s="260"/>
      <c r="U265" s="260"/>
      <c r="V265" s="260"/>
      <c r="W265" s="260"/>
      <c r="X265" s="260"/>
      <c r="Y265" s="260"/>
      <c r="Z265" s="260"/>
    </row>
    <row r="266">
      <c r="A266" s="260"/>
      <c r="B266" s="260"/>
      <c r="C266" s="260"/>
      <c r="D266" s="260"/>
      <c r="E266" s="260"/>
      <c r="F266" s="260"/>
      <c r="G266" s="260"/>
      <c r="H266" s="260"/>
      <c r="I266" s="260"/>
      <c r="J266" s="260"/>
      <c r="K266" s="260"/>
      <c r="L266" s="260"/>
      <c r="M266" s="260"/>
      <c r="N266" s="260"/>
      <c r="O266" s="260"/>
      <c r="P266" s="260"/>
      <c r="Q266" s="260"/>
      <c r="R266" s="260"/>
      <c r="S266" s="260"/>
      <c r="T266" s="260"/>
      <c r="U266" s="260"/>
      <c r="V266" s="260"/>
      <c r="W266" s="260"/>
      <c r="X266" s="260"/>
      <c r="Y266" s="260"/>
      <c r="Z266" s="260"/>
    </row>
    <row r="267">
      <c r="A267" s="260"/>
      <c r="B267" s="260"/>
      <c r="C267" s="260"/>
      <c r="D267" s="260"/>
      <c r="E267" s="260"/>
      <c r="F267" s="260"/>
      <c r="G267" s="260"/>
      <c r="H267" s="260"/>
      <c r="I267" s="260"/>
      <c r="J267" s="260"/>
      <c r="K267" s="260"/>
      <c r="L267" s="260"/>
      <c r="M267" s="260"/>
      <c r="N267" s="260"/>
      <c r="O267" s="260"/>
      <c r="P267" s="260"/>
      <c r="Q267" s="260"/>
      <c r="R267" s="260"/>
      <c r="S267" s="260"/>
      <c r="T267" s="260"/>
      <c r="U267" s="260"/>
      <c r="V267" s="260"/>
      <c r="W267" s="260"/>
      <c r="X267" s="260"/>
      <c r="Y267" s="260"/>
      <c r="Z267" s="260"/>
    </row>
    <row r="268">
      <c r="A268" s="260"/>
      <c r="B268" s="260"/>
      <c r="C268" s="260"/>
      <c r="D268" s="260"/>
      <c r="E268" s="260"/>
      <c r="F268" s="260"/>
      <c r="G268" s="260"/>
      <c r="H268" s="260"/>
      <c r="I268" s="260"/>
      <c r="J268" s="260"/>
      <c r="K268" s="260"/>
      <c r="L268" s="260"/>
      <c r="M268" s="260"/>
      <c r="N268" s="260"/>
      <c r="O268" s="260"/>
      <c r="P268" s="260"/>
      <c r="Q268" s="260"/>
      <c r="R268" s="260"/>
      <c r="S268" s="260"/>
      <c r="T268" s="260"/>
      <c r="U268" s="260"/>
      <c r="V268" s="260"/>
      <c r="W268" s="260"/>
      <c r="X268" s="260"/>
      <c r="Y268" s="260"/>
      <c r="Z268" s="260"/>
    </row>
    <row r="269">
      <c r="A269" s="260"/>
      <c r="B269" s="260"/>
      <c r="C269" s="260"/>
      <c r="D269" s="260"/>
      <c r="E269" s="260"/>
      <c r="F269" s="260"/>
      <c r="G269" s="260"/>
      <c r="H269" s="260"/>
      <c r="I269" s="260"/>
      <c r="J269" s="260"/>
      <c r="K269" s="260"/>
      <c r="L269" s="260"/>
      <c r="M269" s="260"/>
      <c r="N269" s="260"/>
      <c r="O269" s="260"/>
      <c r="P269" s="260"/>
      <c r="Q269" s="260"/>
      <c r="R269" s="260"/>
      <c r="S269" s="260"/>
      <c r="T269" s="260"/>
      <c r="U269" s="260"/>
      <c r="V269" s="260"/>
      <c r="W269" s="260"/>
      <c r="X269" s="260"/>
      <c r="Y269" s="260"/>
      <c r="Z269" s="260"/>
    </row>
    <row r="270">
      <c r="A270" s="260"/>
      <c r="B270" s="260"/>
      <c r="C270" s="260"/>
      <c r="D270" s="260"/>
      <c r="E270" s="260"/>
      <c r="F270" s="260"/>
      <c r="G270" s="260"/>
      <c r="H270" s="260"/>
      <c r="I270" s="260"/>
      <c r="J270" s="260"/>
      <c r="K270" s="260"/>
      <c r="L270" s="260"/>
      <c r="M270" s="260"/>
      <c r="N270" s="260"/>
      <c r="O270" s="260"/>
      <c r="P270" s="260"/>
      <c r="Q270" s="260"/>
      <c r="R270" s="260"/>
      <c r="S270" s="260"/>
      <c r="T270" s="260"/>
      <c r="U270" s="260"/>
      <c r="V270" s="260"/>
      <c r="W270" s="260"/>
      <c r="X270" s="260"/>
      <c r="Y270" s="260"/>
      <c r="Z270" s="260"/>
    </row>
    <row r="271">
      <c r="A271" s="260"/>
      <c r="B271" s="260"/>
      <c r="C271" s="260"/>
      <c r="D271" s="260"/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60"/>
      <c r="P271" s="260"/>
      <c r="Q271" s="260"/>
      <c r="R271" s="260"/>
      <c r="S271" s="260"/>
      <c r="T271" s="260"/>
      <c r="U271" s="260"/>
      <c r="V271" s="260"/>
      <c r="W271" s="260"/>
      <c r="X271" s="260"/>
      <c r="Y271" s="260"/>
      <c r="Z271" s="260"/>
    </row>
    <row r="272">
      <c r="A272" s="260"/>
      <c r="B272" s="260"/>
      <c r="C272" s="260"/>
      <c r="D272" s="260"/>
      <c r="E272" s="260"/>
      <c r="F272" s="260"/>
      <c r="G272" s="260"/>
      <c r="H272" s="260"/>
      <c r="I272" s="260"/>
      <c r="J272" s="260"/>
      <c r="K272" s="260"/>
      <c r="L272" s="260"/>
      <c r="M272" s="260"/>
      <c r="N272" s="260"/>
      <c r="O272" s="260"/>
      <c r="P272" s="260"/>
      <c r="Q272" s="260"/>
      <c r="R272" s="260"/>
      <c r="S272" s="260"/>
      <c r="T272" s="260"/>
      <c r="U272" s="260"/>
      <c r="V272" s="260"/>
      <c r="W272" s="260"/>
      <c r="X272" s="260"/>
      <c r="Y272" s="260"/>
      <c r="Z272" s="260"/>
    </row>
    <row r="273">
      <c r="A273" s="260"/>
      <c r="B273" s="260"/>
      <c r="C273" s="260"/>
      <c r="D273" s="260"/>
      <c r="E273" s="260"/>
      <c r="F273" s="260"/>
      <c r="G273" s="260"/>
      <c r="H273" s="260"/>
      <c r="I273" s="260"/>
      <c r="J273" s="260"/>
      <c r="K273" s="260"/>
      <c r="L273" s="260"/>
      <c r="M273" s="260"/>
      <c r="N273" s="260"/>
      <c r="O273" s="260"/>
      <c r="P273" s="260"/>
      <c r="Q273" s="260"/>
      <c r="R273" s="260"/>
      <c r="S273" s="260"/>
      <c r="T273" s="260"/>
      <c r="U273" s="260"/>
      <c r="V273" s="260"/>
      <c r="W273" s="260"/>
      <c r="X273" s="260"/>
      <c r="Y273" s="260"/>
      <c r="Z273" s="260"/>
    </row>
    <row r="274">
      <c r="A274" s="260"/>
      <c r="B274" s="260"/>
      <c r="C274" s="260"/>
      <c r="D274" s="260"/>
      <c r="E274" s="260"/>
      <c r="F274" s="260"/>
      <c r="G274" s="260"/>
      <c r="H274" s="260"/>
      <c r="I274" s="260"/>
      <c r="J274" s="260"/>
      <c r="K274" s="260"/>
      <c r="L274" s="260"/>
      <c r="M274" s="260"/>
      <c r="N274" s="260"/>
      <c r="O274" s="260"/>
      <c r="P274" s="260"/>
      <c r="Q274" s="260"/>
      <c r="R274" s="260"/>
      <c r="S274" s="260"/>
      <c r="T274" s="260"/>
      <c r="U274" s="260"/>
      <c r="V274" s="260"/>
      <c r="W274" s="260"/>
      <c r="X274" s="260"/>
      <c r="Y274" s="260"/>
      <c r="Z274" s="260"/>
    </row>
    <row r="275">
      <c r="A275" s="260"/>
      <c r="B275" s="260"/>
      <c r="C275" s="260"/>
      <c r="D275" s="260"/>
      <c r="E275" s="260"/>
      <c r="F275" s="260"/>
      <c r="G275" s="260"/>
      <c r="H275" s="260"/>
      <c r="I275" s="260"/>
      <c r="J275" s="260"/>
      <c r="K275" s="260"/>
      <c r="L275" s="260"/>
      <c r="M275" s="260"/>
      <c r="N275" s="260"/>
      <c r="O275" s="260"/>
      <c r="P275" s="260"/>
      <c r="Q275" s="260"/>
      <c r="R275" s="260"/>
      <c r="S275" s="260"/>
      <c r="T275" s="260"/>
      <c r="U275" s="260"/>
      <c r="V275" s="260"/>
      <c r="W275" s="260"/>
      <c r="X275" s="260"/>
      <c r="Y275" s="260"/>
      <c r="Z275" s="260"/>
    </row>
    <row r="276">
      <c r="A276" s="260"/>
      <c r="B276" s="260"/>
      <c r="C276" s="260"/>
      <c r="D276" s="260"/>
      <c r="E276" s="260"/>
      <c r="F276" s="260"/>
      <c r="G276" s="260"/>
      <c r="H276" s="260"/>
      <c r="I276" s="260"/>
      <c r="J276" s="260"/>
      <c r="K276" s="260"/>
      <c r="L276" s="260"/>
      <c r="M276" s="260"/>
      <c r="N276" s="260"/>
      <c r="O276" s="260"/>
      <c r="P276" s="260"/>
      <c r="Q276" s="260"/>
      <c r="R276" s="260"/>
      <c r="S276" s="260"/>
      <c r="T276" s="260"/>
      <c r="U276" s="260"/>
      <c r="V276" s="260"/>
      <c r="W276" s="260"/>
      <c r="X276" s="260"/>
      <c r="Y276" s="260"/>
      <c r="Z276" s="260"/>
    </row>
    <row r="277">
      <c r="A277" s="260"/>
      <c r="B277" s="260"/>
      <c r="C277" s="260"/>
      <c r="D277" s="260"/>
      <c r="E277" s="260"/>
      <c r="F277" s="260"/>
      <c r="G277" s="260"/>
      <c r="H277" s="260"/>
      <c r="I277" s="260"/>
      <c r="J277" s="260"/>
      <c r="K277" s="260"/>
      <c r="L277" s="260"/>
      <c r="M277" s="260"/>
      <c r="N277" s="260"/>
      <c r="O277" s="260"/>
      <c r="P277" s="260"/>
      <c r="Q277" s="260"/>
      <c r="R277" s="260"/>
      <c r="S277" s="260"/>
      <c r="T277" s="260"/>
      <c r="U277" s="260"/>
      <c r="V277" s="260"/>
      <c r="W277" s="260"/>
      <c r="X277" s="260"/>
      <c r="Y277" s="260"/>
      <c r="Z277" s="260"/>
    </row>
    <row r="278">
      <c r="A278" s="260"/>
      <c r="B278" s="260"/>
      <c r="C278" s="260"/>
      <c r="D278" s="260"/>
      <c r="E278" s="260"/>
      <c r="F278" s="260"/>
      <c r="G278" s="260"/>
      <c r="H278" s="260"/>
      <c r="I278" s="260"/>
      <c r="J278" s="260"/>
      <c r="K278" s="260"/>
      <c r="L278" s="260"/>
      <c r="M278" s="260"/>
      <c r="N278" s="260"/>
      <c r="O278" s="260"/>
      <c r="P278" s="260"/>
      <c r="Q278" s="260"/>
      <c r="R278" s="260"/>
      <c r="S278" s="260"/>
      <c r="T278" s="260"/>
      <c r="U278" s="260"/>
      <c r="V278" s="260"/>
      <c r="W278" s="260"/>
      <c r="X278" s="260"/>
      <c r="Y278" s="260"/>
      <c r="Z278" s="260"/>
    </row>
    <row r="279">
      <c r="A279" s="260"/>
      <c r="B279" s="260"/>
      <c r="C279" s="260"/>
      <c r="D279" s="260"/>
      <c r="E279" s="260"/>
      <c r="F279" s="260"/>
      <c r="G279" s="260"/>
      <c r="H279" s="260"/>
      <c r="I279" s="260"/>
      <c r="J279" s="260"/>
      <c r="K279" s="260"/>
      <c r="L279" s="260"/>
      <c r="M279" s="260"/>
      <c r="N279" s="260"/>
      <c r="O279" s="260"/>
      <c r="P279" s="260"/>
      <c r="Q279" s="260"/>
      <c r="R279" s="260"/>
      <c r="S279" s="260"/>
      <c r="T279" s="260"/>
      <c r="U279" s="260"/>
      <c r="V279" s="260"/>
      <c r="W279" s="260"/>
      <c r="X279" s="260"/>
      <c r="Y279" s="260"/>
      <c r="Z279" s="260"/>
    </row>
    <row r="280">
      <c r="A280" s="260"/>
      <c r="B280" s="260"/>
      <c r="C280" s="260"/>
      <c r="D280" s="260"/>
      <c r="E280" s="260"/>
      <c r="F280" s="260"/>
      <c r="G280" s="260"/>
      <c r="H280" s="260"/>
      <c r="I280" s="260"/>
      <c r="J280" s="260"/>
      <c r="K280" s="260"/>
      <c r="L280" s="260"/>
      <c r="M280" s="260"/>
      <c r="N280" s="260"/>
      <c r="O280" s="260"/>
      <c r="P280" s="260"/>
      <c r="Q280" s="260"/>
      <c r="R280" s="260"/>
      <c r="S280" s="260"/>
      <c r="T280" s="260"/>
      <c r="U280" s="260"/>
      <c r="V280" s="260"/>
      <c r="W280" s="260"/>
      <c r="X280" s="260"/>
      <c r="Y280" s="260"/>
      <c r="Z280" s="260"/>
    </row>
    <row r="281">
      <c r="A281" s="260"/>
      <c r="B281" s="260"/>
      <c r="C281" s="260"/>
      <c r="D281" s="260"/>
      <c r="E281" s="260"/>
      <c r="F281" s="260"/>
      <c r="G281" s="260"/>
      <c r="H281" s="260"/>
      <c r="I281" s="260"/>
      <c r="J281" s="260"/>
      <c r="K281" s="260"/>
      <c r="L281" s="260"/>
      <c r="M281" s="260"/>
      <c r="N281" s="260"/>
      <c r="O281" s="260"/>
      <c r="P281" s="260"/>
      <c r="Q281" s="260"/>
      <c r="R281" s="260"/>
      <c r="S281" s="260"/>
      <c r="T281" s="260"/>
      <c r="U281" s="260"/>
      <c r="V281" s="260"/>
      <c r="W281" s="260"/>
      <c r="X281" s="260"/>
      <c r="Y281" s="260"/>
      <c r="Z281" s="260"/>
    </row>
    <row r="282">
      <c r="A282" s="260"/>
      <c r="B282" s="260"/>
      <c r="C282" s="260"/>
      <c r="D282" s="260"/>
      <c r="E282" s="260"/>
      <c r="F282" s="260"/>
      <c r="G282" s="260"/>
      <c r="H282" s="260"/>
      <c r="I282" s="260"/>
      <c r="J282" s="260"/>
      <c r="K282" s="260"/>
      <c r="L282" s="260"/>
      <c r="M282" s="260"/>
      <c r="N282" s="260"/>
      <c r="O282" s="260"/>
      <c r="P282" s="260"/>
      <c r="Q282" s="260"/>
      <c r="R282" s="260"/>
      <c r="S282" s="260"/>
      <c r="T282" s="260"/>
      <c r="U282" s="260"/>
      <c r="V282" s="260"/>
      <c r="W282" s="260"/>
      <c r="X282" s="260"/>
      <c r="Y282" s="260"/>
      <c r="Z282" s="260"/>
    </row>
    <row r="283">
      <c r="A283" s="260"/>
      <c r="B283" s="260"/>
      <c r="C283" s="260"/>
      <c r="D283" s="260"/>
      <c r="E283" s="260"/>
      <c r="F283" s="260"/>
      <c r="G283" s="260"/>
      <c r="H283" s="260"/>
      <c r="I283" s="260"/>
      <c r="J283" s="260"/>
      <c r="K283" s="260"/>
      <c r="L283" s="260"/>
      <c r="M283" s="260"/>
      <c r="N283" s="260"/>
      <c r="O283" s="260"/>
      <c r="P283" s="260"/>
      <c r="Q283" s="260"/>
      <c r="R283" s="260"/>
      <c r="S283" s="260"/>
      <c r="T283" s="260"/>
      <c r="U283" s="260"/>
      <c r="V283" s="260"/>
      <c r="W283" s="260"/>
      <c r="X283" s="260"/>
      <c r="Y283" s="260"/>
      <c r="Z283" s="260"/>
    </row>
    <row r="284">
      <c r="A284" s="260"/>
      <c r="B284" s="260"/>
      <c r="C284" s="260"/>
      <c r="D284" s="260"/>
      <c r="E284" s="260"/>
      <c r="F284" s="260"/>
      <c r="G284" s="260"/>
      <c r="H284" s="260"/>
      <c r="I284" s="260"/>
      <c r="J284" s="260"/>
      <c r="K284" s="260"/>
      <c r="L284" s="260"/>
      <c r="M284" s="260"/>
      <c r="N284" s="260"/>
      <c r="O284" s="260"/>
      <c r="P284" s="260"/>
      <c r="Q284" s="260"/>
      <c r="R284" s="260"/>
      <c r="S284" s="260"/>
      <c r="T284" s="260"/>
      <c r="U284" s="260"/>
      <c r="V284" s="260"/>
      <c r="W284" s="260"/>
      <c r="X284" s="260"/>
      <c r="Y284" s="260"/>
      <c r="Z284" s="260"/>
    </row>
    <row r="285">
      <c r="A285" s="260"/>
      <c r="B285" s="260"/>
      <c r="C285" s="260"/>
      <c r="D285" s="260"/>
      <c r="E285" s="260"/>
      <c r="F285" s="260"/>
      <c r="G285" s="260"/>
      <c r="H285" s="260"/>
      <c r="I285" s="260"/>
      <c r="J285" s="260"/>
      <c r="K285" s="260"/>
      <c r="L285" s="260"/>
      <c r="M285" s="260"/>
      <c r="N285" s="260"/>
      <c r="O285" s="260"/>
      <c r="P285" s="260"/>
      <c r="Q285" s="260"/>
      <c r="R285" s="260"/>
      <c r="S285" s="260"/>
      <c r="T285" s="260"/>
      <c r="U285" s="260"/>
      <c r="V285" s="260"/>
      <c r="W285" s="260"/>
      <c r="X285" s="260"/>
      <c r="Y285" s="260"/>
      <c r="Z285" s="260"/>
    </row>
    <row r="286">
      <c r="A286" s="260"/>
      <c r="B286" s="260"/>
      <c r="C286" s="260"/>
      <c r="D286" s="260"/>
      <c r="E286" s="260"/>
      <c r="F286" s="260"/>
      <c r="G286" s="260"/>
      <c r="H286" s="260"/>
      <c r="I286" s="260"/>
      <c r="J286" s="260"/>
      <c r="K286" s="260"/>
      <c r="L286" s="260"/>
      <c r="M286" s="260"/>
      <c r="N286" s="260"/>
      <c r="O286" s="260"/>
      <c r="P286" s="260"/>
      <c r="Q286" s="260"/>
      <c r="R286" s="260"/>
      <c r="S286" s="260"/>
      <c r="T286" s="260"/>
      <c r="U286" s="260"/>
      <c r="V286" s="260"/>
      <c r="W286" s="260"/>
      <c r="X286" s="260"/>
      <c r="Y286" s="260"/>
      <c r="Z286" s="260"/>
    </row>
    <row r="287">
      <c r="A287" s="260"/>
      <c r="B287" s="260"/>
      <c r="C287" s="260"/>
      <c r="D287" s="260"/>
      <c r="E287" s="260"/>
      <c r="F287" s="260"/>
      <c r="G287" s="260"/>
      <c r="H287" s="260"/>
      <c r="I287" s="260"/>
      <c r="J287" s="260"/>
      <c r="K287" s="260"/>
      <c r="L287" s="260"/>
      <c r="M287" s="260"/>
      <c r="N287" s="260"/>
      <c r="O287" s="260"/>
      <c r="P287" s="260"/>
      <c r="Q287" s="260"/>
      <c r="R287" s="260"/>
      <c r="S287" s="260"/>
      <c r="T287" s="260"/>
      <c r="U287" s="260"/>
      <c r="V287" s="260"/>
      <c r="W287" s="260"/>
      <c r="X287" s="260"/>
      <c r="Y287" s="260"/>
      <c r="Z287" s="260"/>
    </row>
    <row r="288">
      <c r="A288" s="260"/>
      <c r="B288" s="260"/>
      <c r="C288" s="260"/>
      <c r="D288" s="260"/>
      <c r="E288" s="260"/>
      <c r="F288" s="260"/>
      <c r="G288" s="260"/>
      <c r="H288" s="260"/>
      <c r="I288" s="260"/>
      <c r="J288" s="260"/>
      <c r="K288" s="260"/>
      <c r="L288" s="260"/>
      <c r="M288" s="260"/>
      <c r="N288" s="260"/>
      <c r="O288" s="260"/>
      <c r="P288" s="260"/>
      <c r="Q288" s="260"/>
      <c r="R288" s="260"/>
      <c r="S288" s="260"/>
      <c r="T288" s="260"/>
      <c r="U288" s="260"/>
      <c r="V288" s="260"/>
      <c r="W288" s="260"/>
      <c r="X288" s="260"/>
      <c r="Y288" s="260"/>
      <c r="Z288" s="260"/>
    </row>
    <row r="289">
      <c r="A289" s="260"/>
      <c r="B289" s="260"/>
      <c r="C289" s="260"/>
      <c r="D289" s="260"/>
      <c r="E289" s="260"/>
      <c r="F289" s="260"/>
      <c r="G289" s="260"/>
      <c r="H289" s="260"/>
      <c r="I289" s="260"/>
      <c r="J289" s="260"/>
      <c r="K289" s="260"/>
      <c r="L289" s="260"/>
      <c r="M289" s="260"/>
      <c r="N289" s="260"/>
      <c r="O289" s="260"/>
      <c r="P289" s="260"/>
      <c r="Q289" s="260"/>
      <c r="R289" s="260"/>
      <c r="S289" s="260"/>
      <c r="T289" s="260"/>
      <c r="U289" s="260"/>
      <c r="V289" s="260"/>
      <c r="W289" s="260"/>
      <c r="X289" s="260"/>
      <c r="Y289" s="260"/>
      <c r="Z289" s="260"/>
    </row>
    <row r="290">
      <c r="A290" s="260"/>
      <c r="B290" s="260"/>
      <c r="C290" s="260"/>
      <c r="D290" s="260"/>
      <c r="E290" s="260"/>
      <c r="F290" s="260"/>
      <c r="G290" s="260"/>
      <c r="H290" s="260"/>
      <c r="I290" s="260"/>
      <c r="J290" s="260"/>
      <c r="K290" s="260"/>
      <c r="L290" s="260"/>
      <c r="M290" s="260"/>
      <c r="N290" s="260"/>
      <c r="O290" s="260"/>
      <c r="P290" s="260"/>
      <c r="Q290" s="260"/>
      <c r="R290" s="260"/>
      <c r="S290" s="260"/>
      <c r="T290" s="260"/>
      <c r="U290" s="260"/>
      <c r="V290" s="260"/>
      <c r="W290" s="260"/>
      <c r="X290" s="260"/>
      <c r="Y290" s="260"/>
      <c r="Z290" s="260"/>
    </row>
    <row r="291">
      <c r="A291" s="260"/>
      <c r="B291" s="260"/>
      <c r="C291" s="260"/>
      <c r="D291" s="260"/>
      <c r="E291" s="260"/>
      <c r="F291" s="260"/>
      <c r="G291" s="260"/>
      <c r="H291" s="260"/>
      <c r="I291" s="260"/>
      <c r="J291" s="260"/>
      <c r="K291" s="260"/>
      <c r="L291" s="260"/>
      <c r="M291" s="260"/>
      <c r="N291" s="260"/>
      <c r="O291" s="260"/>
      <c r="P291" s="260"/>
      <c r="Q291" s="260"/>
      <c r="R291" s="260"/>
      <c r="S291" s="260"/>
      <c r="T291" s="260"/>
      <c r="U291" s="260"/>
      <c r="V291" s="260"/>
      <c r="W291" s="260"/>
      <c r="X291" s="260"/>
      <c r="Y291" s="260"/>
      <c r="Z291" s="260"/>
    </row>
    <row r="292">
      <c r="A292" s="260"/>
      <c r="B292" s="260"/>
      <c r="C292" s="260"/>
      <c r="D292" s="260"/>
      <c r="E292" s="260"/>
      <c r="F292" s="260"/>
      <c r="G292" s="260"/>
      <c r="H292" s="260"/>
      <c r="I292" s="260"/>
      <c r="J292" s="260"/>
      <c r="K292" s="260"/>
      <c r="L292" s="260"/>
      <c r="M292" s="260"/>
      <c r="N292" s="260"/>
      <c r="O292" s="260"/>
      <c r="P292" s="260"/>
      <c r="Q292" s="260"/>
      <c r="R292" s="260"/>
      <c r="S292" s="260"/>
      <c r="T292" s="260"/>
      <c r="U292" s="260"/>
      <c r="V292" s="260"/>
      <c r="W292" s="260"/>
      <c r="X292" s="260"/>
      <c r="Y292" s="260"/>
      <c r="Z292" s="260"/>
    </row>
    <row r="293">
      <c r="A293" s="260"/>
      <c r="B293" s="260"/>
      <c r="C293" s="260"/>
      <c r="D293" s="260"/>
      <c r="E293" s="260"/>
      <c r="F293" s="260"/>
      <c r="G293" s="260"/>
      <c r="H293" s="260"/>
      <c r="I293" s="260"/>
      <c r="J293" s="260"/>
      <c r="K293" s="260"/>
      <c r="L293" s="260"/>
      <c r="M293" s="260"/>
      <c r="N293" s="260"/>
      <c r="O293" s="260"/>
      <c r="P293" s="260"/>
      <c r="Q293" s="260"/>
      <c r="R293" s="260"/>
      <c r="S293" s="260"/>
      <c r="T293" s="260"/>
      <c r="U293" s="260"/>
      <c r="V293" s="260"/>
      <c r="W293" s="260"/>
      <c r="X293" s="260"/>
      <c r="Y293" s="260"/>
      <c r="Z293" s="260"/>
    </row>
    <row r="294">
      <c r="A294" s="260"/>
      <c r="B294" s="260"/>
      <c r="C294" s="260"/>
      <c r="D294" s="260"/>
      <c r="E294" s="260"/>
      <c r="F294" s="260"/>
      <c r="G294" s="260"/>
      <c r="H294" s="260"/>
      <c r="I294" s="260"/>
      <c r="J294" s="260"/>
      <c r="K294" s="260"/>
      <c r="L294" s="260"/>
      <c r="M294" s="260"/>
      <c r="N294" s="260"/>
      <c r="O294" s="260"/>
      <c r="P294" s="260"/>
      <c r="Q294" s="260"/>
      <c r="R294" s="260"/>
      <c r="S294" s="260"/>
      <c r="T294" s="260"/>
      <c r="U294" s="260"/>
      <c r="V294" s="260"/>
      <c r="W294" s="260"/>
      <c r="X294" s="260"/>
      <c r="Y294" s="260"/>
      <c r="Z294" s="260"/>
    </row>
    <row r="295">
      <c r="A295" s="260"/>
      <c r="B295" s="260"/>
      <c r="C295" s="260"/>
      <c r="D295" s="260"/>
      <c r="E295" s="260"/>
      <c r="F295" s="260"/>
      <c r="G295" s="260"/>
      <c r="H295" s="260"/>
      <c r="I295" s="260"/>
      <c r="J295" s="260"/>
      <c r="K295" s="260"/>
      <c r="L295" s="260"/>
      <c r="M295" s="260"/>
      <c r="N295" s="260"/>
      <c r="O295" s="260"/>
      <c r="P295" s="260"/>
      <c r="Q295" s="260"/>
      <c r="R295" s="260"/>
      <c r="S295" s="260"/>
      <c r="T295" s="260"/>
      <c r="U295" s="260"/>
      <c r="V295" s="260"/>
      <c r="W295" s="260"/>
      <c r="X295" s="260"/>
      <c r="Y295" s="260"/>
      <c r="Z295" s="260"/>
    </row>
    <row r="296">
      <c r="A296" s="260"/>
      <c r="B296" s="260"/>
      <c r="C296" s="260"/>
      <c r="D296" s="260"/>
      <c r="E296" s="260"/>
      <c r="F296" s="260"/>
      <c r="G296" s="260"/>
      <c r="H296" s="260"/>
      <c r="I296" s="260"/>
      <c r="J296" s="260"/>
      <c r="K296" s="260"/>
      <c r="L296" s="260"/>
      <c r="M296" s="260"/>
      <c r="N296" s="260"/>
      <c r="O296" s="260"/>
      <c r="P296" s="260"/>
      <c r="Q296" s="260"/>
      <c r="R296" s="260"/>
      <c r="S296" s="260"/>
      <c r="T296" s="260"/>
      <c r="U296" s="260"/>
      <c r="V296" s="260"/>
      <c r="W296" s="260"/>
      <c r="X296" s="260"/>
      <c r="Y296" s="260"/>
      <c r="Z296" s="260"/>
    </row>
    <row r="297">
      <c r="A297" s="260"/>
      <c r="B297" s="260"/>
      <c r="C297" s="260"/>
      <c r="D297" s="260"/>
      <c r="E297" s="260"/>
      <c r="F297" s="260"/>
      <c r="G297" s="260"/>
      <c r="H297" s="260"/>
      <c r="I297" s="260"/>
      <c r="J297" s="260"/>
      <c r="K297" s="260"/>
      <c r="L297" s="260"/>
      <c r="M297" s="260"/>
      <c r="N297" s="260"/>
      <c r="O297" s="260"/>
      <c r="P297" s="260"/>
      <c r="Q297" s="260"/>
      <c r="R297" s="260"/>
      <c r="S297" s="260"/>
      <c r="T297" s="260"/>
      <c r="U297" s="260"/>
      <c r="V297" s="260"/>
      <c r="W297" s="260"/>
      <c r="X297" s="260"/>
      <c r="Y297" s="260"/>
      <c r="Z297" s="260"/>
    </row>
    <row r="298">
      <c r="A298" s="260"/>
      <c r="B298" s="260"/>
      <c r="C298" s="260"/>
      <c r="D298" s="260"/>
      <c r="E298" s="260"/>
      <c r="F298" s="260"/>
      <c r="G298" s="260"/>
      <c r="H298" s="260"/>
      <c r="I298" s="260"/>
      <c r="J298" s="260"/>
      <c r="K298" s="260"/>
      <c r="L298" s="260"/>
      <c r="M298" s="260"/>
      <c r="N298" s="260"/>
      <c r="O298" s="260"/>
      <c r="P298" s="260"/>
      <c r="Q298" s="260"/>
      <c r="R298" s="260"/>
      <c r="S298" s="260"/>
      <c r="T298" s="260"/>
      <c r="U298" s="260"/>
      <c r="V298" s="260"/>
      <c r="W298" s="260"/>
      <c r="X298" s="260"/>
      <c r="Y298" s="260"/>
      <c r="Z298" s="260"/>
    </row>
    <row r="299">
      <c r="A299" s="260"/>
      <c r="B299" s="260"/>
      <c r="C299" s="260"/>
      <c r="D299" s="260"/>
      <c r="E299" s="260"/>
      <c r="F299" s="260"/>
      <c r="G299" s="260"/>
      <c r="H299" s="260"/>
      <c r="I299" s="260"/>
      <c r="J299" s="260"/>
      <c r="K299" s="260"/>
      <c r="L299" s="260"/>
      <c r="M299" s="260"/>
      <c r="N299" s="260"/>
      <c r="O299" s="260"/>
      <c r="P299" s="260"/>
      <c r="Q299" s="260"/>
      <c r="R299" s="260"/>
      <c r="S299" s="260"/>
      <c r="T299" s="260"/>
      <c r="U299" s="260"/>
      <c r="V299" s="260"/>
      <c r="W299" s="260"/>
      <c r="X299" s="260"/>
      <c r="Y299" s="260"/>
      <c r="Z299" s="260"/>
    </row>
    <row r="300">
      <c r="A300" s="260"/>
      <c r="B300" s="260"/>
      <c r="C300" s="260"/>
      <c r="D300" s="260"/>
      <c r="E300" s="260"/>
      <c r="F300" s="260"/>
      <c r="G300" s="260"/>
      <c r="H300" s="260"/>
      <c r="I300" s="260"/>
      <c r="J300" s="260"/>
      <c r="K300" s="260"/>
      <c r="L300" s="260"/>
      <c r="M300" s="260"/>
      <c r="N300" s="260"/>
      <c r="O300" s="260"/>
      <c r="P300" s="260"/>
      <c r="Q300" s="260"/>
      <c r="R300" s="260"/>
      <c r="S300" s="260"/>
      <c r="T300" s="260"/>
      <c r="U300" s="260"/>
      <c r="V300" s="260"/>
      <c r="W300" s="260"/>
      <c r="X300" s="260"/>
      <c r="Y300" s="260"/>
      <c r="Z300" s="260"/>
    </row>
    <row r="301">
      <c r="A301" s="260"/>
      <c r="B301" s="260"/>
      <c r="C301" s="260"/>
      <c r="D301" s="260"/>
      <c r="E301" s="260"/>
      <c r="F301" s="260"/>
      <c r="G301" s="260"/>
      <c r="H301" s="260"/>
      <c r="I301" s="260"/>
      <c r="J301" s="260"/>
      <c r="K301" s="260"/>
      <c r="L301" s="260"/>
      <c r="M301" s="260"/>
      <c r="N301" s="260"/>
      <c r="O301" s="260"/>
      <c r="P301" s="260"/>
      <c r="Q301" s="260"/>
      <c r="R301" s="260"/>
      <c r="S301" s="260"/>
      <c r="T301" s="260"/>
      <c r="U301" s="260"/>
      <c r="V301" s="260"/>
      <c r="W301" s="260"/>
      <c r="X301" s="260"/>
      <c r="Y301" s="260"/>
      <c r="Z301" s="260"/>
    </row>
    <row r="302">
      <c r="A302" s="260"/>
      <c r="B302" s="260"/>
      <c r="C302" s="260"/>
      <c r="D302" s="260"/>
      <c r="E302" s="260"/>
      <c r="F302" s="260"/>
      <c r="G302" s="260"/>
      <c r="H302" s="260"/>
      <c r="I302" s="260"/>
      <c r="J302" s="260"/>
      <c r="K302" s="260"/>
      <c r="L302" s="260"/>
      <c r="M302" s="260"/>
      <c r="N302" s="260"/>
      <c r="O302" s="260"/>
      <c r="P302" s="260"/>
      <c r="Q302" s="260"/>
      <c r="R302" s="260"/>
      <c r="S302" s="260"/>
      <c r="T302" s="260"/>
      <c r="U302" s="260"/>
      <c r="V302" s="260"/>
      <c r="W302" s="260"/>
      <c r="X302" s="260"/>
      <c r="Y302" s="260"/>
      <c r="Z302" s="260"/>
    </row>
    <row r="303">
      <c r="A303" s="260"/>
      <c r="B303" s="260"/>
      <c r="C303" s="260"/>
      <c r="D303" s="260"/>
      <c r="E303" s="260"/>
      <c r="F303" s="260"/>
      <c r="G303" s="260"/>
      <c r="H303" s="260"/>
      <c r="I303" s="260"/>
      <c r="J303" s="260"/>
      <c r="K303" s="260"/>
      <c r="L303" s="260"/>
      <c r="M303" s="260"/>
      <c r="N303" s="260"/>
      <c r="O303" s="260"/>
      <c r="P303" s="260"/>
      <c r="Q303" s="260"/>
      <c r="R303" s="260"/>
      <c r="S303" s="260"/>
      <c r="T303" s="260"/>
      <c r="U303" s="260"/>
      <c r="V303" s="260"/>
      <c r="W303" s="260"/>
      <c r="X303" s="260"/>
      <c r="Y303" s="260"/>
      <c r="Z303" s="260"/>
    </row>
    <row r="304">
      <c r="A304" s="260"/>
      <c r="B304" s="260"/>
      <c r="C304" s="260"/>
      <c r="D304" s="260"/>
      <c r="E304" s="260"/>
      <c r="F304" s="260"/>
      <c r="G304" s="260"/>
      <c r="H304" s="260"/>
      <c r="I304" s="260"/>
      <c r="J304" s="260"/>
      <c r="K304" s="260"/>
      <c r="L304" s="260"/>
      <c r="M304" s="260"/>
      <c r="N304" s="260"/>
      <c r="O304" s="260"/>
      <c r="P304" s="260"/>
      <c r="Q304" s="260"/>
      <c r="R304" s="260"/>
      <c r="S304" s="260"/>
      <c r="T304" s="260"/>
      <c r="U304" s="260"/>
      <c r="V304" s="260"/>
      <c r="W304" s="260"/>
      <c r="X304" s="260"/>
      <c r="Y304" s="260"/>
      <c r="Z304" s="260"/>
    </row>
    <row r="305">
      <c r="A305" s="260"/>
      <c r="B305" s="260"/>
      <c r="C305" s="260"/>
      <c r="D305" s="260"/>
      <c r="E305" s="260"/>
      <c r="F305" s="260"/>
      <c r="G305" s="260"/>
      <c r="H305" s="260"/>
      <c r="I305" s="260"/>
      <c r="J305" s="260"/>
      <c r="K305" s="260"/>
      <c r="L305" s="260"/>
      <c r="M305" s="260"/>
      <c r="N305" s="260"/>
      <c r="O305" s="260"/>
      <c r="P305" s="260"/>
      <c r="Q305" s="260"/>
      <c r="R305" s="260"/>
      <c r="S305" s="260"/>
      <c r="T305" s="260"/>
      <c r="U305" s="260"/>
      <c r="V305" s="260"/>
      <c r="W305" s="260"/>
      <c r="X305" s="260"/>
      <c r="Y305" s="260"/>
      <c r="Z305" s="260"/>
    </row>
    <row r="306">
      <c r="A306" s="260"/>
      <c r="B306" s="260"/>
      <c r="C306" s="260"/>
      <c r="D306" s="260"/>
      <c r="E306" s="260"/>
      <c r="F306" s="260"/>
      <c r="G306" s="260"/>
      <c r="H306" s="260"/>
      <c r="I306" s="260"/>
      <c r="J306" s="260"/>
      <c r="K306" s="260"/>
      <c r="L306" s="260"/>
      <c r="M306" s="260"/>
      <c r="N306" s="260"/>
      <c r="O306" s="260"/>
      <c r="P306" s="260"/>
      <c r="Q306" s="260"/>
      <c r="R306" s="260"/>
      <c r="S306" s="260"/>
      <c r="T306" s="260"/>
      <c r="U306" s="260"/>
      <c r="V306" s="260"/>
      <c r="W306" s="260"/>
      <c r="X306" s="260"/>
      <c r="Y306" s="260"/>
      <c r="Z306" s="260"/>
    </row>
    <row r="307">
      <c r="A307" s="260"/>
      <c r="B307" s="260"/>
      <c r="C307" s="260"/>
      <c r="D307" s="260"/>
      <c r="E307" s="260"/>
      <c r="F307" s="260"/>
      <c r="G307" s="260"/>
      <c r="H307" s="260"/>
      <c r="I307" s="260"/>
      <c r="J307" s="260"/>
      <c r="K307" s="260"/>
      <c r="L307" s="260"/>
      <c r="M307" s="260"/>
      <c r="N307" s="260"/>
      <c r="O307" s="260"/>
      <c r="P307" s="260"/>
      <c r="Q307" s="260"/>
      <c r="R307" s="260"/>
      <c r="S307" s="260"/>
      <c r="T307" s="260"/>
      <c r="U307" s="260"/>
      <c r="V307" s="260"/>
      <c r="W307" s="260"/>
      <c r="X307" s="260"/>
      <c r="Y307" s="260"/>
      <c r="Z307" s="260"/>
    </row>
    <row r="308">
      <c r="A308" s="260"/>
      <c r="B308" s="260"/>
      <c r="C308" s="260"/>
      <c r="D308" s="260"/>
      <c r="E308" s="260"/>
      <c r="F308" s="260"/>
      <c r="G308" s="260"/>
      <c r="H308" s="260"/>
      <c r="I308" s="260"/>
      <c r="J308" s="260"/>
      <c r="K308" s="260"/>
      <c r="L308" s="260"/>
      <c r="M308" s="260"/>
      <c r="N308" s="260"/>
      <c r="O308" s="260"/>
      <c r="P308" s="260"/>
      <c r="Q308" s="260"/>
      <c r="R308" s="260"/>
      <c r="S308" s="260"/>
      <c r="T308" s="260"/>
      <c r="U308" s="260"/>
      <c r="V308" s="260"/>
      <c r="W308" s="260"/>
      <c r="X308" s="260"/>
      <c r="Y308" s="260"/>
      <c r="Z308" s="260"/>
    </row>
    <row r="309">
      <c r="A309" s="260"/>
      <c r="B309" s="260"/>
      <c r="C309" s="260"/>
      <c r="D309" s="260"/>
      <c r="E309" s="260"/>
      <c r="F309" s="260"/>
      <c r="G309" s="260"/>
      <c r="H309" s="260"/>
      <c r="I309" s="260"/>
      <c r="J309" s="260"/>
      <c r="K309" s="260"/>
      <c r="L309" s="260"/>
      <c r="M309" s="260"/>
      <c r="N309" s="260"/>
      <c r="O309" s="260"/>
      <c r="P309" s="260"/>
      <c r="Q309" s="260"/>
      <c r="R309" s="260"/>
      <c r="S309" s="260"/>
      <c r="T309" s="260"/>
      <c r="U309" s="260"/>
      <c r="V309" s="260"/>
      <c r="W309" s="260"/>
      <c r="X309" s="260"/>
      <c r="Y309" s="260"/>
      <c r="Z309" s="260"/>
    </row>
    <row r="310">
      <c r="A310" s="260"/>
      <c r="B310" s="260"/>
      <c r="C310" s="260"/>
      <c r="D310" s="260"/>
      <c r="E310" s="260"/>
      <c r="F310" s="260"/>
      <c r="G310" s="260"/>
      <c r="H310" s="260"/>
      <c r="I310" s="260"/>
      <c r="J310" s="260"/>
      <c r="K310" s="260"/>
      <c r="L310" s="260"/>
      <c r="M310" s="260"/>
      <c r="N310" s="260"/>
      <c r="O310" s="260"/>
      <c r="P310" s="260"/>
      <c r="Q310" s="260"/>
      <c r="R310" s="260"/>
      <c r="S310" s="260"/>
      <c r="T310" s="260"/>
      <c r="U310" s="260"/>
      <c r="V310" s="260"/>
      <c r="W310" s="260"/>
      <c r="X310" s="260"/>
      <c r="Y310" s="260"/>
      <c r="Z310" s="260"/>
    </row>
    <row r="311">
      <c r="A311" s="260"/>
      <c r="B311" s="260"/>
      <c r="C311" s="260"/>
      <c r="D311" s="260"/>
      <c r="E311" s="260"/>
      <c r="F311" s="260"/>
      <c r="G311" s="260"/>
      <c r="H311" s="260"/>
      <c r="I311" s="260"/>
      <c r="J311" s="260"/>
      <c r="K311" s="260"/>
      <c r="L311" s="260"/>
      <c r="M311" s="260"/>
      <c r="N311" s="260"/>
      <c r="O311" s="260"/>
      <c r="P311" s="260"/>
      <c r="Q311" s="260"/>
      <c r="R311" s="260"/>
      <c r="S311" s="260"/>
      <c r="T311" s="260"/>
      <c r="U311" s="260"/>
      <c r="V311" s="260"/>
      <c r="W311" s="260"/>
      <c r="X311" s="260"/>
      <c r="Y311" s="260"/>
      <c r="Z311" s="260"/>
    </row>
    <row r="312">
      <c r="A312" s="260"/>
      <c r="B312" s="260"/>
      <c r="C312" s="260"/>
      <c r="D312" s="260"/>
      <c r="E312" s="260"/>
      <c r="F312" s="260"/>
      <c r="G312" s="260"/>
      <c r="H312" s="260"/>
      <c r="I312" s="260"/>
      <c r="J312" s="260"/>
      <c r="K312" s="260"/>
      <c r="L312" s="260"/>
      <c r="M312" s="260"/>
      <c r="N312" s="260"/>
      <c r="O312" s="260"/>
      <c r="P312" s="260"/>
      <c r="Q312" s="260"/>
      <c r="R312" s="260"/>
      <c r="S312" s="260"/>
      <c r="T312" s="260"/>
      <c r="U312" s="260"/>
      <c r="V312" s="260"/>
      <c r="W312" s="260"/>
      <c r="X312" s="260"/>
      <c r="Y312" s="260"/>
      <c r="Z312" s="260"/>
    </row>
    <row r="313">
      <c r="A313" s="260"/>
      <c r="B313" s="260"/>
      <c r="C313" s="260"/>
      <c r="D313" s="260"/>
      <c r="E313" s="260"/>
      <c r="F313" s="260"/>
      <c r="G313" s="260"/>
      <c r="H313" s="260"/>
      <c r="I313" s="260"/>
      <c r="J313" s="260"/>
      <c r="K313" s="260"/>
      <c r="L313" s="260"/>
      <c r="M313" s="260"/>
      <c r="N313" s="260"/>
      <c r="O313" s="260"/>
      <c r="P313" s="260"/>
      <c r="Q313" s="260"/>
      <c r="R313" s="260"/>
      <c r="S313" s="260"/>
      <c r="T313" s="260"/>
      <c r="U313" s="260"/>
      <c r="V313" s="260"/>
      <c r="W313" s="260"/>
      <c r="X313" s="260"/>
      <c r="Y313" s="260"/>
      <c r="Z313" s="260"/>
    </row>
    <row r="314">
      <c r="A314" s="260"/>
      <c r="B314" s="260"/>
      <c r="C314" s="260"/>
      <c r="D314" s="260"/>
      <c r="E314" s="260"/>
      <c r="F314" s="260"/>
      <c r="G314" s="260"/>
      <c r="H314" s="260"/>
      <c r="I314" s="260"/>
      <c r="J314" s="260"/>
      <c r="K314" s="260"/>
      <c r="L314" s="260"/>
      <c r="M314" s="260"/>
      <c r="N314" s="260"/>
      <c r="O314" s="260"/>
      <c r="P314" s="260"/>
      <c r="Q314" s="260"/>
      <c r="R314" s="260"/>
      <c r="S314" s="260"/>
      <c r="T314" s="260"/>
      <c r="U314" s="260"/>
      <c r="V314" s="260"/>
      <c r="W314" s="260"/>
      <c r="X314" s="260"/>
      <c r="Y314" s="260"/>
      <c r="Z314" s="260"/>
    </row>
    <row r="315">
      <c r="A315" s="260"/>
      <c r="B315" s="260"/>
      <c r="C315" s="260"/>
      <c r="D315" s="260"/>
      <c r="E315" s="260"/>
      <c r="F315" s="260"/>
      <c r="G315" s="260"/>
      <c r="H315" s="260"/>
      <c r="I315" s="260"/>
      <c r="J315" s="260"/>
      <c r="K315" s="260"/>
      <c r="L315" s="260"/>
      <c r="M315" s="260"/>
      <c r="N315" s="260"/>
      <c r="O315" s="260"/>
      <c r="P315" s="260"/>
      <c r="Q315" s="260"/>
      <c r="R315" s="260"/>
      <c r="S315" s="260"/>
      <c r="T315" s="260"/>
      <c r="U315" s="260"/>
      <c r="V315" s="260"/>
      <c r="W315" s="260"/>
      <c r="X315" s="260"/>
      <c r="Y315" s="260"/>
      <c r="Z315" s="260"/>
    </row>
    <row r="316">
      <c r="A316" s="260"/>
      <c r="B316" s="260"/>
      <c r="C316" s="260"/>
      <c r="D316" s="260"/>
      <c r="E316" s="260"/>
      <c r="F316" s="260"/>
      <c r="G316" s="260"/>
      <c r="H316" s="260"/>
      <c r="I316" s="260"/>
      <c r="J316" s="260"/>
      <c r="K316" s="260"/>
      <c r="L316" s="260"/>
      <c r="M316" s="260"/>
      <c r="N316" s="260"/>
      <c r="O316" s="260"/>
      <c r="P316" s="260"/>
      <c r="Q316" s="260"/>
      <c r="R316" s="260"/>
      <c r="S316" s="260"/>
      <c r="T316" s="260"/>
      <c r="U316" s="260"/>
      <c r="V316" s="260"/>
      <c r="W316" s="260"/>
      <c r="X316" s="260"/>
      <c r="Y316" s="260"/>
      <c r="Z316" s="260"/>
    </row>
    <row r="317">
      <c r="A317" s="260"/>
      <c r="B317" s="260"/>
      <c r="C317" s="260"/>
      <c r="D317" s="260"/>
      <c r="E317" s="260"/>
      <c r="F317" s="260"/>
      <c r="G317" s="260"/>
      <c r="H317" s="260"/>
      <c r="I317" s="260"/>
      <c r="J317" s="260"/>
      <c r="K317" s="260"/>
      <c r="L317" s="260"/>
      <c r="M317" s="260"/>
      <c r="N317" s="260"/>
      <c r="O317" s="260"/>
      <c r="P317" s="260"/>
      <c r="Q317" s="260"/>
      <c r="R317" s="260"/>
      <c r="S317" s="260"/>
      <c r="T317" s="260"/>
      <c r="U317" s="260"/>
      <c r="V317" s="260"/>
      <c r="W317" s="260"/>
      <c r="X317" s="260"/>
      <c r="Y317" s="260"/>
      <c r="Z317" s="260"/>
    </row>
    <row r="318">
      <c r="A318" s="260"/>
      <c r="B318" s="260"/>
      <c r="C318" s="260"/>
      <c r="D318" s="260"/>
      <c r="E318" s="260"/>
      <c r="F318" s="260"/>
      <c r="G318" s="260"/>
      <c r="H318" s="260"/>
      <c r="I318" s="260"/>
      <c r="J318" s="260"/>
      <c r="K318" s="260"/>
      <c r="L318" s="260"/>
      <c r="M318" s="260"/>
      <c r="N318" s="260"/>
      <c r="O318" s="260"/>
      <c r="P318" s="260"/>
      <c r="Q318" s="260"/>
      <c r="R318" s="260"/>
      <c r="S318" s="260"/>
      <c r="T318" s="260"/>
      <c r="U318" s="260"/>
      <c r="V318" s="260"/>
      <c r="W318" s="260"/>
      <c r="X318" s="260"/>
      <c r="Y318" s="260"/>
      <c r="Z318" s="260"/>
    </row>
    <row r="319">
      <c r="A319" s="260"/>
      <c r="B319" s="260"/>
      <c r="C319" s="260"/>
      <c r="D319" s="260"/>
      <c r="E319" s="260"/>
      <c r="F319" s="260"/>
      <c r="G319" s="260"/>
      <c r="H319" s="260"/>
      <c r="I319" s="260"/>
      <c r="J319" s="260"/>
      <c r="K319" s="260"/>
      <c r="L319" s="260"/>
      <c r="M319" s="260"/>
      <c r="N319" s="260"/>
      <c r="O319" s="260"/>
      <c r="P319" s="260"/>
      <c r="Q319" s="260"/>
      <c r="R319" s="260"/>
      <c r="S319" s="260"/>
      <c r="T319" s="260"/>
      <c r="U319" s="260"/>
      <c r="V319" s="260"/>
      <c r="W319" s="260"/>
      <c r="X319" s="260"/>
      <c r="Y319" s="260"/>
      <c r="Z319" s="260"/>
    </row>
    <row r="320">
      <c r="A320" s="260"/>
      <c r="B320" s="260"/>
      <c r="C320" s="260"/>
      <c r="D320" s="260"/>
      <c r="E320" s="260"/>
      <c r="F320" s="260"/>
      <c r="G320" s="260"/>
      <c r="H320" s="260"/>
      <c r="I320" s="260"/>
      <c r="J320" s="260"/>
      <c r="K320" s="260"/>
      <c r="L320" s="260"/>
      <c r="M320" s="260"/>
      <c r="N320" s="260"/>
      <c r="O320" s="260"/>
      <c r="P320" s="260"/>
      <c r="Q320" s="260"/>
      <c r="R320" s="260"/>
      <c r="S320" s="260"/>
      <c r="T320" s="260"/>
      <c r="U320" s="260"/>
      <c r="V320" s="260"/>
      <c r="W320" s="260"/>
      <c r="X320" s="260"/>
      <c r="Y320" s="260"/>
      <c r="Z320" s="260"/>
    </row>
    <row r="321">
      <c r="A321" s="260"/>
      <c r="B321" s="260"/>
      <c r="C321" s="260"/>
      <c r="D321" s="260"/>
      <c r="E321" s="260"/>
      <c r="F321" s="260"/>
      <c r="G321" s="260"/>
      <c r="H321" s="260"/>
      <c r="I321" s="260"/>
      <c r="J321" s="260"/>
      <c r="K321" s="260"/>
      <c r="L321" s="260"/>
      <c r="M321" s="260"/>
      <c r="N321" s="260"/>
      <c r="O321" s="260"/>
      <c r="P321" s="260"/>
      <c r="Q321" s="260"/>
      <c r="R321" s="260"/>
      <c r="S321" s="260"/>
      <c r="T321" s="260"/>
      <c r="U321" s="260"/>
      <c r="V321" s="260"/>
      <c r="W321" s="260"/>
      <c r="X321" s="260"/>
      <c r="Y321" s="260"/>
      <c r="Z321" s="260"/>
    </row>
    <row r="322">
      <c r="A322" s="260"/>
      <c r="B322" s="260"/>
      <c r="C322" s="260"/>
      <c r="D322" s="260"/>
      <c r="E322" s="260"/>
      <c r="F322" s="260"/>
      <c r="G322" s="260"/>
      <c r="H322" s="260"/>
      <c r="I322" s="260"/>
      <c r="J322" s="260"/>
      <c r="K322" s="260"/>
      <c r="L322" s="260"/>
      <c r="M322" s="260"/>
      <c r="N322" s="260"/>
      <c r="O322" s="260"/>
      <c r="P322" s="260"/>
      <c r="Q322" s="260"/>
      <c r="R322" s="260"/>
      <c r="S322" s="260"/>
      <c r="T322" s="260"/>
      <c r="U322" s="260"/>
      <c r="V322" s="260"/>
      <c r="W322" s="260"/>
      <c r="X322" s="260"/>
      <c r="Y322" s="260"/>
      <c r="Z322" s="260"/>
    </row>
    <row r="323">
      <c r="A323" s="260"/>
      <c r="B323" s="260"/>
      <c r="C323" s="260"/>
      <c r="D323" s="260"/>
      <c r="E323" s="260"/>
      <c r="F323" s="260"/>
      <c r="G323" s="260"/>
      <c r="H323" s="260"/>
      <c r="I323" s="260"/>
      <c r="J323" s="260"/>
      <c r="K323" s="260"/>
      <c r="L323" s="260"/>
      <c r="M323" s="260"/>
      <c r="N323" s="260"/>
      <c r="O323" s="260"/>
      <c r="P323" s="260"/>
      <c r="Q323" s="260"/>
      <c r="R323" s="260"/>
      <c r="S323" s="260"/>
      <c r="T323" s="260"/>
      <c r="U323" s="260"/>
      <c r="V323" s="260"/>
      <c r="W323" s="260"/>
      <c r="X323" s="260"/>
      <c r="Y323" s="260"/>
      <c r="Z323" s="260"/>
    </row>
    <row r="324">
      <c r="A324" s="260"/>
      <c r="B324" s="260"/>
      <c r="C324" s="260"/>
      <c r="D324" s="260"/>
      <c r="E324" s="260"/>
      <c r="F324" s="260"/>
      <c r="G324" s="260"/>
      <c r="H324" s="260"/>
      <c r="I324" s="260"/>
      <c r="J324" s="260"/>
      <c r="K324" s="260"/>
      <c r="L324" s="260"/>
      <c r="M324" s="260"/>
      <c r="N324" s="260"/>
      <c r="O324" s="260"/>
      <c r="P324" s="260"/>
      <c r="Q324" s="260"/>
      <c r="R324" s="260"/>
      <c r="S324" s="260"/>
      <c r="T324" s="260"/>
      <c r="U324" s="260"/>
      <c r="V324" s="260"/>
      <c r="W324" s="260"/>
      <c r="X324" s="260"/>
      <c r="Y324" s="260"/>
      <c r="Z324" s="260"/>
    </row>
    <row r="325">
      <c r="A325" s="260"/>
      <c r="B325" s="260"/>
      <c r="C325" s="260"/>
      <c r="D325" s="260"/>
      <c r="E325" s="260"/>
      <c r="F325" s="260"/>
      <c r="G325" s="260"/>
      <c r="H325" s="260"/>
      <c r="I325" s="260"/>
      <c r="J325" s="260"/>
      <c r="K325" s="260"/>
      <c r="L325" s="260"/>
      <c r="M325" s="260"/>
      <c r="N325" s="260"/>
      <c r="O325" s="260"/>
      <c r="P325" s="260"/>
      <c r="Q325" s="260"/>
      <c r="R325" s="260"/>
      <c r="S325" s="260"/>
      <c r="T325" s="260"/>
      <c r="U325" s="260"/>
      <c r="V325" s="260"/>
      <c r="W325" s="260"/>
      <c r="X325" s="260"/>
      <c r="Y325" s="260"/>
      <c r="Z325" s="260"/>
    </row>
    <row r="326">
      <c r="A326" s="260"/>
      <c r="B326" s="260"/>
      <c r="C326" s="260"/>
      <c r="D326" s="260"/>
      <c r="E326" s="260"/>
      <c r="F326" s="260"/>
      <c r="G326" s="260"/>
      <c r="H326" s="260"/>
      <c r="I326" s="260"/>
      <c r="J326" s="260"/>
      <c r="K326" s="260"/>
      <c r="L326" s="260"/>
      <c r="M326" s="260"/>
      <c r="N326" s="260"/>
      <c r="O326" s="260"/>
      <c r="P326" s="260"/>
      <c r="Q326" s="260"/>
      <c r="R326" s="260"/>
      <c r="S326" s="260"/>
      <c r="T326" s="260"/>
      <c r="U326" s="260"/>
      <c r="V326" s="260"/>
      <c r="W326" s="260"/>
      <c r="X326" s="260"/>
      <c r="Y326" s="260"/>
      <c r="Z326" s="260"/>
    </row>
    <row r="327">
      <c r="A327" s="260"/>
      <c r="B327" s="260"/>
      <c r="C327" s="260"/>
      <c r="D327" s="260"/>
      <c r="E327" s="260"/>
      <c r="F327" s="260"/>
      <c r="G327" s="260"/>
      <c r="H327" s="260"/>
      <c r="I327" s="260"/>
      <c r="J327" s="260"/>
      <c r="K327" s="260"/>
      <c r="L327" s="260"/>
      <c r="M327" s="260"/>
      <c r="N327" s="260"/>
      <c r="O327" s="260"/>
      <c r="P327" s="260"/>
      <c r="Q327" s="260"/>
      <c r="R327" s="260"/>
      <c r="S327" s="260"/>
      <c r="T327" s="260"/>
      <c r="U327" s="260"/>
      <c r="V327" s="260"/>
      <c r="W327" s="260"/>
      <c r="X327" s="260"/>
      <c r="Y327" s="260"/>
      <c r="Z327" s="260"/>
    </row>
    <row r="328">
      <c r="A328" s="260"/>
      <c r="B328" s="260"/>
      <c r="C328" s="260"/>
      <c r="D328" s="260"/>
      <c r="E328" s="260"/>
      <c r="F328" s="260"/>
      <c r="G328" s="260"/>
      <c r="H328" s="260"/>
      <c r="I328" s="260"/>
      <c r="J328" s="260"/>
      <c r="K328" s="260"/>
      <c r="L328" s="260"/>
      <c r="M328" s="260"/>
      <c r="N328" s="260"/>
      <c r="O328" s="260"/>
      <c r="P328" s="260"/>
      <c r="Q328" s="260"/>
      <c r="R328" s="260"/>
      <c r="S328" s="260"/>
      <c r="T328" s="260"/>
      <c r="U328" s="260"/>
      <c r="V328" s="260"/>
      <c r="W328" s="260"/>
      <c r="X328" s="260"/>
      <c r="Y328" s="260"/>
      <c r="Z328" s="260"/>
    </row>
    <row r="329">
      <c r="A329" s="260"/>
      <c r="B329" s="260"/>
      <c r="C329" s="260"/>
      <c r="D329" s="260"/>
      <c r="E329" s="260"/>
      <c r="F329" s="260"/>
      <c r="G329" s="260"/>
      <c r="H329" s="260"/>
      <c r="I329" s="260"/>
      <c r="J329" s="260"/>
      <c r="K329" s="260"/>
      <c r="L329" s="260"/>
      <c r="M329" s="260"/>
      <c r="N329" s="260"/>
      <c r="O329" s="260"/>
      <c r="P329" s="260"/>
      <c r="Q329" s="260"/>
      <c r="R329" s="260"/>
      <c r="S329" s="260"/>
      <c r="T329" s="260"/>
      <c r="U329" s="260"/>
      <c r="V329" s="260"/>
      <c r="W329" s="260"/>
      <c r="X329" s="260"/>
      <c r="Y329" s="260"/>
      <c r="Z329" s="260"/>
    </row>
    <row r="330">
      <c r="A330" s="260"/>
      <c r="B330" s="260"/>
      <c r="C330" s="260"/>
      <c r="D330" s="260"/>
      <c r="E330" s="260"/>
      <c r="F330" s="260"/>
      <c r="G330" s="260"/>
      <c r="H330" s="260"/>
      <c r="I330" s="260"/>
      <c r="J330" s="260"/>
      <c r="K330" s="260"/>
      <c r="L330" s="260"/>
      <c r="M330" s="260"/>
      <c r="N330" s="260"/>
      <c r="O330" s="260"/>
      <c r="P330" s="260"/>
      <c r="Q330" s="260"/>
      <c r="R330" s="260"/>
      <c r="S330" s="260"/>
      <c r="T330" s="260"/>
      <c r="U330" s="260"/>
      <c r="V330" s="260"/>
      <c r="W330" s="260"/>
      <c r="X330" s="260"/>
      <c r="Y330" s="260"/>
      <c r="Z330" s="260"/>
    </row>
    <row r="331">
      <c r="A331" s="260"/>
      <c r="B331" s="260"/>
      <c r="C331" s="260"/>
      <c r="D331" s="260"/>
      <c r="E331" s="260"/>
      <c r="F331" s="260"/>
      <c r="G331" s="260"/>
      <c r="H331" s="260"/>
      <c r="I331" s="260"/>
      <c r="J331" s="260"/>
      <c r="K331" s="260"/>
      <c r="L331" s="260"/>
      <c r="M331" s="260"/>
      <c r="N331" s="260"/>
      <c r="O331" s="260"/>
      <c r="P331" s="260"/>
      <c r="Q331" s="260"/>
      <c r="R331" s="260"/>
      <c r="S331" s="260"/>
      <c r="T331" s="260"/>
      <c r="U331" s="260"/>
      <c r="V331" s="260"/>
      <c r="W331" s="260"/>
      <c r="X331" s="260"/>
      <c r="Y331" s="260"/>
      <c r="Z331" s="260"/>
    </row>
    <row r="332">
      <c r="A332" s="260"/>
      <c r="B332" s="260"/>
      <c r="C332" s="260"/>
      <c r="D332" s="260"/>
      <c r="E332" s="260"/>
      <c r="F332" s="260"/>
      <c r="G332" s="260"/>
      <c r="H332" s="260"/>
      <c r="I332" s="260"/>
      <c r="J332" s="260"/>
      <c r="K332" s="260"/>
      <c r="L332" s="260"/>
      <c r="M332" s="260"/>
      <c r="N332" s="260"/>
      <c r="O332" s="260"/>
      <c r="P332" s="260"/>
      <c r="Q332" s="260"/>
      <c r="R332" s="260"/>
      <c r="S332" s="260"/>
      <c r="T332" s="260"/>
      <c r="U332" s="260"/>
      <c r="V332" s="260"/>
      <c r="W332" s="260"/>
      <c r="X332" s="260"/>
      <c r="Y332" s="260"/>
      <c r="Z332" s="260"/>
    </row>
    <row r="333">
      <c r="A333" s="260"/>
      <c r="B333" s="260"/>
      <c r="C333" s="260"/>
      <c r="D333" s="260"/>
      <c r="E333" s="260"/>
      <c r="F333" s="260"/>
      <c r="G333" s="260"/>
      <c r="H333" s="260"/>
      <c r="I333" s="260"/>
      <c r="J333" s="260"/>
      <c r="K333" s="260"/>
      <c r="L333" s="260"/>
      <c r="M333" s="260"/>
      <c r="N333" s="260"/>
      <c r="O333" s="260"/>
      <c r="P333" s="260"/>
      <c r="Q333" s="260"/>
      <c r="R333" s="260"/>
      <c r="S333" s="260"/>
      <c r="T333" s="260"/>
      <c r="U333" s="260"/>
      <c r="V333" s="260"/>
      <c r="W333" s="260"/>
      <c r="X333" s="260"/>
      <c r="Y333" s="260"/>
      <c r="Z333" s="260"/>
    </row>
    <row r="334">
      <c r="A334" s="260"/>
      <c r="B334" s="260"/>
      <c r="C334" s="260"/>
      <c r="D334" s="260"/>
      <c r="E334" s="260"/>
      <c r="F334" s="260"/>
      <c r="G334" s="260"/>
      <c r="H334" s="260"/>
      <c r="I334" s="260"/>
      <c r="J334" s="260"/>
      <c r="K334" s="260"/>
      <c r="L334" s="260"/>
      <c r="M334" s="260"/>
      <c r="N334" s="260"/>
      <c r="O334" s="260"/>
      <c r="P334" s="260"/>
      <c r="Q334" s="260"/>
      <c r="R334" s="260"/>
      <c r="S334" s="260"/>
      <c r="T334" s="260"/>
      <c r="U334" s="260"/>
      <c r="V334" s="260"/>
      <c r="W334" s="260"/>
      <c r="X334" s="260"/>
      <c r="Y334" s="260"/>
      <c r="Z334" s="260"/>
    </row>
    <row r="335">
      <c r="A335" s="260"/>
      <c r="B335" s="260"/>
      <c r="C335" s="260"/>
      <c r="D335" s="260"/>
      <c r="E335" s="260"/>
      <c r="F335" s="260"/>
      <c r="G335" s="260"/>
      <c r="H335" s="260"/>
      <c r="I335" s="260"/>
      <c r="J335" s="260"/>
      <c r="K335" s="260"/>
      <c r="L335" s="260"/>
      <c r="M335" s="260"/>
      <c r="N335" s="260"/>
      <c r="O335" s="260"/>
      <c r="P335" s="260"/>
      <c r="Q335" s="260"/>
      <c r="R335" s="260"/>
      <c r="S335" s="260"/>
      <c r="T335" s="260"/>
      <c r="U335" s="260"/>
      <c r="V335" s="260"/>
      <c r="W335" s="260"/>
      <c r="X335" s="260"/>
      <c r="Y335" s="260"/>
      <c r="Z335" s="260"/>
    </row>
    <row r="336">
      <c r="A336" s="260"/>
      <c r="B336" s="260"/>
      <c r="C336" s="260"/>
      <c r="D336" s="260"/>
      <c r="E336" s="260"/>
      <c r="F336" s="260"/>
      <c r="G336" s="260"/>
      <c r="H336" s="260"/>
      <c r="I336" s="260"/>
      <c r="J336" s="260"/>
      <c r="K336" s="260"/>
      <c r="L336" s="260"/>
      <c r="M336" s="260"/>
      <c r="N336" s="260"/>
      <c r="O336" s="260"/>
      <c r="P336" s="260"/>
      <c r="Q336" s="260"/>
      <c r="R336" s="260"/>
      <c r="S336" s="260"/>
      <c r="T336" s="260"/>
      <c r="U336" s="260"/>
      <c r="V336" s="260"/>
      <c r="W336" s="260"/>
      <c r="X336" s="260"/>
      <c r="Y336" s="260"/>
      <c r="Z336" s="260"/>
    </row>
    <row r="337">
      <c r="A337" s="260"/>
      <c r="B337" s="260"/>
      <c r="C337" s="260"/>
      <c r="D337" s="260"/>
      <c r="E337" s="260"/>
      <c r="F337" s="260"/>
      <c r="G337" s="260"/>
      <c r="H337" s="260"/>
      <c r="I337" s="260"/>
      <c r="J337" s="260"/>
      <c r="K337" s="260"/>
      <c r="L337" s="260"/>
      <c r="M337" s="260"/>
      <c r="N337" s="260"/>
      <c r="O337" s="260"/>
      <c r="P337" s="260"/>
      <c r="Q337" s="260"/>
      <c r="R337" s="260"/>
      <c r="S337" s="260"/>
      <c r="T337" s="260"/>
      <c r="U337" s="260"/>
      <c r="V337" s="260"/>
      <c r="W337" s="260"/>
      <c r="X337" s="260"/>
      <c r="Y337" s="260"/>
      <c r="Z337" s="260"/>
    </row>
    <row r="338">
      <c r="A338" s="260"/>
      <c r="B338" s="260"/>
      <c r="C338" s="260"/>
      <c r="D338" s="260"/>
      <c r="E338" s="260"/>
      <c r="F338" s="260"/>
      <c r="G338" s="260"/>
      <c r="H338" s="260"/>
      <c r="I338" s="260"/>
      <c r="J338" s="260"/>
      <c r="K338" s="260"/>
      <c r="L338" s="260"/>
      <c r="M338" s="260"/>
      <c r="N338" s="260"/>
      <c r="O338" s="260"/>
      <c r="P338" s="260"/>
      <c r="Q338" s="260"/>
      <c r="R338" s="260"/>
      <c r="S338" s="260"/>
      <c r="T338" s="260"/>
      <c r="U338" s="260"/>
      <c r="V338" s="260"/>
      <c r="W338" s="260"/>
      <c r="X338" s="260"/>
      <c r="Y338" s="260"/>
      <c r="Z338" s="260"/>
    </row>
    <row r="339">
      <c r="A339" s="260"/>
      <c r="B339" s="260"/>
      <c r="C339" s="260"/>
      <c r="D339" s="260"/>
      <c r="E339" s="260"/>
      <c r="F339" s="260"/>
      <c r="G339" s="260"/>
      <c r="H339" s="260"/>
      <c r="I339" s="260"/>
      <c r="J339" s="260"/>
      <c r="K339" s="260"/>
      <c r="L339" s="260"/>
      <c r="M339" s="260"/>
      <c r="N339" s="260"/>
      <c r="O339" s="260"/>
      <c r="P339" s="260"/>
      <c r="Q339" s="260"/>
      <c r="R339" s="260"/>
      <c r="S339" s="260"/>
      <c r="T339" s="260"/>
      <c r="U339" s="260"/>
      <c r="V339" s="260"/>
      <c r="W339" s="260"/>
      <c r="X339" s="260"/>
      <c r="Y339" s="260"/>
      <c r="Z339" s="260"/>
    </row>
    <row r="340">
      <c r="A340" s="260"/>
      <c r="B340" s="260"/>
      <c r="C340" s="260"/>
      <c r="D340" s="260"/>
      <c r="E340" s="260"/>
      <c r="F340" s="260"/>
      <c r="G340" s="260"/>
      <c r="H340" s="260"/>
      <c r="I340" s="260"/>
      <c r="J340" s="260"/>
      <c r="K340" s="260"/>
      <c r="L340" s="260"/>
      <c r="M340" s="260"/>
      <c r="N340" s="260"/>
      <c r="O340" s="260"/>
      <c r="P340" s="260"/>
      <c r="Q340" s="260"/>
      <c r="R340" s="260"/>
      <c r="S340" s="260"/>
      <c r="T340" s="260"/>
      <c r="U340" s="260"/>
      <c r="V340" s="260"/>
      <c r="W340" s="260"/>
      <c r="X340" s="260"/>
      <c r="Y340" s="260"/>
      <c r="Z340" s="260"/>
    </row>
    <row r="341">
      <c r="A341" s="260"/>
      <c r="B341" s="260"/>
      <c r="C341" s="260"/>
      <c r="D341" s="260"/>
      <c r="E341" s="260"/>
      <c r="F341" s="260"/>
      <c r="G341" s="260"/>
      <c r="H341" s="260"/>
      <c r="I341" s="260"/>
      <c r="J341" s="260"/>
      <c r="K341" s="260"/>
      <c r="L341" s="260"/>
      <c r="M341" s="260"/>
      <c r="N341" s="260"/>
      <c r="O341" s="260"/>
      <c r="P341" s="260"/>
      <c r="Q341" s="260"/>
      <c r="R341" s="260"/>
      <c r="S341" s="260"/>
      <c r="T341" s="260"/>
      <c r="U341" s="260"/>
      <c r="V341" s="260"/>
      <c r="W341" s="260"/>
      <c r="X341" s="260"/>
      <c r="Y341" s="260"/>
      <c r="Z341" s="260"/>
    </row>
    <row r="342">
      <c r="A342" s="260"/>
      <c r="B342" s="260"/>
      <c r="C342" s="260"/>
      <c r="D342" s="260"/>
      <c r="E342" s="260"/>
      <c r="F342" s="260"/>
      <c r="G342" s="260"/>
      <c r="H342" s="260"/>
      <c r="I342" s="260"/>
      <c r="J342" s="260"/>
      <c r="K342" s="260"/>
      <c r="L342" s="260"/>
      <c r="M342" s="260"/>
      <c r="N342" s="260"/>
      <c r="O342" s="260"/>
      <c r="P342" s="260"/>
      <c r="Q342" s="260"/>
      <c r="R342" s="260"/>
      <c r="S342" s="260"/>
      <c r="T342" s="260"/>
      <c r="U342" s="260"/>
      <c r="V342" s="260"/>
      <c r="W342" s="260"/>
      <c r="X342" s="260"/>
      <c r="Y342" s="260"/>
      <c r="Z342" s="260"/>
    </row>
    <row r="343">
      <c r="A343" s="260"/>
      <c r="B343" s="260"/>
      <c r="C343" s="260"/>
      <c r="D343" s="260"/>
      <c r="E343" s="260"/>
      <c r="F343" s="260"/>
      <c r="G343" s="260"/>
      <c r="H343" s="260"/>
      <c r="I343" s="260"/>
      <c r="J343" s="260"/>
      <c r="K343" s="260"/>
      <c r="L343" s="260"/>
      <c r="M343" s="260"/>
      <c r="N343" s="260"/>
      <c r="O343" s="260"/>
      <c r="P343" s="260"/>
      <c r="Q343" s="260"/>
      <c r="R343" s="260"/>
      <c r="S343" s="260"/>
      <c r="T343" s="260"/>
      <c r="U343" s="260"/>
      <c r="V343" s="260"/>
      <c r="W343" s="260"/>
      <c r="X343" s="260"/>
      <c r="Y343" s="260"/>
      <c r="Z343" s="260"/>
    </row>
    <row r="344">
      <c r="A344" s="260"/>
      <c r="B344" s="260"/>
      <c r="C344" s="260"/>
      <c r="D344" s="260"/>
      <c r="E344" s="260"/>
      <c r="F344" s="260"/>
      <c r="G344" s="260"/>
      <c r="H344" s="260"/>
      <c r="I344" s="260"/>
      <c r="J344" s="260"/>
      <c r="K344" s="260"/>
      <c r="L344" s="260"/>
      <c r="M344" s="260"/>
      <c r="N344" s="260"/>
      <c r="O344" s="260"/>
      <c r="P344" s="260"/>
      <c r="Q344" s="260"/>
      <c r="R344" s="260"/>
      <c r="S344" s="260"/>
      <c r="T344" s="260"/>
      <c r="U344" s="260"/>
      <c r="V344" s="260"/>
      <c r="W344" s="260"/>
      <c r="X344" s="260"/>
      <c r="Y344" s="260"/>
      <c r="Z344" s="260"/>
    </row>
    <row r="345">
      <c r="A345" s="260"/>
      <c r="B345" s="260"/>
      <c r="C345" s="260"/>
      <c r="D345" s="260"/>
      <c r="E345" s="260"/>
      <c r="F345" s="260"/>
      <c r="G345" s="260"/>
      <c r="H345" s="260"/>
      <c r="I345" s="260"/>
      <c r="J345" s="260"/>
      <c r="K345" s="260"/>
      <c r="L345" s="260"/>
      <c r="M345" s="260"/>
      <c r="N345" s="260"/>
      <c r="O345" s="260"/>
      <c r="P345" s="260"/>
      <c r="Q345" s="260"/>
      <c r="R345" s="260"/>
      <c r="S345" s="260"/>
      <c r="T345" s="260"/>
      <c r="U345" s="260"/>
      <c r="V345" s="260"/>
      <c r="W345" s="260"/>
      <c r="X345" s="260"/>
      <c r="Y345" s="260"/>
      <c r="Z345" s="260"/>
    </row>
    <row r="346">
      <c r="A346" s="260"/>
      <c r="B346" s="260"/>
      <c r="C346" s="260"/>
      <c r="D346" s="260"/>
      <c r="E346" s="260"/>
      <c r="F346" s="260"/>
      <c r="G346" s="260"/>
      <c r="H346" s="260"/>
      <c r="I346" s="260"/>
      <c r="J346" s="260"/>
      <c r="K346" s="260"/>
      <c r="L346" s="260"/>
      <c r="M346" s="260"/>
      <c r="N346" s="260"/>
      <c r="O346" s="260"/>
      <c r="P346" s="260"/>
      <c r="Q346" s="260"/>
      <c r="R346" s="260"/>
      <c r="S346" s="260"/>
      <c r="T346" s="260"/>
      <c r="U346" s="260"/>
      <c r="V346" s="260"/>
      <c r="W346" s="260"/>
      <c r="X346" s="260"/>
      <c r="Y346" s="260"/>
      <c r="Z346" s="260"/>
    </row>
    <row r="347">
      <c r="A347" s="260"/>
      <c r="B347" s="260"/>
      <c r="C347" s="260"/>
      <c r="D347" s="260"/>
      <c r="E347" s="260"/>
      <c r="F347" s="260"/>
      <c r="G347" s="260"/>
      <c r="H347" s="260"/>
      <c r="I347" s="260"/>
      <c r="J347" s="260"/>
      <c r="K347" s="260"/>
      <c r="L347" s="260"/>
      <c r="M347" s="260"/>
      <c r="N347" s="260"/>
      <c r="O347" s="260"/>
      <c r="P347" s="260"/>
      <c r="Q347" s="260"/>
      <c r="R347" s="260"/>
      <c r="S347" s="260"/>
      <c r="T347" s="260"/>
      <c r="U347" s="260"/>
      <c r="V347" s="260"/>
      <c r="W347" s="260"/>
      <c r="X347" s="260"/>
      <c r="Y347" s="260"/>
      <c r="Z347" s="260"/>
    </row>
    <row r="348">
      <c r="A348" s="260"/>
      <c r="B348" s="260"/>
      <c r="C348" s="260"/>
      <c r="D348" s="260"/>
      <c r="E348" s="260"/>
      <c r="F348" s="260"/>
      <c r="G348" s="260"/>
      <c r="H348" s="260"/>
      <c r="I348" s="260"/>
      <c r="J348" s="260"/>
      <c r="K348" s="260"/>
      <c r="L348" s="260"/>
      <c r="M348" s="260"/>
      <c r="N348" s="260"/>
      <c r="O348" s="260"/>
      <c r="P348" s="260"/>
      <c r="Q348" s="260"/>
      <c r="R348" s="260"/>
      <c r="S348" s="260"/>
      <c r="T348" s="260"/>
      <c r="U348" s="260"/>
      <c r="V348" s="260"/>
      <c r="W348" s="260"/>
      <c r="X348" s="260"/>
      <c r="Y348" s="260"/>
      <c r="Z348" s="260"/>
    </row>
    <row r="349">
      <c r="A349" s="260"/>
      <c r="B349" s="260"/>
      <c r="C349" s="260"/>
      <c r="D349" s="260"/>
      <c r="E349" s="260"/>
      <c r="F349" s="260"/>
      <c r="G349" s="260"/>
      <c r="H349" s="260"/>
      <c r="I349" s="260"/>
      <c r="J349" s="260"/>
      <c r="K349" s="260"/>
      <c r="L349" s="260"/>
      <c r="M349" s="260"/>
      <c r="N349" s="260"/>
      <c r="O349" s="260"/>
      <c r="P349" s="260"/>
      <c r="Q349" s="260"/>
      <c r="R349" s="260"/>
      <c r="S349" s="260"/>
      <c r="T349" s="260"/>
      <c r="U349" s="260"/>
      <c r="V349" s="260"/>
      <c r="W349" s="260"/>
      <c r="X349" s="260"/>
      <c r="Y349" s="260"/>
      <c r="Z349" s="260"/>
    </row>
    <row r="350">
      <c r="A350" s="260"/>
      <c r="B350" s="260"/>
      <c r="C350" s="260"/>
      <c r="D350" s="260"/>
      <c r="E350" s="260"/>
      <c r="F350" s="260"/>
      <c r="G350" s="260"/>
      <c r="H350" s="260"/>
      <c r="I350" s="260"/>
      <c r="J350" s="260"/>
      <c r="K350" s="260"/>
      <c r="L350" s="260"/>
      <c r="M350" s="260"/>
      <c r="N350" s="260"/>
      <c r="O350" s="260"/>
      <c r="P350" s="260"/>
      <c r="Q350" s="260"/>
      <c r="R350" s="260"/>
      <c r="S350" s="260"/>
      <c r="T350" s="260"/>
      <c r="U350" s="260"/>
      <c r="V350" s="260"/>
      <c r="W350" s="260"/>
      <c r="X350" s="260"/>
      <c r="Y350" s="260"/>
      <c r="Z350" s="260"/>
    </row>
    <row r="351">
      <c r="A351" s="260"/>
      <c r="B351" s="260"/>
      <c r="C351" s="260"/>
      <c r="D351" s="260"/>
      <c r="E351" s="260"/>
      <c r="F351" s="260"/>
      <c r="G351" s="260"/>
      <c r="H351" s="260"/>
      <c r="I351" s="260"/>
      <c r="J351" s="260"/>
      <c r="K351" s="260"/>
      <c r="L351" s="260"/>
      <c r="M351" s="260"/>
      <c r="N351" s="260"/>
      <c r="O351" s="260"/>
      <c r="P351" s="260"/>
      <c r="Q351" s="260"/>
      <c r="R351" s="260"/>
      <c r="S351" s="260"/>
      <c r="T351" s="260"/>
      <c r="U351" s="260"/>
      <c r="V351" s="260"/>
      <c r="W351" s="260"/>
      <c r="X351" s="260"/>
      <c r="Y351" s="260"/>
      <c r="Z351" s="260"/>
    </row>
    <row r="352">
      <c r="A352" s="260"/>
      <c r="B352" s="260"/>
      <c r="C352" s="260"/>
      <c r="D352" s="260"/>
      <c r="E352" s="260"/>
      <c r="F352" s="260"/>
      <c r="G352" s="260"/>
      <c r="H352" s="260"/>
      <c r="I352" s="260"/>
      <c r="J352" s="260"/>
      <c r="K352" s="260"/>
      <c r="L352" s="260"/>
      <c r="M352" s="260"/>
      <c r="N352" s="260"/>
      <c r="O352" s="260"/>
      <c r="P352" s="260"/>
      <c r="Q352" s="260"/>
      <c r="R352" s="260"/>
      <c r="S352" s="260"/>
      <c r="T352" s="260"/>
      <c r="U352" s="260"/>
      <c r="V352" s="260"/>
      <c r="W352" s="260"/>
      <c r="X352" s="260"/>
      <c r="Y352" s="260"/>
      <c r="Z352" s="260"/>
    </row>
    <row r="353">
      <c r="A353" s="260"/>
      <c r="B353" s="260"/>
      <c r="C353" s="260"/>
      <c r="D353" s="260"/>
      <c r="E353" s="260"/>
      <c r="F353" s="260"/>
      <c r="G353" s="260"/>
      <c r="H353" s="260"/>
      <c r="I353" s="260"/>
      <c r="J353" s="260"/>
      <c r="K353" s="260"/>
      <c r="L353" s="260"/>
      <c r="M353" s="260"/>
      <c r="N353" s="260"/>
      <c r="O353" s="260"/>
      <c r="P353" s="260"/>
      <c r="Q353" s="260"/>
      <c r="R353" s="260"/>
      <c r="S353" s="260"/>
      <c r="T353" s="260"/>
      <c r="U353" s="260"/>
      <c r="V353" s="260"/>
      <c r="W353" s="260"/>
      <c r="X353" s="260"/>
      <c r="Y353" s="260"/>
      <c r="Z353" s="260"/>
    </row>
    <row r="354">
      <c r="A354" s="260"/>
      <c r="B354" s="260"/>
      <c r="C354" s="260"/>
      <c r="D354" s="260"/>
      <c r="E354" s="260"/>
      <c r="F354" s="260"/>
      <c r="G354" s="260"/>
      <c r="H354" s="260"/>
      <c r="I354" s="260"/>
      <c r="J354" s="260"/>
      <c r="K354" s="260"/>
      <c r="L354" s="260"/>
      <c r="M354" s="260"/>
      <c r="N354" s="260"/>
      <c r="O354" s="260"/>
      <c r="P354" s="260"/>
      <c r="Q354" s="260"/>
      <c r="R354" s="260"/>
      <c r="S354" s="260"/>
      <c r="T354" s="260"/>
      <c r="U354" s="260"/>
      <c r="V354" s="260"/>
      <c r="W354" s="260"/>
      <c r="X354" s="260"/>
      <c r="Y354" s="260"/>
      <c r="Z354" s="260"/>
    </row>
    <row r="355">
      <c r="A355" s="260"/>
      <c r="B355" s="260"/>
      <c r="C355" s="260"/>
      <c r="D355" s="260"/>
      <c r="E355" s="260"/>
      <c r="F355" s="260"/>
      <c r="G355" s="260"/>
      <c r="H355" s="260"/>
      <c r="I355" s="260"/>
      <c r="J355" s="260"/>
      <c r="K355" s="260"/>
      <c r="L355" s="260"/>
      <c r="M355" s="260"/>
      <c r="N355" s="260"/>
      <c r="O355" s="260"/>
      <c r="P355" s="260"/>
      <c r="Q355" s="260"/>
      <c r="R355" s="260"/>
      <c r="S355" s="260"/>
      <c r="T355" s="260"/>
      <c r="U355" s="260"/>
      <c r="V355" s="260"/>
      <c r="W355" s="260"/>
      <c r="X355" s="260"/>
      <c r="Y355" s="260"/>
      <c r="Z355" s="260"/>
    </row>
    <row r="356">
      <c r="A356" s="260"/>
      <c r="B356" s="260"/>
      <c r="C356" s="260"/>
      <c r="D356" s="260"/>
      <c r="E356" s="260"/>
      <c r="F356" s="260"/>
      <c r="G356" s="260"/>
      <c r="H356" s="260"/>
      <c r="I356" s="260"/>
      <c r="J356" s="260"/>
      <c r="K356" s="260"/>
      <c r="L356" s="260"/>
      <c r="M356" s="260"/>
      <c r="N356" s="260"/>
      <c r="O356" s="260"/>
      <c r="P356" s="260"/>
      <c r="Q356" s="260"/>
      <c r="R356" s="260"/>
      <c r="S356" s="260"/>
      <c r="T356" s="260"/>
      <c r="U356" s="260"/>
      <c r="V356" s="260"/>
      <c r="W356" s="260"/>
      <c r="X356" s="260"/>
      <c r="Y356" s="260"/>
      <c r="Z356" s="260"/>
    </row>
    <row r="357">
      <c r="A357" s="260"/>
      <c r="B357" s="260"/>
      <c r="C357" s="260"/>
      <c r="D357" s="260"/>
      <c r="E357" s="260"/>
      <c r="F357" s="260"/>
      <c r="G357" s="260"/>
      <c r="H357" s="260"/>
      <c r="I357" s="260"/>
      <c r="J357" s="260"/>
      <c r="K357" s="260"/>
      <c r="L357" s="260"/>
      <c r="M357" s="260"/>
      <c r="N357" s="260"/>
      <c r="O357" s="260"/>
      <c r="P357" s="260"/>
      <c r="Q357" s="260"/>
      <c r="R357" s="260"/>
      <c r="S357" s="260"/>
      <c r="T357" s="260"/>
      <c r="U357" s="260"/>
      <c r="V357" s="260"/>
      <c r="W357" s="260"/>
      <c r="X357" s="260"/>
      <c r="Y357" s="260"/>
      <c r="Z357" s="260"/>
    </row>
    <row r="358">
      <c r="A358" s="260"/>
      <c r="B358" s="260"/>
      <c r="C358" s="260"/>
      <c r="D358" s="260"/>
      <c r="E358" s="260"/>
      <c r="F358" s="260"/>
      <c r="G358" s="260"/>
      <c r="H358" s="260"/>
      <c r="I358" s="260"/>
      <c r="J358" s="260"/>
      <c r="K358" s="260"/>
      <c r="L358" s="260"/>
      <c r="M358" s="260"/>
      <c r="N358" s="260"/>
      <c r="O358" s="260"/>
      <c r="P358" s="260"/>
      <c r="Q358" s="260"/>
      <c r="R358" s="260"/>
      <c r="S358" s="260"/>
      <c r="T358" s="260"/>
      <c r="U358" s="260"/>
      <c r="V358" s="260"/>
      <c r="W358" s="260"/>
      <c r="X358" s="260"/>
      <c r="Y358" s="260"/>
      <c r="Z358" s="260"/>
    </row>
    <row r="359">
      <c r="A359" s="260"/>
      <c r="B359" s="260"/>
      <c r="C359" s="260"/>
      <c r="D359" s="260"/>
      <c r="E359" s="260"/>
      <c r="F359" s="260"/>
      <c r="G359" s="260"/>
      <c r="H359" s="260"/>
      <c r="I359" s="260"/>
      <c r="J359" s="260"/>
      <c r="K359" s="260"/>
      <c r="L359" s="260"/>
      <c r="M359" s="260"/>
      <c r="N359" s="260"/>
      <c r="O359" s="260"/>
      <c r="P359" s="260"/>
      <c r="Q359" s="260"/>
      <c r="R359" s="260"/>
      <c r="S359" s="260"/>
      <c r="T359" s="260"/>
      <c r="U359" s="260"/>
      <c r="V359" s="260"/>
      <c r="W359" s="260"/>
      <c r="X359" s="260"/>
      <c r="Y359" s="260"/>
      <c r="Z359" s="260"/>
    </row>
    <row r="360">
      <c r="A360" s="260"/>
      <c r="B360" s="260"/>
      <c r="C360" s="260"/>
      <c r="D360" s="260"/>
      <c r="E360" s="260"/>
      <c r="F360" s="260"/>
      <c r="G360" s="260"/>
      <c r="H360" s="260"/>
      <c r="I360" s="260"/>
      <c r="J360" s="260"/>
      <c r="K360" s="260"/>
      <c r="L360" s="260"/>
      <c r="M360" s="260"/>
      <c r="N360" s="260"/>
      <c r="O360" s="260"/>
      <c r="P360" s="260"/>
      <c r="Q360" s="260"/>
      <c r="R360" s="260"/>
      <c r="S360" s="260"/>
      <c r="T360" s="260"/>
      <c r="U360" s="260"/>
      <c r="V360" s="260"/>
      <c r="W360" s="260"/>
      <c r="X360" s="260"/>
      <c r="Y360" s="260"/>
      <c r="Z360" s="260"/>
    </row>
    <row r="361">
      <c r="A361" s="260"/>
      <c r="B361" s="260"/>
      <c r="C361" s="260"/>
      <c r="D361" s="260"/>
      <c r="E361" s="260"/>
      <c r="F361" s="260"/>
      <c r="G361" s="260"/>
      <c r="H361" s="260"/>
      <c r="I361" s="260"/>
      <c r="J361" s="260"/>
      <c r="K361" s="260"/>
      <c r="L361" s="260"/>
      <c r="M361" s="260"/>
      <c r="N361" s="260"/>
      <c r="O361" s="260"/>
      <c r="P361" s="260"/>
      <c r="Q361" s="260"/>
      <c r="R361" s="260"/>
      <c r="S361" s="260"/>
      <c r="T361" s="260"/>
      <c r="U361" s="260"/>
      <c r="V361" s="260"/>
      <c r="W361" s="260"/>
      <c r="X361" s="260"/>
      <c r="Y361" s="260"/>
      <c r="Z361" s="260"/>
    </row>
    <row r="362">
      <c r="A362" s="260"/>
      <c r="B362" s="260"/>
      <c r="C362" s="260"/>
      <c r="D362" s="260"/>
      <c r="E362" s="260"/>
      <c r="F362" s="260"/>
      <c r="G362" s="260"/>
      <c r="H362" s="260"/>
      <c r="I362" s="260"/>
      <c r="J362" s="260"/>
      <c r="K362" s="260"/>
      <c r="L362" s="260"/>
      <c r="M362" s="260"/>
      <c r="N362" s="260"/>
      <c r="O362" s="260"/>
      <c r="P362" s="260"/>
      <c r="Q362" s="260"/>
      <c r="R362" s="260"/>
      <c r="S362" s="260"/>
      <c r="T362" s="260"/>
      <c r="U362" s="260"/>
      <c r="V362" s="260"/>
      <c r="W362" s="260"/>
      <c r="X362" s="260"/>
      <c r="Y362" s="260"/>
      <c r="Z362" s="260"/>
    </row>
    <row r="363">
      <c r="A363" s="260"/>
      <c r="B363" s="260"/>
      <c r="C363" s="260"/>
      <c r="D363" s="260"/>
      <c r="E363" s="260"/>
      <c r="F363" s="260"/>
      <c r="G363" s="260"/>
      <c r="H363" s="260"/>
      <c r="I363" s="260"/>
      <c r="J363" s="260"/>
      <c r="K363" s="260"/>
      <c r="L363" s="260"/>
      <c r="M363" s="260"/>
      <c r="N363" s="260"/>
      <c r="O363" s="260"/>
      <c r="P363" s="260"/>
      <c r="Q363" s="260"/>
      <c r="R363" s="260"/>
      <c r="S363" s="260"/>
      <c r="T363" s="260"/>
      <c r="U363" s="260"/>
      <c r="V363" s="260"/>
      <c r="W363" s="260"/>
      <c r="X363" s="260"/>
      <c r="Y363" s="260"/>
      <c r="Z363" s="260"/>
    </row>
    <row r="364">
      <c r="A364" s="260"/>
      <c r="B364" s="260"/>
      <c r="C364" s="260"/>
      <c r="D364" s="260"/>
      <c r="E364" s="260"/>
      <c r="F364" s="260"/>
      <c r="G364" s="260"/>
      <c r="H364" s="260"/>
      <c r="I364" s="260"/>
      <c r="J364" s="260"/>
      <c r="K364" s="260"/>
      <c r="L364" s="260"/>
      <c r="M364" s="260"/>
      <c r="N364" s="260"/>
      <c r="O364" s="260"/>
      <c r="P364" s="260"/>
      <c r="Q364" s="260"/>
      <c r="R364" s="260"/>
      <c r="S364" s="260"/>
      <c r="T364" s="260"/>
      <c r="U364" s="260"/>
      <c r="V364" s="260"/>
      <c r="W364" s="260"/>
      <c r="X364" s="260"/>
      <c r="Y364" s="260"/>
      <c r="Z364" s="260"/>
    </row>
    <row r="365">
      <c r="A365" s="260"/>
      <c r="B365" s="260"/>
      <c r="C365" s="260"/>
      <c r="D365" s="260"/>
      <c r="E365" s="260"/>
      <c r="F365" s="260"/>
      <c r="G365" s="260"/>
      <c r="H365" s="260"/>
      <c r="I365" s="260"/>
      <c r="J365" s="260"/>
      <c r="K365" s="260"/>
      <c r="L365" s="260"/>
      <c r="M365" s="260"/>
      <c r="N365" s="260"/>
      <c r="O365" s="260"/>
      <c r="P365" s="260"/>
      <c r="Q365" s="260"/>
      <c r="R365" s="260"/>
      <c r="S365" s="260"/>
      <c r="T365" s="260"/>
      <c r="U365" s="260"/>
      <c r="V365" s="260"/>
      <c r="W365" s="260"/>
      <c r="X365" s="260"/>
      <c r="Y365" s="260"/>
      <c r="Z365" s="260"/>
    </row>
    <row r="366">
      <c r="A366" s="260"/>
      <c r="B366" s="260"/>
      <c r="C366" s="260"/>
      <c r="D366" s="260"/>
      <c r="E366" s="260"/>
      <c r="F366" s="260"/>
      <c r="G366" s="260"/>
      <c r="H366" s="260"/>
      <c r="I366" s="260"/>
      <c r="J366" s="260"/>
      <c r="K366" s="260"/>
      <c r="L366" s="260"/>
      <c r="M366" s="260"/>
      <c r="N366" s="260"/>
      <c r="O366" s="260"/>
      <c r="P366" s="260"/>
      <c r="Q366" s="260"/>
      <c r="R366" s="260"/>
      <c r="S366" s="260"/>
      <c r="T366" s="260"/>
      <c r="U366" s="260"/>
      <c r="V366" s="260"/>
      <c r="W366" s="260"/>
      <c r="X366" s="260"/>
      <c r="Y366" s="260"/>
      <c r="Z366" s="260"/>
    </row>
    <row r="367">
      <c r="A367" s="260"/>
      <c r="B367" s="260"/>
      <c r="C367" s="260"/>
      <c r="D367" s="260"/>
      <c r="E367" s="260"/>
      <c r="F367" s="260"/>
      <c r="G367" s="260"/>
      <c r="H367" s="260"/>
      <c r="I367" s="260"/>
      <c r="J367" s="260"/>
      <c r="K367" s="260"/>
      <c r="L367" s="260"/>
      <c r="M367" s="260"/>
      <c r="N367" s="260"/>
      <c r="O367" s="260"/>
      <c r="P367" s="260"/>
      <c r="Q367" s="260"/>
      <c r="R367" s="260"/>
      <c r="S367" s="260"/>
      <c r="T367" s="260"/>
      <c r="U367" s="260"/>
      <c r="V367" s="260"/>
      <c r="W367" s="260"/>
      <c r="X367" s="260"/>
      <c r="Y367" s="260"/>
      <c r="Z367" s="260"/>
    </row>
    <row r="368">
      <c r="A368" s="260"/>
      <c r="B368" s="260"/>
      <c r="C368" s="260"/>
      <c r="D368" s="260"/>
      <c r="E368" s="260"/>
      <c r="F368" s="260"/>
      <c r="G368" s="260"/>
      <c r="H368" s="260"/>
      <c r="I368" s="260"/>
      <c r="J368" s="260"/>
      <c r="K368" s="260"/>
      <c r="L368" s="260"/>
      <c r="M368" s="260"/>
      <c r="N368" s="260"/>
      <c r="O368" s="260"/>
      <c r="P368" s="260"/>
      <c r="Q368" s="260"/>
      <c r="R368" s="260"/>
      <c r="S368" s="260"/>
      <c r="T368" s="260"/>
      <c r="U368" s="260"/>
      <c r="V368" s="260"/>
      <c r="W368" s="260"/>
      <c r="X368" s="260"/>
      <c r="Y368" s="260"/>
      <c r="Z368" s="260"/>
    </row>
    <row r="369">
      <c r="A369" s="260"/>
      <c r="B369" s="260"/>
      <c r="C369" s="260"/>
      <c r="D369" s="260"/>
      <c r="E369" s="260"/>
      <c r="F369" s="260"/>
      <c r="G369" s="260"/>
      <c r="H369" s="260"/>
      <c r="I369" s="260"/>
      <c r="J369" s="260"/>
      <c r="K369" s="260"/>
      <c r="L369" s="260"/>
      <c r="M369" s="260"/>
      <c r="N369" s="260"/>
      <c r="O369" s="260"/>
      <c r="P369" s="260"/>
      <c r="Q369" s="260"/>
      <c r="R369" s="260"/>
      <c r="S369" s="260"/>
      <c r="T369" s="260"/>
      <c r="U369" s="260"/>
      <c r="V369" s="260"/>
      <c r="W369" s="260"/>
      <c r="X369" s="260"/>
      <c r="Y369" s="260"/>
      <c r="Z369" s="260"/>
    </row>
    <row r="370">
      <c r="A370" s="260"/>
      <c r="B370" s="260"/>
      <c r="C370" s="260"/>
      <c r="D370" s="260"/>
      <c r="E370" s="260"/>
      <c r="F370" s="260"/>
      <c r="G370" s="260"/>
      <c r="H370" s="260"/>
      <c r="I370" s="260"/>
      <c r="J370" s="260"/>
      <c r="K370" s="260"/>
      <c r="L370" s="260"/>
      <c r="M370" s="260"/>
      <c r="N370" s="260"/>
      <c r="O370" s="260"/>
      <c r="P370" s="260"/>
      <c r="Q370" s="260"/>
      <c r="R370" s="260"/>
      <c r="S370" s="260"/>
      <c r="T370" s="260"/>
      <c r="U370" s="260"/>
      <c r="V370" s="260"/>
      <c r="W370" s="260"/>
      <c r="X370" s="260"/>
      <c r="Y370" s="260"/>
      <c r="Z370" s="260"/>
    </row>
    <row r="371">
      <c r="A371" s="260"/>
      <c r="B371" s="260"/>
      <c r="C371" s="260"/>
      <c r="D371" s="260"/>
      <c r="E371" s="260"/>
      <c r="F371" s="260"/>
      <c r="G371" s="260"/>
      <c r="H371" s="260"/>
      <c r="I371" s="260"/>
      <c r="J371" s="260"/>
      <c r="K371" s="260"/>
      <c r="L371" s="260"/>
      <c r="M371" s="260"/>
      <c r="N371" s="260"/>
      <c r="O371" s="260"/>
      <c r="P371" s="260"/>
      <c r="Q371" s="260"/>
      <c r="R371" s="260"/>
      <c r="S371" s="260"/>
      <c r="T371" s="260"/>
      <c r="U371" s="260"/>
      <c r="V371" s="260"/>
      <c r="W371" s="260"/>
      <c r="X371" s="260"/>
      <c r="Y371" s="260"/>
      <c r="Z371" s="260"/>
    </row>
    <row r="372">
      <c r="A372" s="260"/>
      <c r="B372" s="260"/>
      <c r="C372" s="260"/>
      <c r="D372" s="260"/>
      <c r="E372" s="260"/>
      <c r="F372" s="260"/>
      <c r="G372" s="260"/>
      <c r="H372" s="260"/>
      <c r="I372" s="260"/>
      <c r="J372" s="260"/>
      <c r="K372" s="260"/>
      <c r="L372" s="260"/>
      <c r="M372" s="260"/>
      <c r="N372" s="260"/>
      <c r="O372" s="260"/>
      <c r="P372" s="260"/>
      <c r="Q372" s="260"/>
      <c r="R372" s="260"/>
      <c r="S372" s="260"/>
      <c r="T372" s="260"/>
      <c r="U372" s="260"/>
      <c r="V372" s="260"/>
      <c r="W372" s="260"/>
      <c r="X372" s="260"/>
      <c r="Y372" s="260"/>
      <c r="Z372" s="260"/>
    </row>
    <row r="373">
      <c r="A373" s="260"/>
      <c r="B373" s="260"/>
      <c r="C373" s="260"/>
      <c r="D373" s="260"/>
      <c r="E373" s="260"/>
      <c r="F373" s="260"/>
      <c r="G373" s="260"/>
      <c r="H373" s="260"/>
      <c r="I373" s="260"/>
      <c r="J373" s="260"/>
      <c r="K373" s="260"/>
      <c r="L373" s="260"/>
      <c r="M373" s="260"/>
      <c r="N373" s="260"/>
      <c r="O373" s="260"/>
      <c r="P373" s="260"/>
      <c r="Q373" s="260"/>
      <c r="R373" s="260"/>
      <c r="S373" s="260"/>
      <c r="T373" s="260"/>
      <c r="U373" s="260"/>
      <c r="V373" s="260"/>
      <c r="W373" s="260"/>
      <c r="X373" s="260"/>
      <c r="Y373" s="260"/>
      <c r="Z373" s="260"/>
    </row>
    <row r="374">
      <c r="A374" s="260"/>
      <c r="B374" s="260"/>
      <c r="C374" s="260"/>
      <c r="D374" s="260"/>
      <c r="E374" s="260"/>
      <c r="F374" s="260"/>
      <c r="G374" s="260"/>
      <c r="H374" s="260"/>
      <c r="I374" s="260"/>
      <c r="J374" s="260"/>
      <c r="K374" s="260"/>
      <c r="L374" s="260"/>
      <c r="M374" s="260"/>
      <c r="N374" s="260"/>
      <c r="O374" s="260"/>
      <c r="P374" s="260"/>
      <c r="Q374" s="260"/>
      <c r="R374" s="260"/>
      <c r="S374" s="260"/>
      <c r="T374" s="260"/>
      <c r="U374" s="260"/>
      <c r="V374" s="260"/>
      <c r="W374" s="260"/>
      <c r="X374" s="260"/>
      <c r="Y374" s="260"/>
      <c r="Z374" s="260"/>
    </row>
    <row r="375">
      <c r="A375" s="260"/>
      <c r="B375" s="260"/>
      <c r="C375" s="260"/>
      <c r="D375" s="260"/>
      <c r="E375" s="260"/>
      <c r="F375" s="260"/>
      <c r="G375" s="260"/>
      <c r="H375" s="260"/>
      <c r="I375" s="260"/>
      <c r="J375" s="260"/>
      <c r="K375" s="260"/>
      <c r="L375" s="260"/>
      <c r="M375" s="260"/>
      <c r="N375" s="260"/>
      <c r="O375" s="260"/>
      <c r="P375" s="260"/>
      <c r="Q375" s="260"/>
      <c r="R375" s="260"/>
      <c r="S375" s="260"/>
      <c r="T375" s="260"/>
      <c r="U375" s="260"/>
      <c r="V375" s="260"/>
      <c r="W375" s="260"/>
      <c r="X375" s="260"/>
      <c r="Y375" s="260"/>
      <c r="Z375" s="260"/>
    </row>
    <row r="376">
      <c r="A376" s="260"/>
      <c r="B376" s="260"/>
      <c r="C376" s="260"/>
      <c r="D376" s="260"/>
      <c r="E376" s="260"/>
      <c r="F376" s="260"/>
      <c r="G376" s="260"/>
      <c r="H376" s="260"/>
      <c r="I376" s="260"/>
      <c r="J376" s="260"/>
      <c r="K376" s="260"/>
      <c r="L376" s="260"/>
      <c r="M376" s="260"/>
      <c r="N376" s="260"/>
      <c r="O376" s="260"/>
      <c r="P376" s="260"/>
      <c r="Q376" s="260"/>
      <c r="R376" s="260"/>
      <c r="S376" s="260"/>
      <c r="T376" s="260"/>
      <c r="U376" s="260"/>
      <c r="V376" s="260"/>
      <c r="W376" s="260"/>
      <c r="X376" s="260"/>
      <c r="Y376" s="260"/>
      <c r="Z376" s="260"/>
    </row>
    <row r="377">
      <c r="A377" s="260"/>
      <c r="B377" s="260"/>
      <c r="C377" s="260"/>
      <c r="D377" s="260"/>
      <c r="E377" s="260"/>
      <c r="F377" s="260"/>
      <c r="G377" s="260"/>
      <c r="H377" s="260"/>
      <c r="I377" s="260"/>
      <c r="J377" s="260"/>
      <c r="K377" s="260"/>
      <c r="L377" s="260"/>
      <c r="M377" s="260"/>
      <c r="N377" s="260"/>
      <c r="O377" s="260"/>
      <c r="P377" s="260"/>
      <c r="Q377" s="260"/>
      <c r="R377" s="260"/>
      <c r="S377" s="260"/>
      <c r="T377" s="260"/>
      <c r="U377" s="260"/>
      <c r="V377" s="260"/>
      <c r="W377" s="260"/>
      <c r="X377" s="260"/>
      <c r="Y377" s="260"/>
      <c r="Z377" s="260"/>
    </row>
    <row r="378">
      <c r="A378" s="260"/>
      <c r="B378" s="260"/>
      <c r="C378" s="260"/>
      <c r="D378" s="260"/>
      <c r="E378" s="260"/>
      <c r="F378" s="260"/>
      <c r="G378" s="260"/>
      <c r="H378" s="260"/>
      <c r="I378" s="260"/>
      <c r="J378" s="260"/>
      <c r="K378" s="260"/>
      <c r="L378" s="260"/>
      <c r="M378" s="260"/>
      <c r="N378" s="260"/>
      <c r="O378" s="260"/>
      <c r="P378" s="260"/>
      <c r="Q378" s="260"/>
      <c r="R378" s="260"/>
      <c r="S378" s="260"/>
      <c r="T378" s="260"/>
      <c r="U378" s="260"/>
      <c r="V378" s="260"/>
      <c r="W378" s="260"/>
      <c r="X378" s="260"/>
      <c r="Y378" s="260"/>
      <c r="Z378" s="260"/>
    </row>
    <row r="379">
      <c r="A379" s="260"/>
      <c r="B379" s="260"/>
      <c r="C379" s="260"/>
      <c r="D379" s="260"/>
      <c r="E379" s="260"/>
      <c r="F379" s="260"/>
      <c r="G379" s="260"/>
      <c r="H379" s="260"/>
      <c r="I379" s="260"/>
      <c r="J379" s="260"/>
      <c r="K379" s="260"/>
      <c r="L379" s="260"/>
      <c r="M379" s="260"/>
      <c r="N379" s="260"/>
      <c r="O379" s="260"/>
      <c r="P379" s="260"/>
      <c r="Q379" s="260"/>
      <c r="R379" s="260"/>
      <c r="S379" s="260"/>
      <c r="T379" s="260"/>
      <c r="U379" s="260"/>
      <c r="V379" s="260"/>
      <c r="W379" s="260"/>
      <c r="X379" s="260"/>
      <c r="Y379" s="260"/>
      <c r="Z379" s="260"/>
    </row>
    <row r="380">
      <c r="A380" s="260"/>
      <c r="B380" s="260"/>
      <c r="C380" s="260"/>
      <c r="D380" s="260"/>
      <c r="E380" s="260"/>
      <c r="F380" s="260"/>
      <c r="G380" s="260"/>
      <c r="H380" s="260"/>
      <c r="I380" s="260"/>
      <c r="J380" s="260"/>
      <c r="K380" s="260"/>
      <c r="L380" s="260"/>
      <c r="M380" s="260"/>
      <c r="N380" s="260"/>
      <c r="O380" s="260"/>
      <c r="P380" s="260"/>
      <c r="Q380" s="260"/>
      <c r="R380" s="260"/>
      <c r="S380" s="260"/>
      <c r="T380" s="260"/>
      <c r="U380" s="260"/>
      <c r="V380" s="260"/>
      <c r="W380" s="260"/>
      <c r="X380" s="260"/>
      <c r="Y380" s="260"/>
      <c r="Z380" s="260"/>
    </row>
    <row r="381">
      <c r="A381" s="260"/>
      <c r="B381" s="260"/>
      <c r="C381" s="260"/>
      <c r="D381" s="260"/>
      <c r="E381" s="260"/>
      <c r="F381" s="260"/>
      <c r="G381" s="260"/>
      <c r="H381" s="260"/>
      <c r="I381" s="260"/>
      <c r="J381" s="260"/>
      <c r="K381" s="260"/>
      <c r="L381" s="260"/>
      <c r="M381" s="260"/>
      <c r="N381" s="260"/>
      <c r="O381" s="260"/>
      <c r="P381" s="260"/>
      <c r="Q381" s="260"/>
      <c r="R381" s="260"/>
      <c r="S381" s="260"/>
      <c r="T381" s="260"/>
      <c r="U381" s="260"/>
      <c r="V381" s="260"/>
      <c r="W381" s="260"/>
      <c r="X381" s="260"/>
      <c r="Y381" s="260"/>
      <c r="Z381" s="260"/>
    </row>
    <row r="382">
      <c r="A382" s="260"/>
      <c r="B382" s="260"/>
      <c r="C382" s="260"/>
      <c r="D382" s="260"/>
      <c r="E382" s="260"/>
      <c r="F382" s="260"/>
      <c r="G382" s="260"/>
      <c r="H382" s="260"/>
      <c r="I382" s="260"/>
      <c r="J382" s="260"/>
      <c r="K382" s="260"/>
      <c r="L382" s="260"/>
      <c r="M382" s="260"/>
      <c r="N382" s="260"/>
      <c r="O382" s="260"/>
      <c r="P382" s="260"/>
      <c r="Q382" s="260"/>
      <c r="R382" s="260"/>
      <c r="S382" s="260"/>
      <c r="T382" s="260"/>
      <c r="U382" s="260"/>
      <c r="V382" s="260"/>
      <c r="W382" s="260"/>
      <c r="X382" s="260"/>
      <c r="Y382" s="260"/>
      <c r="Z382" s="260"/>
    </row>
    <row r="383">
      <c r="A383" s="260"/>
      <c r="B383" s="260"/>
      <c r="C383" s="260"/>
      <c r="D383" s="260"/>
      <c r="E383" s="260"/>
      <c r="F383" s="260"/>
      <c r="G383" s="260"/>
      <c r="H383" s="260"/>
      <c r="I383" s="260"/>
      <c r="J383" s="260"/>
      <c r="K383" s="260"/>
      <c r="L383" s="260"/>
      <c r="M383" s="260"/>
      <c r="N383" s="260"/>
      <c r="O383" s="260"/>
      <c r="P383" s="260"/>
      <c r="Q383" s="260"/>
      <c r="R383" s="260"/>
      <c r="S383" s="260"/>
      <c r="T383" s="260"/>
      <c r="U383" s="260"/>
      <c r="V383" s="260"/>
      <c r="W383" s="260"/>
      <c r="X383" s="260"/>
      <c r="Y383" s="260"/>
      <c r="Z383" s="260"/>
    </row>
    <row r="384">
      <c r="A384" s="260"/>
      <c r="B384" s="260"/>
      <c r="C384" s="260"/>
      <c r="D384" s="260"/>
      <c r="E384" s="260"/>
      <c r="F384" s="260"/>
      <c r="G384" s="260"/>
      <c r="H384" s="260"/>
      <c r="I384" s="260"/>
      <c r="J384" s="260"/>
      <c r="K384" s="260"/>
      <c r="L384" s="260"/>
      <c r="M384" s="260"/>
      <c r="N384" s="260"/>
      <c r="O384" s="260"/>
      <c r="P384" s="260"/>
      <c r="Q384" s="260"/>
      <c r="R384" s="260"/>
      <c r="S384" s="260"/>
      <c r="T384" s="260"/>
      <c r="U384" s="260"/>
      <c r="V384" s="260"/>
      <c r="W384" s="260"/>
      <c r="X384" s="260"/>
      <c r="Y384" s="260"/>
      <c r="Z384" s="260"/>
    </row>
    <row r="385">
      <c r="A385" s="260"/>
      <c r="B385" s="260"/>
      <c r="C385" s="260"/>
      <c r="D385" s="260"/>
      <c r="E385" s="260"/>
      <c r="F385" s="260"/>
      <c r="G385" s="260"/>
      <c r="H385" s="260"/>
      <c r="I385" s="260"/>
      <c r="J385" s="260"/>
      <c r="K385" s="260"/>
      <c r="L385" s="260"/>
      <c r="M385" s="260"/>
      <c r="N385" s="260"/>
      <c r="O385" s="260"/>
      <c r="P385" s="260"/>
      <c r="Q385" s="260"/>
      <c r="R385" s="260"/>
      <c r="S385" s="260"/>
      <c r="T385" s="260"/>
      <c r="U385" s="260"/>
      <c r="V385" s="260"/>
      <c r="W385" s="260"/>
      <c r="X385" s="260"/>
      <c r="Y385" s="260"/>
      <c r="Z385" s="260"/>
    </row>
    <row r="386">
      <c r="A386" s="260"/>
      <c r="B386" s="260"/>
      <c r="C386" s="260"/>
      <c r="D386" s="260"/>
      <c r="E386" s="260"/>
      <c r="F386" s="260"/>
      <c r="G386" s="260"/>
      <c r="H386" s="260"/>
      <c r="I386" s="260"/>
      <c r="J386" s="260"/>
      <c r="K386" s="260"/>
      <c r="L386" s="260"/>
      <c r="M386" s="260"/>
      <c r="N386" s="260"/>
      <c r="O386" s="260"/>
      <c r="P386" s="260"/>
      <c r="Q386" s="260"/>
      <c r="R386" s="260"/>
      <c r="S386" s="260"/>
      <c r="T386" s="260"/>
      <c r="U386" s="260"/>
      <c r="V386" s="260"/>
      <c r="W386" s="260"/>
      <c r="X386" s="260"/>
      <c r="Y386" s="260"/>
      <c r="Z386" s="260"/>
    </row>
    <row r="387">
      <c r="A387" s="260"/>
      <c r="B387" s="260"/>
      <c r="C387" s="260"/>
      <c r="D387" s="260"/>
      <c r="E387" s="260"/>
      <c r="F387" s="260"/>
      <c r="G387" s="260"/>
      <c r="H387" s="260"/>
      <c r="I387" s="260"/>
      <c r="J387" s="260"/>
      <c r="K387" s="260"/>
      <c r="L387" s="260"/>
      <c r="M387" s="260"/>
      <c r="N387" s="260"/>
      <c r="O387" s="260"/>
      <c r="P387" s="260"/>
      <c r="Q387" s="260"/>
      <c r="R387" s="260"/>
      <c r="S387" s="260"/>
      <c r="T387" s="260"/>
      <c r="U387" s="260"/>
      <c r="V387" s="260"/>
      <c r="W387" s="260"/>
      <c r="X387" s="260"/>
      <c r="Y387" s="260"/>
      <c r="Z387" s="260"/>
    </row>
    <row r="388">
      <c r="A388" s="260"/>
      <c r="B388" s="260"/>
      <c r="C388" s="260"/>
      <c r="D388" s="260"/>
      <c r="E388" s="260"/>
      <c r="F388" s="260"/>
      <c r="G388" s="260"/>
      <c r="H388" s="260"/>
      <c r="I388" s="260"/>
      <c r="J388" s="260"/>
      <c r="K388" s="260"/>
      <c r="L388" s="260"/>
      <c r="M388" s="260"/>
      <c r="N388" s="260"/>
      <c r="O388" s="260"/>
      <c r="P388" s="260"/>
      <c r="Q388" s="260"/>
      <c r="R388" s="260"/>
      <c r="S388" s="260"/>
      <c r="T388" s="260"/>
      <c r="U388" s="260"/>
      <c r="V388" s="260"/>
      <c r="W388" s="260"/>
      <c r="X388" s="260"/>
      <c r="Y388" s="260"/>
      <c r="Z388" s="260"/>
    </row>
    <row r="389">
      <c r="A389" s="260"/>
      <c r="B389" s="260"/>
      <c r="C389" s="260"/>
      <c r="D389" s="260"/>
      <c r="E389" s="260"/>
      <c r="F389" s="260"/>
      <c r="G389" s="260"/>
      <c r="H389" s="260"/>
      <c r="I389" s="260"/>
      <c r="J389" s="260"/>
      <c r="K389" s="260"/>
      <c r="L389" s="260"/>
      <c r="M389" s="260"/>
      <c r="N389" s="260"/>
      <c r="O389" s="260"/>
      <c r="P389" s="260"/>
      <c r="Q389" s="260"/>
      <c r="R389" s="260"/>
      <c r="S389" s="260"/>
      <c r="T389" s="260"/>
      <c r="U389" s="260"/>
      <c r="V389" s="260"/>
      <c r="W389" s="260"/>
      <c r="X389" s="260"/>
      <c r="Y389" s="260"/>
      <c r="Z389" s="260"/>
    </row>
    <row r="390">
      <c r="A390" s="260"/>
      <c r="B390" s="260"/>
      <c r="C390" s="260"/>
      <c r="D390" s="260"/>
      <c r="E390" s="260"/>
      <c r="F390" s="260"/>
      <c r="G390" s="260"/>
      <c r="H390" s="260"/>
      <c r="I390" s="260"/>
      <c r="J390" s="260"/>
      <c r="K390" s="260"/>
      <c r="L390" s="260"/>
      <c r="M390" s="260"/>
      <c r="N390" s="260"/>
      <c r="O390" s="260"/>
      <c r="P390" s="260"/>
      <c r="Q390" s="260"/>
      <c r="R390" s="260"/>
      <c r="S390" s="260"/>
      <c r="T390" s="260"/>
      <c r="U390" s="260"/>
      <c r="V390" s="260"/>
      <c r="W390" s="260"/>
      <c r="X390" s="260"/>
      <c r="Y390" s="260"/>
      <c r="Z390" s="260"/>
    </row>
    <row r="391">
      <c r="A391" s="260"/>
      <c r="B391" s="260"/>
      <c r="C391" s="260"/>
      <c r="D391" s="260"/>
      <c r="E391" s="260"/>
      <c r="F391" s="260"/>
      <c r="G391" s="260"/>
      <c r="H391" s="260"/>
      <c r="I391" s="260"/>
      <c r="J391" s="260"/>
      <c r="K391" s="260"/>
      <c r="L391" s="260"/>
      <c r="M391" s="260"/>
      <c r="N391" s="260"/>
      <c r="O391" s="260"/>
      <c r="P391" s="260"/>
      <c r="Q391" s="260"/>
      <c r="R391" s="260"/>
      <c r="S391" s="260"/>
      <c r="T391" s="260"/>
      <c r="U391" s="260"/>
      <c r="V391" s="260"/>
      <c r="W391" s="260"/>
      <c r="X391" s="260"/>
      <c r="Y391" s="260"/>
      <c r="Z391" s="260"/>
    </row>
    <row r="392">
      <c r="A392" s="260"/>
      <c r="B392" s="260"/>
      <c r="C392" s="260"/>
      <c r="D392" s="260"/>
      <c r="E392" s="260"/>
      <c r="F392" s="260"/>
      <c r="G392" s="260"/>
      <c r="H392" s="260"/>
      <c r="I392" s="260"/>
      <c r="J392" s="260"/>
      <c r="K392" s="260"/>
      <c r="L392" s="260"/>
      <c r="M392" s="260"/>
      <c r="N392" s="260"/>
      <c r="O392" s="260"/>
      <c r="P392" s="260"/>
      <c r="Q392" s="260"/>
      <c r="R392" s="260"/>
      <c r="S392" s="260"/>
      <c r="T392" s="260"/>
      <c r="U392" s="260"/>
      <c r="V392" s="260"/>
      <c r="W392" s="260"/>
      <c r="X392" s="260"/>
      <c r="Y392" s="260"/>
      <c r="Z392" s="260"/>
    </row>
    <row r="393">
      <c r="A393" s="260"/>
      <c r="B393" s="260"/>
      <c r="C393" s="260"/>
      <c r="D393" s="260"/>
      <c r="E393" s="260"/>
      <c r="F393" s="260"/>
      <c r="G393" s="260"/>
      <c r="H393" s="260"/>
      <c r="I393" s="260"/>
      <c r="J393" s="260"/>
      <c r="K393" s="260"/>
      <c r="L393" s="260"/>
      <c r="M393" s="260"/>
      <c r="N393" s="260"/>
      <c r="O393" s="260"/>
      <c r="P393" s="260"/>
      <c r="Q393" s="260"/>
      <c r="R393" s="260"/>
      <c r="S393" s="260"/>
      <c r="T393" s="260"/>
      <c r="U393" s="260"/>
      <c r="V393" s="260"/>
      <c r="W393" s="260"/>
      <c r="X393" s="260"/>
      <c r="Y393" s="260"/>
      <c r="Z393" s="260"/>
    </row>
    <row r="394">
      <c r="A394" s="260"/>
      <c r="B394" s="260"/>
      <c r="C394" s="260"/>
      <c r="D394" s="260"/>
      <c r="E394" s="260"/>
      <c r="F394" s="260"/>
      <c r="G394" s="260"/>
      <c r="H394" s="260"/>
      <c r="I394" s="260"/>
      <c r="J394" s="260"/>
      <c r="K394" s="260"/>
      <c r="L394" s="260"/>
      <c r="M394" s="260"/>
      <c r="N394" s="260"/>
      <c r="O394" s="260"/>
      <c r="P394" s="260"/>
      <c r="Q394" s="260"/>
      <c r="R394" s="260"/>
      <c r="S394" s="260"/>
      <c r="T394" s="260"/>
      <c r="U394" s="260"/>
      <c r="V394" s="260"/>
      <c r="W394" s="260"/>
      <c r="X394" s="260"/>
      <c r="Y394" s="260"/>
      <c r="Z394" s="260"/>
    </row>
    <row r="395">
      <c r="A395" s="260"/>
      <c r="B395" s="260"/>
      <c r="C395" s="260"/>
      <c r="D395" s="260"/>
      <c r="E395" s="260"/>
      <c r="F395" s="260"/>
      <c r="G395" s="260"/>
      <c r="H395" s="260"/>
      <c r="I395" s="260"/>
      <c r="J395" s="260"/>
      <c r="K395" s="260"/>
      <c r="L395" s="260"/>
      <c r="M395" s="260"/>
      <c r="N395" s="260"/>
      <c r="O395" s="260"/>
      <c r="P395" s="260"/>
      <c r="Q395" s="260"/>
      <c r="R395" s="260"/>
      <c r="S395" s="260"/>
      <c r="T395" s="260"/>
      <c r="U395" s="260"/>
      <c r="V395" s="260"/>
      <c r="W395" s="260"/>
      <c r="X395" s="260"/>
      <c r="Y395" s="260"/>
      <c r="Z395" s="260"/>
    </row>
    <row r="396">
      <c r="A396" s="260"/>
      <c r="B396" s="260"/>
      <c r="C396" s="260"/>
      <c r="D396" s="260"/>
      <c r="E396" s="260"/>
      <c r="F396" s="260"/>
      <c r="G396" s="260"/>
      <c r="H396" s="260"/>
      <c r="I396" s="260"/>
      <c r="J396" s="260"/>
      <c r="K396" s="260"/>
      <c r="L396" s="260"/>
      <c r="M396" s="260"/>
      <c r="N396" s="260"/>
      <c r="O396" s="260"/>
      <c r="P396" s="260"/>
      <c r="Q396" s="260"/>
      <c r="R396" s="260"/>
      <c r="S396" s="260"/>
      <c r="T396" s="260"/>
      <c r="U396" s="260"/>
      <c r="V396" s="260"/>
      <c r="W396" s="260"/>
      <c r="X396" s="260"/>
      <c r="Y396" s="260"/>
      <c r="Z396" s="260"/>
    </row>
    <row r="397">
      <c r="A397" s="260"/>
      <c r="B397" s="260"/>
      <c r="C397" s="260"/>
      <c r="D397" s="260"/>
      <c r="E397" s="260"/>
      <c r="F397" s="260"/>
      <c r="G397" s="260"/>
      <c r="H397" s="260"/>
      <c r="I397" s="260"/>
      <c r="J397" s="260"/>
      <c r="K397" s="260"/>
      <c r="L397" s="260"/>
      <c r="M397" s="260"/>
      <c r="N397" s="260"/>
      <c r="O397" s="260"/>
      <c r="P397" s="260"/>
      <c r="Q397" s="260"/>
      <c r="R397" s="260"/>
      <c r="S397" s="260"/>
      <c r="T397" s="260"/>
      <c r="U397" s="260"/>
      <c r="V397" s="260"/>
      <c r="W397" s="260"/>
      <c r="X397" s="260"/>
      <c r="Y397" s="260"/>
      <c r="Z397" s="260"/>
    </row>
    <row r="398">
      <c r="A398" s="260"/>
      <c r="B398" s="260"/>
      <c r="C398" s="260"/>
      <c r="D398" s="260"/>
      <c r="E398" s="260"/>
      <c r="F398" s="260"/>
      <c r="G398" s="260"/>
      <c r="H398" s="260"/>
      <c r="I398" s="260"/>
      <c r="J398" s="260"/>
      <c r="K398" s="260"/>
      <c r="L398" s="260"/>
      <c r="M398" s="260"/>
      <c r="N398" s="260"/>
      <c r="O398" s="260"/>
      <c r="P398" s="260"/>
      <c r="Q398" s="260"/>
      <c r="R398" s="260"/>
      <c r="S398" s="260"/>
      <c r="T398" s="260"/>
      <c r="U398" s="260"/>
      <c r="V398" s="260"/>
      <c r="W398" s="260"/>
      <c r="X398" s="260"/>
      <c r="Y398" s="260"/>
      <c r="Z398" s="260"/>
    </row>
    <row r="399">
      <c r="A399" s="260"/>
      <c r="B399" s="260"/>
      <c r="C399" s="260"/>
      <c r="D399" s="260"/>
      <c r="E399" s="260"/>
      <c r="F399" s="260"/>
      <c r="G399" s="260"/>
      <c r="H399" s="260"/>
      <c r="I399" s="260"/>
      <c r="J399" s="260"/>
      <c r="K399" s="260"/>
      <c r="L399" s="260"/>
      <c r="M399" s="260"/>
      <c r="N399" s="260"/>
      <c r="O399" s="260"/>
      <c r="P399" s="260"/>
      <c r="Q399" s="260"/>
      <c r="R399" s="260"/>
      <c r="S399" s="260"/>
      <c r="T399" s="260"/>
      <c r="U399" s="260"/>
      <c r="V399" s="260"/>
      <c r="W399" s="260"/>
      <c r="X399" s="260"/>
      <c r="Y399" s="260"/>
      <c r="Z399" s="260"/>
    </row>
    <row r="400">
      <c r="A400" s="260"/>
      <c r="B400" s="260"/>
      <c r="C400" s="260"/>
      <c r="D400" s="260"/>
      <c r="E400" s="260"/>
      <c r="F400" s="260"/>
      <c r="G400" s="260"/>
      <c r="H400" s="260"/>
      <c r="I400" s="260"/>
      <c r="J400" s="260"/>
      <c r="K400" s="260"/>
      <c r="L400" s="260"/>
      <c r="M400" s="260"/>
      <c r="N400" s="260"/>
      <c r="O400" s="260"/>
      <c r="P400" s="260"/>
      <c r="Q400" s="260"/>
      <c r="R400" s="260"/>
      <c r="S400" s="260"/>
      <c r="T400" s="260"/>
      <c r="U400" s="260"/>
      <c r="V400" s="260"/>
      <c r="W400" s="260"/>
      <c r="X400" s="260"/>
      <c r="Y400" s="260"/>
      <c r="Z400" s="260"/>
    </row>
    <row r="401">
      <c r="A401" s="260"/>
      <c r="B401" s="260"/>
      <c r="C401" s="260"/>
      <c r="D401" s="260"/>
      <c r="E401" s="260"/>
      <c r="F401" s="260"/>
      <c r="G401" s="260"/>
      <c r="H401" s="260"/>
      <c r="I401" s="260"/>
      <c r="J401" s="260"/>
      <c r="K401" s="260"/>
      <c r="L401" s="260"/>
      <c r="M401" s="260"/>
      <c r="N401" s="260"/>
      <c r="O401" s="260"/>
      <c r="P401" s="260"/>
      <c r="Q401" s="260"/>
      <c r="R401" s="260"/>
      <c r="S401" s="260"/>
      <c r="T401" s="260"/>
      <c r="U401" s="260"/>
      <c r="V401" s="260"/>
      <c r="W401" s="260"/>
      <c r="X401" s="260"/>
      <c r="Y401" s="260"/>
      <c r="Z401" s="260"/>
    </row>
    <row r="402">
      <c r="A402" s="260"/>
      <c r="B402" s="260"/>
      <c r="C402" s="260"/>
      <c r="D402" s="260"/>
      <c r="E402" s="260"/>
      <c r="F402" s="260"/>
      <c r="G402" s="260"/>
      <c r="H402" s="260"/>
      <c r="I402" s="260"/>
      <c r="J402" s="260"/>
      <c r="K402" s="260"/>
      <c r="L402" s="260"/>
      <c r="M402" s="260"/>
      <c r="N402" s="260"/>
      <c r="O402" s="260"/>
      <c r="P402" s="260"/>
      <c r="Q402" s="260"/>
      <c r="R402" s="260"/>
      <c r="S402" s="260"/>
      <c r="T402" s="260"/>
      <c r="U402" s="260"/>
      <c r="V402" s="260"/>
      <c r="W402" s="260"/>
      <c r="X402" s="260"/>
      <c r="Y402" s="260"/>
      <c r="Z402" s="260"/>
    </row>
    <row r="403">
      <c r="A403" s="260"/>
      <c r="B403" s="260"/>
      <c r="C403" s="260"/>
      <c r="D403" s="260"/>
      <c r="E403" s="260"/>
      <c r="F403" s="260"/>
      <c r="G403" s="260"/>
      <c r="H403" s="260"/>
      <c r="I403" s="260"/>
      <c r="J403" s="260"/>
      <c r="K403" s="260"/>
      <c r="L403" s="260"/>
      <c r="M403" s="260"/>
      <c r="N403" s="260"/>
      <c r="O403" s="260"/>
      <c r="P403" s="260"/>
      <c r="Q403" s="260"/>
      <c r="R403" s="260"/>
      <c r="S403" s="260"/>
      <c r="T403" s="260"/>
      <c r="U403" s="260"/>
      <c r="V403" s="260"/>
      <c r="W403" s="260"/>
      <c r="X403" s="260"/>
      <c r="Y403" s="260"/>
      <c r="Z403" s="260"/>
    </row>
    <row r="404">
      <c r="A404" s="260"/>
      <c r="B404" s="260"/>
      <c r="C404" s="260"/>
      <c r="D404" s="260"/>
      <c r="E404" s="260"/>
      <c r="F404" s="260"/>
      <c r="G404" s="260"/>
      <c r="H404" s="260"/>
      <c r="I404" s="260"/>
      <c r="J404" s="260"/>
      <c r="K404" s="260"/>
      <c r="L404" s="260"/>
      <c r="M404" s="260"/>
      <c r="N404" s="260"/>
      <c r="O404" s="260"/>
      <c r="P404" s="260"/>
      <c r="Q404" s="260"/>
      <c r="R404" s="260"/>
      <c r="S404" s="260"/>
      <c r="T404" s="260"/>
      <c r="U404" s="260"/>
      <c r="V404" s="260"/>
      <c r="W404" s="260"/>
      <c r="X404" s="260"/>
      <c r="Y404" s="260"/>
      <c r="Z404" s="260"/>
    </row>
    <row r="405">
      <c r="A405" s="260"/>
      <c r="B405" s="260"/>
      <c r="C405" s="260"/>
      <c r="D405" s="260"/>
      <c r="E405" s="260"/>
      <c r="F405" s="260"/>
      <c r="G405" s="260"/>
      <c r="H405" s="260"/>
      <c r="I405" s="260"/>
      <c r="J405" s="260"/>
      <c r="K405" s="260"/>
      <c r="L405" s="260"/>
      <c r="M405" s="260"/>
      <c r="N405" s="260"/>
      <c r="O405" s="260"/>
      <c r="P405" s="260"/>
      <c r="Q405" s="260"/>
      <c r="R405" s="260"/>
      <c r="S405" s="260"/>
      <c r="T405" s="260"/>
      <c r="U405" s="260"/>
      <c r="V405" s="260"/>
      <c r="W405" s="260"/>
      <c r="X405" s="260"/>
      <c r="Y405" s="260"/>
      <c r="Z405" s="260"/>
    </row>
    <row r="406">
      <c r="A406" s="260"/>
      <c r="B406" s="260"/>
      <c r="C406" s="260"/>
      <c r="D406" s="260"/>
      <c r="E406" s="260"/>
      <c r="F406" s="260"/>
      <c r="G406" s="260"/>
      <c r="H406" s="260"/>
      <c r="I406" s="260"/>
      <c r="J406" s="260"/>
      <c r="K406" s="260"/>
      <c r="L406" s="260"/>
      <c r="M406" s="260"/>
      <c r="N406" s="260"/>
      <c r="O406" s="260"/>
      <c r="P406" s="260"/>
      <c r="Q406" s="260"/>
      <c r="R406" s="260"/>
      <c r="S406" s="260"/>
      <c r="T406" s="260"/>
      <c r="U406" s="260"/>
      <c r="V406" s="260"/>
      <c r="W406" s="260"/>
      <c r="X406" s="260"/>
      <c r="Y406" s="260"/>
      <c r="Z406" s="260"/>
    </row>
    <row r="407">
      <c r="A407" s="260"/>
      <c r="B407" s="260"/>
      <c r="C407" s="260"/>
      <c r="D407" s="260"/>
      <c r="E407" s="260"/>
      <c r="F407" s="260"/>
      <c r="G407" s="260"/>
      <c r="H407" s="260"/>
      <c r="I407" s="260"/>
      <c r="J407" s="260"/>
      <c r="K407" s="260"/>
      <c r="L407" s="260"/>
      <c r="M407" s="260"/>
      <c r="N407" s="260"/>
      <c r="O407" s="260"/>
      <c r="P407" s="260"/>
      <c r="Q407" s="260"/>
      <c r="R407" s="260"/>
      <c r="S407" s="260"/>
      <c r="T407" s="260"/>
      <c r="U407" s="260"/>
      <c r="V407" s="260"/>
      <c r="W407" s="260"/>
      <c r="X407" s="260"/>
      <c r="Y407" s="260"/>
      <c r="Z407" s="260"/>
    </row>
    <row r="408">
      <c r="A408" s="260"/>
      <c r="B408" s="260"/>
      <c r="C408" s="260"/>
      <c r="D408" s="260"/>
      <c r="E408" s="260"/>
      <c r="F408" s="260"/>
      <c r="G408" s="260"/>
      <c r="H408" s="260"/>
      <c r="I408" s="260"/>
      <c r="J408" s="260"/>
      <c r="K408" s="260"/>
      <c r="L408" s="260"/>
      <c r="M408" s="260"/>
      <c r="N408" s="260"/>
      <c r="O408" s="260"/>
      <c r="P408" s="260"/>
      <c r="Q408" s="260"/>
      <c r="R408" s="260"/>
      <c r="S408" s="260"/>
      <c r="T408" s="260"/>
      <c r="U408" s="260"/>
      <c r="V408" s="260"/>
      <c r="W408" s="260"/>
      <c r="X408" s="260"/>
      <c r="Y408" s="260"/>
      <c r="Z408" s="260"/>
    </row>
    <row r="409">
      <c r="A409" s="260"/>
      <c r="B409" s="260"/>
      <c r="C409" s="260"/>
      <c r="D409" s="260"/>
      <c r="E409" s="260"/>
      <c r="F409" s="260"/>
      <c r="G409" s="260"/>
      <c r="H409" s="260"/>
      <c r="I409" s="260"/>
      <c r="J409" s="260"/>
      <c r="K409" s="260"/>
      <c r="L409" s="260"/>
      <c r="M409" s="260"/>
      <c r="N409" s="260"/>
      <c r="O409" s="260"/>
      <c r="P409" s="260"/>
      <c r="Q409" s="260"/>
      <c r="R409" s="260"/>
      <c r="S409" s="260"/>
      <c r="T409" s="260"/>
      <c r="U409" s="260"/>
      <c r="V409" s="260"/>
      <c r="W409" s="260"/>
      <c r="X409" s="260"/>
      <c r="Y409" s="260"/>
      <c r="Z409" s="260"/>
    </row>
    <row r="410">
      <c r="A410" s="260"/>
      <c r="B410" s="260"/>
      <c r="C410" s="260"/>
      <c r="D410" s="260"/>
      <c r="E410" s="260"/>
      <c r="F410" s="260"/>
      <c r="G410" s="260"/>
      <c r="H410" s="260"/>
      <c r="I410" s="260"/>
      <c r="J410" s="260"/>
      <c r="K410" s="260"/>
      <c r="L410" s="260"/>
      <c r="M410" s="260"/>
      <c r="N410" s="260"/>
      <c r="O410" s="260"/>
      <c r="P410" s="260"/>
      <c r="Q410" s="260"/>
      <c r="R410" s="260"/>
      <c r="S410" s="260"/>
      <c r="T410" s="260"/>
      <c r="U410" s="260"/>
      <c r="V410" s="260"/>
      <c r="W410" s="260"/>
      <c r="X410" s="260"/>
      <c r="Y410" s="260"/>
      <c r="Z410" s="260"/>
    </row>
    <row r="411">
      <c r="A411" s="260"/>
      <c r="B411" s="260"/>
      <c r="C411" s="260"/>
      <c r="D411" s="260"/>
      <c r="E411" s="260"/>
      <c r="F411" s="260"/>
      <c r="G411" s="260"/>
      <c r="H411" s="260"/>
      <c r="I411" s="260"/>
      <c r="J411" s="260"/>
      <c r="K411" s="260"/>
      <c r="L411" s="260"/>
      <c r="M411" s="260"/>
      <c r="N411" s="260"/>
      <c r="O411" s="260"/>
      <c r="P411" s="260"/>
      <c r="Q411" s="260"/>
      <c r="R411" s="260"/>
      <c r="S411" s="260"/>
      <c r="T411" s="260"/>
      <c r="U411" s="260"/>
      <c r="V411" s="260"/>
      <c r="W411" s="260"/>
      <c r="X411" s="260"/>
      <c r="Y411" s="260"/>
      <c r="Z411" s="260"/>
    </row>
    <row r="412">
      <c r="A412" s="260"/>
      <c r="B412" s="260"/>
      <c r="C412" s="260"/>
      <c r="D412" s="260"/>
      <c r="E412" s="260"/>
      <c r="F412" s="260"/>
      <c r="G412" s="260"/>
      <c r="H412" s="260"/>
      <c r="I412" s="260"/>
      <c r="J412" s="260"/>
      <c r="K412" s="260"/>
      <c r="L412" s="260"/>
      <c r="M412" s="260"/>
      <c r="N412" s="260"/>
      <c r="O412" s="260"/>
      <c r="P412" s="260"/>
      <c r="Q412" s="260"/>
      <c r="R412" s="260"/>
      <c r="S412" s="260"/>
      <c r="T412" s="260"/>
      <c r="U412" s="260"/>
      <c r="V412" s="260"/>
      <c r="W412" s="260"/>
      <c r="X412" s="260"/>
      <c r="Y412" s="260"/>
      <c r="Z412" s="260"/>
    </row>
    <row r="413">
      <c r="A413" s="260"/>
      <c r="B413" s="260"/>
      <c r="C413" s="260"/>
      <c r="D413" s="260"/>
      <c r="E413" s="260"/>
      <c r="F413" s="260"/>
      <c r="G413" s="260"/>
      <c r="H413" s="260"/>
      <c r="I413" s="260"/>
      <c r="J413" s="260"/>
      <c r="K413" s="260"/>
      <c r="L413" s="260"/>
      <c r="M413" s="260"/>
      <c r="N413" s="260"/>
      <c r="O413" s="260"/>
      <c r="P413" s="260"/>
      <c r="Q413" s="260"/>
      <c r="R413" s="260"/>
      <c r="S413" s="260"/>
      <c r="T413" s="260"/>
      <c r="U413" s="260"/>
      <c r="V413" s="260"/>
      <c r="W413" s="260"/>
      <c r="X413" s="260"/>
      <c r="Y413" s="260"/>
      <c r="Z413" s="260"/>
    </row>
    <row r="414">
      <c r="A414" s="260"/>
      <c r="B414" s="260"/>
      <c r="C414" s="260"/>
      <c r="D414" s="260"/>
      <c r="E414" s="260"/>
      <c r="F414" s="260"/>
      <c r="G414" s="260"/>
      <c r="H414" s="260"/>
      <c r="I414" s="260"/>
      <c r="J414" s="260"/>
      <c r="K414" s="260"/>
      <c r="L414" s="260"/>
      <c r="M414" s="260"/>
      <c r="N414" s="260"/>
      <c r="O414" s="260"/>
      <c r="P414" s="260"/>
      <c r="Q414" s="260"/>
      <c r="R414" s="260"/>
      <c r="S414" s="260"/>
      <c r="T414" s="260"/>
      <c r="U414" s="260"/>
      <c r="V414" s="260"/>
      <c r="W414" s="260"/>
      <c r="X414" s="260"/>
      <c r="Y414" s="260"/>
      <c r="Z414" s="260"/>
    </row>
    <row r="415">
      <c r="A415" s="260"/>
      <c r="B415" s="260"/>
      <c r="C415" s="260"/>
      <c r="D415" s="260"/>
      <c r="E415" s="260"/>
      <c r="F415" s="260"/>
      <c r="G415" s="260"/>
      <c r="H415" s="260"/>
      <c r="I415" s="260"/>
      <c r="J415" s="260"/>
      <c r="K415" s="260"/>
      <c r="L415" s="260"/>
      <c r="M415" s="260"/>
      <c r="N415" s="260"/>
      <c r="O415" s="260"/>
      <c r="P415" s="260"/>
      <c r="Q415" s="260"/>
      <c r="R415" s="260"/>
      <c r="S415" s="260"/>
      <c r="T415" s="260"/>
      <c r="U415" s="260"/>
      <c r="V415" s="260"/>
      <c r="W415" s="260"/>
      <c r="X415" s="260"/>
      <c r="Y415" s="260"/>
      <c r="Z415" s="260"/>
    </row>
    <row r="416">
      <c r="A416" s="260"/>
      <c r="B416" s="260"/>
      <c r="C416" s="260"/>
      <c r="D416" s="260"/>
      <c r="E416" s="260"/>
      <c r="F416" s="260"/>
      <c r="G416" s="260"/>
      <c r="H416" s="260"/>
      <c r="I416" s="260"/>
      <c r="J416" s="260"/>
      <c r="K416" s="260"/>
      <c r="L416" s="260"/>
      <c r="M416" s="260"/>
      <c r="N416" s="260"/>
      <c r="O416" s="260"/>
      <c r="P416" s="260"/>
      <c r="Q416" s="260"/>
      <c r="R416" s="260"/>
      <c r="S416" s="260"/>
      <c r="T416" s="260"/>
      <c r="U416" s="260"/>
      <c r="V416" s="260"/>
      <c r="W416" s="260"/>
      <c r="X416" s="260"/>
      <c r="Y416" s="260"/>
      <c r="Z416" s="260"/>
    </row>
    <row r="417">
      <c r="A417" s="260"/>
      <c r="B417" s="260"/>
      <c r="C417" s="260"/>
      <c r="D417" s="260"/>
      <c r="E417" s="260"/>
      <c r="F417" s="260"/>
      <c r="G417" s="260"/>
      <c r="H417" s="260"/>
      <c r="I417" s="260"/>
      <c r="J417" s="260"/>
      <c r="K417" s="260"/>
      <c r="L417" s="260"/>
      <c r="M417" s="260"/>
      <c r="N417" s="260"/>
      <c r="O417" s="260"/>
      <c r="P417" s="260"/>
      <c r="Q417" s="260"/>
      <c r="R417" s="260"/>
      <c r="S417" s="260"/>
      <c r="T417" s="260"/>
      <c r="U417" s="260"/>
      <c r="V417" s="260"/>
      <c r="W417" s="260"/>
      <c r="X417" s="260"/>
      <c r="Y417" s="260"/>
      <c r="Z417" s="260"/>
    </row>
    <row r="418">
      <c r="A418" s="260"/>
      <c r="B418" s="260"/>
      <c r="C418" s="260"/>
      <c r="D418" s="260"/>
      <c r="E418" s="260"/>
      <c r="F418" s="260"/>
      <c r="G418" s="260"/>
      <c r="H418" s="260"/>
      <c r="I418" s="260"/>
      <c r="J418" s="260"/>
      <c r="K418" s="260"/>
      <c r="L418" s="260"/>
      <c r="M418" s="260"/>
      <c r="N418" s="260"/>
      <c r="O418" s="260"/>
      <c r="P418" s="260"/>
      <c r="Q418" s="260"/>
      <c r="R418" s="260"/>
      <c r="S418" s="260"/>
      <c r="T418" s="260"/>
      <c r="U418" s="260"/>
      <c r="V418" s="260"/>
      <c r="W418" s="260"/>
      <c r="X418" s="260"/>
      <c r="Y418" s="260"/>
      <c r="Z418" s="260"/>
    </row>
    <row r="419">
      <c r="A419" s="260"/>
      <c r="B419" s="260"/>
      <c r="C419" s="260"/>
      <c r="D419" s="260"/>
      <c r="E419" s="260"/>
      <c r="F419" s="260"/>
      <c r="G419" s="260"/>
      <c r="H419" s="260"/>
      <c r="I419" s="260"/>
      <c r="J419" s="260"/>
      <c r="K419" s="260"/>
      <c r="L419" s="260"/>
      <c r="M419" s="260"/>
      <c r="N419" s="260"/>
      <c r="O419" s="260"/>
      <c r="P419" s="260"/>
      <c r="Q419" s="260"/>
      <c r="R419" s="260"/>
      <c r="S419" s="260"/>
      <c r="T419" s="260"/>
      <c r="U419" s="260"/>
      <c r="V419" s="260"/>
      <c r="W419" s="260"/>
      <c r="X419" s="260"/>
      <c r="Y419" s="260"/>
      <c r="Z419" s="260"/>
    </row>
    <row r="420">
      <c r="A420" s="260"/>
      <c r="B420" s="260"/>
      <c r="C420" s="260"/>
      <c r="D420" s="260"/>
      <c r="E420" s="260"/>
      <c r="F420" s="260"/>
      <c r="G420" s="260"/>
      <c r="H420" s="260"/>
      <c r="I420" s="260"/>
      <c r="J420" s="260"/>
      <c r="K420" s="260"/>
      <c r="L420" s="260"/>
      <c r="M420" s="260"/>
      <c r="N420" s="260"/>
      <c r="O420" s="260"/>
      <c r="P420" s="260"/>
      <c r="Q420" s="260"/>
      <c r="R420" s="260"/>
      <c r="S420" s="260"/>
      <c r="T420" s="260"/>
      <c r="U420" s="260"/>
      <c r="V420" s="260"/>
      <c r="W420" s="260"/>
      <c r="X420" s="260"/>
      <c r="Y420" s="260"/>
      <c r="Z420" s="260"/>
    </row>
    <row r="421">
      <c r="A421" s="260"/>
      <c r="B421" s="260"/>
      <c r="C421" s="260"/>
      <c r="D421" s="260"/>
      <c r="E421" s="260"/>
      <c r="F421" s="260"/>
      <c r="G421" s="260"/>
      <c r="H421" s="260"/>
      <c r="I421" s="260"/>
      <c r="J421" s="260"/>
      <c r="K421" s="260"/>
      <c r="L421" s="260"/>
      <c r="M421" s="260"/>
      <c r="N421" s="260"/>
      <c r="O421" s="260"/>
      <c r="P421" s="260"/>
      <c r="Q421" s="260"/>
      <c r="R421" s="260"/>
      <c r="S421" s="260"/>
      <c r="T421" s="260"/>
      <c r="U421" s="260"/>
      <c r="V421" s="260"/>
      <c r="W421" s="260"/>
      <c r="X421" s="260"/>
      <c r="Y421" s="260"/>
      <c r="Z421" s="260"/>
    </row>
    <row r="422">
      <c r="A422" s="260"/>
      <c r="B422" s="260"/>
      <c r="C422" s="260"/>
      <c r="D422" s="260"/>
      <c r="E422" s="260"/>
      <c r="F422" s="260"/>
      <c r="G422" s="260"/>
      <c r="H422" s="260"/>
      <c r="I422" s="260"/>
      <c r="J422" s="260"/>
      <c r="K422" s="260"/>
      <c r="L422" s="260"/>
      <c r="M422" s="260"/>
      <c r="N422" s="260"/>
      <c r="O422" s="260"/>
      <c r="P422" s="260"/>
      <c r="Q422" s="260"/>
      <c r="R422" s="260"/>
      <c r="S422" s="260"/>
      <c r="T422" s="260"/>
      <c r="U422" s="260"/>
      <c r="V422" s="260"/>
      <c r="W422" s="260"/>
      <c r="X422" s="260"/>
      <c r="Y422" s="260"/>
      <c r="Z422" s="260"/>
    </row>
    <row r="423">
      <c r="A423" s="260"/>
      <c r="B423" s="260"/>
      <c r="C423" s="260"/>
      <c r="D423" s="260"/>
      <c r="E423" s="260"/>
      <c r="F423" s="260"/>
      <c r="G423" s="260"/>
      <c r="H423" s="260"/>
      <c r="I423" s="260"/>
      <c r="J423" s="260"/>
      <c r="K423" s="260"/>
      <c r="L423" s="260"/>
      <c r="M423" s="260"/>
      <c r="N423" s="260"/>
      <c r="O423" s="260"/>
      <c r="P423" s="260"/>
      <c r="Q423" s="260"/>
      <c r="R423" s="260"/>
      <c r="S423" s="260"/>
      <c r="T423" s="260"/>
      <c r="U423" s="260"/>
      <c r="V423" s="260"/>
      <c r="W423" s="260"/>
      <c r="X423" s="260"/>
      <c r="Y423" s="260"/>
      <c r="Z423" s="260"/>
    </row>
    <row r="424">
      <c r="A424" s="260"/>
      <c r="B424" s="260"/>
      <c r="C424" s="260"/>
      <c r="D424" s="260"/>
      <c r="E424" s="260"/>
      <c r="F424" s="260"/>
      <c r="G424" s="260"/>
      <c r="H424" s="260"/>
      <c r="I424" s="260"/>
      <c r="J424" s="260"/>
      <c r="K424" s="260"/>
      <c r="L424" s="260"/>
      <c r="M424" s="260"/>
      <c r="N424" s="260"/>
      <c r="O424" s="260"/>
      <c r="P424" s="260"/>
      <c r="Q424" s="260"/>
      <c r="R424" s="260"/>
      <c r="S424" s="260"/>
      <c r="T424" s="260"/>
      <c r="U424" s="260"/>
      <c r="V424" s="260"/>
      <c r="W424" s="260"/>
      <c r="X424" s="260"/>
      <c r="Y424" s="260"/>
      <c r="Z424" s="260"/>
    </row>
    <row r="425">
      <c r="A425" s="260"/>
      <c r="B425" s="260"/>
      <c r="C425" s="260"/>
      <c r="D425" s="260"/>
      <c r="E425" s="260"/>
      <c r="F425" s="260"/>
      <c r="G425" s="260"/>
      <c r="H425" s="260"/>
      <c r="I425" s="260"/>
      <c r="J425" s="260"/>
      <c r="K425" s="260"/>
      <c r="L425" s="260"/>
      <c r="M425" s="260"/>
      <c r="N425" s="260"/>
      <c r="O425" s="260"/>
      <c r="P425" s="260"/>
      <c r="Q425" s="260"/>
      <c r="R425" s="260"/>
      <c r="S425" s="260"/>
      <c r="T425" s="260"/>
      <c r="U425" s="260"/>
      <c r="V425" s="260"/>
      <c r="W425" s="260"/>
      <c r="X425" s="260"/>
      <c r="Y425" s="260"/>
      <c r="Z425" s="260"/>
    </row>
    <row r="426">
      <c r="A426" s="260"/>
      <c r="B426" s="260"/>
      <c r="C426" s="260"/>
      <c r="D426" s="260"/>
      <c r="E426" s="260"/>
      <c r="F426" s="260"/>
      <c r="G426" s="260"/>
      <c r="H426" s="260"/>
      <c r="I426" s="260"/>
      <c r="J426" s="260"/>
      <c r="K426" s="260"/>
      <c r="L426" s="260"/>
      <c r="M426" s="260"/>
      <c r="N426" s="260"/>
      <c r="O426" s="260"/>
      <c r="P426" s="260"/>
      <c r="Q426" s="260"/>
      <c r="R426" s="260"/>
      <c r="S426" s="260"/>
      <c r="T426" s="260"/>
      <c r="U426" s="260"/>
      <c r="V426" s="260"/>
      <c r="W426" s="260"/>
      <c r="X426" s="260"/>
      <c r="Y426" s="260"/>
      <c r="Z426" s="260"/>
    </row>
    <row r="427">
      <c r="A427" s="260"/>
      <c r="B427" s="260"/>
      <c r="C427" s="260"/>
      <c r="D427" s="260"/>
      <c r="E427" s="260"/>
      <c r="F427" s="260"/>
      <c r="G427" s="260"/>
      <c r="H427" s="260"/>
      <c r="I427" s="260"/>
      <c r="J427" s="260"/>
      <c r="K427" s="260"/>
      <c r="L427" s="260"/>
      <c r="M427" s="260"/>
      <c r="N427" s="260"/>
      <c r="O427" s="260"/>
      <c r="P427" s="260"/>
      <c r="Q427" s="260"/>
      <c r="R427" s="260"/>
      <c r="S427" s="260"/>
      <c r="T427" s="260"/>
      <c r="U427" s="260"/>
      <c r="V427" s="260"/>
      <c r="W427" s="260"/>
      <c r="X427" s="260"/>
      <c r="Y427" s="260"/>
      <c r="Z427" s="260"/>
    </row>
    <row r="428">
      <c r="A428" s="260"/>
      <c r="B428" s="260"/>
      <c r="C428" s="260"/>
      <c r="D428" s="260"/>
      <c r="E428" s="260"/>
      <c r="F428" s="260"/>
      <c r="G428" s="260"/>
      <c r="H428" s="260"/>
      <c r="I428" s="260"/>
      <c r="J428" s="260"/>
      <c r="K428" s="260"/>
      <c r="L428" s="260"/>
      <c r="M428" s="260"/>
      <c r="N428" s="260"/>
      <c r="O428" s="260"/>
      <c r="P428" s="260"/>
      <c r="Q428" s="260"/>
      <c r="R428" s="260"/>
      <c r="S428" s="260"/>
      <c r="T428" s="260"/>
      <c r="U428" s="260"/>
      <c r="V428" s="260"/>
      <c r="W428" s="260"/>
      <c r="X428" s="260"/>
      <c r="Y428" s="260"/>
      <c r="Z428" s="260"/>
    </row>
    <row r="429">
      <c r="A429" s="260"/>
      <c r="B429" s="260"/>
      <c r="C429" s="260"/>
      <c r="D429" s="260"/>
      <c r="E429" s="260"/>
      <c r="F429" s="260"/>
      <c r="G429" s="260"/>
      <c r="H429" s="260"/>
      <c r="I429" s="260"/>
      <c r="J429" s="260"/>
      <c r="K429" s="260"/>
      <c r="L429" s="260"/>
      <c r="M429" s="260"/>
      <c r="N429" s="260"/>
      <c r="O429" s="260"/>
      <c r="P429" s="260"/>
      <c r="Q429" s="260"/>
      <c r="R429" s="260"/>
      <c r="S429" s="260"/>
      <c r="T429" s="260"/>
      <c r="U429" s="260"/>
      <c r="V429" s="260"/>
      <c r="W429" s="260"/>
      <c r="X429" s="260"/>
      <c r="Y429" s="260"/>
      <c r="Z429" s="260"/>
    </row>
    <row r="430">
      <c r="A430" s="260"/>
      <c r="B430" s="260"/>
      <c r="C430" s="260"/>
      <c r="D430" s="260"/>
      <c r="E430" s="260"/>
      <c r="F430" s="260"/>
      <c r="G430" s="260"/>
      <c r="H430" s="260"/>
      <c r="I430" s="260"/>
      <c r="J430" s="260"/>
      <c r="K430" s="260"/>
      <c r="L430" s="260"/>
      <c r="M430" s="260"/>
      <c r="N430" s="260"/>
      <c r="O430" s="260"/>
      <c r="P430" s="260"/>
      <c r="Q430" s="260"/>
      <c r="R430" s="260"/>
      <c r="S430" s="260"/>
      <c r="T430" s="260"/>
      <c r="U430" s="260"/>
      <c r="V430" s="260"/>
      <c r="W430" s="260"/>
      <c r="X430" s="260"/>
      <c r="Y430" s="260"/>
      <c r="Z430" s="260"/>
    </row>
    <row r="431">
      <c r="A431" s="260"/>
      <c r="B431" s="260"/>
      <c r="C431" s="260"/>
      <c r="D431" s="260"/>
      <c r="E431" s="260"/>
      <c r="F431" s="260"/>
      <c r="G431" s="260"/>
      <c r="H431" s="260"/>
      <c r="I431" s="260"/>
      <c r="J431" s="260"/>
      <c r="K431" s="260"/>
      <c r="L431" s="260"/>
      <c r="M431" s="260"/>
      <c r="N431" s="260"/>
      <c r="O431" s="260"/>
      <c r="P431" s="260"/>
      <c r="Q431" s="260"/>
      <c r="R431" s="260"/>
      <c r="S431" s="260"/>
      <c r="T431" s="260"/>
      <c r="U431" s="260"/>
      <c r="V431" s="260"/>
      <c r="W431" s="260"/>
      <c r="X431" s="260"/>
      <c r="Y431" s="260"/>
      <c r="Z431" s="260"/>
    </row>
    <row r="432">
      <c r="A432" s="260"/>
      <c r="B432" s="260"/>
      <c r="C432" s="260"/>
      <c r="D432" s="260"/>
      <c r="E432" s="260"/>
      <c r="F432" s="260"/>
      <c r="G432" s="260"/>
      <c r="H432" s="260"/>
      <c r="I432" s="260"/>
      <c r="J432" s="260"/>
      <c r="K432" s="260"/>
      <c r="L432" s="260"/>
      <c r="M432" s="260"/>
      <c r="N432" s="260"/>
      <c r="O432" s="260"/>
      <c r="P432" s="260"/>
      <c r="Q432" s="260"/>
      <c r="R432" s="260"/>
      <c r="S432" s="260"/>
      <c r="T432" s="260"/>
      <c r="U432" s="260"/>
      <c r="V432" s="260"/>
      <c r="W432" s="260"/>
      <c r="X432" s="260"/>
      <c r="Y432" s="260"/>
      <c r="Z432" s="260"/>
    </row>
    <row r="433">
      <c r="A433" s="260"/>
      <c r="B433" s="260"/>
      <c r="C433" s="260"/>
      <c r="D433" s="260"/>
      <c r="E433" s="260"/>
      <c r="F433" s="260"/>
      <c r="G433" s="260"/>
      <c r="H433" s="260"/>
      <c r="I433" s="260"/>
      <c r="J433" s="260"/>
      <c r="K433" s="260"/>
      <c r="L433" s="260"/>
      <c r="M433" s="260"/>
      <c r="N433" s="260"/>
      <c r="O433" s="260"/>
      <c r="P433" s="260"/>
      <c r="Q433" s="260"/>
      <c r="R433" s="260"/>
      <c r="S433" s="260"/>
      <c r="T433" s="260"/>
      <c r="U433" s="260"/>
      <c r="V433" s="260"/>
      <c r="W433" s="260"/>
      <c r="X433" s="260"/>
      <c r="Y433" s="260"/>
      <c r="Z433" s="260"/>
    </row>
    <row r="434">
      <c r="A434" s="260"/>
      <c r="B434" s="260"/>
      <c r="C434" s="260"/>
      <c r="D434" s="260"/>
      <c r="E434" s="260"/>
      <c r="F434" s="260"/>
      <c r="G434" s="260"/>
      <c r="H434" s="260"/>
      <c r="I434" s="260"/>
      <c r="J434" s="260"/>
      <c r="K434" s="260"/>
      <c r="L434" s="260"/>
      <c r="M434" s="260"/>
      <c r="N434" s="260"/>
      <c r="O434" s="260"/>
      <c r="P434" s="260"/>
      <c r="Q434" s="260"/>
      <c r="R434" s="260"/>
      <c r="S434" s="260"/>
      <c r="T434" s="260"/>
      <c r="U434" s="260"/>
      <c r="V434" s="260"/>
      <c r="W434" s="260"/>
      <c r="X434" s="260"/>
      <c r="Y434" s="260"/>
      <c r="Z434" s="260"/>
    </row>
    <row r="435">
      <c r="A435" s="260"/>
      <c r="B435" s="260"/>
      <c r="C435" s="260"/>
      <c r="D435" s="260"/>
      <c r="E435" s="260"/>
      <c r="F435" s="260"/>
      <c r="G435" s="260"/>
      <c r="H435" s="260"/>
      <c r="I435" s="260"/>
      <c r="J435" s="260"/>
      <c r="K435" s="260"/>
      <c r="L435" s="260"/>
      <c r="M435" s="260"/>
      <c r="N435" s="260"/>
      <c r="O435" s="260"/>
      <c r="P435" s="260"/>
      <c r="Q435" s="260"/>
      <c r="R435" s="260"/>
      <c r="S435" s="260"/>
      <c r="T435" s="260"/>
      <c r="U435" s="260"/>
      <c r="V435" s="260"/>
      <c r="W435" s="260"/>
      <c r="X435" s="260"/>
      <c r="Y435" s="260"/>
      <c r="Z435" s="260"/>
    </row>
    <row r="436">
      <c r="A436" s="260"/>
      <c r="B436" s="260"/>
      <c r="C436" s="260"/>
      <c r="D436" s="260"/>
      <c r="E436" s="260"/>
      <c r="F436" s="260"/>
      <c r="G436" s="260"/>
      <c r="H436" s="260"/>
      <c r="I436" s="260"/>
      <c r="J436" s="260"/>
      <c r="K436" s="260"/>
      <c r="L436" s="260"/>
      <c r="M436" s="260"/>
      <c r="N436" s="260"/>
      <c r="O436" s="260"/>
      <c r="P436" s="260"/>
      <c r="Q436" s="260"/>
      <c r="R436" s="260"/>
      <c r="S436" s="260"/>
      <c r="T436" s="260"/>
      <c r="U436" s="260"/>
      <c r="V436" s="260"/>
      <c r="W436" s="260"/>
      <c r="X436" s="260"/>
      <c r="Y436" s="260"/>
      <c r="Z436" s="260"/>
    </row>
    <row r="437">
      <c r="A437" s="260"/>
      <c r="B437" s="260"/>
      <c r="C437" s="260"/>
      <c r="D437" s="260"/>
      <c r="E437" s="260"/>
      <c r="F437" s="260"/>
      <c r="G437" s="260"/>
      <c r="H437" s="260"/>
      <c r="I437" s="260"/>
      <c r="J437" s="260"/>
      <c r="K437" s="260"/>
      <c r="L437" s="260"/>
      <c r="M437" s="260"/>
      <c r="N437" s="260"/>
      <c r="O437" s="260"/>
      <c r="P437" s="260"/>
      <c r="Q437" s="260"/>
      <c r="R437" s="260"/>
      <c r="S437" s="260"/>
      <c r="T437" s="260"/>
      <c r="U437" s="260"/>
      <c r="V437" s="260"/>
      <c r="W437" s="260"/>
      <c r="X437" s="260"/>
      <c r="Y437" s="260"/>
      <c r="Z437" s="260"/>
    </row>
    <row r="438">
      <c r="A438" s="260"/>
      <c r="B438" s="260"/>
      <c r="C438" s="260"/>
      <c r="D438" s="260"/>
      <c r="E438" s="260"/>
      <c r="F438" s="260"/>
      <c r="G438" s="260"/>
      <c r="H438" s="260"/>
      <c r="I438" s="260"/>
      <c r="J438" s="260"/>
      <c r="K438" s="260"/>
      <c r="L438" s="260"/>
      <c r="M438" s="260"/>
      <c r="N438" s="260"/>
      <c r="O438" s="260"/>
      <c r="P438" s="260"/>
      <c r="Q438" s="260"/>
      <c r="R438" s="260"/>
      <c r="S438" s="260"/>
      <c r="T438" s="260"/>
      <c r="U438" s="260"/>
      <c r="V438" s="260"/>
      <c r="W438" s="260"/>
      <c r="X438" s="260"/>
      <c r="Y438" s="260"/>
      <c r="Z438" s="260"/>
    </row>
    <row r="439">
      <c r="A439" s="260"/>
      <c r="B439" s="260"/>
      <c r="C439" s="260"/>
      <c r="D439" s="260"/>
      <c r="E439" s="260"/>
      <c r="F439" s="260"/>
      <c r="G439" s="260"/>
      <c r="H439" s="260"/>
      <c r="I439" s="260"/>
      <c r="J439" s="260"/>
      <c r="K439" s="260"/>
      <c r="L439" s="260"/>
      <c r="M439" s="260"/>
      <c r="N439" s="260"/>
      <c r="O439" s="260"/>
      <c r="P439" s="260"/>
      <c r="Q439" s="260"/>
      <c r="R439" s="260"/>
      <c r="S439" s="260"/>
      <c r="T439" s="260"/>
      <c r="U439" s="260"/>
      <c r="V439" s="260"/>
      <c r="W439" s="260"/>
      <c r="X439" s="260"/>
      <c r="Y439" s="260"/>
      <c r="Z439" s="260"/>
    </row>
    <row r="440">
      <c r="A440" s="260"/>
      <c r="B440" s="260"/>
      <c r="C440" s="260"/>
      <c r="D440" s="260"/>
      <c r="E440" s="260"/>
      <c r="F440" s="260"/>
      <c r="G440" s="260"/>
      <c r="H440" s="260"/>
      <c r="I440" s="260"/>
      <c r="J440" s="260"/>
      <c r="K440" s="260"/>
      <c r="L440" s="260"/>
      <c r="M440" s="260"/>
      <c r="N440" s="260"/>
      <c r="O440" s="260"/>
      <c r="P440" s="260"/>
      <c r="Q440" s="260"/>
      <c r="R440" s="260"/>
      <c r="S440" s="260"/>
      <c r="T440" s="260"/>
      <c r="U440" s="260"/>
      <c r="V440" s="260"/>
      <c r="W440" s="260"/>
      <c r="X440" s="260"/>
      <c r="Y440" s="260"/>
      <c r="Z440" s="260"/>
    </row>
    <row r="441">
      <c r="A441" s="260"/>
      <c r="B441" s="260"/>
      <c r="C441" s="260"/>
      <c r="D441" s="260"/>
      <c r="E441" s="260"/>
      <c r="F441" s="260"/>
      <c r="G441" s="260"/>
      <c r="H441" s="260"/>
      <c r="I441" s="260"/>
      <c r="J441" s="260"/>
      <c r="K441" s="260"/>
      <c r="L441" s="260"/>
      <c r="M441" s="260"/>
      <c r="N441" s="260"/>
      <c r="O441" s="260"/>
      <c r="P441" s="260"/>
      <c r="Q441" s="260"/>
      <c r="R441" s="260"/>
      <c r="S441" s="260"/>
      <c r="T441" s="260"/>
      <c r="U441" s="260"/>
      <c r="V441" s="260"/>
      <c r="W441" s="260"/>
      <c r="X441" s="260"/>
      <c r="Y441" s="260"/>
      <c r="Z441" s="260"/>
    </row>
    <row r="442">
      <c r="A442" s="260"/>
      <c r="B442" s="260"/>
      <c r="C442" s="260"/>
      <c r="D442" s="260"/>
      <c r="E442" s="260"/>
      <c r="F442" s="260"/>
      <c r="G442" s="260"/>
      <c r="H442" s="260"/>
      <c r="I442" s="260"/>
      <c r="J442" s="260"/>
      <c r="K442" s="260"/>
      <c r="L442" s="260"/>
      <c r="M442" s="260"/>
      <c r="N442" s="260"/>
      <c r="O442" s="260"/>
      <c r="P442" s="260"/>
      <c r="Q442" s="260"/>
      <c r="R442" s="260"/>
      <c r="S442" s="260"/>
      <c r="T442" s="260"/>
      <c r="U442" s="260"/>
      <c r="V442" s="260"/>
      <c r="W442" s="260"/>
      <c r="X442" s="260"/>
      <c r="Y442" s="260"/>
      <c r="Z442" s="260"/>
    </row>
    <row r="443">
      <c r="A443" s="260"/>
      <c r="B443" s="260"/>
      <c r="C443" s="260"/>
      <c r="D443" s="260"/>
      <c r="E443" s="260"/>
      <c r="F443" s="260"/>
      <c r="G443" s="260"/>
      <c r="H443" s="260"/>
      <c r="I443" s="260"/>
      <c r="J443" s="260"/>
      <c r="K443" s="260"/>
      <c r="L443" s="260"/>
      <c r="M443" s="260"/>
      <c r="N443" s="260"/>
      <c r="O443" s="260"/>
      <c r="P443" s="260"/>
      <c r="Q443" s="260"/>
      <c r="R443" s="260"/>
      <c r="S443" s="260"/>
      <c r="T443" s="260"/>
      <c r="U443" s="260"/>
      <c r="V443" s="260"/>
      <c r="W443" s="260"/>
      <c r="X443" s="260"/>
      <c r="Y443" s="260"/>
      <c r="Z443" s="260"/>
    </row>
    <row r="444">
      <c r="A444" s="260"/>
      <c r="B444" s="260"/>
      <c r="C444" s="260"/>
      <c r="D444" s="260"/>
      <c r="E444" s="260"/>
      <c r="F444" s="260"/>
      <c r="G444" s="260"/>
      <c r="H444" s="260"/>
      <c r="I444" s="260"/>
      <c r="J444" s="260"/>
      <c r="K444" s="260"/>
      <c r="L444" s="260"/>
      <c r="M444" s="260"/>
      <c r="N444" s="260"/>
      <c r="O444" s="260"/>
      <c r="P444" s="260"/>
      <c r="Q444" s="260"/>
      <c r="R444" s="260"/>
      <c r="S444" s="260"/>
      <c r="T444" s="260"/>
      <c r="U444" s="260"/>
      <c r="V444" s="260"/>
      <c r="W444" s="260"/>
      <c r="X444" s="260"/>
      <c r="Y444" s="260"/>
      <c r="Z444" s="260"/>
    </row>
    <row r="445">
      <c r="A445" s="260"/>
      <c r="B445" s="260"/>
      <c r="C445" s="260"/>
      <c r="D445" s="260"/>
      <c r="E445" s="260"/>
      <c r="F445" s="260"/>
      <c r="G445" s="260"/>
      <c r="H445" s="260"/>
      <c r="I445" s="260"/>
      <c r="J445" s="260"/>
      <c r="K445" s="260"/>
      <c r="L445" s="260"/>
      <c r="M445" s="260"/>
      <c r="N445" s="260"/>
      <c r="O445" s="260"/>
      <c r="P445" s="260"/>
      <c r="Q445" s="260"/>
      <c r="R445" s="260"/>
      <c r="S445" s="260"/>
      <c r="T445" s="260"/>
      <c r="U445" s="260"/>
      <c r="V445" s="260"/>
      <c r="W445" s="260"/>
      <c r="X445" s="260"/>
      <c r="Y445" s="260"/>
      <c r="Z445" s="260"/>
    </row>
    <row r="446">
      <c r="A446" s="260"/>
      <c r="B446" s="260"/>
      <c r="C446" s="260"/>
      <c r="D446" s="260"/>
      <c r="E446" s="260"/>
      <c r="F446" s="260"/>
      <c r="G446" s="260"/>
      <c r="H446" s="260"/>
      <c r="I446" s="260"/>
      <c r="J446" s="260"/>
      <c r="K446" s="260"/>
      <c r="L446" s="260"/>
      <c r="M446" s="260"/>
      <c r="N446" s="260"/>
      <c r="O446" s="260"/>
      <c r="P446" s="260"/>
      <c r="Q446" s="260"/>
      <c r="R446" s="260"/>
      <c r="S446" s="260"/>
      <c r="T446" s="260"/>
      <c r="U446" s="260"/>
      <c r="V446" s="260"/>
      <c r="W446" s="260"/>
      <c r="X446" s="260"/>
      <c r="Y446" s="260"/>
      <c r="Z446" s="260"/>
    </row>
    <row r="447">
      <c r="A447" s="260"/>
      <c r="B447" s="260"/>
      <c r="C447" s="260"/>
      <c r="D447" s="260"/>
      <c r="E447" s="260"/>
      <c r="F447" s="260"/>
      <c r="G447" s="260"/>
      <c r="H447" s="260"/>
      <c r="I447" s="260"/>
      <c r="J447" s="260"/>
      <c r="K447" s="260"/>
      <c r="L447" s="260"/>
      <c r="M447" s="260"/>
      <c r="N447" s="260"/>
      <c r="O447" s="260"/>
      <c r="P447" s="260"/>
      <c r="Q447" s="260"/>
      <c r="R447" s="260"/>
      <c r="S447" s="260"/>
      <c r="T447" s="260"/>
      <c r="U447" s="260"/>
      <c r="V447" s="260"/>
      <c r="W447" s="260"/>
      <c r="X447" s="260"/>
      <c r="Y447" s="260"/>
      <c r="Z447" s="260"/>
    </row>
    <row r="448">
      <c r="A448" s="260"/>
      <c r="B448" s="260"/>
      <c r="C448" s="260"/>
      <c r="D448" s="260"/>
      <c r="E448" s="260"/>
      <c r="F448" s="260"/>
      <c r="G448" s="260"/>
      <c r="H448" s="260"/>
      <c r="I448" s="260"/>
      <c r="J448" s="260"/>
      <c r="K448" s="260"/>
      <c r="L448" s="260"/>
      <c r="M448" s="260"/>
      <c r="N448" s="260"/>
      <c r="O448" s="260"/>
      <c r="P448" s="260"/>
      <c r="Q448" s="260"/>
      <c r="R448" s="260"/>
      <c r="S448" s="260"/>
      <c r="T448" s="260"/>
      <c r="U448" s="260"/>
      <c r="V448" s="260"/>
      <c r="W448" s="260"/>
      <c r="X448" s="260"/>
      <c r="Y448" s="260"/>
      <c r="Z448" s="260"/>
    </row>
    <row r="449">
      <c r="A449" s="260"/>
      <c r="B449" s="260"/>
      <c r="C449" s="260"/>
      <c r="D449" s="260"/>
      <c r="E449" s="260"/>
      <c r="F449" s="260"/>
      <c r="G449" s="260"/>
      <c r="H449" s="260"/>
      <c r="I449" s="260"/>
      <c r="J449" s="260"/>
      <c r="K449" s="260"/>
      <c r="L449" s="260"/>
      <c r="M449" s="260"/>
      <c r="N449" s="260"/>
      <c r="O449" s="260"/>
      <c r="P449" s="260"/>
      <c r="Q449" s="260"/>
      <c r="R449" s="260"/>
      <c r="S449" s="260"/>
      <c r="T449" s="260"/>
      <c r="U449" s="260"/>
      <c r="V449" s="260"/>
      <c r="W449" s="260"/>
      <c r="X449" s="260"/>
      <c r="Y449" s="260"/>
      <c r="Z449" s="260"/>
    </row>
    <row r="450">
      <c r="A450" s="260"/>
      <c r="B450" s="260"/>
      <c r="C450" s="260"/>
      <c r="D450" s="260"/>
      <c r="E450" s="260"/>
      <c r="F450" s="260"/>
      <c r="G450" s="260"/>
      <c r="H450" s="260"/>
      <c r="I450" s="260"/>
      <c r="J450" s="260"/>
      <c r="K450" s="260"/>
      <c r="L450" s="260"/>
      <c r="M450" s="260"/>
      <c r="N450" s="260"/>
      <c r="O450" s="260"/>
      <c r="P450" s="260"/>
      <c r="Q450" s="260"/>
      <c r="R450" s="260"/>
      <c r="S450" s="260"/>
      <c r="T450" s="260"/>
      <c r="U450" s="260"/>
      <c r="V450" s="260"/>
      <c r="W450" s="260"/>
      <c r="X450" s="260"/>
      <c r="Y450" s="260"/>
      <c r="Z450" s="260"/>
    </row>
    <row r="451">
      <c r="A451" s="260"/>
      <c r="B451" s="260"/>
      <c r="C451" s="260"/>
      <c r="D451" s="260"/>
      <c r="E451" s="260"/>
      <c r="F451" s="260"/>
      <c r="G451" s="260"/>
      <c r="H451" s="260"/>
      <c r="I451" s="260"/>
      <c r="J451" s="260"/>
      <c r="K451" s="260"/>
      <c r="L451" s="260"/>
      <c r="M451" s="260"/>
      <c r="N451" s="260"/>
      <c r="O451" s="260"/>
      <c r="P451" s="260"/>
      <c r="Q451" s="260"/>
      <c r="R451" s="260"/>
      <c r="S451" s="260"/>
      <c r="T451" s="260"/>
      <c r="U451" s="260"/>
      <c r="V451" s="260"/>
      <c r="W451" s="260"/>
      <c r="X451" s="260"/>
      <c r="Y451" s="260"/>
      <c r="Z451" s="260"/>
    </row>
    <row r="452">
      <c r="A452" s="260"/>
      <c r="B452" s="260"/>
      <c r="C452" s="260"/>
      <c r="D452" s="260"/>
      <c r="E452" s="260"/>
      <c r="F452" s="260"/>
      <c r="G452" s="260"/>
      <c r="H452" s="260"/>
      <c r="I452" s="260"/>
      <c r="J452" s="260"/>
      <c r="K452" s="260"/>
      <c r="L452" s="260"/>
      <c r="M452" s="260"/>
      <c r="N452" s="260"/>
      <c r="O452" s="260"/>
      <c r="P452" s="260"/>
      <c r="Q452" s="260"/>
      <c r="R452" s="260"/>
      <c r="S452" s="260"/>
      <c r="T452" s="260"/>
      <c r="U452" s="260"/>
      <c r="V452" s="260"/>
      <c r="W452" s="260"/>
      <c r="X452" s="260"/>
      <c r="Y452" s="260"/>
      <c r="Z452" s="260"/>
    </row>
    <row r="453">
      <c r="A453" s="260"/>
      <c r="B453" s="260"/>
      <c r="C453" s="260"/>
      <c r="D453" s="260"/>
      <c r="E453" s="260"/>
      <c r="F453" s="260"/>
      <c r="G453" s="260"/>
      <c r="H453" s="260"/>
      <c r="I453" s="260"/>
      <c r="J453" s="260"/>
      <c r="K453" s="260"/>
      <c r="L453" s="260"/>
      <c r="M453" s="260"/>
      <c r="N453" s="260"/>
      <c r="O453" s="260"/>
      <c r="P453" s="260"/>
      <c r="Q453" s="260"/>
      <c r="R453" s="260"/>
      <c r="S453" s="260"/>
      <c r="T453" s="260"/>
      <c r="U453" s="260"/>
      <c r="V453" s="260"/>
      <c r="W453" s="260"/>
      <c r="X453" s="260"/>
      <c r="Y453" s="260"/>
      <c r="Z453" s="260"/>
    </row>
    <row r="454">
      <c r="A454" s="260"/>
      <c r="B454" s="260"/>
      <c r="C454" s="260"/>
      <c r="D454" s="260"/>
      <c r="E454" s="260"/>
      <c r="F454" s="260"/>
      <c r="G454" s="260"/>
      <c r="H454" s="260"/>
      <c r="I454" s="260"/>
      <c r="J454" s="260"/>
      <c r="K454" s="260"/>
      <c r="L454" s="260"/>
      <c r="M454" s="260"/>
      <c r="N454" s="260"/>
      <c r="O454" s="260"/>
      <c r="P454" s="260"/>
      <c r="Q454" s="260"/>
      <c r="R454" s="260"/>
      <c r="S454" s="260"/>
      <c r="T454" s="260"/>
      <c r="U454" s="260"/>
      <c r="V454" s="260"/>
      <c r="W454" s="260"/>
      <c r="X454" s="260"/>
      <c r="Y454" s="260"/>
      <c r="Z454" s="260"/>
    </row>
    <row r="455">
      <c r="A455" s="260"/>
      <c r="B455" s="260"/>
      <c r="C455" s="260"/>
      <c r="D455" s="260"/>
      <c r="E455" s="260"/>
      <c r="F455" s="260"/>
      <c r="G455" s="260"/>
      <c r="H455" s="260"/>
      <c r="I455" s="260"/>
      <c r="J455" s="260"/>
      <c r="K455" s="260"/>
      <c r="L455" s="260"/>
      <c r="M455" s="260"/>
      <c r="N455" s="260"/>
      <c r="O455" s="260"/>
      <c r="P455" s="260"/>
      <c r="Q455" s="260"/>
      <c r="R455" s="260"/>
      <c r="S455" s="260"/>
      <c r="T455" s="260"/>
      <c r="U455" s="260"/>
      <c r="V455" s="260"/>
      <c r="W455" s="260"/>
      <c r="X455" s="260"/>
      <c r="Y455" s="260"/>
      <c r="Z455" s="260"/>
    </row>
    <row r="456">
      <c r="A456" s="260"/>
      <c r="B456" s="260"/>
      <c r="C456" s="260"/>
      <c r="D456" s="260"/>
      <c r="E456" s="260"/>
      <c r="F456" s="260"/>
      <c r="G456" s="260"/>
      <c r="H456" s="260"/>
      <c r="I456" s="260"/>
      <c r="J456" s="260"/>
      <c r="K456" s="260"/>
      <c r="L456" s="260"/>
      <c r="M456" s="260"/>
      <c r="N456" s="260"/>
      <c r="O456" s="260"/>
      <c r="P456" s="260"/>
      <c r="Q456" s="260"/>
      <c r="R456" s="260"/>
      <c r="S456" s="260"/>
      <c r="T456" s="260"/>
      <c r="U456" s="260"/>
      <c r="V456" s="260"/>
      <c r="W456" s="260"/>
      <c r="X456" s="260"/>
      <c r="Y456" s="260"/>
      <c r="Z456" s="260"/>
    </row>
    <row r="457">
      <c r="A457" s="260"/>
      <c r="B457" s="260"/>
      <c r="C457" s="260"/>
      <c r="D457" s="260"/>
      <c r="E457" s="260"/>
      <c r="F457" s="260"/>
      <c r="G457" s="260"/>
      <c r="H457" s="260"/>
      <c r="I457" s="260"/>
      <c r="J457" s="260"/>
      <c r="K457" s="260"/>
      <c r="L457" s="260"/>
      <c r="M457" s="260"/>
      <c r="N457" s="260"/>
      <c r="O457" s="260"/>
      <c r="P457" s="260"/>
      <c r="Q457" s="260"/>
      <c r="R457" s="260"/>
      <c r="S457" s="260"/>
      <c r="T457" s="260"/>
      <c r="U457" s="260"/>
      <c r="V457" s="260"/>
      <c r="W457" s="260"/>
      <c r="X457" s="260"/>
      <c r="Y457" s="260"/>
      <c r="Z457" s="260"/>
    </row>
    <row r="458">
      <c r="A458" s="260"/>
      <c r="B458" s="260"/>
      <c r="C458" s="260"/>
      <c r="D458" s="260"/>
      <c r="E458" s="260"/>
      <c r="F458" s="260"/>
      <c r="G458" s="260"/>
      <c r="H458" s="260"/>
      <c r="I458" s="260"/>
      <c r="J458" s="260"/>
      <c r="K458" s="260"/>
      <c r="L458" s="260"/>
      <c r="M458" s="260"/>
      <c r="N458" s="260"/>
      <c r="O458" s="260"/>
      <c r="P458" s="260"/>
      <c r="Q458" s="260"/>
      <c r="R458" s="260"/>
      <c r="S458" s="260"/>
      <c r="T458" s="260"/>
      <c r="U458" s="260"/>
      <c r="V458" s="260"/>
      <c r="W458" s="260"/>
      <c r="X458" s="260"/>
      <c r="Y458" s="260"/>
      <c r="Z458" s="260"/>
    </row>
    <row r="459">
      <c r="A459" s="260"/>
      <c r="B459" s="260"/>
      <c r="C459" s="260"/>
      <c r="D459" s="260"/>
      <c r="E459" s="260"/>
      <c r="F459" s="260"/>
      <c r="G459" s="260"/>
      <c r="H459" s="260"/>
      <c r="I459" s="260"/>
      <c r="J459" s="260"/>
      <c r="K459" s="260"/>
      <c r="L459" s="260"/>
      <c r="M459" s="260"/>
      <c r="N459" s="260"/>
      <c r="O459" s="260"/>
      <c r="P459" s="260"/>
      <c r="Q459" s="260"/>
      <c r="R459" s="260"/>
      <c r="S459" s="260"/>
      <c r="T459" s="260"/>
      <c r="U459" s="260"/>
      <c r="V459" s="260"/>
      <c r="W459" s="260"/>
      <c r="X459" s="260"/>
      <c r="Y459" s="260"/>
      <c r="Z459" s="260"/>
    </row>
    <row r="460">
      <c r="A460" s="260"/>
      <c r="B460" s="260"/>
      <c r="C460" s="260"/>
      <c r="D460" s="260"/>
      <c r="E460" s="260"/>
      <c r="F460" s="260"/>
      <c r="G460" s="260"/>
      <c r="H460" s="260"/>
      <c r="I460" s="260"/>
      <c r="J460" s="260"/>
      <c r="K460" s="260"/>
      <c r="L460" s="260"/>
      <c r="M460" s="260"/>
      <c r="N460" s="260"/>
      <c r="O460" s="260"/>
      <c r="P460" s="260"/>
      <c r="Q460" s="260"/>
      <c r="R460" s="260"/>
      <c r="S460" s="260"/>
      <c r="T460" s="260"/>
      <c r="U460" s="260"/>
      <c r="V460" s="260"/>
      <c r="W460" s="260"/>
      <c r="X460" s="260"/>
      <c r="Y460" s="260"/>
      <c r="Z460" s="260"/>
    </row>
    <row r="461">
      <c r="A461" s="260"/>
      <c r="B461" s="260"/>
      <c r="C461" s="260"/>
      <c r="D461" s="260"/>
      <c r="E461" s="260"/>
      <c r="F461" s="260"/>
      <c r="G461" s="260"/>
      <c r="H461" s="260"/>
      <c r="I461" s="260"/>
      <c r="J461" s="260"/>
      <c r="K461" s="260"/>
      <c r="L461" s="260"/>
      <c r="M461" s="260"/>
      <c r="N461" s="260"/>
      <c r="O461" s="260"/>
      <c r="P461" s="260"/>
      <c r="Q461" s="260"/>
      <c r="R461" s="260"/>
      <c r="S461" s="260"/>
      <c r="T461" s="260"/>
      <c r="U461" s="260"/>
      <c r="V461" s="260"/>
      <c r="W461" s="260"/>
      <c r="X461" s="260"/>
      <c r="Y461" s="260"/>
      <c r="Z461" s="260"/>
    </row>
    <row r="462">
      <c r="A462" s="260"/>
      <c r="B462" s="260"/>
      <c r="C462" s="260"/>
      <c r="D462" s="260"/>
      <c r="E462" s="260"/>
      <c r="F462" s="260"/>
      <c r="G462" s="260"/>
      <c r="H462" s="260"/>
      <c r="I462" s="260"/>
      <c r="J462" s="260"/>
      <c r="K462" s="260"/>
      <c r="L462" s="260"/>
      <c r="M462" s="260"/>
      <c r="N462" s="260"/>
      <c r="O462" s="260"/>
      <c r="P462" s="260"/>
      <c r="Q462" s="260"/>
      <c r="R462" s="260"/>
      <c r="S462" s="260"/>
      <c r="T462" s="260"/>
      <c r="U462" s="260"/>
      <c r="V462" s="260"/>
      <c r="W462" s="260"/>
      <c r="X462" s="260"/>
      <c r="Y462" s="260"/>
      <c r="Z462" s="260"/>
    </row>
    <row r="463">
      <c r="A463" s="260"/>
      <c r="B463" s="260"/>
      <c r="C463" s="260"/>
      <c r="D463" s="260"/>
      <c r="E463" s="260"/>
      <c r="F463" s="260"/>
      <c r="G463" s="260"/>
      <c r="H463" s="260"/>
      <c r="I463" s="260"/>
      <c r="J463" s="260"/>
      <c r="K463" s="260"/>
      <c r="L463" s="260"/>
      <c r="M463" s="260"/>
      <c r="N463" s="260"/>
      <c r="O463" s="260"/>
      <c r="P463" s="260"/>
      <c r="Q463" s="260"/>
      <c r="R463" s="260"/>
      <c r="S463" s="260"/>
      <c r="T463" s="260"/>
      <c r="U463" s="260"/>
      <c r="V463" s="260"/>
      <c r="W463" s="260"/>
      <c r="X463" s="260"/>
      <c r="Y463" s="260"/>
      <c r="Z463" s="260"/>
    </row>
    <row r="464">
      <c r="A464" s="260"/>
      <c r="B464" s="260"/>
      <c r="C464" s="260"/>
      <c r="D464" s="260"/>
      <c r="E464" s="260"/>
      <c r="F464" s="260"/>
      <c r="G464" s="260"/>
      <c r="H464" s="260"/>
      <c r="I464" s="260"/>
      <c r="J464" s="260"/>
      <c r="K464" s="260"/>
      <c r="L464" s="260"/>
      <c r="M464" s="260"/>
      <c r="N464" s="260"/>
      <c r="O464" s="260"/>
      <c r="P464" s="260"/>
      <c r="Q464" s="260"/>
      <c r="R464" s="260"/>
      <c r="S464" s="260"/>
      <c r="T464" s="260"/>
      <c r="U464" s="260"/>
      <c r="V464" s="260"/>
      <c r="W464" s="260"/>
      <c r="X464" s="260"/>
      <c r="Y464" s="260"/>
      <c r="Z464" s="260"/>
    </row>
    <row r="465">
      <c r="A465" s="260"/>
      <c r="B465" s="260"/>
      <c r="C465" s="260"/>
      <c r="D465" s="260"/>
      <c r="E465" s="260"/>
      <c r="F465" s="260"/>
      <c r="G465" s="260"/>
      <c r="H465" s="260"/>
      <c r="I465" s="260"/>
      <c r="J465" s="260"/>
      <c r="K465" s="260"/>
      <c r="L465" s="260"/>
      <c r="M465" s="260"/>
      <c r="N465" s="260"/>
      <c r="O465" s="260"/>
      <c r="P465" s="260"/>
      <c r="Q465" s="260"/>
      <c r="R465" s="260"/>
      <c r="S465" s="260"/>
      <c r="T465" s="260"/>
      <c r="U465" s="260"/>
      <c r="V465" s="260"/>
      <c r="W465" s="260"/>
      <c r="X465" s="260"/>
      <c r="Y465" s="260"/>
      <c r="Z465" s="260"/>
    </row>
    <row r="466">
      <c r="A466" s="260"/>
      <c r="B466" s="260"/>
      <c r="C466" s="260"/>
      <c r="D466" s="260"/>
      <c r="E466" s="260"/>
      <c r="F466" s="260"/>
      <c r="G466" s="260"/>
      <c r="H466" s="260"/>
      <c r="I466" s="260"/>
      <c r="J466" s="260"/>
      <c r="K466" s="260"/>
      <c r="L466" s="260"/>
      <c r="M466" s="260"/>
      <c r="N466" s="260"/>
      <c r="O466" s="260"/>
      <c r="P466" s="260"/>
      <c r="Q466" s="260"/>
      <c r="R466" s="260"/>
      <c r="S466" s="260"/>
      <c r="T466" s="260"/>
      <c r="U466" s="260"/>
      <c r="V466" s="260"/>
      <c r="W466" s="260"/>
      <c r="X466" s="260"/>
      <c r="Y466" s="260"/>
      <c r="Z466" s="260"/>
    </row>
    <row r="467">
      <c r="A467" s="260"/>
      <c r="B467" s="260"/>
      <c r="C467" s="260"/>
      <c r="D467" s="260"/>
      <c r="E467" s="260"/>
      <c r="F467" s="260"/>
      <c r="G467" s="260"/>
      <c r="H467" s="260"/>
      <c r="I467" s="260"/>
      <c r="J467" s="260"/>
      <c r="K467" s="260"/>
      <c r="L467" s="260"/>
      <c r="M467" s="260"/>
      <c r="N467" s="260"/>
      <c r="O467" s="260"/>
      <c r="P467" s="260"/>
      <c r="Q467" s="260"/>
      <c r="R467" s="260"/>
      <c r="S467" s="260"/>
      <c r="T467" s="260"/>
      <c r="U467" s="260"/>
      <c r="V467" s="260"/>
      <c r="W467" s="260"/>
      <c r="X467" s="260"/>
      <c r="Y467" s="260"/>
      <c r="Z467" s="260"/>
    </row>
    <row r="468">
      <c r="A468" s="260"/>
      <c r="B468" s="260"/>
      <c r="C468" s="260"/>
      <c r="D468" s="260"/>
      <c r="E468" s="260"/>
      <c r="F468" s="260"/>
      <c r="G468" s="260"/>
      <c r="H468" s="260"/>
      <c r="I468" s="260"/>
      <c r="J468" s="260"/>
      <c r="K468" s="260"/>
      <c r="L468" s="260"/>
      <c r="M468" s="260"/>
      <c r="N468" s="260"/>
      <c r="O468" s="260"/>
      <c r="P468" s="260"/>
      <c r="Q468" s="260"/>
      <c r="R468" s="260"/>
      <c r="S468" s="260"/>
      <c r="T468" s="260"/>
      <c r="U468" s="260"/>
      <c r="V468" s="260"/>
      <c r="W468" s="260"/>
      <c r="X468" s="260"/>
      <c r="Y468" s="260"/>
      <c r="Z468" s="260"/>
    </row>
    <row r="469">
      <c r="A469" s="260"/>
      <c r="B469" s="260"/>
      <c r="C469" s="260"/>
      <c r="D469" s="260"/>
      <c r="E469" s="260"/>
      <c r="F469" s="260"/>
      <c r="G469" s="260"/>
      <c r="H469" s="260"/>
      <c r="I469" s="260"/>
      <c r="J469" s="260"/>
      <c r="K469" s="260"/>
      <c r="L469" s="260"/>
      <c r="M469" s="260"/>
      <c r="N469" s="260"/>
      <c r="O469" s="260"/>
      <c r="P469" s="260"/>
      <c r="Q469" s="260"/>
      <c r="R469" s="260"/>
      <c r="S469" s="260"/>
      <c r="T469" s="260"/>
      <c r="U469" s="260"/>
      <c r="V469" s="260"/>
      <c r="W469" s="260"/>
      <c r="X469" s="260"/>
      <c r="Y469" s="260"/>
      <c r="Z469" s="260"/>
    </row>
    <row r="470">
      <c r="A470" s="260"/>
      <c r="B470" s="260"/>
      <c r="C470" s="260"/>
      <c r="D470" s="260"/>
      <c r="E470" s="260"/>
      <c r="F470" s="260"/>
      <c r="G470" s="260"/>
      <c r="H470" s="260"/>
      <c r="I470" s="260"/>
      <c r="J470" s="260"/>
      <c r="K470" s="260"/>
      <c r="L470" s="260"/>
      <c r="M470" s="260"/>
      <c r="N470" s="260"/>
      <c r="O470" s="260"/>
      <c r="P470" s="260"/>
      <c r="Q470" s="260"/>
      <c r="R470" s="260"/>
      <c r="S470" s="260"/>
      <c r="T470" s="260"/>
      <c r="U470" s="260"/>
      <c r="V470" s="260"/>
      <c r="W470" s="260"/>
      <c r="X470" s="260"/>
      <c r="Y470" s="260"/>
      <c r="Z470" s="260"/>
    </row>
    <row r="471">
      <c r="A471" s="260"/>
      <c r="B471" s="260"/>
      <c r="C471" s="260"/>
      <c r="D471" s="260"/>
      <c r="E471" s="260"/>
      <c r="F471" s="260"/>
      <c r="G471" s="260"/>
      <c r="H471" s="260"/>
      <c r="I471" s="260"/>
      <c r="J471" s="260"/>
      <c r="K471" s="260"/>
      <c r="L471" s="260"/>
      <c r="M471" s="260"/>
      <c r="N471" s="260"/>
      <c r="O471" s="260"/>
      <c r="P471" s="260"/>
      <c r="Q471" s="260"/>
      <c r="R471" s="260"/>
      <c r="S471" s="260"/>
      <c r="T471" s="260"/>
      <c r="U471" s="260"/>
      <c r="V471" s="260"/>
      <c r="W471" s="260"/>
      <c r="X471" s="260"/>
      <c r="Y471" s="260"/>
      <c r="Z471" s="260"/>
    </row>
    <row r="472">
      <c r="A472" s="260"/>
      <c r="B472" s="260"/>
      <c r="C472" s="260"/>
      <c r="D472" s="260"/>
      <c r="E472" s="260"/>
      <c r="F472" s="260"/>
      <c r="G472" s="260"/>
      <c r="H472" s="260"/>
      <c r="I472" s="260"/>
      <c r="J472" s="260"/>
      <c r="K472" s="260"/>
      <c r="L472" s="260"/>
      <c r="M472" s="260"/>
      <c r="N472" s="260"/>
      <c r="O472" s="260"/>
      <c r="P472" s="260"/>
      <c r="Q472" s="260"/>
      <c r="R472" s="260"/>
      <c r="S472" s="260"/>
      <c r="T472" s="260"/>
      <c r="U472" s="260"/>
      <c r="V472" s="260"/>
      <c r="W472" s="260"/>
      <c r="X472" s="260"/>
      <c r="Y472" s="260"/>
      <c r="Z472" s="260"/>
    </row>
    <row r="473">
      <c r="A473" s="260"/>
      <c r="B473" s="260"/>
      <c r="C473" s="260"/>
      <c r="D473" s="260"/>
      <c r="E473" s="260"/>
      <c r="F473" s="260"/>
      <c r="G473" s="260"/>
      <c r="H473" s="260"/>
      <c r="I473" s="260"/>
      <c r="J473" s="260"/>
      <c r="K473" s="260"/>
      <c r="L473" s="260"/>
      <c r="M473" s="260"/>
      <c r="N473" s="260"/>
      <c r="O473" s="260"/>
      <c r="P473" s="260"/>
      <c r="Q473" s="260"/>
      <c r="R473" s="260"/>
      <c r="S473" s="260"/>
      <c r="T473" s="260"/>
      <c r="U473" s="260"/>
      <c r="V473" s="260"/>
      <c r="W473" s="260"/>
      <c r="X473" s="260"/>
      <c r="Y473" s="260"/>
      <c r="Z473" s="260"/>
    </row>
    <row r="474">
      <c r="A474" s="260"/>
      <c r="B474" s="260"/>
      <c r="C474" s="260"/>
      <c r="D474" s="260"/>
      <c r="E474" s="260"/>
      <c r="F474" s="260"/>
      <c r="G474" s="260"/>
      <c r="H474" s="260"/>
      <c r="I474" s="260"/>
      <c r="J474" s="260"/>
      <c r="K474" s="260"/>
      <c r="L474" s="260"/>
      <c r="M474" s="260"/>
      <c r="N474" s="260"/>
      <c r="O474" s="260"/>
      <c r="P474" s="260"/>
      <c r="Q474" s="260"/>
      <c r="R474" s="260"/>
      <c r="S474" s="260"/>
      <c r="T474" s="260"/>
      <c r="U474" s="260"/>
      <c r="V474" s="260"/>
      <c r="W474" s="260"/>
      <c r="X474" s="260"/>
      <c r="Y474" s="260"/>
      <c r="Z474" s="260"/>
    </row>
    <row r="475">
      <c r="A475" s="260"/>
      <c r="B475" s="260"/>
      <c r="C475" s="260"/>
      <c r="D475" s="260"/>
      <c r="E475" s="260"/>
      <c r="F475" s="260"/>
      <c r="G475" s="260"/>
      <c r="H475" s="260"/>
      <c r="I475" s="260"/>
      <c r="J475" s="260"/>
      <c r="K475" s="260"/>
      <c r="L475" s="260"/>
      <c r="M475" s="260"/>
      <c r="N475" s="260"/>
      <c r="O475" s="260"/>
      <c r="P475" s="260"/>
      <c r="Q475" s="260"/>
      <c r="R475" s="260"/>
      <c r="S475" s="260"/>
      <c r="T475" s="260"/>
      <c r="U475" s="260"/>
      <c r="V475" s="260"/>
      <c r="W475" s="260"/>
      <c r="X475" s="260"/>
      <c r="Y475" s="260"/>
      <c r="Z475" s="260"/>
    </row>
    <row r="476">
      <c r="A476" s="260"/>
      <c r="B476" s="260"/>
      <c r="C476" s="260"/>
      <c r="D476" s="260"/>
      <c r="E476" s="260"/>
      <c r="F476" s="260"/>
      <c r="G476" s="260"/>
      <c r="H476" s="260"/>
      <c r="I476" s="260"/>
      <c r="J476" s="260"/>
      <c r="K476" s="260"/>
      <c r="L476" s="260"/>
      <c r="M476" s="260"/>
      <c r="N476" s="260"/>
      <c r="O476" s="260"/>
      <c r="P476" s="260"/>
      <c r="Q476" s="260"/>
      <c r="R476" s="260"/>
      <c r="S476" s="260"/>
      <c r="T476" s="260"/>
      <c r="U476" s="260"/>
      <c r="V476" s="260"/>
      <c r="W476" s="260"/>
      <c r="X476" s="260"/>
      <c r="Y476" s="260"/>
      <c r="Z476" s="260"/>
    </row>
    <row r="477">
      <c r="A477" s="260"/>
      <c r="B477" s="260"/>
      <c r="C477" s="260"/>
      <c r="D477" s="260"/>
      <c r="E477" s="260"/>
      <c r="F477" s="260"/>
      <c r="G477" s="260"/>
      <c r="H477" s="260"/>
      <c r="I477" s="260"/>
      <c r="J477" s="260"/>
      <c r="K477" s="260"/>
      <c r="L477" s="260"/>
      <c r="M477" s="260"/>
      <c r="N477" s="260"/>
      <c r="O477" s="260"/>
      <c r="P477" s="260"/>
      <c r="Q477" s="260"/>
      <c r="R477" s="260"/>
      <c r="S477" s="260"/>
      <c r="T477" s="260"/>
      <c r="U477" s="260"/>
      <c r="V477" s="260"/>
      <c r="W477" s="260"/>
      <c r="X477" s="260"/>
      <c r="Y477" s="260"/>
      <c r="Z477" s="260"/>
    </row>
    <row r="478">
      <c r="A478" s="260"/>
      <c r="B478" s="260"/>
      <c r="C478" s="260"/>
      <c r="D478" s="260"/>
      <c r="E478" s="260"/>
      <c r="F478" s="260"/>
      <c r="G478" s="260"/>
      <c r="H478" s="260"/>
      <c r="I478" s="260"/>
      <c r="J478" s="260"/>
      <c r="K478" s="260"/>
      <c r="L478" s="260"/>
      <c r="M478" s="260"/>
      <c r="N478" s="260"/>
      <c r="O478" s="260"/>
      <c r="P478" s="260"/>
      <c r="Q478" s="260"/>
      <c r="R478" s="260"/>
      <c r="S478" s="260"/>
      <c r="T478" s="260"/>
      <c r="U478" s="260"/>
      <c r="V478" s="260"/>
      <c r="W478" s="260"/>
      <c r="X478" s="260"/>
      <c r="Y478" s="260"/>
      <c r="Z478" s="260"/>
    </row>
    <row r="479">
      <c r="A479" s="260"/>
      <c r="B479" s="260"/>
      <c r="C479" s="260"/>
      <c r="D479" s="260"/>
      <c r="E479" s="260"/>
      <c r="F479" s="260"/>
      <c r="G479" s="260"/>
      <c r="H479" s="260"/>
      <c r="I479" s="260"/>
      <c r="J479" s="260"/>
      <c r="K479" s="260"/>
      <c r="L479" s="260"/>
      <c r="M479" s="260"/>
      <c r="N479" s="260"/>
      <c r="O479" s="260"/>
      <c r="P479" s="260"/>
      <c r="Q479" s="260"/>
      <c r="R479" s="260"/>
      <c r="S479" s="260"/>
      <c r="T479" s="260"/>
      <c r="U479" s="260"/>
      <c r="V479" s="260"/>
      <c r="W479" s="260"/>
      <c r="X479" s="260"/>
      <c r="Y479" s="260"/>
      <c r="Z479" s="260"/>
    </row>
    <row r="480">
      <c r="A480" s="260"/>
      <c r="B480" s="260"/>
      <c r="C480" s="260"/>
      <c r="D480" s="260"/>
      <c r="E480" s="260"/>
      <c r="F480" s="260"/>
      <c r="G480" s="260"/>
      <c r="H480" s="260"/>
      <c r="I480" s="260"/>
      <c r="J480" s="260"/>
      <c r="K480" s="260"/>
      <c r="L480" s="260"/>
      <c r="M480" s="260"/>
      <c r="N480" s="260"/>
      <c r="O480" s="260"/>
      <c r="P480" s="260"/>
      <c r="Q480" s="260"/>
      <c r="R480" s="260"/>
      <c r="S480" s="260"/>
      <c r="T480" s="260"/>
      <c r="U480" s="260"/>
      <c r="V480" s="260"/>
      <c r="W480" s="260"/>
      <c r="X480" s="260"/>
      <c r="Y480" s="260"/>
      <c r="Z480" s="260"/>
    </row>
    <row r="481">
      <c r="A481" s="260"/>
      <c r="B481" s="260"/>
      <c r="C481" s="260"/>
      <c r="D481" s="260"/>
      <c r="E481" s="260"/>
      <c r="F481" s="260"/>
      <c r="G481" s="260"/>
      <c r="H481" s="260"/>
      <c r="I481" s="260"/>
      <c r="J481" s="260"/>
      <c r="K481" s="260"/>
      <c r="L481" s="260"/>
      <c r="M481" s="260"/>
      <c r="N481" s="260"/>
      <c r="O481" s="260"/>
      <c r="P481" s="260"/>
      <c r="Q481" s="260"/>
      <c r="R481" s="260"/>
      <c r="S481" s="260"/>
      <c r="T481" s="260"/>
      <c r="U481" s="260"/>
      <c r="V481" s="260"/>
      <c r="W481" s="260"/>
      <c r="X481" s="260"/>
      <c r="Y481" s="260"/>
      <c r="Z481" s="260"/>
    </row>
    <row r="482">
      <c r="A482" s="260"/>
      <c r="B482" s="260"/>
      <c r="C482" s="260"/>
      <c r="D482" s="260"/>
      <c r="E482" s="260"/>
      <c r="F482" s="260"/>
      <c r="G482" s="260"/>
      <c r="H482" s="260"/>
      <c r="I482" s="260"/>
      <c r="J482" s="260"/>
      <c r="K482" s="260"/>
      <c r="L482" s="260"/>
      <c r="M482" s="260"/>
      <c r="N482" s="260"/>
      <c r="O482" s="260"/>
      <c r="P482" s="260"/>
      <c r="Q482" s="260"/>
      <c r="R482" s="260"/>
      <c r="S482" s="260"/>
      <c r="T482" s="260"/>
      <c r="U482" s="260"/>
      <c r="V482" s="260"/>
      <c r="W482" s="260"/>
      <c r="X482" s="260"/>
      <c r="Y482" s="260"/>
      <c r="Z482" s="260"/>
    </row>
    <row r="483">
      <c r="A483" s="260"/>
      <c r="B483" s="260"/>
      <c r="C483" s="260"/>
      <c r="D483" s="260"/>
      <c r="E483" s="260"/>
      <c r="F483" s="260"/>
      <c r="G483" s="260"/>
      <c r="H483" s="260"/>
      <c r="I483" s="260"/>
      <c r="J483" s="260"/>
      <c r="K483" s="260"/>
      <c r="L483" s="260"/>
      <c r="M483" s="260"/>
      <c r="N483" s="260"/>
      <c r="O483" s="260"/>
      <c r="P483" s="260"/>
      <c r="Q483" s="260"/>
      <c r="R483" s="260"/>
      <c r="S483" s="260"/>
      <c r="T483" s="260"/>
      <c r="U483" s="260"/>
      <c r="V483" s="260"/>
      <c r="W483" s="260"/>
      <c r="X483" s="260"/>
      <c r="Y483" s="260"/>
      <c r="Z483" s="260"/>
    </row>
    <row r="484">
      <c r="A484" s="260"/>
      <c r="B484" s="260"/>
      <c r="C484" s="260"/>
      <c r="D484" s="260"/>
      <c r="E484" s="260"/>
      <c r="F484" s="260"/>
      <c r="G484" s="260"/>
      <c r="H484" s="260"/>
      <c r="I484" s="260"/>
      <c r="J484" s="260"/>
      <c r="K484" s="260"/>
      <c r="L484" s="260"/>
      <c r="M484" s="260"/>
      <c r="N484" s="260"/>
      <c r="O484" s="260"/>
      <c r="P484" s="260"/>
      <c r="Q484" s="260"/>
      <c r="R484" s="260"/>
      <c r="S484" s="260"/>
      <c r="T484" s="260"/>
      <c r="U484" s="260"/>
      <c r="V484" s="260"/>
      <c r="W484" s="260"/>
      <c r="X484" s="260"/>
      <c r="Y484" s="260"/>
      <c r="Z484" s="260"/>
    </row>
    <row r="485">
      <c r="A485" s="260"/>
      <c r="B485" s="260"/>
      <c r="C485" s="260"/>
      <c r="D485" s="260"/>
      <c r="E485" s="260"/>
      <c r="F485" s="260"/>
      <c r="G485" s="260"/>
      <c r="H485" s="260"/>
      <c r="I485" s="260"/>
      <c r="J485" s="260"/>
      <c r="K485" s="260"/>
      <c r="L485" s="260"/>
      <c r="M485" s="260"/>
      <c r="N485" s="260"/>
      <c r="O485" s="260"/>
      <c r="P485" s="260"/>
      <c r="Q485" s="260"/>
      <c r="R485" s="260"/>
      <c r="S485" s="260"/>
      <c r="T485" s="260"/>
      <c r="U485" s="260"/>
      <c r="V485" s="260"/>
      <c r="W485" s="260"/>
      <c r="X485" s="260"/>
      <c r="Y485" s="260"/>
      <c r="Z485" s="260"/>
    </row>
    <row r="486">
      <c r="A486" s="260"/>
      <c r="B486" s="260"/>
      <c r="C486" s="260"/>
      <c r="D486" s="260"/>
      <c r="E486" s="260"/>
      <c r="F486" s="260"/>
      <c r="G486" s="260"/>
      <c r="H486" s="260"/>
      <c r="I486" s="260"/>
      <c r="J486" s="260"/>
      <c r="K486" s="260"/>
      <c r="L486" s="260"/>
      <c r="M486" s="260"/>
      <c r="N486" s="260"/>
      <c r="O486" s="260"/>
      <c r="P486" s="260"/>
      <c r="Q486" s="260"/>
      <c r="R486" s="260"/>
      <c r="S486" s="260"/>
      <c r="T486" s="260"/>
      <c r="U486" s="260"/>
      <c r="V486" s="260"/>
      <c r="W486" s="260"/>
      <c r="X486" s="260"/>
      <c r="Y486" s="260"/>
      <c r="Z486" s="260"/>
    </row>
    <row r="487">
      <c r="A487" s="260"/>
      <c r="B487" s="260"/>
      <c r="C487" s="260"/>
      <c r="D487" s="260"/>
      <c r="E487" s="260"/>
      <c r="F487" s="260"/>
      <c r="G487" s="260"/>
      <c r="H487" s="260"/>
      <c r="I487" s="260"/>
      <c r="J487" s="260"/>
      <c r="K487" s="260"/>
      <c r="L487" s="260"/>
      <c r="M487" s="260"/>
      <c r="N487" s="260"/>
      <c r="O487" s="260"/>
      <c r="P487" s="260"/>
      <c r="Q487" s="260"/>
      <c r="R487" s="260"/>
      <c r="S487" s="260"/>
      <c r="T487" s="260"/>
      <c r="U487" s="260"/>
      <c r="V487" s="260"/>
      <c r="W487" s="260"/>
      <c r="X487" s="260"/>
      <c r="Y487" s="260"/>
      <c r="Z487" s="260"/>
    </row>
    <row r="488">
      <c r="A488" s="260"/>
      <c r="B488" s="260"/>
      <c r="C488" s="260"/>
      <c r="D488" s="260"/>
      <c r="E488" s="260"/>
      <c r="F488" s="260"/>
      <c r="G488" s="260"/>
      <c r="H488" s="260"/>
      <c r="I488" s="260"/>
      <c r="J488" s="260"/>
      <c r="K488" s="260"/>
      <c r="L488" s="260"/>
      <c r="M488" s="260"/>
      <c r="N488" s="260"/>
      <c r="O488" s="260"/>
      <c r="P488" s="260"/>
      <c r="Q488" s="260"/>
      <c r="R488" s="260"/>
      <c r="S488" s="260"/>
      <c r="T488" s="260"/>
      <c r="U488" s="260"/>
      <c r="V488" s="260"/>
      <c r="W488" s="260"/>
      <c r="X488" s="260"/>
      <c r="Y488" s="260"/>
      <c r="Z488" s="260"/>
    </row>
    <row r="489">
      <c r="A489" s="260"/>
      <c r="B489" s="260"/>
      <c r="C489" s="260"/>
      <c r="D489" s="260"/>
      <c r="E489" s="260"/>
      <c r="F489" s="260"/>
      <c r="G489" s="260"/>
      <c r="H489" s="260"/>
      <c r="I489" s="260"/>
      <c r="J489" s="260"/>
      <c r="K489" s="260"/>
      <c r="L489" s="260"/>
      <c r="M489" s="260"/>
      <c r="N489" s="260"/>
      <c r="O489" s="260"/>
      <c r="P489" s="260"/>
      <c r="Q489" s="260"/>
      <c r="R489" s="260"/>
      <c r="S489" s="260"/>
      <c r="T489" s="260"/>
      <c r="U489" s="260"/>
      <c r="V489" s="260"/>
      <c r="W489" s="260"/>
      <c r="X489" s="260"/>
      <c r="Y489" s="260"/>
      <c r="Z489" s="260"/>
    </row>
    <row r="490">
      <c r="A490" s="260"/>
      <c r="B490" s="260"/>
      <c r="C490" s="260"/>
      <c r="D490" s="260"/>
      <c r="E490" s="260"/>
      <c r="F490" s="260"/>
      <c r="G490" s="260"/>
      <c r="H490" s="260"/>
      <c r="I490" s="260"/>
      <c r="J490" s="260"/>
      <c r="K490" s="260"/>
      <c r="L490" s="260"/>
      <c r="M490" s="260"/>
      <c r="N490" s="260"/>
      <c r="O490" s="260"/>
      <c r="P490" s="260"/>
      <c r="Q490" s="260"/>
      <c r="R490" s="260"/>
      <c r="S490" s="260"/>
      <c r="T490" s="260"/>
      <c r="U490" s="260"/>
      <c r="V490" s="260"/>
      <c r="W490" s="260"/>
      <c r="X490" s="260"/>
      <c r="Y490" s="260"/>
      <c r="Z490" s="260"/>
    </row>
    <row r="491">
      <c r="A491" s="260"/>
      <c r="B491" s="260"/>
      <c r="C491" s="260"/>
      <c r="D491" s="260"/>
      <c r="E491" s="260"/>
      <c r="F491" s="260"/>
      <c r="G491" s="260"/>
      <c r="H491" s="260"/>
      <c r="I491" s="260"/>
      <c r="J491" s="260"/>
      <c r="K491" s="260"/>
      <c r="L491" s="260"/>
      <c r="M491" s="260"/>
      <c r="N491" s="260"/>
      <c r="O491" s="260"/>
      <c r="P491" s="260"/>
      <c r="Q491" s="260"/>
      <c r="R491" s="260"/>
      <c r="S491" s="260"/>
      <c r="T491" s="260"/>
      <c r="U491" s="260"/>
      <c r="V491" s="260"/>
      <c r="W491" s="260"/>
      <c r="X491" s="260"/>
      <c r="Y491" s="260"/>
      <c r="Z491" s="260"/>
    </row>
    <row r="492">
      <c r="A492" s="260"/>
      <c r="B492" s="260"/>
      <c r="C492" s="260"/>
      <c r="D492" s="260"/>
      <c r="E492" s="260"/>
      <c r="F492" s="260"/>
      <c r="G492" s="260"/>
      <c r="H492" s="260"/>
      <c r="I492" s="260"/>
      <c r="J492" s="260"/>
      <c r="K492" s="260"/>
      <c r="L492" s="260"/>
      <c r="M492" s="260"/>
      <c r="N492" s="260"/>
      <c r="O492" s="260"/>
      <c r="P492" s="260"/>
      <c r="Q492" s="260"/>
      <c r="R492" s="260"/>
      <c r="S492" s="260"/>
      <c r="T492" s="260"/>
      <c r="U492" s="260"/>
      <c r="V492" s="260"/>
      <c r="W492" s="260"/>
      <c r="X492" s="260"/>
      <c r="Y492" s="260"/>
      <c r="Z492" s="260"/>
    </row>
    <row r="493">
      <c r="A493" s="260"/>
      <c r="B493" s="260"/>
      <c r="C493" s="260"/>
      <c r="D493" s="260"/>
      <c r="E493" s="260"/>
      <c r="F493" s="260"/>
      <c r="G493" s="260"/>
      <c r="H493" s="260"/>
      <c r="I493" s="260"/>
      <c r="J493" s="260"/>
      <c r="K493" s="260"/>
      <c r="L493" s="260"/>
      <c r="M493" s="260"/>
      <c r="N493" s="260"/>
      <c r="O493" s="260"/>
      <c r="P493" s="260"/>
      <c r="Q493" s="260"/>
      <c r="R493" s="260"/>
      <c r="S493" s="260"/>
      <c r="T493" s="260"/>
      <c r="U493" s="260"/>
      <c r="V493" s="260"/>
      <c r="W493" s="260"/>
      <c r="X493" s="260"/>
      <c r="Y493" s="260"/>
      <c r="Z493" s="260"/>
    </row>
    <row r="494">
      <c r="A494" s="260"/>
      <c r="B494" s="260"/>
      <c r="C494" s="260"/>
      <c r="D494" s="260"/>
      <c r="E494" s="260"/>
      <c r="F494" s="260"/>
      <c r="G494" s="260"/>
      <c r="H494" s="260"/>
      <c r="I494" s="260"/>
      <c r="J494" s="260"/>
      <c r="K494" s="260"/>
      <c r="L494" s="260"/>
      <c r="M494" s="260"/>
      <c r="N494" s="260"/>
      <c r="O494" s="260"/>
      <c r="P494" s="260"/>
      <c r="Q494" s="260"/>
      <c r="R494" s="260"/>
      <c r="S494" s="260"/>
      <c r="T494" s="260"/>
      <c r="U494" s="260"/>
      <c r="V494" s="260"/>
      <c r="W494" s="260"/>
      <c r="X494" s="260"/>
      <c r="Y494" s="260"/>
      <c r="Z494" s="260"/>
    </row>
    <row r="495">
      <c r="A495" s="260"/>
      <c r="B495" s="260"/>
      <c r="C495" s="260"/>
      <c r="D495" s="260"/>
      <c r="E495" s="260"/>
      <c r="F495" s="260"/>
      <c r="G495" s="260"/>
      <c r="H495" s="260"/>
      <c r="I495" s="260"/>
      <c r="J495" s="260"/>
      <c r="K495" s="260"/>
      <c r="L495" s="260"/>
      <c r="M495" s="260"/>
      <c r="N495" s="260"/>
      <c r="O495" s="260"/>
      <c r="P495" s="260"/>
      <c r="Q495" s="260"/>
      <c r="R495" s="260"/>
      <c r="S495" s="260"/>
      <c r="T495" s="260"/>
      <c r="U495" s="260"/>
      <c r="V495" s="260"/>
      <c r="W495" s="260"/>
      <c r="X495" s="260"/>
      <c r="Y495" s="260"/>
      <c r="Z495" s="260"/>
    </row>
    <row r="496">
      <c r="A496" s="260"/>
      <c r="B496" s="260"/>
      <c r="C496" s="260"/>
      <c r="D496" s="260"/>
      <c r="E496" s="260"/>
      <c r="F496" s="260"/>
      <c r="G496" s="260"/>
      <c r="H496" s="260"/>
      <c r="I496" s="260"/>
      <c r="J496" s="260"/>
      <c r="K496" s="260"/>
      <c r="L496" s="260"/>
      <c r="M496" s="260"/>
      <c r="N496" s="260"/>
      <c r="O496" s="260"/>
      <c r="P496" s="260"/>
      <c r="Q496" s="260"/>
      <c r="R496" s="260"/>
      <c r="S496" s="260"/>
      <c r="T496" s="260"/>
      <c r="U496" s="260"/>
      <c r="V496" s="260"/>
      <c r="W496" s="260"/>
      <c r="X496" s="260"/>
      <c r="Y496" s="260"/>
      <c r="Z496" s="260"/>
    </row>
    <row r="497">
      <c r="A497" s="260"/>
      <c r="B497" s="260"/>
      <c r="C497" s="260"/>
      <c r="D497" s="260"/>
      <c r="E497" s="260"/>
      <c r="F497" s="260"/>
      <c r="G497" s="260"/>
      <c r="H497" s="260"/>
      <c r="I497" s="260"/>
      <c r="J497" s="260"/>
      <c r="K497" s="260"/>
      <c r="L497" s="260"/>
      <c r="M497" s="260"/>
      <c r="N497" s="260"/>
      <c r="O497" s="260"/>
      <c r="P497" s="260"/>
      <c r="Q497" s="260"/>
      <c r="R497" s="260"/>
      <c r="S497" s="260"/>
      <c r="T497" s="260"/>
      <c r="U497" s="260"/>
      <c r="V497" s="260"/>
      <c r="W497" s="260"/>
      <c r="X497" s="260"/>
      <c r="Y497" s="260"/>
      <c r="Z497" s="260"/>
    </row>
    <row r="498">
      <c r="A498" s="260"/>
      <c r="B498" s="260"/>
      <c r="C498" s="260"/>
      <c r="D498" s="260"/>
      <c r="E498" s="260"/>
      <c r="F498" s="260"/>
      <c r="G498" s="260"/>
      <c r="H498" s="260"/>
      <c r="I498" s="260"/>
      <c r="J498" s="260"/>
      <c r="K498" s="260"/>
      <c r="L498" s="260"/>
      <c r="M498" s="260"/>
      <c r="N498" s="260"/>
      <c r="O498" s="260"/>
      <c r="P498" s="260"/>
      <c r="Q498" s="260"/>
      <c r="R498" s="260"/>
      <c r="S498" s="260"/>
      <c r="T498" s="260"/>
      <c r="U498" s="260"/>
      <c r="V498" s="260"/>
      <c r="W498" s="260"/>
      <c r="X498" s="260"/>
      <c r="Y498" s="260"/>
      <c r="Z498" s="260"/>
    </row>
    <row r="499">
      <c r="A499" s="260"/>
      <c r="B499" s="260"/>
      <c r="C499" s="260"/>
      <c r="D499" s="260"/>
      <c r="E499" s="260"/>
      <c r="F499" s="260"/>
      <c r="G499" s="260"/>
      <c r="H499" s="260"/>
      <c r="I499" s="260"/>
      <c r="J499" s="260"/>
      <c r="K499" s="260"/>
      <c r="L499" s="260"/>
      <c r="M499" s="260"/>
      <c r="N499" s="260"/>
      <c r="O499" s="260"/>
      <c r="P499" s="260"/>
      <c r="Q499" s="260"/>
      <c r="R499" s="260"/>
      <c r="S499" s="260"/>
      <c r="T499" s="260"/>
      <c r="U499" s="260"/>
      <c r="V499" s="260"/>
      <c r="W499" s="260"/>
      <c r="X499" s="260"/>
      <c r="Y499" s="260"/>
      <c r="Z499" s="260"/>
    </row>
    <row r="500">
      <c r="A500" s="260"/>
      <c r="B500" s="260"/>
      <c r="C500" s="260"/>
      <c r="D500" s="260"/>
      <c r="E500" s="260"/>
      <c r="F500" s="260"/>
      <c r="G500" s="260"/>
      <c r="H500" s="260"/>
      <c r="I500" s="260"/>
      <c r="J500" s="260"/>
      <c r="K500" s="260"/>
      <c r="L500" s="260"/>
      <c r="M500" s="260"/>
      <c r="N500" s="260"/>
      <c r="O500" s="260"/>
      <c r="P500" s="260"/>
      <c r="Q500" s="260"/>
      <c r="R500" s="260"/>
      <c r="S500" s="260"/>
      <c r="T500" s="260"/>
      <c r="U500" s="260"/>
      <c r="V500" s="260"/>
      <c r="W500" s="260"/>
      <c r="X500" s="260"/>
      <c r="Y500" s="260"/>
      <c r="Z500" s="260"/>
    </row>
    <row r="501">
      <c r="A501" s="260"/>
      <c r="B501" s="260"/>
      <c r="C501" s="260"/>
      <c r="D501" s="260"/>
      <c r="E501" s="260"/>
      <c r="F501" s="260"/>
      <c r="G501" s="260"/>
      <c r="H501" s="260"/>
      <c r="I501" s="260"/>
      <c r="J501" s="260"/>
      <c r="K501" s="260"/>
      <c r="L501" s="260"/>
      <c r="M501" s="260"/>
      <c r="N501" s="260"/>
      <c r="O501" s="260"/>
      <c r="P501" s="260"/>
      <c r="Q501" s="260"/>
      <c r="R501" s="260"/>
      <c r="S501" s="260"/>
      <c r="T501" s="260"/>
      <c r="U501" s="260"/>
      <c r="V501" s="260"/>
      <c r="W501" s="260"/>
      <c r="X501" s="260"/>
      <c r="Y501" s="260"/>
      <c r="Z501" s="260"/>
    </row>
    <row r="502">
      <c r="A502" s="260"/>
      <c r="B502" s="260"/>
      <c r="C502" s="260"/>
      <c r="D502" s="260"/>
      <c r="E502" s="260"/>
      <c r="F502" s="260"/>
      <c r="G502" s="260"/>
      <c r="H502" s="260"/>
      <c r="I502" s="260"/>
      <c r="J502" s="260"/>
      <c r="K502" s="260"/>
      <c r="L502" s="260"/>
      <c r="M502" s="260"/>
      <c r="N502" s="260"/>
      <c r="O502" s="260"/>
      <c r="P502" s="260"/>
      <c r="Q502" s="260"/>
      <c r="R502" s="260"/>
      <c r="S502" s="260"/>
      <c r="T502" s="260"/>
      <c r="U502" s="260"/>
      <c r="V502" s="260"/>
      <c r="W502" s="260"/>
      <c r="X502" s="260"/>
      <c r="Y502" s="260"/>
      <c r="Z502" s="260"/>
    </row>
    <row r="503">
      <c r="A503" s="260"/>
      <c r="B503" s="260"/>
      <c r="C503" s="260"/>
      <c r="D503" s="260"/>
      <c r="E503" s="260"/>
      <c r="F503" s="260"/>
      <c r="G503" s="260"/>
      <c r="H503" s="260"/>
      <c r="I503" s="260"/>
      <c r="J503" s="260"/>
      <c r="K503" s="260"/>
      <c r="L503" s="260"/>
      <c r="M503" s="260"/>
      <c r="N503" s="260"/>
      <c r="O503" s="260"/>
      <c r="P503" s="260"/>
      <c r="Q503" s="260"/>
      <c r="R503" s="260"/>
      <c r="S503" s="260"/>
      <c r="T503" s="260"/>
      <c r="U503" s="260"/>
      <c r="V503" s="260"/>
      <c r="W503" s="260"/>
      <c r="X503" s="260"/>
      <c r="Y503" s="260"/>
      <c r="Z503" s="260"/>
    </row>
    <row r="504">
      <c r="A504" s="260"/>
      <c r="B504" s="260"/>
      <c r="C504" s="260"/>
      <c r="D504" s="260"/>
      <c r="E504" s="260"/>
      <c r="F504" s="260"/>
      <c r="G504" s="260"/>
      <c r="H504" s="260"/>
      <c r="I504" s="260"/>
      <c r="J504" s="260"/>
      <c r="K504" s="260"/>
      <c r="L504" s="260"/>
      <c r="M504" s="260"/>
      <c r="N504" s="260"/>
      <c r="O504" s="260"/>
      <c r="P504" s="260"/>
      <c r="Q504" s="260"/>
      <c r="R504" s="260"/>
      <c r="S504" s="260"/>
      <c r="T504" s="260"/>
      <c r="U504" s="260"/>
      <c r="V504" s="260"/>
      <c r="W504" s="260"/>
      <c r="X504" s="260"/>
      <c r="Y504" s="260"/>
      <c r="Z504" s="260"/>
    </row>
    <row r="505">
      <c r="A505" s="260"/>
      <c r="B505" s="260"/>
      <c r="C505" s="260"/>
      <c r="D505" s="260"/>
      <c r="E505" s="260"/>
      <c r="F505" s="260"/>
      <c r="G505" s="260"/>
      <c r="H505" s="260"/>
      <c r="I505" s="260"/>
      <c r="J505" s="260"/>
      <c r="K505" s="260"/>
      <c r="L505" s="260"/>
      <c r="M505" s="260"/>
      <c r="N505" s="260"/>
      <c r="O505" s="260"/>
      <c r="P505" s="260"/>
      <c r="Q505" s="260"/>
      <c r="R505" s="260"/>
      <c r="S505" s="260"/>
      <c r="T505" s="260"/>
      <c r="U505" s="260"/>
      <c r="V505" s="260"/>
      <c r="W505" s="260"/>
      <c r="X505" s="260"/>
      <c r="Y505" s="260"/>
      <c r="Z505" s="260"/>
    </row>
    <row r="506">
      <c r="A506" s="260"/>
      <c r="B506" s="260"/>
      <c r="C506" s="260"/>
      <c r="D506" s="260"/>
      <c r="E506" s="260"/>
      <c r="F506" s="260"/>
      <c r="G506" s="260"/>
      <c r="H506" s="260"/>
      <c r="I506" s="260"/>
      <c r="J506" s="260"/>
      <c r="K506" s="260"/>
      <c r="L506" s="260"/>
      <c r="M506" s="260"/>
      <c r="N506" s="260"/>
      <c r="O506" s="260"/>
      <c r="P506" s="260"/>
      <c r="Q506" s="260"/>
      <c r="R506" s="260"/>
      <c r="S506" s="260"/>
      <c r="T506" s="260"/>
      <c r="U506" s="260"/>
      <c r="V506" s="260"/>
      <c r="W506" s="260"/>
      <c r="X506" s="260"/>
      <c r="Y506" s="260"/>
      <c r="Z506" s="260"/>
    </row>
    <row r="507">
      <c r="A507" s="260"/>
      <c r="B507" s="260"/>
      <c r="C507" s="260"/>
      <c r="D507" s="260"/>
      <c r="E507" s="260"/>
      <c r="F507" s="260"/>
      <c r="G507" s="260"/>
      <c r="H507" s="260"/>
      <c r="I507" s="260"/>
      <c r="J507" s="260"/>
      <c r="K507" s="260"/>
      <c r="L507" s="260"/>
      <c r="M507" s="260"/>
      <c r="N507" s="260"/>
      <c r="O507" s="260"/>
      <c r="P507" s="260"/>
      <c r="Q507" s="260"/>
      <c r="R507" s="260"/>
      <c r="S507" s="260"/>
      <c r="T507" s="260"/>
      <c r="U507" s="260"/>
      <c r="V507" s="260"/>
      <c r="W507" s="260"/>
      <c r="X507" s="260"/>
      <c r="Y507" s="260"/>
      <c r="Z507" s="260"/>
    </row>
    <row r="508">
      <c r="A508" s="260"/>
      <c r="B508" s="260"/>
      <c r="C508" s="260"/>
      <c r="D508" s="260"/>
      <c r="E508" s="260"/>
      <c r="F508" s="260"/>
      <c r="G508" s="260"/>
      <c r="H508" s="260"/>
      <c r="I508" s="260"/>
      <c r="J508" s="260"/>
      <c r="K508" s="260"/>
      <c r="L508" s="260"/>
      <c r="M508" s="260"/>
      <c r="N508" s="260"/>
      <c r="O508" s="260"/>
      <c r="P508" s="260"/>
      <c r="Q508" s="260"/>
      <c r="R508" s="260"/>
      <c r="S508" s="260"/>
      <c r="T508" s="260"/>
      <c r="U508" s="260"/>
      <c r="V508" s="260"/>
      <c r="W508" s="260"/>
      <c r="X508" s="260"/>
      <c r="Y508" s="260"/>
      <c r="Z508" s="260"/>
    </row>
    <row r="509">
      <c r="A509" s="260"/>
      <c r="B509" s="260"/>
      <c r="C509" s="260"/>
      <c r="D509" s="260"/>
      <c r="E509" s="260"/>
      <c r="F509" s="260"/>
      <c r="G509" s="260"/>
      <c r="H509" s="260"/>
      <c r="I509" s="260"/>
      <c r="J509" s="260"/>
      <c r="K509" s="260"/>
      <c r="L509" s="260"/>
      <c r="M509" s="260"/>
      <c r="N509" s="260"/>
      <c r="O509" s="260"/>
      <c r="P509" s="260"/>
      <c r="Q509" s="260"/>
      <c r="R509" s="260"/>
      <c r="S509" s="260"/>
      <c r="T509" s="260"/>
      <c r="U509" s="260"/>
      <c r="V509" s="260"/>
      <c r="W509" s="260"/>
      <c r="X509" s="260"/>
      <c r="Y509" s="260"/>
      <c r="Z509" s="260"/>
    </row>
    <row r="510">
      <c r="A510" s="260"/>
      <c r="B510" s="260"/>
      <c r="C510" s="260"/>
      <c r="D510" s="260"/>
      <c r="E510" s="260"/>
      <c r="F510" s="260"/>
      <c r="G510" s="260"/>
      <c r="H510" s="260"/>
      <c r="I510" s="260"/>
      <c r="J510" s="260"/>
      <c r="K510" s="260"/>
      <c r="L510" s="260"/>
      <c r="M510" s="260"/>
      <c r="N510" s="260"/>
      <c r="O510" s="260"/>
      <c r="P510" s="260"/>
      <c r="Q510" s="260"/>
      <c r="R510" s="260"/>
      <c r="S510" s="260"/>
      <c r="T510" s="260"/>
      <c r="U510" s="260"/>
      <c r="V510" s="260"/>
      <c r="W510" s="260"/>
      <c r="X510" s="260"/>
      <c r="Y510" s="260"/>
      <c r="Z510" s="260"/>
    </row>
    <row r="511">
      <c r="A511" s="260"/>
      <c r="B511" s="260"/>
      <c r="C511" s="260"/>
      <c r="D511" s="260"/>
      <c r="E511" s="260"/>
      <c r="F511" s="260"/>
      <c r="G511" s="260"/>
      <c r="H511" s="260"/>
      <c r="I511" s="260"/>
      <c r="J511" s="260"/>
      <c r="K511" s="260"/>
      <c r="L511" s="260"/>
      <c r="M511" s="260"/>
      <c r="N511" s="260"/>
      <c r="O511" s="260"/>
      <c r="P511" s="260"/>
      <c r="Q511" s="260"/>
      <c r="R511" s="260"/>
      <c r="S511" s="260"/>
      <c r="T511" s="260"/>
      <c r="U511" s="260"/>
      <c r="V511" s="260"/>
      <c r="W511" s="260"/>
      <c r="X511" s="260"/>
      <c r="Y511" s="260"/>
      <c r="Z511" s="260"/>
    </row>
    <row r="512">
      <c r="A512" s="260"/>
      <c r="B512" s="260"/>
      <c r="C512" s="260"/>
      <c r="D512" s="260"/>
      <c r="E512" s="260"/>
      <c r="F512" s="260"/>
      <c r="G512" s="260"/>
      <c r="H512" s="260"/>
      <c r="I512" s="260"/>
      <c r="J512" s="260"/>
      <c r="K512" s="260"/>
      <c r="L512" s="260"/>
      <c r="M512" s="260"/>
      <c r="N512" s="260"/>
      <c r="O512" s="260"/>
      <c r="P512" s="260"/>
      <c r="Q512" s="260"/>
      <c r="R512" s="260"/>
      <c r="S512" s="260"/>
      <c r="T512" s="260"/>
      <c r="U512" s="260"/>
      <c r="V512" s="260"/>
      <c r="W512" s="260"/>
      <c r="X512" s="260"/>
      <c r="Y512" s="260"/>
      <c r="Z512" s="260"/>
    </row>
    <row r="513">
      <c r="A513" s="260"/>
      <c r="B513" s="260"/>
      <c r="C513" s="260"/>
      <c r="D513" s="260"/>
      <c r="E513" s="260"/>
      <c r="F513" s="260"/>
      <c r="G513" s="260"/>
      <c r="H513" s="260"/>
      <c r="I513" s="260"/>
      <c r="J513" s="260"/>
      <c r="K513" s="260"/>
      <c r="L513" s="260"/>
      <c r="M513" s="260"/>
      <c r="N513" s="260"/>
      <c r="O513" s="260"/>
      <c r="P513" s="260"/>
      <c r="Q513" s="260"/>
      <c r="R513" s="260"/>
      <c r="S513" s="260"/>
      <c r="T513" s="260"/>
      <c r="U513" s="260"/>
      <c r="V513" s="260"/>
      <c r="W513" s="260"/>
      <c r="X513" s="260"/>
      <c r="Y513" s="260"/>
      <c r="Z513" s="260"/>
    </row>
    <row r="514">
      <c r="A514" s="260"/>
      <c r="B514" s="260"/>
      <c r="C514" s="260"/>
      <c r="D514" s="260"/>
      <c r="E514" s="260"/>
      <c r="F514" s="260"/>
      <c r="G514" s="260"/>
      <c r="H514" s="260"/>
      <c r="I514" s="260"/>
      <c r="J514" s="260"/>
      <c r="K514" s="260"/>
      <c r="L514" s="260"/>
      <c r="M514" s="260"/>
      <c r="N514" s="260"/>
      <c r="O514" s="260"/>
      <c r="P514" s="260"/>
      <c r="Q514" s="260"/>
      <c r="R514" s="260"/>
      <c r="S514" s="260"/>
      <c r="T514" s="260"/>
      <c r="U514" s="260"/>
      <c r="V514" s="260"/>
      <c r="W514" s="260"/>
      <c r="X514" s="260"/>
      <c r="Y514" s="260"/>
      <c r="Z514" s="260"/>
    </row>
    <row r="515">
      <c r="A515" s="260"/>
      <c r="B515" s="260"/>
      <c r="C515" s="260"/>
      <c r="D515" s="260"/>
      <c r="E515" s="260"/>
      <c r="F515" s="260"/>
      <c r="G515" s="260"/>
      <c r="H515" s="260"/>
      <c r="I515" s="260"/>
      <c r="J515" s="260"/>
      <c r="K515" s="260"/>
      <c r="L515" s="260"/>
      <c r="M515" s="260"/>
      <c r="N515" s="260"/>
      <c r="O515" s="260"/>
      <c r="P515" s="260"/>
      <c r="Q515" s="260"/>
      <c r="R515" s="260"/>
      <c r="S515" s="260"/>
      <c r="T515" s="260"/>
      <c r="U515" s="260"/>
      <c r="V515" s="260"/>
      <c r="W515" s="260"/>
      <c r="X515" s="260"/>
      <c r="Y515" s="260"/>
      <c r="Z515" s="260"/>
    </row>
    <row r="516">
      <c r="A516" s="260"/>
      <c r="B516" s="260"/>
      <c r="C516" s="260"/>
      <c r="D516" s="260"/>
      <c r="E516" s="260"/>
      <c r="F516" s="260"/>
      <c r="G516" s="260"/>
      <c r="H516" s="260"/>
      <c r="I516" s="260"/>
      <c r="J516" s="260"/>
      <c r="K516" s="260"/>
      <c r="L516" s="260"/>
      <c r="M516" s="260"/>
      <c r="N516" s="260"/>
      <c r="O516" s="260"/>
      <c r="P516" s="260"/>
      <c r="Q516" s="260"/>
      <c r="R516" s="260"/>
      <c r="S516" s="260"/>
      <c r="T516" s="260"/>
      <c r="U516" s="260"/>
      <c r="V516" s="260"/>
      <c r="W516" s="260"/>
      <c r="X516" s="260"/>
      <c r="Y516" s="260"/>
      <c r="Z516" s="260"/>
    </row>
    <row r="517">
      <c r="A517" s="260"/>
      <c r="B517" s="260"/>
      <c r="C517" s="260"/>
      <c r="D517" s="260"/>
      <c r="E517" s="260"/>
      <c r="F517" s="260"/>
      <c r="G517" s="260"/>
      <c r="H517" s="260"/>
      <c r="I517" s="260"/>
      <c r="J517" s="260"/>
      <c r="K517" s="260"/>
      <c r="L517" s="260"/>
      <c r="M517" s="260"/>
      <c r="N517" s="260"/>
      <c r="O517" s="260"/>
      <c r="P517" s="260"/>
      <c r="Q517" s="260"/>
      <c r="R517" s="260"/>
      <c r="S517" s="260"/>
      <c r="T517" s="260"/>
      <c r="U517" s="260"/>
      <c r="V517" s="260"/>
      <c r="W517" s="260"/>
      <c r="X517" s="260"/>
      <c r="Y517" s="260"/>
      <c r="Z517" s="260"/>
    </row>
    <row r="518">
      <c r="A518" s="260"/>
      <c r="B518" s="260"/>
      <c r="C518" s="260"/>
      <c r="D518" s="260"/>
      <c r="E518" s="260"/>
      <c r="F518" s="260"/>
      <c r="G518" s="260"/>
      <c r="H518" s="260"/>
      <c r="I518" s="260"/>
      <c r="J518" s="260"/>
      <c r="K518" s="260"/>
      <c r="L518" s="260"/>
      <c r="M518" s="260"/>
      <c r="N518" s="260"/>
      <c r="O518" s="260"/>
      <c r="P518" s="260"/>
      <c r="Q518" s="260"/>
      <c r="R518" s="260"/>
      <c r="S518" s="260"/>
      <c r="T518" s="260"/>
      <c r="U518" s="260"/>
      <c r="V518" s="260"/>
      <c r="W518" s="260"/>
      <c r="X518" s="260"/>
      <c r="Y518" s="260"/>
      <c r="Z518" s="260"/>
    </row>
    <row r="519">
      <c r="A519" s="260"/>
      <c r="B519" s="260"/>
      <c r="C519" s="260"/>
      <c r="D519" s="260"/>
      <c r="E519" s="260"/>
      <c r="F519" s="260"/>
      <c r="G519" s="260"/>
      <c r="H519" s="260"/>
      <c r="I519" s="260"/>
      <c r="J519" s="260"/>
      <c r="K519" s="260"/>
      <c r="L519" s="260"/>
      <c r="M519" s="260"/>
      <c r="N519" s="260"/>
      <c r="O519" s="260"/>
      <c r="P519" s="260"/>
      <c r="Q519" s="260"/>
      <c r="R519" s="260"/>
      <c r="S519" s="260"/>
      <c r="T519" s="260"/>
      <c r="U519" s="260"/>
      <c r="V519" s="260"/>
      <c r="W519" s="260"/>
      <c r="X519" s="260"/>
      <c r="Y519" s="260"/>
      <c r="Z519" s="260"/>
    </row>
    <row r="520">
      <c r="A520" s="260"/>
      <c r="B520" s="260"/>
      <c r="C520" s="260"/>
      <c r="D520" s="260"/>
      <c r="E520" s="260"/>
      <c r="F520" s="260"/>
      <c r="G520" s="260"/>
      <c r="H520" s="260"/>
      <c r="I520" s="260"/>
      <c r="J520" s="260"/>
      <c r="K520" s="260"/>
      <c r="L520" s="260"/>
      <c r="M520" s="260"/>
      <c r="N520" s="260"/>
      <c r="O520" s="260"/>
      <c r="P520" s="260"/>
      <c r="Q520" s="260"/>
      <c r="R520" s="260"/>
      <c r="S520" s="260"/>
      <c r="T520" s="260"/>
      <c r="U520" s="260"/>
      <c r="V520" s="260"/>
      <c r="W520" s="260"/>
      <c r="X520" s="260"/>
      <c r="Y520" s="260"/>
      <c r="Z520" s="260"/>
    </row>
    <row r="521">
      <c r="A521" s="260"/>
      <c r="B521" s="260"/>
      <c r="C521" s="260"/>
      <c r="D521" s="260"/>
      <c r="E521" s="260"/>
      <c r="F521" s="260"/>
      <c r="G521" s="260"/>
      <c r="H521" s="260"/>
      <c r="I521" s="260"/>
      <c r="J521" s="260"/>
      <c r="K521" s="260"/>
      <c r="L521" s="260"/>
      <c r="M521" s="260"/>
      <c r="N521" s="260"/>
      <c r="O521" s="260"/>
      <c r="P521" s="260"/>
      <c r="Q521" s="260"/>
      <c r="R521" s="260"/>
      <c r="S521" s="260"/>
      <c r="T521" s="260"/>
      <c r="U521" s="260"/>
      <c r="V521" s="260"/>
      <c r="W521" s="260"/>
      <c r="X521" s="260"/>
      <c r="Y521" s="260"/>
      <c r="Z521" s="260"/>
    </row>
    <row r="522">
      <c r="A522" s="260"/>
      <c r="B522" s="260"/>
      <c r="C522" s="260"/>
      <c r="D522" s="260"/>
      <c r="E522" s="260"/>
      <c r="F522" s="260"/>
      <c r="G522" s="260"/>
      <c r="H522" s="260"/>
      <c r="I522" s="260"/>
      <c r="J522" s="260"/>
      <c r="K522" s="260"/>
      <c r="L522" s="260"/>
      <c r="M522" s="260"/>
      <c r="N522" s="260"/>
      <c r="O522" s="260"/>
      <c r="P522" s="260"/>
      <c r="Q522" s="260"/>
      <c r="R522" s="260"/>
      <c r="S522" s="260"/>
      <c r="T522" s="260"/>
      <c r="U522" s="260"/>
      <c r="V522" s="260"/>
      <c r="W522" s="260"/>
      <c r="X522" s="260"/>
      <c r="Y522" s="260"/>
      <c r="Z522" s="260"/>
    </row>
    <row r="523">
      <c r="A523" s="260"/>
      <c r="B523" s="260"/>
      <c r="C523" s="260"/>
      <c r="D523" s="260"/>
      <c r="E523" s="260"/>
      <c r="F523" s="260"/>
      <c r="G523" s="260"/>
      <c r="H523" s="260"/>
      <c r="I523" s="260"/>
      <c r="J523" s="260"/>
      <c r="K523" s="260"/>
      <c r="L523" s="260"/>
      <c r="M523" s="260"/>
      <c r="N523" s="260"/>
      <c r="O523" s="260"/>
      <c r="P523" s="260"/>
      <c r="Q523" s="260"/>
      <c r="R523" s="260"/>
      <c r="S523" s="260"/>
      <c r="T523" s="260"/>
      <c r="U523" s="260"/>
      <c r="V523" s="260"/>
      <c r="W523" s="260"/>
      <c r="X523" s="260"/>
      <c r="Y523" s="260"/>
      <c r="Z523" s="260"/>
    </row>
    <row r="524">
      <c r="A524" s="260"/>
      <c r="B524" s="260"/>
      <c r="C524" s="260"/>
      <c r="D524" s="260"/>
      <c r="E524" s="260"/>
      <c r="F524" s="260"/>
      <c r="G524" s="260"/>
      <c r="H524" s="260"/>
      <c r="I524" s="260"/>
      <c r="J524" s="260"/>
      <c r="K524" s="260"/>
      <c r="L524" s="260"/>
      <c r="M524" s="260"/>
      <c r="N524" s="260"/>
      <c r="O524" s="260"/>
      <c r="P524" s="260"/>
      <c r="Q524" s="260"/>
      <c r="R524" s="260"/>
      <c r="S524" s="260"/>
      <c r="T524" s="260"/>
      <c r="U524" s="260"/>
      <c r="V524" s="260"/>
      <c r="W524" s="260"/>
      <c r="X524" s="260"/>
      <c r="Y524" s="260"/>
      <c r="Z524" s="260"/>
    </row>
    <row r="525">
      <c r="A525" s="260"/>
      <c r="B525" s="260"/>
      <c r="C525" s="260"/>
      <c r="D525" s="260"/>
      <c r="E525" s="260"/>
      <c r="F525" s="260"/>
      <c r="G525" s="260"/>
      <c r="H525" s="260"/>
      <c r="I525" s="260"/>
      <c r="J525" s="260"/>
      <c r="K525" s="260"/>
      <c r="L525" s="260"/>
      <c r="M525" s="260"/>
      <c r="N525" s="260"/>
      <c r="O525" s="260"/>
      <c r="P525" s="260"/>
      <c r="Q525" s="260"/>
      <c r="R525" s="260"/>
      <c r="S525" s="260"/>
      <c r="T525" s="260"/>
      <c r="U525" s="260"/>
      <c r="V525" s="260"/>
      <c r="W525" s="260"/>
      <c r="X525" s="260"/>
      <c r="Y525" s="260"/>
      <c r="Z525" s="260"/>
    </row>
    <row r="526">
      <c r="A526" s="260"/>
      <c r="B526" s="260"/>
      <c r="C526" s="260"/>
      <c r="D526" s="260"/>
      <c r="E526" s="260"/>
      <c r="F526" s="260"/>
      <c r="G526" s="260"/>
      <c r="H526" s="260"/>
      <c r="I526" s="260"/>
      <c r="J526" s="260"/>
      <c r="K526" s="260"/>
      <c r="L526" s="260"/>
      <c r="M526" s="260"/>
      <c r="N526" s="260"/>
      <c r="O526" s="260"/>
      <c r="P526" s="260"/>
      <c r="Q526" s="260"/>
      <c r="R526" s="260"/>
      <c r="S526" s="260"/>
      <c r="T526" s="260"/>
      <c r="U526" s="260"/>
      <c r="V526" s="260"/>
      <c r="W526" s="260"/>
      <c r="X526" s="260"/>
      <c r="Y526" s="260"/>
      <c r="Z526" s="260"/>
    </row>
    <row r="527">
      <c r="A527" s="260"/>
      <c r="B527" s="260"/>
      <c r="C527" s="260"/>
      <c r="D527" s="260"/>
      <c r="E527" s="260"/>
      <c r="F527" s="260"/>
      <c r="G527" s="260"/>
      <c r="H527" s="260"/>
      <c r="I527" s="260"/>
      <c r="J527" s="260"/>
      <c r="K527" s="260"/>
      <c r="L527" s="260"/>
      <c r="M527" s="260"/>
      <c r="N527" s="260"/>
      <c r="O527" s="260"/>
      <c r="P527" s="260"/>
      <c r="Q527" s="260"/>
      <c r="R527" s="260"/>
      <c r="S527" s="260"/>
      <c r="T527" s="260"/>
      <c r="U527" s="260"/>
      <c r="V527" s="260"/>
      <c r="W527" s="260"/>
      <c r="X527" s="260"/>
      <c r="Y527" s="260"/>
      <c r="Z527" s="260"/>
    </row>
    <row r="528">
      <c r="A528" s="260"/>
      <c r="B528" s="260"/>
      <c r="C528" s="260"/>
      <c r="D528" s="260"/>
      <c r="E528" s="260"/>
      <c r="F528" s="260"/>
      <c r="G528" s="260"/>
      <c r="H528" s="260"/>
      <c r="I528" s="260"/>
      <c r="J528" s="260"/>
      <c r="K528" s="260"/>
      <c r="L528" s="260"/>
      <c r="M528" s="260"/>
      <c r="N528" s="260"/>
      <c r="O528" s="260"/>
      <c r="P528" s="260"/>
      <c r="Q528" s="260"/>
      <c r="R528" s="260"/>
      <c r="S528" s="260"/>
      <c r="T528" s="260"/>
      <c r="U528" s="260"/>
      <c r="V528" s="260"/>
      <c r="W528" s="260"/>
      <c r="X528" s="260"/>
      <c r="Y528" s="260"/>
      <c r="Z528" s="260"/>
    </row>
    <row r="529">
      <c r="A529" s="260"/>
      <c r="B529" s="260"/>
      <c r="C529" s="260"/>
      <c r="D529" s="260"/>
      <c r="E529" s="260"/>
      <c r="F529" s="260"/>
      <c r="G529" s="260"/>
      <c r="H529" s="260"/>
      <c r="I529" s="260"/>
      <c r="J529" s="260"/>
      <c r="K529" s="260"/>
      <c r="L529" s="260"/>
      <c r="M529" s="260"/>
      <c r="N529" s="260"/>
      <c r="O529" s="260"/>
      <c r="P529" s="260"/>
      <c r="Q529" s="260"/>
      <c r="R529" s="260"/>
      <c r="S529" s="260"/>
      <c r="T529" s="260"/>
      <c r="U529" s="260"/>
      <c r="V529" s="260"/>
      <c r="W529" s="260"/>
      <c r="X529" s="260"/>
      <c r="Y529" s="260"/>
      <c r="Z529" s="260"/>
    </row>
    <row r="530">
      <c r="A530" s="260"/>
      <c r="B530" s="260"/>
      <c r="C530" s="260"/>
      <c r="D530" s="260"/>
      <c r="E530" s="260"/>
      <c r="F530" s="260"/>
      <c r="G530" s="260"/>
      <c r="H530" s="260"/>
      <c r="I530" s="260"/>
      <c r="J530" s="260"/>
      <c r="K530" s="260"/>
      <c r="L530" s="260"/>
      <c r="M530" s="260"/>
      <c r="N530" s="260"/>
      <c r="O530" s="260"/>
      <c r="P530" s="260"/>
      <c r="Q530" s="260"/>
      <c r="R530" s="260"/>
      <c r="S530" s="260"/>
      <c r="T530" s="260"/>
      <c r="U530" s="260"/>
      <c r="V530" s="260"/>
      <c r="W530" s="260"/>
      <c r="X530" s="260"/>
      <c r="Y530" s="260"/>
      <c r="Z530" s="260"/>
    </row>
    <row r="531">
      <c r="A531" s="260"/>
      <c r="B531" s="260"/>
      <c r="C531" s="260"/>
      <c r="D531" s="260"/>
      <c r="E531" s="260"/>
      <c r="F531" s="260"/>
      <c r="G531" s="260"/>
      <c r="H531" s="260"/>
      <c r="I531" s="260"/>
      <c r="J531" s="260"/>
      <c r="K531" s="260"/>
      <c r="L531" s="260"/>
      <c r="M531" s="260"/>
      <c r="N531" s="260"/>
      <c r="O531" s="260"/>
      <c r="P531" s="260"/>
      <c r="Q531" s="260"/>
      <c r="R531" s="260"/>
      <c r="S531" s="260"/>
      <c r="T531" s="260"/>
      <c r="U531" s="260"/>
      <c r="V531" s="260"/>
      <c r="W531" s="260"/>
      <c r="X531" s="260"/>
      <c r="Y531" s="260"/>
      <c r="Z531" s="260"/>
    </row>
    <row r="532">
      <c r="A532" s="260"/>
      <c r="B532" s="260"/>
      <c r="C532" s="260"/>
      <c r="D532" s="260"/>
      <c r="E532" s="260"/>
      <c r="F532" s="260"/>
      <c r="G532" s="260"/>
      <c r="H532" s="260"/>
      <c r="I532" s="260"/>
      <c r="J532" s="260"/>
      <c r="K532" s="260"/>
      <c r="L532" s="260"/>
      <c r="M532" s="260"/>
      <c r="N532" s="260"/>
      <c r="O532" s="260"/>
      <c r="P532" s="260"/>
      <c r="Q532" s="260"/>
      <c r="R532" s="260"/>
      <c r="S532" s="260"/>
      <c r="T532" s="260"/>
      <c r="U532" s="260"/>
      <c r="V532" s="260"/>
      <c r="W532" s="260"/>
      <c r="X532" s="260"/>
      <c r="Y532" s="260"/>
      <c r="Z532" s="260"/>
    </row>
    <row r="533">
      <c r="A533" s="260"/>
      <c r="B533" s="260"/>
      <c r="C533" s="260"/>
      <c r="D533" s="260"/>
      <c r="E533" s="260"/>
      <c r="F533" s="260"/>
      <c r="G533" s="260"/>
      <c r="H533" s="260"/>
      <c r="I533" s="260"/>
      <c r="J533" s="260"/>
      <c r="K533" s="260"/>
      <c r="L533" s="260"/>
      <c r="M533" s="260"/>
      <c r="N533" s="260"/>
      <c r="O533" s="260"/>
      <c r="P533" s="260"/>
      <c r="Q533" s="260"/>
      <c r="R533" s="260"/>
      <c r="S533" s="260"/>
      <c r="T533" s="260"/>
      <c r="U533" s="260"/>
      <c r="V533" s="260"/>
      <c r="W533" s="260"/>
      <c r="X533" s="260"/>
      <c r="Y533" s="260"/>
      <c r="Z533" s="260"/>
    </row>
    <row r="534">
      <c r="A534" s="260"/>
      <c r="B534" s="260"/>
      <c r="C534" s="260"/>
      <c r="D534" s="260"/>
      <c r="E534" s="260"/>
      <c r="F534" s="260"/>
      <c r="G534" s="260"/>
      <c r="H534" s="260"/>
      <c r="I534" s="260"/>
      <c r="J534" s="260"/>
      <c r="K534" s="260"/>
      <c r="L534" s="260"/>
      <c r="M534" s="260"/>
      <c r="N534" s="260"/>
      <c r="O534" s="260"/>
      <c r="P534" s="260"/>
      <c r="Q534" s="260"/>
      <c r="R534" s="260"/>
      <c r="S534" s="260"/>
      <c r="T534" s="260"/>
      <c r="U534" s="260"/>
      <c r="V534" s="260"/>
      <c r="W534" s="260"/>
      <c r="X534" s="260"/>
      <c r="Y534" s="260"/>
      <c r="Z534" s="260"/>
    </row>
    <row r="535">
      <c r="A535" s="260"/>
      <c r="B535" s="260"/>
      <c r="C535" s="260"/>
      <c r="D535" s="260"/>
      <c r="E535" s="260"/>
      <c r="F535" s="260"/>
      <c r="G535" s="260"/>
      <c r="H535" s="260"/>
      <c r="I535" s="260"/>
      <c r="J535" s="260"/>
      <c r="K535" s="260"/>
      <c r="L535" s="260"/>
      <c r="M535" s="260"/>
      <c r="N535" s="260"/>
      <c r="O535" s="260"/>
      <c r="P535" s="260"/>
      <c r="Q535" s="260"/>
      <c r="R535" s="260"/>
      <c r="S535" s="260"/>
      <c r="T535" s="260"/>
      <c r="U535" s="260"/>
      <c r="V535" s="260"/>
      <c r="W535" s="260"/>
      <c r="X535" s="260"/>
      <c r="Y535" s="260"/>
      <c r="Z535" s="260"/>
    </row>
    <row r="536">
      <c r="A536" s="260"/>
      <c r="B536" s="260"/>
      <c r="C536" s="260"/>
      <c r="D536" s="260"/>
      <c r="E536" s="260"/>
      <c r="F536" s="260"/>
      <c r="G536" s="260"/>
      <c r="H536" s="260"/>
      <c r="I536" s="260"/>
      <c r="J536" s="260"/>
      <c r="K536" s="260"/>
      <c r="L536" s="260"/>
      <c r="M536" s="260"/>
      <c r="N536" s="260"/>
      <c r="O536" s="260"/>
      <c r="P536" s="260"/>
      <c r="Q536" s="260"/>
      <c r="R536" s="260"/>
      <c r="S536" s="260"/>
      <c r="T536" s="260"/>
      <c r="U536" s="260"/>
      <c r="V536" s="260"/>
      <c r="W536" s="260"/>
      <c r="X536" s="260"/>
      <c r="Y536" s="260"/>
      <c r="Z536" s="260"/>
    </row>
    <row r="537">
      <c r="A537" s="260"/>
      <c r="B537" s="260"/>
      <c r="C537" s="260"/>
      <c r="D537" s="260"/>
      <c r="E537" s="260"/>
      <c r="F537" s="260"/>
      <c r="G537" s="260"/>
      <c r="H537" s="260"/>
      <c r="I537" s="260"/>
      <c r="J537" s="260"/>
      <c r="K537" s="260"/>
      <c r="L537" s="260"/>
      <c r="M537" s="260"/>
      <c r="N537" s="260"/>
      <c r="O537" s="260"/>
      <c r="P537" s="260"/>
      <c r="Q537" s="260"/>
      <c r="R537" s="260"/>
      <c r="S537" s="260"/>
      <c r="T537" s="260"/>
      <c r="U537" s="260"/>
      <c r="V537" s="260"/>
      <c r="W537" s="260"/>
      <c r="X537" s="260"/>
      <c r="Y537" s="260"/>
      <c r="Z537" s="260"/>
    </row>
    <row r="538">
      <c r="A538" s="260"/>
      <c r="B538" s="260"/>
      <c r="C538" s="260"/>
      <c r="D538" s="260"/>
      <c r="E538" s="260"/>
      <c r="F538" s="260"/>
      <c r="G538" s="260"/>
      <c r="H538" s="260"/>
      <c r="I538" s="260"/>
      <c r="J538" s="260"/>
      <c r="K538" s="260"/>
      <c r="L538" s="260"/>
      <c r="M538" s="260"/>
      <c r="N538" s="260"/>
      <c r="O538" s="260"/>
      <c r="P538" s="260"/>
      <c r="Q538" s="260"/>
      <c r="R538" s="260"/>
      <c r="S538" s="260"/>
      <c r="T538" s="260"/>
      <c r="U538" s="260"/>
      <c r="V538" s="260"/>
      <c r="W538" s="260"/>
      <c r="X538" s="260"/>
      <c r="Y538" s="260"/>
      <c r="Z538" s="260"/>
    </row>
    <row r="539">
      <c r="A539" s="260"/>
      <c r="B539" s="260"/>
      <c r="C539" s="260"/>
      <c r="D539" s="260"/>
      <c r="E539" s="260"/>
      <c r="F539" s="260"/>
      <c r="G539" s="260"/>
      <c r="H539" s="260"/>
      <c r="I539" s="260"/>
      <c r="J539" s="260"/>
      <c r="K539" s="260"/>
      <c r="L539" s="260"/>
      <c r="M539" s="260"/>
      <c r="N539" s="260"/>
      <c r="O539" s="260"/>
      <c r="P539" s="260"/>
      <c r="Q539" s="260"/>
      <c r="R539" s="260"/>
      <c r="S539" s="260"/>
      <c r="T539" s="260"/>
      <c r="U539" s="260"/>
      <c r="V539" s="260"/>
      <c r="W539" s="260"/>
      <c r="X539" s="260"/>
      <c r="Y539" s="260"/>
      <c r="Z539" s="260"/>
    </row>
    <row r="540">
      <c r="A540" s="260"/>
      <c r="B540" s="260"/>
      <c r="C540" s="260"/>
      <c r="D540" s="260"/>
      <c r="E540" s="260"/>
      <c r="F540" s="260"/>
      <c r="G540" s="260"/>
      <c r="H540" s="260"/>
      <c r="I540" s="260"/>
      <c r="J540" s="260"/>
      <c r="K540" s="260"/>
      <c r="L540" s="260"/>
      <c r="M540" s="260"/>
      <c r="N540" s="260"/>
      <c r="O540" s="260"/>
      <c r="P540" s="260"/>
      <c r="Q540" s="260"/>
      <c r="R540" s="260"/>
      <c r="S540" s="260"/>
      <c r="T540" s="260"/>
      <c r="U540" s="260"/>
      <c r="V540" s="260"/>
      <c r="W540" s="260"/>
      <c r="X540" s="260"/>
      <c r="Y540" s="260"/>
      <c r="Z540" s="260"/>
    </row>
    <row r="541">
      <c r="A541" s="260"/>
      <c r="B541" s="260"/>
      <c r="C541" s="260"/>
      <c r="D541" s="260"/>
      <c r="E541" s="260"/>
      <c r="F541" s="260"/>
      <c r="G541" s="260"/>
      <c r="H541" s="260"/>
      <c r="I541" s="260"/>
      <c r="J541" s="260"/>
      <c r="K541" s="260"/>
      <c r="L541" s="260"/>
      <c r="M541" s="260"/>
      <c r="N541" s="260"/>
      <c r="O541" s="260"/>
      <c r="P541" s="260"/>
      <c r="Q541" s="260"/>
      <c r="R541" s="260"/>
      <c r="S541" s="260"/>
      <c r="T541" s="260"/>
      <c r="U541" s="260"/>
      <c r="V541" s="260"/>
      <c r="W541" s="260"/>
      <c r="X541" s="260"/>
      <c r="Y541" s="260"/>
      <c r="Z541" s="260"/>
    </row>
    <row r="542">
      <c r="A542" s="260"/>
      <c r="B542" s="260"/>
      <c r="C542" s="260"/>
      <c r="D542" s="260"/>
      <c r="E542" s="260"/>
      <c r="F542" s="260"/>
      <c r="G542" s="260"/>
      <c r="H542" s="260"/>
      <c r="I542" s="260"/>
      <c r="J542" s="260"/>
      <c r="K542" s="260"/>
      <c r="L542" s="260"/>
      <c r="M542" s="260"/>
      <c r="N542" s="260"/>
      <c r="O542" s="260"/>
      <c r="P542" s="260"/>
      <c r="Q542" s="260"/>
      <c r="R542" s="260"/>
      <c r="S542" s="260"/>
      <c r="T542" s="260"/>
      <c r="U542" s="260"/>
      <c r="V542" s="260"/>
      <c r="W542" s="260"/>
      <c r="X542" s="260"/>
      <c r="Y542" s="260"/>
      <c r="Z542" s="260"/>
    </row>
    <row r="543">
      <c r="A543" s="260"/>
      <c r="B543" s="260"/>
      <c r="C543" s="260"/>
      <c r="D543" s="260"/>
      <c r="E543" s="260"/>
      <c r="F543" s="260"/>
      <c r="G543" s="260"/>
      <c r="H543" s="260"/>
      <c r="I543" s="260"/>
      <c r="J543" s="260"/>
      <c r="K543" s="260"/>
      <c r="L543" s="260"/>
      <c r="M543" s="260"/>
      <c r="N543" s="260"/>
      <c r="O543" s="260"/>
      <c r="P543" s="260"/>
      <c r="Q543" s="260"/>
      <c r="R543" s="260"/>
      <c r="S543" s="260"/>
      <c r="T543" s="260"/>
      <c r="U543" s="260"/>
      <c r="V543" s="260"/>
      <c r="W543" s="260"/>
      <c r="X543" s="260"/>
      <c r="Y543" s="260"/>
      <c r="Z543" s="260"/>
    </row>
    <row r="544">
      <c r="A544" s="260"/>
      <c r="B544" s="260"/>
      <c r="C544" s="260"/>
      <c r="D544" s="260"/>
      <c r="E544" s="260"/>
      <c r="F544" s="260"/>
      <c r="G544" s="260"/>
      <c r="H544" s="260"/>
      <c r="I544" s="260"/>
      <c r="J544" s="260"/>
      <c r="K544" s="260"/>
      <c r="L544" s="260"/>
      <c r="M544" s="260"/>
      <c r="N544" s="260"/>
      <c r="O544" s="260"/>
      <c r="P544" s="260"/>
      <c r="Q544" s="260"/>
      <c r="R544" s="260"/>
      <c r="S544" s="260"/>
      <c r="T544" s="260"/>
      <c r="U544" s="260"/>
      <c r="V544" s="260"/>
      <c r="W544" s="260"/>
      <c r="X544" s="260"/>
      <c r="Y544" s="260"/>
      <c r="Z544" s="260"/>
    </row>
    <row r="545">
      <c r="A545" s="260"/>
      <c r="B545" s="260"/>
      <c r="C545" s="260"/>
      <c r="D545" s="260"/>
      <c r="E545" s="260"/>
      <c r="F545" s="260"/>
      <c r="G545" s="260"/>
      <c r="H545" s="260"/>
      <c r="I545" s="260"/>
      <c r="J545" s="260"/>
      <c r="K545" s="260"/>
      <c r="L545" s="260"/>
      <c r="M545" s="260"/>
      <c r="N545" s="260"/>
      <c r="O545" s="260"/>
      <c r="P545" s="260"/>
      <c r="Q545" s="260"/>
      <c r="R545" s="260"/>
      <c r="S545" s="260"/>
      <c r="T545" s="260"/>
      <c r="U545" s="260"/>
      <c r="V545" s="260"/>
      <c r="W545" s="260"/>
      <c r="X545" s="260"/>
      <c r="Y545" s="260"/>
      <c r="Z545" s="260"/>
    </row>
    <row r="546">
      <c r="A546" s="260"/>
      <c r="B546" s="260"/>
      <c r="C546" s="260"/>
      <c r="D546" s="260"/>
      <c r="E546" s="260"/>
      <c r="F546" s="260"/>
      <c r="G546" s="260"/>
      <c r="H546" s="260"/>
      <c r="I546" s="260"/>
      <c r="J546" s="260"/>
      <c r="K546" s="260"/>
      <c r="L546" s="260"/>
      <c r="M546" s="260"/>
      <c r="N546" s="260"/>
      <c r="O546" s="260"/>
      <c r="P546" s="260"/>
      <c r="Q546" s="260"/>
      <c r="R546" s="260"/>
      <c r="S546" s="260"/>
      <c r="T546" s="260"/>
      <c r="U546" s="260"/>
      <c r="V546" s="260"/>
      <c r="W546" s="260"/>
      <c r="X546" s="260"/>
      <c r="Y546" s="260"/>
      <c r="Z546" s="260"/>
    </row>
    <row r="547">
      <c r="A547" s="260"/>
      <c r="B547" s="260"/>
      <c r="C547" s="260"/>
      <c r="D547" s="260"/>
      <c r="E547" s="260"/>
      <c r="F547" s="260"/>
      <c r="G547" s="260"/>
      <c r="H547" s="260"/>
      <c r="I547" s="260"/>
      <c r="J547" s="260"/>
      <c r="K547" s="260"/>
      <c r="L547" s="260"/>
      <c r="M547" s="260"/>
      <c r="N547" s="260"/>
      <c r="O547" s="260"/>
      <c r="P547" s="260"/>
      <c r="Q547" s="260"/>
      <c r="R547" s="260"/>
      <c r="S547" s="260"/>
      <c r="T547" s="260"/>
      <c r="U547" s="260"/>
      <c r="V547" s="260"/>
      <c r="W547" s="260"/>
      <c r="X547" s="260"/>
      <c r="Y547" s="260"/>
      <c r="Z547" s="260"/>
    </row>
    <row r="548">
      <c r="A548" s="260"/>
      <c r="B548" s="260"/>
      <c r="C548" s="260"/>
      <c r="D548" s="260"/>
      <c r="E548" s="260"/>
      <c r="F548" s="260"/>
      <c r="G548" s="260"/>
      <c r="H548" s="260"/>
      <c r="I548" s="260"/>
      <c r="J548" s="260"/>
      <c r="K548" s="260"/>
      <c r="L548" s="260"/>
      <c r="M548" s="260"/>
      <c r="N548" s="260"/>
      <c r="O548" s="260"/>
      <c r="P548" s="260"/>
      <c r="Q548" s="260"/>
      <c r="R548" s="260"/>
      <c r="S548" s="260"/>
      <c r="T548" s="260"/>
      <c r="U548" s="260"/>
      <c r="V548" s="260"/>
      <c r="W548" s="260"/>
      <c r="X548" s="260"/>
      <c r="Y548" s="260"/>
      <c r="Z548" s="260"/>
    </row>
    <row r="549">
      <c r="A549" s="260"/>
      <c r="B549" s="260"/>
      <c r="C549" s="260"/>
      <c r="D549" s="260"/>
      <c r="E549" s="260"/>
      <c r="F549" s="260"/>
      <c r="G549" s="260"/>
      <c r="H549" s="260"/>
      <c r="I549" s="260"/>
      <c r="J549" s="260"/>
      <c r="K549" s="260"/>
      <c r="L549" s="260"/>
      <c r="M549" s="260"/>
      <c r="N549" s="260"/>
      <c r="O549" s="260"/>
      <c r="P549" s="260"/>
      <c r="Q549" s="260"/>
      <c r="R549" s="260"/>
      <c r="S549" s="260"/>
      <c r="T549" s="260"/>
      <c r="U549" s="260"/>
      <c r="V549" s="260"/>
      <c r="W549" s="260"/>
      <c r="X549" s="260"/>
      <c r="Y549" s="260"/>
      <c r="Z549" s="260"/>
    </row>
    <row r="550">
      <c r="A550" s="260"/>
      <c r="B550" s="260"/>
      <c r="C550" s="260"/>
      <c r="D550" s="260"/>
      <c r="E550" s="260"/>
      <c r="F550" s="260"/>
      <c r="G550" s="260"/>
      <c r="H550" s="260"/>
      <c r="I550" s="260"/>
      <c r="J550" s="260"/>
      <c r="K550" s="260"/>
      <c r="L550" s="260"/>
      <c r="M550" s="260"/>
      <c r="N550" s="260"/>
      <c r="O550" s="260"/>
      <c r="P550" s="260"/>
      <c r="Q550" s="260"/>
      <c r="R550" s="260"/>
      <c r="S550" s="260"/>
      <c r="T550" s="260"/>
      <c r="U550" s="260"/>
      <c r="V550" s="260"/>
      <c r="W550" s="260"/>
      <c r="X550" s="260"/>
      <c r="Y550" s="260"/>
      <c r="Z550" s="260"/>
    </row>
    <row r="551">
      <c r="A551" s="260"/>
      <c r="B551" s="260"/>
      <c r="C551" s="260"/>
      <c r="D551" s="260"/>
      <c r="E551" s="260"/>
      <c r="F551" s="260"/>
      <c r="G551" s="260"/>
      <c r="H551" s="260"/>
      <c r="I551" s="260"/>
      <c r="J551" s="260"/>
      <c r="K551" s="260"/>
      <c r="L551" s="260"/>
      <c r="M551" s="260"/>
      <c r="N551" s="260"/>
      <c r="O551" s="260"/>
      <c r="P551" s="260"/>
      <c r="Q551" s="260"/>
      <c r="R551" s="260"/>
      <c r="S551" s="260"/>
      <c r="T551" s="260"/>
      <c r="U551" s="260"/>
      <c r="V551" s="260"/>
      <c r="W551" s="260"/>
      <c r="X551" s="260"/>
      <c r="Y551" s="260"/>
      <c r="Z551" s="260"/>
    </row>
    <row r="552">
      <c r="A552" s="260"/>
      <c r="B552" s="260"/>
      <c r="C552" s="260"/>
      <c r="D552" s="260"/>
      <c r="E552" s="260"/>
      <c r="F552" s="260"/>
      <c r="G552" s="260"/>
      <c r="H552" s="260"/>
      <c r="I552" s="260"/>
      <c r="J552" s="260"/>
      <c r="K552" s="260"/>
      <c r="L552" s="260"/>
      <c r="M552" s="260"/>
      <c r="N552" s="260"/>
      <c r="O552" s="260"/>
      <c r="P552" s="260"/>
      <c r="Q552" s="260"/>
      <c r="R552" s="260"/>
      <c r="S552" s="260"/>
      <c r="T552" s="260"/>
      <c r="U552" s="260"/>
      <c r="V552" s="260"/>
      <c r="W552" s="260"/>
      <c r="X552" s="260"/>
      <c r="Y552" s="260"/>
      <c r="Z552" s="260"/>
    </row>
    <row r="553">
      <c r="A553" s="260"/>
      <c r="B553" s="260"/>
      <c r="C553" s="260"/>
      <c r="D553" s="260"/>
      <c r="E553" s="260"/>
      <c r="F553" s="260"/>
      <c r="G553" s="260"/>
      <c r="H553" s="260"/>
      <c r="I553" s="260"/>
      <c r="J553" s="260"/>
      <c r="K553" s="260"/>
      <c r="L553" s="260"/>
      <c r="M553" s="260"/>
      <c r="N553" s="260"/>
      <c r="O553" s="260"/>
      <c r="P553" s="260"/>
      <c r="Q553" s="260"/>
      <c r="R553" s="260"/>
      <c r="S553" s="260"/>
      <c r="T553" s="260"/>
      <c r="U553" s="260"/>
      <c r="V553" s="260"/>
      <c r="W553" s="260"/>
      <c r="X553" s="260"/>
      <c r="Y553" s="260"/>
      <c r="Z553" s="260"/>
    </row>
    <row r="554">
      <c r="A554" s="260"/>
      <c r="B554" s="260"/>
      <c r="C554" s="260"/>
      <c r="D554" s="260"/>
      <c r="E554" s="260"/>
      <c r="F554" s="260"/>
      <c r="G554" s="260"/>
      <c r="H554" s="260"/>
      <c r="I554" s="260"/>
      <c r="J554" s="260"/>
      <c r="K554" s="260"/>
      <c r="L554" s="260"/>
      <c r="M554" s="260"/>
      <c r="N554" s="260"/>
      <c r="O554" s="260"/>
      <c r="P554" s="260"/>
      <c r="Q554" s="260"/>
      <c r="R554" s="260"/>
      <c r="S554" s="260"/>
      <c r="T554" s="260"/>
      <c r="U554" s="260"/>
      <c r="V554" s="260"/>
      <c r="W554" s="260"/>
      <c r="X554" s="260"/>
      <c r="Y554" s="260"/>
      <c r="Z554" s="260"/>
    </row>
    <row r="555">
      <c r="A555" s="260"/>
      <c r="B555" s="260"/>
      <c r="C555" s="260"/>
      <c r="D555" s="260"/>
      <c r="E555" s="260"/>
      <c r="F555" s="260"/>
      <c r="G555" s="260"/>
      <c r="H555" s="260"/>
      <c r="I555" s="260"/>
      <c r="J555" s="260"/>
      <c r="K555" s="260"/>
      <c r="L555" s="260"/>
      <c r="M555" s="260"/>
      <c r="N555" s="260"/>
      <c r="O555" s="260"/>
      <c r="P555" s="260"/>
      <c r="Q555" s="260"/>
      <c r="R555" s="260"/>
      <c r="S555" s="260"/>
      <c r="T555" s="260"/>
      <c r="U555" s="260"/>
      <c r="V555" s="260"/>
      <c r="W555" s="260"/>
      <c r="X555" s="260"/>
      <c r="Y555" s="260"/>
      <c r="Z555" s="260"/>
    </row>
    <row r="556">
      <c r="A556" s="260"/>
      <c r="B556" s="260"/>
      <c r="C556" s="260"/>
      <c r="D556" s="260"/>
      <c r="E556" s="260"/>
      <c r="F556" s="260"/>
      <c r="G556" s="260"/>
      <c r="H556" s="260"/>
      <c r="I556" s="260"/>
      <c r="J556" s="260"/>
      <c r="K556" s="260"/>
      <c r="L556" s="260"/>
      <c r="M556" s="260"/>
      <c r="N556" s="260"/>
      <c r="O556" s="260"/>
      <c r="P556" s="260"/>
      <c r="Q556" s="260"/>
      <c r="R556" s="260"/>
      <c r="S556" s="260"/>
      <c r="T556" s="260"/>
      <c r="U556" s="260"/>
      <c r="V556" s="260"/>
      <c r="W556" s="260"/>
      <c r="X556" s="260"/>
      <c r="Y556" s="260"/>
      <c r="Z556" s="260"/>
    </row>
    <row r="557">
      <c r="A557" s="260"/>
      <c r="B557" s="260"/>
      <c r="C557" s="260"/>
      <c r="D557" s="260"/>
      <c r="E557" s="260"/>
      <c r="F557" s="260"/>
      <c r="G557" s="260"/>
      <c r="H557" s="260"/>
      <c r="I557" s="260"/>
      <c r="J557" s="260"/>
      <c r="K557" s="260"/>
      <c r="L557" s="260"/>
      <c r="M557" s="260"/>
      <c r="N557" s="260"/>
      <c r="O557" s="260"/>
      <c r="P557" s="260"/>
      <c r="Q557" s="260"/>
      <c r="R557" s="260"/>
      <c r="S557" s="260"/>
      <c r="T557" s="260"/>
      <c r="U557" s="260"/>
      <c r="V557" s="260"/>
      <c r="W557" s="260"/>
      <c r="X557" s="260"/>
      <c r="Y557" s="260"/>
      <c r="Z557" s="260"/>
    </row>
    <row r="558">
      <c r="A558" s="260"/>
      <c r="B558" s="260"/>
      <c r="C558" s="260"/>
      <c r="D558" s="260"/>
      <c r="E558" s="260"/>
      <c r="F558" s="260"/>
      <c r="G558" s="260"/>
      <c r="H558" s="260"/>
      <c r="I558" s="260"/>
      <c r="J558" s="260"/>
      <c r="K558" s="260"/>
      <c r="L558" s="260"/>
      <c r="M558" s="260"/>
      <c r="N558" s="260"/>
      <c r="O558" s="260"/>
      <c r="P558" s="260"/>
      <c r="Q558" s="260"/>
      <c r="R558" s="260"/>
      <c r="S558" s="260"/>
      <c r="T558" s="260"/>
      <c r="U558" s="260"/>
      <c r="V558" s="260"/>
      <c r="W558" s="260"/>
      <c r="X558" s="260"/>
      <c r="Y558" s="260"/>
      <c r="Z558" s="260"/>
    </row>
    <row r="559">
      <c r="A559" s="260"/>
      <c r="B559" s="260"/>
      <c r="C559" s="260"/>
      <c r="D559" s="260"/>
      <c r="E559" s="260"/>
      <c r="F559" s="260"/>
      <c r="G559" s="260"/>
      <c r="H559" s="260"/>
      <c r="I559" s="260"/>
      <c r="J559" s="260"/>
      <c r="K559" s="260"/>
      <c r="L559" s="260"/>
      <c r="M559" s="260"/>
      <c r="N559" s="260"/>
      <c r="O559" s="260"/>
      <c r="P559" s="260"/>
      <c r="Q559" s="260"/>
      <c r="R559" s="260"/>
      <c r="S559" s="260"/>
      <c r="T559" s="260"/>
      <c r="U559" s="260"/>
      <c r="V559" s="260"/>
      <c r="W559" s="260"/>
      <c r="X559" s="260"/>
      <c r="Y559" s="260"/>
      <c r="Z559" s="260"/>
    </row>
    <row r="560">
      <c r="A560" s="260"/>
      <c r="B560" s="260"/>
      <c r="C560" s="260"/>
      <c r="D560" s="260"/>
      <c r="E560" s="260"/>
      <c r="F560" s="260"/>
      <c r="G560" s="260"/>
      <c r="H560" s="260"/>
      <c r="I560" s="260"/>
      <c r="J560" s="260"/>
      <c r="K560" s="260"/>
      <c r="L560" s="260"/>
      <c r="M560" s="260"/>
      <c r="N560" s="260"/>
      <c r="O560" s="260"/>
      <c r="P560" s="260"/>
      <c r="Q560" s="260"/>
      <c r="R560" s="260"/>
      <c r="S560" s="260"/>
      <c r="T560" s="260"/>
      <c r="U560" s="260"/>
      <c r="V560" s="260"/>
      <c r="W560" s="260"/>
      <c r="X560" s="260"/>
      <c r="Y560" s="260"/>
      <c r="Z560" s="260"/>
    </row>
    <row r="561">
      <c r="A561" s="260"/>
      <c r="B561" s="260"/>
      <c r="C561" s="260"/>
      <c r="D561" s="260"/>
      <c r="E561" s="260"/>
      <c r="F561" s="260"/>
      <c r="G561" s="260"/>
      <c r="H561" s="260"/>
      <c r="I561" s="260"/>
      <c r="J561" s="260"/>
      <c r="K561" s="260"/>
      <c r="L561" s="260"/>
      <c r="M561" s="260"/>
      <c r="N561" s="260"/>
      <c r="O561" s="260"/>
      <c r="P561" s="260"/>
      <c r="Q561" s="260"/>
      <c r="R561" s="260"/>
      <c r="S561" s="260"/>
      <c r="T561" s="260"/>
      <c r="U561" s="260"/>
      <c r="V561" s="260"/>
      <c r="W561" s="260"/>
      <c r="X561" s="260"/>
      <c r="Y561" s="260"/>
      <c r="Z561" s="260"/>
    </row>
    <row r="562">
      <c r="A562" s="260"/>
      <c r="B562" s="260"/>
      <c r="C562" s="260"/>
      <c r="D562" s="260"/>
      <c r="E562" s="260"/>
      <c r="F562" s="260"/>
      <c r="G562" s="260"/>
      <c r="H562" s="260"/>
      <c r="I562" s="260"/>
      <c r="J562" s="260"/>
      <c r="K562" s="260"/>
      <c r="L562" s="260"/>
      <c r="M562" s="260"/>
      <c r="N562" s="260"/>
      <c r="O562" s="260"/>
      <c r="P562" s="260"/>
      <c r="Q562" s="260"/>
      <c r="R562" s="260"/>
      <c r="S562" s="260"/>
      <c r="T562" s="260"/>
      <c r="U562" s="260"/>
      <c r="V562" s="260"/>
      <c r="W562" s="260"/>
      <c r="X562" s="260"/>
      <c r="Y562" s="260"/>
      <c r="Z562" s="260"/>
    </row>
    <row r="563">
      <c r="A563" s="260"/>
      <c r="B563" s="260"/>
      <c r="C563" s="260"/>
      <c r="D563" s="260"/>
      <c r="E563" s="260"/>
      <c r="F563" s="260"/>
      <c r="G563" s="260"/>
      <c r="H563" s="260"/>
      <c r="I563" s="260"/>
      <c r="J563" s="260"/>
      <c r="K563" s="260"/>
      <c r="L563" s="260"/>
      <c r="M563" s="260"/>
      <c r="N563" s="260"/>
      <c r="O563" s="260"/>
      <c r="P563" s="260"/>
      <c r="Q563" s="260"/>
      <c r="R563" s="260"/>
      <c r="S563" s="260"/>
      <c r="T563" s="260"/>
      <c r="U563" s="260"/>
      <c r="V563" s="260"/>
      <c r="W563" s="260"/>
      <c r="X563" s="260"/>
      <c r="Y563" s="260"/>
      <c r="Z563" s="260"/>
    </row>
    <row r="564">
      <c r="A564" s="260"/>
      <c r="B564" s="260"/>
      <c r="C564" s="260"/>
      <c r="D564" s="260"/>
      <c r="E564" s="260"/>
      <c r="F564" s="260"/>
      <c r="G564" s="260"/>
      <c r="H564" s="260"/>
      <c r="I564" s="260"/>
      <c r="J564" s="260"/>
      <c r="K564" s="260"/>
      <c r="L564" s="260"/>
      <c r="M564" s="260"/>
      <c r="N564" s="260"/>
      <c r="O564" s="260"/>
      <c r="P564" s="260"/>
      <c r="Q564" s="260"/>
      <c r="R564" s="260"/>
      <c r="S564" s="260"/>
      <c r="T564" s="260"/>
      <c r="U564" s="260"/>
      <c r="V564" s="260"/>
      <c r="W564" s="260"/>
      <c r="X564" s="260"/>
      <c r="Y564" s="260"/>
      <c r="Z564" s="260"/>
    </row>
    <row r="565">
      <c r="A565" s="260"/>
      <c r="B565" s="260"/>
      <c r="C565" s="260"/>
      <c r="D565" s="260"/>
      <c r="E565" s="260"/>
      <c r="F565" s="260"/>
      <c r="G565" s="260"/>
      <c r="H565" s="260"/>
      <c r="I565" s="260"/>
      <c r="J565" s="260"/>
      <c r="K565" s="260"/>
      <c r="L565" s="260"/>
      <c r="M565" s="260"/>
      <c r="N565" s="260"/>
      <c r="O565" s="260"/>
      <c r="P565" s="260"/>
      <c r="Q565" s="260"/>
      <c r="R565" s="260"/>
      <c r="S565" s="260"/>
      <c r="T565" s="260"/>
      <c r="U565" s="260"/>
      <c r="V565" s="260"/>
      <c r="W565" s="260"/>
      <c r="X565" s="260"/>
      <c r="Y565" s="260"/>
      <c r="Z565" s="260"/>
    </row>
    <row r="566">
      <c r="A566" s="260"/>
      <c r="B566" s="260"/>
      <c r="C566" s="260"/>
      <c r="D566" s="260"/>
      <c r="E566" s="260"/>
      <c r="F566" s="260"/>
      <c r="G566" s="260"/>
      <c r="H566" s="260"/>
      <c r="I566" s="260"/>
      <c r="J566" s="260"/>
      <c r="K566" s="260"/>
      <c r="L566" s="260"/>
      <c r="M566" s="260"/>
      <c r="N566" s="260"/>
      <c r="O566" s="260"/>
      <c r="P566" s="260"/>
      <c r="Q566" s="260"/>
      <c r="R566" s="260"/>
      <c r="S566" s="260"/>
      <c r="T566" s="260"/>
      <c r="U566" s="260"/>
      <c r="V566" s="260"/>
      <c r="W566" s="260"/>
      <c r="X566" s="260"/>
      <c r="Y566" s="260"/>
      <c r="Z566" s="260"/>
    </row>
    <row r="567">
      <c r="A567" s="260"/>
      <c r="B567" s="260"/>
      <c r="C567" s="260"/>
      <c r="D567" s="260"/>
      <c r="E567" s="260"/>
      <c r="F567" s="260"/>
      <c r="G567" s="260"/>
      <c r="H567" s="260"/>
      <c r="I567" s="260"/>
      <c r="J567" s="260"/>
      <c r="K567" s="260"/>
      <c r="L567" s="260"/>
      <c r="M567" s="260"/>
      <c r="N567" s="260"/>
      <c r="O567" s="260"/>
      <c r="P567" s="260"/>
      <c r="Q567" s="260"/>
      <c r="R567" s="260"/>
      <c r="S567" s="260"/>
      <c r="T567" s="260"/>
      <c r="U567" s="260"/>
      <c r="V567" s="260"/>
      <c r="W567" s="260"/>
      <c r="X567" s="260"/>
      <c r="Y567" s="260"/>
      <c r="Z567" s="260"/>
    </row>
    <row r="568">
      <c r="A568" s="260"/>
      <c r="B568" s="260"/>
      <c r="C568" s="260"/>
      <c r="D568" s="260"/>
      <c r="E568" s="260"/>
      <c r="F568" s="260"/>
      <c r="G568" s="260"/>
      <c r="H568" s="260"/>
      <c r="I568" s="260"/>
      <c r="J568" s="260"/>
      <c r="K568" s="260"/>
      <c r="L568" s="260"/>
      <c r="M568" s="260"/>
      <c r="N568" s="260"/>
      <c r="O568" s="260"/>
      <c r="P568" s="260"/>
      <c r="Q568" s="260"/>
      <c r="R568" s="260"/>
      <c r="S568" s="260"/>
      <c r="T568" s="260"/>
      <c r="U568" s="260"/>
      <c r="V568" s="260"/>
      <c r="W568" s="260"/>
      <c r="X568" s="260"/>
      <c r="Y568" s="260"/>
      <c r="Z568" s="260"/>
    </row>
    <row r="569">
      <c r="A569" s="260"/>
      <c r="B569" s="260"/>
      <c r="C569" s="260"/>
      <c r="D569" s="260"/>
      <c r="E569" s="260"/>
      <c r="F569" s="260"/>
      <c r="G569" s="260"/>
      <c r="H569" s="260"/>
      <c r="I569" s="260"/>
      <c r="J569" s="260"/>
      <c r="K569" s="260"/>
      <c r="L569" s="260"/>
      <c r="M569" s="260"/>
      <c r="N569" s="260"/>
      <c r="O569" s="260"/>
      <c r="P569" s="260"/>
      <c r="Q569" s="260"/>
      <c r="R569" s="260"/>
      <c r="S569" s="260"/>
      <c r="T569" s="260"/>
      <c r="U569" s="260"/>
      <c r="V569" s="260"/>
      <c r="W569" s="260"/>
      <c r="X569" s="260"/>
      <c r="Y569" s="260"/>
      <c r="Z569" s="260"/>
    </row>
    <row r="570">
      <c r="A570" s="260"/>
      <c r="B570" s="260"/>
      <c r="C570" s="260"/>
      <c r="D570" s="260"/>
      <c r="E570" s="260"/>
      <c r="F570" s="260"/>
      <c r="G570" s="260"/>
      <c r="H570" s="260"/>
      <c r="I570" s="260"/>
      <c r="J570" s="260"/>
      <c r="K570" s="260"/>
      <c r="L570" s="260"/>
      <c r="M570" s="260"/>
      <c r="N570" s="260"/>
      <c r="O570" s="260"/>
      <c r="P570" s="260"/>
      <c r="Q570" s="260"/>
      <c r="R570" s="260"/>
      <c r="S570" s="260"/>
      <c r="T570" s="260"/>
      <c r="U570" s="260"/>
      <c r="V570" s="260"/>
      <c r="W570" s="260"/>
      <c r="X570" s="260"/>
      <c r="Y570" s="260"/>
      <c r="Z570" s="260"/>
    </row>
    <row r="571">
      <c r="A571" s="260"/>
      <c r="B571" s="260"/>
      <c r="C571" s="260"/>
      <c r="D571" s="260"/>
      <c r="E571" s="260"/>
      <c r="F571" s="260"/>
      <c r="G571" s="260"/>
      <c r="H571" s="260"/>
      <c r="I571" s="260"/>
      <c r="J571" s="260"/>
      <c r="K571" s="260"/>
      <c r="L571" s="260"/>
      <c r="M571" s="260"/>
      <c r="N571" s="260"/>
      <c r="O571" s="260"/>
      <c r="P571" s="260"/>
      <c r="Q571" s="260"/>
      <c r="R571" s="260"/>
      <c r="S571" s="260"/>
      <c r="T571" s="260"/>
      <c r="U571" s="260"/>
      <c r="V571" s="260"/>
      <c r="W571" s="260"/>
      <c r="X571" s="260"/>
      <c r="Y571" s="260"/>
      <c r="Z571" s="260"/>
    </row>
    <row r="572">
      <c r="A572" s="260"/>
      <c r="B572" s="260"/>
      <c r="C572" s="260"/>
      <c r="D572" s="260"/>
      <c r="E572" s="260"/>
      <c r="F572" s="260"/>
      <c r="G572" s="260"/>
      <c r="H572" s="260"/>
      <c r="I572" s="260"/>
      <c r="J572" s="260"/>
      <c r="K572" s="260"/>
      <c r="L572" s="260"/>
      <c r="M572" s="260"/>
      <c r="N572" s="260"/>
      <c r="O572" s="260"/>
      <c r="P572" s="260"/>
      <c r="Q572" s="260"/>
      <c r="R572" s="260"/>
      <c r="S572" s="260"/>
      <c r="T572" s="260"/>
      <c r="U572" s="260"/>
      <c r="V572" s="260"/>
      <c r="W572" s="260"/>
      <c r="X572" s="260"/>
      <c r="Y572" s="260"/>
      <c r="Z572" s="260"/>
    </row>
    <row r="573">
      <c r="A573" s="260"/>
      <c r="B573" s="260"/>
      <c r="C573" s="260"/>
      <c r="D573" s="260"/>
      <c r="E573" s="260"/>
      <c r="F573" s="260"/>
      <c r="G573" s="260"/>
      <c r="H573" s="260"/>
      <c r="I573" s="260"/>
      <c r="J573" s="260"/>
      <c r="K573" s="260"/>
      <c r="L573" s="260"/>
      <c r="M573" s="260"/>
      <c r="N573" s="260"/>
      <c r="O573" s="260"/>
      <c r="P573" s="260"/>
      <c r="Q573" s="260"/>
      <c r="R573" s="260"/>
      <c r="S573" s="260"/>
      <c r="T573" s="260"/>
      <c r="U573" s="260"/>
      <c r="V573" s="260"/>
      <c r="W573" s="260"/>
      <c r="X573" s="260"/>
      <c r="Y573" s="260"/>
      <c r="Z573" s="260"/>
    </row>
    <row r="574">
      <c r="A574" s="260"/>
      <c r="B574" s="260"/>
      <c r="C574" s="260"/>
      <c r="D574" s="260"/>
      <c r="E574" s="260"/>
      <c r="F574" s="260"/>
      <c r="G574" s="260"/>
      <c r="H574" s="260"/>
      <c r="I574" s="260"/>
      <c r="J574" s="260"/>
      <c r="K574" s="260"/>
      <c r="L574" s="260"/>
      <c r="M574" s="260"/>
      <c r="N574" s="260"/>
      <c r="O574" s="260"/>
      <c r="P574" s="260"/>
      <c r="Q574" s="260"/>
      <c r="R574" s="260"/>
      <c r="S574" s="260"/>
      <c r="T574" s="260"/>
      <c r="U574" s="260"/>
      <c r="V574" s="260"/>
      <c r="W574" s="260"/>
      <c r="X574" s="260"/>
      <c r="Y574" s="260"/>
      <c r="Z574" s="260"/>
    </row>
    <row r="575">
      <c r="A575" s="260"/>
      <c r="B575" s="260"/>
      <c r="C575" s="260"/>
      <c r="D575" s="260"/>
      <c r="E575" s="260"/>
      <c r="F575" s="260"/>
      <c r="G575" s="260"/>
      <c r="H575" s="260"/>
      <c r="I575" s="260"/>
      <c r="J575" s="260"/>
      <c r="K575" s="260"/>
      <c r="L575" s="260"/>
      <c r="M575" s="260"/>
      <c r="N575" s="260"/>
      <c r="O575" s="260"/>
      <c r="P575" s="260"/>
      <c r="Q575" s="260"/>
      <c r="R575" s="260"/>
      <c r="S575" s="260"/>
      <c r="T575" s="260"/>
      <c r="U575" s="260"/>
      <c r="V575" s="260"/>
      <c r="W575" s="260"/>
      <c r="X575" s="260"/>
      <c r="Y575" s="260"/>
      <c r="Z575" s="260"/>
    </row>
    <row r="576">
      <c r="A576" s="260"/>
      <c r="B576" s="260"/>
      <c r="C576" s="260"/>
      <c r="D576" s="260"/>
      <c r="E576" s="260"/>
      <c r="F576" s="260"/>
      <c r="G576" s="260"/>
      <c r="H576" s="260"/>
      <c r="I576" s="260"/>
      <c r="J576" s="260"/>
      <c r="K576" s="260"/>
      <c r="L576" s="260"/>
      <c r="M576" s="260"/>
      <c r="N576" s="260"/>
      <c r="O576" s="260"/>
      <c r="P576" s="260"/>
      <c r="Q576" s="260"/>
      <c r="R576" s="260"/>
      <c r="S576" s="260"/>
      <c r="T576" s="260"/>
      <c r="U576" s="260"/>
      <c r="V576" s="260"/>
      <c r="W576" s="260"/>
      <c r="X576" s="260"/>
      <c r="Y576" s="260"/>
      <c r="Z576" s="260"/>
    </row>
    <row r="577">
      <c r="A577" s="260"/>
      <c r="B577" s="260"/>
      <c r="C577" s="260"/>
      <c r="D577" s="260"/>
      <c r="E577" s="260"/>
      <c r="F577" s="260"/>
      <c r="G577" s="260"/>
      <c r="H577" s="260"/>
      <c r="I577" s="260"/>
      <c r="J577" s="260"/>
      <c r="K577" s="260"/>
      <c r="L577" s="260"/>
      <c r="M577" s="260"/>
      <c r="N577" s="260"/>
      <c r="O577" s="260"/>
      <c r="P577" s="260"/>
      <c r="Q577" s="260"/>
      <c r="R577" s="260"/>
      <c r="S577" s="260"/>
      <c r="T577" s="260"/>
      <c r="U577" s="260"/>
      <c r="V577" s="260"/>
      <c r="W577" s="260"/>
      <c r="X577" s="260"/>
      <c r="Y577" s="260"/>
      <c r="Z577" s="260"/>
    </row>
    <row r="578">
      <c r="A578" s="260"/>
      <c r="B578" s="260"/>
      <c r="C578" s="260"/>
      <c r="D578" s="260"/>
      <c r="E578" s="260"/>
      <c r="F578" s="260"/>
      <c r="G578" s="260"/>
      <c r="H578" s="260"/>
      <c r="I578" s="260"/>
      <c r="J578" s="260"/>
      <c r="K578" s="260"/>
      <c r="L578" s="260"/>
      <c r="M578" s="260"/>
      <c r="N578" s="260"/>
      <c r="O578" s="260"/>
      <c r="P578" s="260"/>
      <c r="Q578" s="260"/>
      <c r="R578" s="260"/>
      <c r="S578" s="260"/>
      <c r="T578" s="260"/>
      <c r="U578" s="260"/>
      <c r="V578" s="260"/>
      <c r="W578" s="260"/>
      <c r="X578" s="260"/>
      <c r="Y578" s="260"/>
      <c r="Z578" s="260"/>
    </row>
    <row r="579">
      <c r="A579" s="260"/>
      <c r="B579" s="260"/>
      <c r="C579" s="260"/>
      <c r="D579" s="260"/>
      <c r="E579" s="260"/>
      <c r="F579" s="260"/>
      <c r="G579" s="260"/>
      <c r="H579" s="260"/>
      <c r="I579" s="260"/>
      <c r="J579" s="260"/>
      <c r="K579" s="260"/>
      <c r="L579" s="260"/>
      <c r="M579" s="260"/>
      <c r="N579" s="260"/>
      <c r="O579" s="260"/>
      <c r="P579" s="260"/>
      <c r="Q579" s="260"/>
      <c r="R579" s="260"/>
      <c r="S579" s="260"/>
      <c r="T579" s="260"/>
      <c r="U579" s="260"/>
      <c r="V579" s="260"/>
      <c r="W579" s="260"/>
      <c r="X579" s="260"/>
      <c r="Y579" s="260"/>
      <c r="Z579" s="260"/>
    </row>
    <row r="580">
      <c r="A580" s="260"/>
      <c r="B580" s="260"/>
      <c r="C580" s="260"/>
      <c r="D580" s="260"/>
      <c r="E580" s="260"/>
      <c r="F580" s="260"/>
      <c r="G580" s="260"/>
      <c r="H580" s="260"/>
      <c r="I580" s="260"/>
      <c r="J580" s="260"/>
      <c r="K580" s="260"/>
      <c r="L580" s="260"/>
      <c r="M580" s="260"/>
      <c r="N580" s="260"/>
      <c r="O580" s="260"/>
      <c r="P580" s="260"/>
      <c r="Q580" s="260"/>
      <c r="R580" s="260"/>
      <c r="S580" s="260"/>
      <c r="T580" s="260"/>
      <c r="U580" s="260"/>
      <c r="V580" s="260"/>
      <c r="W580" s="260"/>
      <c r="X580" s="260"/>
      <c r="Y580" s="260"/>
      <c r="Z580" s="260"/>
    </row>
    <row r="581">
      <c r="A581" s="260"/>
      <c r="B581" s="260"/>
      <c r="C581" s="260"/>
      <c r="D581" s="260"/>
      <c r="E581" s="260"/>
      <c r="F581" s="260"/>
      <c r="G581" s="260"/>
      <c r="H581" s="260"/>
      <c r="I581" s="260"/>
      <c r="J581" s="260"/>
      <c r="K581" s="260"/>
      <c r="L581" s="260"/>
      <c r="M581" s="260"/>
      <c r="N581" s="260"/>
      <c r="O581" s="260"/>
      <c r="P581" s="260"/>
      <c r="Q581" s="260"/>
      <c r="R581" s="260"/>
      <c r="S581" s="260"/>
      <c r="T581" s="260"/>
      <c r="U581" s="260"/>
      <c r="V581" s="260"/>
      <c r="W581" s="260"/>
      <c r="X581" s="260"/>
      <c r="Y581" s="260"/>
      <c r="Z581" s="260"/>
    </row>
    <row r="582">
      <c r="A582" s="260"/>
      <c r="B582" s="260"/>
      <c r="C582" s="260"/>
      <c r="D582" s="260"/>
      <c r="E582" s="260"/>
      <c r="F582" s="260"/>
      <c r="G582" s="260"/>
      <c r="H582" s="260"/>
      <c r="I582" s="260"/>
      <c r="J582" s="260"/>
      <c r="K582" s="260"/>
      <c r="L582" s="260"/>
      <c r="M582" s="260"/>
      <c r="N582" s="260"/>
      <c r="O582" s="260"/>
      <c r="P582" s="260"/>
      <c r="Q582" s="260"/>
      <c r="R582" s="260"/>
      <c r="S582" s="260"/>
      <c r="T582" s="260"/>
      <c r="U582" s="260"/>
      <c r="V582" s="260"/>
      <c r="W582" s="260"/>
      <c r="X582" s="260"/>
      <c r="Y582" s="260"/>
      <c r="Z582" s="260"/>
    </row>
    <row r="583">
      <c r="A583" s="260"/>
      <c r="B583" s="260"/>
      <c r="C583" s="260"/>
      <c r="D583" s="260"/>
      <c r="E583" s="260"/>
      <c r="F583" s="260"/>
      <c r="G583" s="260"/>
      <c r="H583" s="260"/>
      <c r="I583" s="260"/>
      <c r="J583" s="260"/>
      <c r="K583" s="260"/>
      <c r="L583" s="260"/>
      <c r="M583" s="260"/>
      <c r="N583" s="260"/>
      <c r="O583" s="260"/>
      <c r="P583" s="260"/>
      <c r="Q583" s="260"/>
      <c r="R583" s="260"/>
      <c r="S583" s="260"/>
      <c r="T583" s="260"/>
      <c r="U583" s="260"/>
      <c r="V583" s="260"/>
      <c r="W583" s="260"/>
      <c r="X583" s="260"/>
      <c r="Y583" s="260"/>
      <c r="Z583" s="260"/>
    </row>
    <row r="584">
      <c r="A584" s="260"/>
      <c r="B584" s="260"/>
      <c r="C584" s="260"/>
      <c r="D584" s="260"/>
      <c r="E584" s="260"/>
      <c r="F584" s="260"/>
      <c r="G584" s="260"/>
      <c r="H584" s="260"/>
      <c r="I584" s="260"/>
      <c r="J584" s="260"/>
      <c r="K584" s="260"/>
      <c r="L584" s="260"/>
      <c r="M584" s="260"/>
      <c r="N584" s="260"/>
      <c r="O584" s="260"/>
      <c r="P584" s="260"/>
      <c r="Q584" s="260"/>
      <c r="R584" s="260"/>
      <c r="S584" s="260"/>
      <c r="T584" s="260"/>
      <c r="U584" s="260"/>
      <c r="V584" s="260"/>
      <c r="W584" s="260"/>
      <c r="X584" s="260"/>
      <c r="Y584" s="260"/>
      <c r="Z584" s="260"/>
    </row>
    <row r="585">
      <c r="A585" s="260"/>
      <c r="B585" s="260"/>
      <c r="C585" s="260"/>
      <c r="D585" s="260"/>
      <c r="E585" s="260"/>
      <c r="F585" s="260"/>
      <c r="G585" s="260"/>
      <c r="H585" s="260"/>
      <c r="I585" s="260"/>
      <c r="J585" s="260"/>
      <c r="K585" s="260"/>
      <c r="L585" s="260"/>
      <c r="M585" s="260"/>
      <c r="N585" s="260"/>
      <c r="O585" s="260"/>
      <c r="P585" s="260"/>
      <c r="Q585" s="260"/>
      <c r="R585" s="260"/>
      <c r="S585" s="260"/>
      <c r="T585" s="260"/>
      <c r="U585" s="260"/>
      <c r="V585" s="260"/>
      <c r="W585" s="260"/>
      <c r="X585" s="260"/>
      <c r="Y585" s="260"/>
      <c r="Z585" s="260"/>
    </row>
    <row r="586">
      <c r="A586" s="260"/>
      <c r="B586" s="260"/>
      <c r="C586" s="260"/>
      <c r="D586" s="260"/>
      <c r="E586" s="260"/>
      <c r="F586" s="260"/>
      <c r="G586" s="260"/>
      <c r="H586" s="260"/>
      <c r="I586" s="260"/>
      <c r="J586" s="260"/>
      <c r="K586" s="260"/>
      <c r="L586" s="260"/>
      <c r="M586" s="260"/>
      <c r="N586" s="260"/>
      <c r="O586" s="260"/>
      <c r="P586" s="260"/>
      <c r="Q586" s="260"/>
      <c r="R586" s="260"/>
      <c r="S586" s="260"/>
      <c r="T586" s="260"/>
      <c r="U586" s="260"/>
      <c r="V586" s="260"/>
      <c r="W586" s="260"/>
      <c r="X586" s="260"/>
      <c r="Y586" s="260"/>
      <c r="Z586" s="260"/>
    </row>
    <row r="587">
      <c r="A587" s="260"/>
      <c r="B587" s="260"/>
      <c r="C587" s="260"/>
      <c r="D587" s="260"/>
      <c r="E587" s="260"/>
      <c r="F587" s="260"/>
      <c r="G587" s="260"/>
      <c r="H587" s="260"/>
      <c r="I587" s="260"/>
      <c r="J587" s="260"/>
      <c r="K587" s="260"/>
      <c r="L587" s="260"/>
      <c r="M587" s="260"/>
      <c r="N587" s="260"/>
      <c r="O587" s="260"/>
      <c r="P587" s="260"/>
      <c r="Q587" s="260"/>
      <c r="R587" s="260"/>
      <c r="S587" s="260"/>
      <c r="T587" s="260"/>
      <c r="U587" s="260"/>
      <c r="V587" s="260"/>
      <c r="W587" s="260"/>
      <c r="X587" s="260"/>
      <c r="Y587" s="260"/>
      <c r="Z587" s="260"/>
    </row>
    <row r="588">
      <c r="A588" s="260"/>
      <c r="B588" s="260"/>
      <c r="C588" s="260"/>
      <c r="D588" s="260"/>
      <c r="E588" s="260"/>
      <c r="F588" s="260"/>
      <c r="G588" s="260"/>
      <c r="H588" s="260"/>
      <c r="I588" s="260"/>
      <c r="J588" s="260"/>
      <c r="K588" s="260"/>
      <c r="L588" s="260"/>
      <c r="M588" s="260"/>
      <c r="N588" s="260"/>
      <c r="O588" s="260"/>
      <c r="P588" s="260"/>
      <c r="Q588" s="260"/>
      <c r="R588" s="260"/>
      <c r="S588" s="260"/>
      <c r="T588" s="260"/>
      <c r="U588" s="260"/>
      <c r="V588" s="260"/>
      <c r="W588" s="260"/>
      <c r="X588" s="260"/>
      <c r="Y588" s="260"/>
      <c r="Z588" s="260"/>
    </row>
    <row r="589">
      <c r="A589" s="260"/>
      <c r="B589" s="260"/>
      <c r="C589" s="260"/>
      <c r="D589" s="260"/>
      <c r="E589" s="260"/>
      <c r="F589" s="260"/>
      <c r="G589" s="260"/>
      <c r="H589" s="260"/>
      <c r="I589" s="260"/>
      <c r="J589" s="260"/>
      <c r="K589" s="260"/>
      <c r="L589" s="260"/>
      <c r="M589" s="260"/>
      <c r="N589" s="260"/>
      <c r="O589" s="260"/>
      <c r="P589" s="260"/>
      <c r="Q589" s="260"/>
      <c r="R589" s="260"/>
      <c r="S589" s="260"/>
      <c r="T589" s="260"/>
      <c r="U589" s="260"/>
      <c r="V589" s="260"/>
      <c r="W589" s="260"/>
      <c r="X589" s="260"/>
      <c r="Y589" s="260"/>
      <c r="Z589" s="260"/>
    </row>
    <row r="590">
      <c r="A590" s="260"/>
      <c r="B590" s="260"/>
      <c r="C590" s="260"/>
      <c r="D590" s="260"/>
      <c r="E590" s="260"/>
      <c r="F590" s="260"/>
      <c r="G590" s="260"/>
      <c r="H590" s="260"/>
      <c r="I590" s="260"/>
      <c r="J590" s="260"/>
      <c r="K590" s="260"/>
      <c r="L590" s="260"/>
      <c r="M590" s="260"/>
      <c r="N590" s="260"/>
      <c r="O590" s="260"/>
      <c r="P590" s="260"/>
      <c r="Q590" s="260"/>
      <c r="R590" s="260"/>
      <c r="S590" s="260"/>
      <c r="T590" s="260"/>
      <c r="U590" s="260"/>
      <c r="V590" s="260"/>
      <c r="W590" s="260"/>
      <c r="X590" s="260"/>
      <c r="Y590" s="260"/>
      <c r="Z590" s="260"/>
    </row>
    <row r="591">
      <c r="A591" s="260"/>
      <c r="B591" s="260"/>
      <c r="C591" s="260"/>
      <c r="D591" s="260"/>
      <c r="E591" s="260"/>
      <c r="F591" s="260"/>
      <c r="G591" s="260"/>
      <c r="H591" s="260"/>
      <c r="I591" s="260"/>
      <c r="J591" s="260"/>
      <c r="K591" s="260"/>
      <c r="L591" s="260"/>
      <c r="M591" s="260"/>
      <c r="N591" s="260"/>
      <c r="O591" s="260"/>
      <c r="P591" s="260"/>
      <c r="Q591" s="260"/>
      <c r="R591" s="260"/>
      <c r="S591" s="260"/>
      <c r="T591" s="260"/>
      <c r="U591" s="260"/>
      <c r="V591" s="260"/>
      <c r="W591" s="260"/>
      <c r="X591" s="260"/>
      <c r="Y591" s="260"/>
      <c r="Z591" s="260"/>
    </row>
    <row r="592">
      <c r="A592" s="260"/>
      <c r="B592" s="260"/>
      <c r="C592" s="260"/>
      <c r="D592" s="260"/>
      <c r="E592" s="260"/>
      <c r="F592" s="260"/>
      <c r="G592" s="260"/>
      <c r="H592" s="260"/>
      <c r="I592" s="260"/>
      <c r="J592" s="260"/>
      <c r="K592" s="260"/>
      <c r="L592" s="260"/>
      <c r="M592" s="260"/>
      <c r="N592" s="260"/>
      <c r="O592" s="260"/>
      <c r="P592" s="260"/>
      <c r="Q592" s="260"/>
      <c r="R592" s="260"/>
      <c r="S592" s="260"/>
      <c r="T592" s="260"/>
      <c r="U592" s="260"/>
      <c r="V592" s="260"/>
      <c r="W592" s="260"/>
      <c r="X592" s="260"/>
      <c r="Y592" s="260"/>
      <c r="Z592" s="260"/>
    </row>
    <row r="593">
      <c r="A593" s="260"/>
      <c r="B593" s="260"/>
      <c r="C593" s="260"/>
      <c r="D593" s="260"/>
      <c r="E593" s="260"/>
      <c r="F593" s="260"/>
      <c r="G593" s="260"/>
      <c r="H593" s="260"/>
      <c r="I593" s="260"/>
      <c r="J593" s="260"/>
      <c r="K593" s="260"/>
      <c r="L593" s="260"/>
      <c r="M593" s="260"/>
      <c r="N593" s="260"/>
      <c r="O593" s="260"/>
      <c r="P593" s="260"/>
      <c r="Q593" s="260"/>
      <c r="R593" s="260"/>
      <c r="S593" s="260"/>
      <c r="T593" s="260"/>
      <c r="U593" s="260"/>
      <c r="V593" s="260"/>
      <c r="W593" s="260"/>
      <c r="X593" s="260"/>
      <c r="Y593" s="260"/>
      <c r="Z593" s="260"/>
    </row>
    <row r="594">
      <c r="A594" s="260"/>
      <c r="B594" s="260"/>
      <c r="C594" s="260"/>
      <c r="D594" s="260"/>
      <c r="E594" s="260"/>
      <c r="F594" s="260"/>
      <c r="G594" s="260"/>
      <c r="H594" s="260"/>
      <c r="I594" s="260"/>
      <c r="J594" s="260"/>
      <c r="K594" s="260"/>
      <c r="L594" s="260"/>
      <c r="M594" s="260"/>
      <c r="N594" s="260"/>
      <c r="O594" s="260"/>
      <c r="P594" s="260"/>
      <c r="Q594" s="260"/>
      <c r="R594" s="260"/>
      <c r="S594" s="260"/>
      <c r="T594" s="260"/>
      <c r="U594" s="260"/>
      <c r="V594" s="260"/>
      <c r="W594" s="260"/>
      <c r="X594" s="260"/>
      <c r="Y594" s="260"/>
      <c r="Z594" s="260"/>
    </row>
    <row r="595">
      <c r="A595" s="260"/>
      <c r="B595" s="260"/>
      <c r="C595" s="260"/>
      <c r="D595" s="260"/>
      <c r="E595" s="260"/>
      <c r="F595" s="260"/>
      <c r="G595" s="260"/>
      <c r="H595" s="260"/>
      <c r="I595" s="260"/>
      <c r="J595" s="260"/>
      <c r="K595" s="260"/>
      <c r="L595" s="260"/>
      <c r="M595" s="260"/>
      <c r="N595" s="260"/>
      <c r="O595" s="260"/>
      <c r="P595" s="260"/>
      <c r="Q595" s="260"/>
      <c r="R595" s="260"/>
      <c r="S595" s="260"/>
      <c r="T595" s="260"/>
      <c r="U595" s="260"/>
      <c r="V595" s="260"/>
      <c r="W595" s="260"/>
      <c r="X595" s="260"/>
      <c r="Y595" s="260"/>
      <c r="Z595" s="260"/>
    </row>
    <row r="596">
      <c r="A596" s="260"/>
      <c r="B596" s="260"/>
      <c r="C596" s="260"/>
      <c r="D596" s="260"/>
      <c r="E596" s="260"/>
      <c r="F596" s="260"/>
      <c r="G596" s="260"/>
      <c r="H596" s="260"/>
      <c r="I596" s="260"/>
      <c r="J596" s="260"/>
      <c r="K596" s="260"/>
      <c r="L596" s="260"/>
      <c r="M596" s="260"/>
      <c r="N596" s="260"/>
      <c r="O596" s="260"/>
      <c r="P596" s="260"/>
      <c r="Q596" s="260"/>
      <c r="R596" s="260"/>
      <c r="S596" s="260"/>
      <c r="T596" s="260"/>
      <c r="U596" s="260"/>
      <c r="V596" s="260"/>
      <c r="W596" s="260"/>
      <c r="X596" s="260"/>
      <c r="Y596" s="260"/>
      <c r="Z596" s="260"/>
    </row>
    <row r="597">
      <c r="A597" s="260"/>
      <c r="B597" s="260"/>
      <c r="C597" s="260"/>
      <c r="D597" s="260"/>
      <c r="E597" s="260"/>
      <c r="F597" s="260"/>
      <c r="G597" s="260"/>
      <c r="H597" s="260"/>
      <c r="I597" s="260"/>
      <c r="J597" s="260"/>
      <c r="K597" s="260"/>
      <c r="L597" s="260"/>
      <c r="M597" s="260"/>
      <c r="N597" s="260"/>
      <c r="O597" s="260"/>
      <c r="P597" s="260"/>
      <c r="Q597" s="260"/>
      <c r="R597" s="260"/>
      <c r="S597" s="260"/>
      <c r="T597" s="260"/>
      <c r="U597" s="260"/>
      <c r="V597" s="260"/>
      <c r="W597" s="260"/>
      <c r="X597" s="260"/>
      <c r="Y597" s="260"/>
      <c r="Z597" s="260"/>
    </row>
    <row r="598">
      <c r="A598" s="260"/>
      <c r="B598" s="260"/>
      <c r="C598" s="260"/>
      <c r="D598" s="260"/>
      <c r="E598" s="260"/>
      <c r="F598" s="260"/>
      <c r="G598" s="260"/>
      <c r="H598" s="260"/>
      <c r="I598" s="260"/>
      <c r="J598" s="260"/>
      <c r="K598" s="260"/>
      <c r="L598" s="260"/>
      <c r="M598" s="260"/>
      <c r="N598" s="260"/>
      <c r="O598" s="260"/>
      <c r="P598" s="260"/>
      <c r="Q598" s="260"/>
      <c r="R598" s="260"/>
      <c r="S598" s="260"/>
      <c r="T598" s="260"/>
      <c r="U598" s="260"/>
      <c r="V598" s="260"/>
      <c r="W598" s="260"/>
      <c r="X598" s="260"/>
      <c r="Y598" s="260"/>
      <c r="Z598" s="260"/>
    </row>
    <row r="599">
      <c r="A599" s="260"/>
      <c r="B599" s="260"/>
      <c r="C599" s="260"/>
      <c r="D599" s="260"/>
      <c r="E599" s="260"/>
      <c r="F599" s="260"/>
      <c r="G599" s="260"/>
      <c r="H599" s="260"/>
      <c r="I599" s="260"/>
      <c r="J599" s="260"/>
      <c r="K599" s="260"/>
      <c r="L599" s="260"/>
      <c r="M599" s="260"/>
      <c r="N599" s="260"/>
      <c r="O599" s="260"/>
      <c r="P599" s="260"/>
      <c r="Q599" s="260"/>
      <c r="R599" s="260"/>
      <c r="S599" s="260"/>
      <c r="T599" s="260"/>
      <c r="U599" s="260"/>
      <c r="V599" s="260"/>
      <c r="W599" s="260"/>
      <c r="X599" s="260"/>
      <c r="Y599" s="260"/>
      <c r="Z599" s="260"/>
    </row>
    <row r="600">
      <c r="A600" s="260"/>
      <c r="B600" s="260"/>
      <c r="C600" s="260"/>
      <c r="D600" s="260"/>
      <c r="E600" s="260"/>
      <c r="F600" s="260"/>
      <c r="G600" s="260"/>
      <c r="H600" s="260"/>
      <c r="I600" s="260"/>
      <c r="J600" s="260"/>
      <c r="K600" s="260"/>
      <c r="L600" s="260"/>
      <c r="M600" s="260"/>
      <c r="N600" s="260"/>
      <c r="O600" s="260"/>
      <c r="P600" s="260"/>
      <c r="Q600" s="260"/>
      <c r="R600" s="260"/>
      <c r="S600" s="260"/>
      <c r="T600" s="260"/>
      <c r="U600" s="260"/>
      <c r="V600" s="260"/>
      <c r="W600" s="260"/>
      <c r="X600" s="260"/>
      <c r="Y600" s="260"/>
      <c r="Z600" s="260"/>
    </row>
    <row r="601">
      <c r="A601" s="260"/>
      <c r="B601" s="260"/>
      <c r="C601" s="260"/>
      <c r="D601" s="260"/>
      <c r="E601" s="260"/>
      <c r="F601" s="260"/>
      <c r="G601" s="260"/>
      <c r="H601" s="260"/>
      <c r="I601" s="260"/>
      <c r="J601" s="260"/>
      <c r="K601" s="260"/>
      <c r="L601" s="260"/>
      <c r="M601" s="260"/>
      <c r="N601" s="260"/>
      <c r="O601" s="260"/>
      <c r="P601" s="260"/>
      <c r="Q601" s="260"/>
      <c r="R601" s="260"/>
      <c r="S601" s="260"/>
      <c r="T601" s="260"/>
      <c r="U601" s="260"/>
      <c r="V601" s="260"/>
      <c r="W601" s="260"/>
      <c r="X601" s="260"/>
      <c r="Y601" s="260"/>
      <c r="Z601" s="260"/>
    </row>
    <row r="602">
      <c r="A602" s="260"/>
      <c r="B602" s="260"/>
      <c r="C602" s="260"/>
      <c r="D602" s="260"/>
      <c r="E602" s="260"/>
      <c r="F602" s="260"/>
      <c r="G602" s="260"/>
      <c r="H602" s="260"/>
      <c r="I602" s="260"/>
      <c r="J602" s="260"/>
      <c r="K602" s="260"/>
      <c r="L602" s="260"/>
      <c r="M602" s="260"/>
      <c r="N602" s="260"/>
      <c r="O602" s="260"/>
      <c r="P602" s="260"/>
      <c r="Q602" s="260"/>
      <c r="R602" s="260"/>
      <c r="S602" s="260"/>
      <c r="T602" s="260"/>
      <c r="U602" s="260"/>
      <c r="V602" s="260"/>
      <c r="W602" s="260"/>
      <c r="X602" s="260"/>
      <c r="Y602" s="260"/>
      <c r="Z602" s="260"/>
    </row>
    <row r="603">
      <c r="A603" s="260"/>
      <c r="B603" s="260"/>
      <c r="C603" s="260"/>
      <c r="D603" s="260"/>
      <c r="E603" s="260"/>
      <c r="F603" s="260"/>
      <c r="G603" s="260"/>
      <c r="H603" s="260"/>
      <c r="I603" s="260"/>
      <c r="J603" s="260"/>
      <c r="K603" s="260"/>
      <c r="L603" s="260"/>
      <c r="M603" s="260"/>
      <c r="N603" s="260"/>
      <c r="O603" s="260"/>
      <c r="P603" s="260"/>
      <c r="Q603" s="260"/>
      <c r="R603" s="260"/>
      <c r="S603" s="260"/>
      <c r="T603" s="260"/>
      <c r="U603" s="260"/>
      <c r="V603" s="260"/>
      <c r="W603" s="260"/>
      <c r="X603" s="260"/>
      <c r="Y603" s="260"/>
      <c r="Z603" s="260"/>
    </row>
    <row r="604">
      <c r="A604" s="260"/>
      <c r="B604" s="260"/>
      <c r="C604" s="260"/>
      <c r="D604" s="260"/>
      <c r="E604" s="260"/>
      <c r="F604" s="260"/>
      <c r="G604" s="260"/>
      <c r="H604" s="260"/>
      <c r="I604" s="260"/>
      <c r="J604" s="260"/>
      <c r="K604" s="260"/>
      <c r="L604" s="260"/>
      <c r="M604" s="260"/>
      <c r="N604" s="260"/>
      <c r="O604" s="260"/>
      <c r="P604" s="260"/>
      <c r="Q604" s="260"/>
      <c r="R604" s="260"/>
      <c r="S604" s="260"/>
      <c r="T604" s="260"/>
      <c r="U604" s="260"/>
      <c r="V604" s="260"/>
      <c r="W604" s="260"/>
      <c r="X604" s="260"/>
      <c r="Y604" s="260"/>
      <c r="Z604" s="260"/>
    </row>
    <row r="605">
      <c r="A605" s="260"/>
      <c r="B605" s="260"/>
      <c r="C605" s="260"/>
      <c r="D605" s="260"/>
      <c r="E605" s="260"/>
      <c r="F605" s="260"/>
      <c r="G605" s="260"/>
      <c r="H605" s="260"/>
      <c r="I605" s="260"/>
      <c r="J605" s="260"/>
      <c r="K605" s="260"/>
      <c r="L605" s="260"/>
      <c r="M605" s="260"/>
      <c r="N605" s="260"/>
      <c r="O605" s="260"/>
      <c r="P605" s="260"/>
      <c r="Q605" s="260"/>
      <c r="R605" s="260"/>
      <c r="S605" s="260"/>
      <c r="T605" s="260"/>
      <c r="U605" s="260"/>
      <c r="V605" s="260"/>
      <c r="W605" s="260"/>
      <c r="X605" s="260"/>
      <c r="Y605" s="260"/>
      <c r="Z605" s="260"/>
    </row>
    <row r="606">
      <c r="A606" s="260"/>
      <c r="B606" s="260"/>
      <c r="C606" s="260"/>
      <c r="D606" s="260"/>
      <c r="E606" s="260"/>
      <c r="F606" s="260"/>
      <c r="G606" s="260"/>
      <c r="H606" s="260"/>
      <c r="I606" s="260"/>
      <c r="J606" s="260"/>
      <c r="K606" s="260"/>
      <c r="L606" s="260"/>
      <c r="M606" s="260"/>
      <c r="N606" s="260"/>
      <c r="O606" s="260"/>
      <c r="P606" s="260"/>
      <c r="Q606" s="260"/>
      <c r="R606" s="260"/>
      <c r="S606" s="260"/>
      <c r="T606" s="260"/>
      <c r="U606" s="260"/>
      <c r="V606" s="260"/>
      <c r="W606" s="260"/>
      <c r="X606" s="260"/>
      <c r="Y606" s="260"/>
      <c r="Z606" s="260"/>
    </row>
    <row r="607">
      <c r="A607" s="260"/>
      <c r="B607" s="260"/>
      <c r="C607" s="260"/>
      <c r="D607" s="260"/>
      <c r="E607" s="260"/>
      <c r="F607" s="260"/>
      <c r="G607" s="260"/>
      <c r="H607" s="260"/>
      <c r="I607" s="260"/>
      <c r="J607" s="260"/>
      <c r="K607" s="260"/>
      <c r="L607" s="260"/>
      <c r="M607" s="260"/>
      <c r="N607" s="260"/>
      <c r="O607" s="260"/>
      <c r="P607" s="260"/>
      <c r="Q607" s="260"/>
      <c r="R607" s="260"/>
      <c r="S607" s="260"/>
      <c r="T607" s="260"/>
      <c r="U607" s="260"/>
      <c r="V607" s="260"/>
      <c r="W607" s="260"/>
      <c r="X607" s="260"/>
      <c r="Y607" s="260"/>
      <c r="Z607" s="260"/>
    </row>
    <row r="608">
      <c r="A608" s="260"/>
      <c r="B608" s="260"/>
      <c r="C608" s="260"/>
      <c r="D608" s="260"/>
      <c r="E608" s="260"/>
      <c r="F608" s="260"/>
      <c r="G608" s="260"/>
      <c r="H608" s="260"/>
      <c r="I608" s="260"/>
      <c r="J608" s="260"/>
      <c r="K608" s="260"/>
      <c r="L608" s="260"/>
      <c r="M608" s="260"/>
      <c r="N608" s="260"/>
      <c r="O608" s="260"/>
      <c r="P608" s="260"/>
      <c r="Q608" s="260"/>
      <c r="R608" s="260"/>
      <c r="S608" s="260"/>
      <c r="T608" s="260"/>
      <c r="U608" s="260"/>
      <c r="V608" s="260"/>
      <c r="W608" s="260"/>
      <c r="X608" s="260"/>
      <c r="Y608" s="260"/>
      <c r="Z608" s="260"/>
    </row>
    <row r="609">
      <c r="A609" s="260"/>
      <c r="B609" s="260"/>
      <c r="C609" s="260"/>
      <c r="D609" s="260"/>
      <c r="E609" s="260"/>
      <c r="F609" s="260"/>
      <c r="G609" s="260"/>
      <c r="H609" s="260"/>
      <c r="I609" s="260"/>
      <c r="J609" s="260"/>
      <c r="K609" s="260"/>
      <c r="L609" s="260"/>
      <c r="M609" s="260"/>
      <c r="N609" s="260"/>
      <c r="O609" s="260"/>
      <c r="P609" s="260"/>
      <c r="Q609" s="260"/>
      <c r="R609" s="260"/>
      <c r="S609" s="260"/>
      <c r="T609" s="260"/>
      <c r="U609" s="260"/>
      <c r="V609" s="260"/>
      <c r="W609" s="260"/>
      <c r="X609" s="260"/>
      <c r="Y609" s="260"/>
      <c r="Z609" s="260"/>
    </row>
    <row r="610">
      <c r="A610" s="260"/>
      <c r="B610" s="260"/>
      <c r="C610" s="260"/>
      <c r="D610" s="260"/>
      <c r="E610" s="260"/>
      <c r="F610" s="260"/>
      <c r="G610" s="260"/>
      <c r="H610" s="260"/>
      <c r="I610" s="260"/>
      <c r="J610" s="260"/>
      <c r="K610" s="260"/>
      <c r="L610" s="260"/>
      <c r="M610" s="260"/>
      <c r="N610" s="260"/>
      <c r="O610" s="260"/>
      <c r="P610" s="260"/>
      <c r="Q610" s="260"/>
      <c r="R610" s="260"/>
      <c r="S610" s="260"/>
      <c r="T610" s="260"/>
      <c r="U610" s="260"/>
      <c r="V610" s="260"/>
      <c r="W610" s="260"/>
      <c r="X610" s="260"/>
      <c r="Y610" s="260"/>
      <c r="Z610" s="260"/>
    </row>
    <row r="611">
      <c r="A611" s="260"/>
      <c r="B611" s="260"/>
      <c r="C611" s="260"/>
      <c r="D611" s="260"/>
      <c r="E611" s="260"/>
      <c r="F611" s="260"/>
      <c r="G611" s="260"/>
      <c r="H611" s="260"/>
      <c r="I611" s="260"/>
      <c r="J611" s="260"/>
      <c r="K611" s="260"/>
      <c r="L611" s="260"/>
      <c r="M611" s="260"/>
      <c r="N611" s="260"/>
      <c r="O611" s="260"/>
      <c r="P611" s="260"/>
      <c r="Q611" s="260"/>
      <c r="R611" s="260"/>
      <c r="S611" s="260"/>
      <c r="T611" s="260"/>
      <c r="U611" s="260"/>
      <c r="V611" s="260"/>
      <c r="W611" s="260"/>
      <c r="X611" s="260"/>
      <c r="Y611" s="260"/>
      <c r="Z611" s="260"/>
    </row>
    <row r="612">
      <c r="A612" s="260"/>
      <c r="B612" s="260"/>
      <c r="C612" s="260"/>
      <c r="D612" s="260"/>
      <c r="E612" s="260"/>
      <c r="F612" s="260"/>
      <c r="G612" s="260"/>
      <c r="H612" s="260"/>
      <c r="I612" s="260"/>
      <c r="J612" s="260"/>
      <c r="K612" s="260"/>
      <c r="L612" s="260"/>
      <c r="M612" s="260"/>
      <c r="N612" s="260"/>
      <c r="O612" s="260"/>
      <c r="P612" s="260"/>
      <c r="Q612" s="260"/>
      <c r="R612" s="260"/>
      <c r="S612" s="260"/>
      <c r="T612" s="260"/>
      <c r="U612" s="260"/>
      <c r="V612" s="260"/>
      <c r="W612" s="260"/>
      <c r="X612" s="260"/>
      <c r="Y612" s="260"/>
      <c r="Z612" s="260"/>
    </row>
    <row r="613">
      <c r="A613" s="260"/>
      <c r="B613" s="260"/>
      <c r="C613" s="260"/>
      <c r="D613" s="260"/>
      <c r="E613" s="260"/>
      <c r="F613" s="260"/>
      <c r="G613" s="260"/>
      <c r="H613" s="260"/>
      <c r="I613" s="260"/>
      <c r="J613" s="260"/>
      <c r="K613" s="260"/>
      <c r="L613" s="260"/>
      <c r="M613" s="260"/>
      <c r="N613" s="260"/>
      <c r="O613" s="260"/>
      <c r="P613" s="260"/>
      <c r="Q613" s="260"/>
      <c r="R613" s="260"/>
      <c r="S613" s="260"/>
      <c r="T613" s="260"/>
      <c r="U613" s="260"/>
      <c r="V613" s="260"/>
      <c r="W613" s="260"/>
      <c r="X613" s="260"/>
      <c r="Y613" s="260"/>
      <c r="Z613" s="260"/>
    </row>
    <row r="614">
      <c r="A614" s="260"/>
      <c r="B614" s="260"/>
      <c r="C614" s="260"/>
      <c r="D614" s="260"/>
      <c r="E614" s="260"/>
      <c r="F614" s="260"/>
      <c r="G614" s="260"/>
      <c r="H614" s="260"/>
      <c r="I614" s="260"/>
      <c r="J614" s="260"/>
      <c r="K614" s="260"/>
      <c r="L614" s="260"/>
      <c r="M614" s="260"/>
      <c r="N614" s="260"/>
      <c r="O614" s="260"/>
      <c r="P614" s="260"/>
      <c r="Q614" s="260"/>
      <c r="R614" s="260"/>
      <c r="S614" s="260"/>
      <c r="T614" s="260"/>
      <c r="U614" s="260"/>
      <c r="V614" s="260"/>
      <c r="W614" s="260"/>
      <c r="X614" s="260"/>
      <c r="Y614" s="260"/>
      <c r="Z614" s="260"/>
    </row>
    <row r="615">
      <c r="A615" s="260"/>
      <c r="B615" s="260"/>
      <c r="C615" s="260"/>
      <c r="D615" s="260"/>
      <c r="E615" s="260"/>
      <c r="F615" s="260"/>
      <c r="G615" s="260"/>
      <c r="H615" s="260"/>
      <c r="I615" s="260"/>
      <c r="J615" s="260"/>
      <c r="K615" s="260"/>
      <c r="L615" s="260"/>
      <c r="M615" s="260"/>
      <c r="N615" s="260"/>
      <c r="O615" s="260"/>
      <c r="P615" s="260"/>
      <c r="Q615" s="260"/>
      <c r="R615" s="260"/>
      <c r="S615" s="260"/>
      <c r="T615" s="260"/>
      <c r="U615" s="260"/>
      <c r="V615" s="260"/>
      <c r="W615" s="260"/>
      <c r="X615" s="260"/>
      <c r="Y615" s="260"/>
      <c r="Z615" s="260"/>
    </row>
    <row r="616">
      <c r="A616" s="260"/>
      <c r="B616" s="260"/>
      <c r="C616" s="260"/>
      <c r="D616" s="260"/>
      <c r="E616" s="260"/>
      <c r="F616" s="260"/>
      <c r="G616" s="260"/>
      <c r="H616" s="260"/>
      <c r="I616" s="260"/>
      <c r="J616" s="260"/>
      <c r="K616" s="260"/>
      <c r="L616" s="260"/>
      <c r="M616" s="260"/>
      <c r="N616" s="260"/>
      <c r="O616" s="260"/>
      <c r="P616" s="260"/>
      <c r="Q616" s="260"/>
      <c r="R616" s="260"/>
      <c r="S616" s="260"/>
      <c r="T616" s="260"/>
      <c r="U616" s="260"/>
      <c r="V616" s="260"/>
      <c r="W616" s="260"/>
      <c r="X616" s="260"/>
      <c r="Y616" s="260"/>
      <c r="Z616" s="260"/>
    </row>
    <row r="617">
      <c r="A617" s="260"/>
      <c r="B617" s="260"/>
      <c r="C617" s="260"/>
      <c r="D617" s="260"/>
      <c r="E617" s="260"/>
      <c r="F617" s="260"/>
      <c r="G617" s="260"/>
      <c r="H617" s="260"/>
      <c r="I617" s="260"/>
      <c r="J617" s="260"/>
      <c r="K617" s="260"/>
      <c r="L617" s="260"/>
      <c r="M617" s="260"/>
      <c r="N617" s="260"/>
      <c r="O617" s="260"/>
      <c r="P617" s="260"/>
      <c r="Q617" s="260"/>
      <c r="R617" s="260"/>
      <c r="S617" s="260"/>
      <c r="T617" s="260"/>
      <c r="U617" s="260"/>
      <c r="V617" s="260"/>
      <c r="W617" s="260"/>
      <c r="X617" s="260"/>
      <c r="Y617" s="260"/>
      <c r="Z617" s="260"/>
    </row>
    <row r="618">
      <c r="A618" s="260"/>
      <c r="B618" s="260"/>
      <c r="C618" s="260"/>
      <c r="D618" s="260"/>
      <c r="E618" s="260"/>
      <c r="F618" s="260"/>
      <c r="G618" s="260"/>
      <c r="H618" s="260"/>
      <c r="I618" s="260"/>
      <c r="J618" s="260"/>
      <c r="K618" s="260"/>
      <c r="L618" s="260"/>
      <c r="M618" s="260"/>
      <c r="N618" s="260"/>
      <c r="O618" s="260"/>
      <c r="P618" s="260"/>
      <c r="Q618" s="260"/>
      <c r="R618" s="260"/>
      <c r="S618" s="260"/>
      <c r="T618" s="260"/>
      <c r="U618" s="260"/>
      <c r="V618" s="260"/>
      <c r="W618" s="260"/>
      <c r="X618" s="260"/>
      <c r="Y618" s="260"/>
      <c r="Z618" s="260"/>
    </row>
    <row r="619">
      <c r="A619" s="260"/>
      <c r="B619" s="260"/>
      <c r="C619" s="260"/>
      <c r="D619" s="260"/>
      <c r="E619" s="260"/>
      <c r="F619" s="260"/>
      <c r="G619" s="260"/>
      <c r="H619" s="260"/>
      <c r="I619" s="260"/>
      <c r="J619" s="260"/>
      <c r="K619" s="260"/>
      <c r="L619" s="260"/>
      <c r="M619" s="260"/>
      <c r="N619" s="260"/>
      <c r="O619" s="260"/>
      <c r="P619" s="260"/>
      <c r="Q619" s="260"/>
      <c r="R619" s="260"/>
      <c r="S619" s="260"/>
      <c r="T619" s="260"/>
      <c r="U619" s="260"/>
      <c r="V619" s="260"/>
      <c r="W619" s="260"/>
      <c r="X619" s="260"/>
      <c r="Y619" s="260"/>
      <c r="Z619" s="260"/>
    </row>
    <row r="620">
      <c r="A620" s="260"/>
      <c r="B620" s="260"/>
      <c r="C620" s="260"/>
      <c r="D620" s="260"/>
      <c r="E620" s="260"/>
      <c r="F620" s="260"/>
      <c r="G620" s="260"/>
      <c r="H620" s="260"/>
      <c r="I620" s="260"/>
      <c r="J620" s="260"/>
      <c r="K620" s="260"/>
      <c r="L620" s="260"/>
      <c r="M620" s="260"/>
      <c r="N620" s="260"/>
      <c r="O620" s="260"/>
      <c r="P620" s="260"/>
      <c r="Q620" s="260"/>
      <c r="R620" s="260"/>
      <c r="S620" s="260"/>
      <c r="T620" s="260"/>
      <c r="U620" s="260"/>
      <c r="V620" s="260"/>
      <c r="W620" s="260"/>
      <c r="X620" s="260"/>
      <c r="Y620" s="260"/>
      <c r="Z620" s="260"/>
    </row>
    <row r="621">
      <c r="A621" s="260"/>
      <c r="B621" s="260"/>
      <c r="C621" s="260"/>
      <c r="D621" s="260"/>
      <c r="E621" s="260"/>
      <c r="F621" s="260"/>
      <c r="G621" s="260"/>
      <c r="H621" s="260"/>
      <c r="I621" s="260"/>
      <c r="J621" s="260"/>
      <c r="K621" s="260"/>
      <c r="L621" s="260"/>
      <c r="M621" s="260"/>
      <c r="N621" s="260"/>
      <c r="O621" s="260"/>
      <c r="P621" s="260"/>
      <c r="Q621" s="260"/>
      <c r="R621" s="260"/>
      <c r="S621" s="260"/>
      <c r="T621" s="260"/>
      <c r="U621" s="260"/>
      <c r="V621" s="260"/>
      <c r="W621" s="260"/>
      <c r="X621" s="260"/>
      <c r="Y621" s="260"/>
      <c r="Z621" s="260"/>
    </row>
    <row r="622">
      <c r="A622" s="260"/>
      <c r="B622" s="260"/>
      <c r="C622" s="260"/>
      <c r="D622" s="260"/>
      <c r="E622" s="260"/>
      <c r="F622" s="260"/>
      <c r="G622" s="260"/>
      <c r="H622" s="260"/>
      <c r="I622" s="260"/>
      <c r="J622" s="260"/>
      <c r="K622" s="260"/>
      <c r="L622" s="260"/>
      <c r="M622" s="260"/>
      <c r="N622" s="260"/>
      <c r="O622" s="260"/>
      <c r="P622" s="260"/>
      <c r="Q622" s="260"/>
      <c r="R622" s="260"/>
      <c r="S622" s="260"/>
      <c r="T622" s="260"/>
      <c r="U622" s="260"/>
      <c r="V622" s="260"/>
      <c r="W622" s="260"/>
      <c r="X622" s="260"/>
      <c r="Y622" s="260"/>
      <c r="Z622" s="260"/>
    </row>
    <row r="623">
      <c r="A623" s="260"/>
      <c r="B623" s="260"/>
      <c r="C623" s="260"/>
      <c r="D623" s="260"/>
      <c r="E623" s="260"/>
      <c r="F623" s="260"/>
      <c r="G623" s="260"/>
      <c r="H623" s="260"/>
      <c r="I623" s="260"/>
      <c r="J623" s="260"/>
      <c r="K623" s="260"/>
      <c r="L623" s="260"/>
      <c r="M623" s="260"/>
      <c r="N623" s="260"/>
      <c r="O623" s="260"/>
      <c r="P623" s="260"/>
      <c r="Q623" s="260"/>
      <c r="R623" s="260"/>
      <c r="S623" s="260"/>
      <c r="T623" s="260"/>
      <c r="U623" s="260"/>
      <c r="V623" s="260"/>
      <c r="W623" s="260"/>
      <c r="X623" s="260"/>
      <c r="Y623" s="260"/>
      <c r="Z623" s="260"/>
    </row>
    <row r="624">
      <c r="A624" s="260"/>
      <c r="B624" s="260"/>
      <c r="C624" s="260"/>
      <c r="D624" s="260"/>
      <c r="E624" s="260"/>
      <c r="F624" s="260"/>
      <c r="G624" s="260"/>
      <c r="H624" s="260"/>
      <c r="I624" s="260"/>
      <c r="J624" s="260"/>
      <c r="K624" s="260"/>
      <c r="L624" s="260"/>
      <c r="M624" s="260"/>
      <c r="N624" s="260"/>
      <c r="O624" s="260"/>
      <c r="P624" s="260"/>
      <c r="Q624" s="260"/>
      <c r="R624" s="260"/>
      <c r="S624" s="260"/>
      <c r="T624" s="260"/>
      <c r="U624" s="260"/>
      <c r="V624" s="260"/>
      <c r="W624" s="260"/>
      <c r="X624" s="260"/>
      <c r="Y624" s="260"/>
      <c r="Z624" s="260"/>
    </row>
    <row r="625">
      <c r="A625" s="260"/>
      <c r="B625" s="260"/>
      <c r="C625" s="260"/>
      <c r="D625" s="260"/>
      <c r="E625" s="260"/>
      <c r="F625" s="260"/>
      <c r="G625" s="260"/>
      <c r="H625" s="260"/>
      <c r="I625" s="260"/>
      <c r="J625" s="260"/>
      <c r="K625" s="260"/>
      <c r="L625" s="260"/>
      <c r="M625" s="260"/>
      <c r="N625" s="260"/>
      <c r="O625" s="260"/>
      <c r="P625" s="260"/>
      <c r="Q625" s="260"/>
      <c r="R625" s="260"/>
      <c r="S625" s="260"/>
      <c r="T625" s="260"/>
      <c r="U625" s="260"/>
      <c r="V625" s="260"/>
      <c r="W625" s="260"/>
      <c r="X625" s="260"/>
      <c r="Y625" s="260"/>
      <c r="Z625" s="260"/>
    </row>
    <row r="626">
      <c r="A626" s="260"/>
      <c r="B626" s="260"/>
      <c r="C626" s="260"/>
      <c r="D626" s="260"/>
      <c r="E626" s="260"/>
      <c r="F626" s="260"/>
      <c r="G626" s="260"/>
      <c r="H626" s="260"/>
      <c r="I626" s="260"/>
      <c r="J626" s="260"/>
      <c r="K626" s="260"/>
      <c r="L626" s="260"/>
      <c r="M626" s="260"/>
      <c r="N626" s="260"/>
      <c r="O626" s="260"/>
      <c r="P626" s="260"/>
      <c r="Q626" s="260"/>
      <c r="R626" s="260"/>
      <c r="S626" s="260"/>
      <c r="T626" s="260"/>
      <c r="U626" s="260"/>
      <c r="V626" s="260"/>
      <c r="W626" s="260"/>
      <c r="X626" s="260"/>
      <c r="Y626" s="260"/>
      <c r="Z626" s="260"/>
    </row>
    <row r="627">
      <c r="A627" s="260"/>
      <c r="B627" s="260"/>
      <c r="C627" s="260"/>
      <c r="D627" s="260"/>
      <c r="E627" s="260"/>
      <c r="F627" s="260"/>
      <c r="G627" s="260"/>
      <c r="H627" s="260"/>
      <c r="I627" s="260"/>
      <c r="J627" s="260"/>
      <c r="K627" s="260"/>
      <c r="L627" s="260"/>
      <c r="M627" s="260"/>
      <c r="N627" s="260"/>
      <c r="O627" s="260"/>
      <c r="P627" s="260"/>
      <c r="Q627" s="260"/>
      <c r="R627" s="260"/>
      <c r="S627" s="260"/>
      <c r="T627" s="260"/>
      <c r="U627" s="260"/>
      <c r="V627" s="260"/>
      <c r="W627" s="260"/>
      <c r="X627" s="260"/>
      <c r="Y627" s="260"/>
      <c r="Z627" s="260"/>
    </row>
    <row r="628">
      <c r="A628" s="260"/>
      <c r="B628" s="260"/>
      <c r="C628" s="260"/>
      <c r="D628" s="260"/>
      <c r="E628" s="260"/>
      <c r="F628" s="260"/>
      <c r="G628" s="260"/>
      <c r="H628" s="260"/>
      <c r="I628" s="260"/>
      <c r="J628" s="260"/>
      <c r="K628" s="260"/>
      <c r="L628" s="260"/>
      <c r="M628" s="260"/>
      <c r="N628" s="260"/>
      <c r="O628" s="260"/>
      <c r="P628" s="260"/>
      <c r="Q628" s="260"/>
      <c r="R628" s="260"/>
      <c r="S628" s="260"/>
      <c r="T628" s="260"/>
      <c r="U628" s="260"/>
      <c r="V628" s="260"/>
      <c r="W628" s="260"/>
      <c r="X628" s="260"/>
      <c r="Y628" s="260"/>
      <c r="Z628" s="260"/>
    </row>
    <row r="629">
      <c r="A629" s="260"/>
      <c r="B629" s="260"/>
      <c r="C629" s="260"/>
      <c r="D629" s="260"/>
      <c r="E629" s="260"/>
      <c r="F629" s="260"/>
      <c r="G629" s="260"/>
      <c r="H629" s="260"/>
      <c r="I629" s="260"/>
      <c r="J629" s="260"/>
      <c r="K629" s="260"/>
      <c r="L629" s="260"/>
      <c r="M629" s="260"/>
      <c r="N629" s="260"/>
      <c r="O629" s="260"/>
      <c r="P629" s="260"/>
      <c r="Q629" s="260"/>
      <c r="R629" s="260"/>
      <c r="S629" s="260"/>
      <c r="T629" s="260"/>
      <c r="U629" s="260"/>
      <c r="V629" s="260"/>
      <c r="W629" s="260"/>
      <c r="X629" s="260"/>
      <c r="Y629" s="260"/>
      <c r="Z629" s="260"/>
    </row>
    <row r="630">
      <c r="A630" s="260"/>
      <c r="B630" s="260"/>
      <c r="C630" s="260"/>
      <c r="D630" s="260"/>
      <c r="E630" s="260"/>
      <c r="F630" s="260"/>
      <c r="G630" s="260"/>
      <c r="H630" s="260"/>
      <c r="I630" s="260"/>
      <c r="J630" s="260"/>
      <c r="K630" s="260"/>
      <c r="L630" s="260"/>
      <c r="M630" s="260"/>
      <c r="N630" s="260"/>
      <c r="O630" s="260"/>
      <c r="P630" s="260"/>
      <c r="Q630" s="260"/>
      <c r="R630" s="260"/>
      <c r="S630" s="260"/>
      <c r="T630" s="260"/>
      <c r="U630" s="260"/>
      <c r="V630" s="260"/>
      <c r="W630" s="260"/>
      <c r="X630" s="260"/>
      <c r="Y630" s="260"/>
      <c r="Z630" s="260"/>
    </row>
    <row r="631">
      <c r="A631" s="260"/>
      <c r="B631" s="260"/>
      <c r="C631" s="260"/>
      <c r="D631" s="260"/>
      <c r="E631" s="260"/>
      <c r="F631" s="260"/>
      <c r="G631" s="260"/>
      <c r="H631" s="260"/>
      <c r="I631" s="260"/>
      <c r="J631" s="260"/>
      <c r="K631" s="260"/>
      <c r="L631" s="260"/>
      <c r="M631" s="260"/>
      <c r="N631" s="260"/>
      <c r="O631" s="260"/>
      <c r="P631" s="260"/>
      <c r="Q631" s="260"/>
      <c r="R631" s="260"/>
      <c r="S631" s="260"/>
      <c r="T631" s="260"/>
      <c r="U631" s="260"/>
      <c r="V631" s="260"/>
      <c r="W631" s="260"/>
      <c r="X631" s="260"/>
      <c r="Y631" s="260"/>
      <c r="Z631" s="260"/>
    </row>
    <row r="632">
      <c r="A632" s="260"/>
      <c r="B632" s="260"/>
      <c r="C632" s="260"/>
      <c r="D632" s="260"/>
      <c r="E632" s="260"/>
      <c r="F632" s="260"/>
      <c r="G632" s="260"/>
      <c r="H632" s="260"/>
      <c r="I632" s="260"/>
      <c r="J632" s="260"/>
      <c r="K632" s="260"/>
      <c r="L632" s="260"/>
      <c r="M632" s="260"/>
      <c r="N632" s="260"/>
      <c r="O632" s="260"/>
      <c r="P632" s="260"/>
      <c r="Q632" s="260"/>
      <c r="R632" s="260"/>
      <c r="S632" s="260"/>
      <c r="T632" s="260"/>
      <c r="U632" s="260"/>
      <c r="V632" s="260"/>
      <c r="W632" s="260"/>
      <c r="X632" s="260"/>
      <c r="Y632" s="260"/>
      <c r="Z632" s="260"/>
    </row>
    <row r="633">
      <c r="A633" s="260"/>
      <c r="B633" s="260"/>
      <c r="C633" s="260"/>
      <c r="D633" s="260"/>
      <c r="E633" s="260"/>
      <c r="F633" s="260"/>
      <c r="G633" s="260"/>
      <c r="H633" s="260"/>
      <c r="I633" s="260"/>
      <c r="J633" s="260"/>
      <c r="K633" s="260"/>
      <c r="L633" s="260"/>
      <c r="M633" s="260"/>
      <c r="N633" s="260"/>
      <c r="O633" s="260"/>
      <c r="P633" s="260"/>
      <c r="Q633" s="260"/>
      <c r="R633" s="260"/>
      <c r="S633" s="260"/>
      <c r="T633" s="260"/>
      <c r="U633" s="260"/>
      <c r="V633" s="260"/>
      <c r="W633" s="260"/>
      <c r="X633" s="260"/>
      <c r="Y633" s="260"/>
      <c r="Z633" s="260"/>
    </row>
    <row r="634">
      <c r="A634" s="260"/>
      <c r="B634" s="260"/>
      <c r="C634" s="260"/>
      <c r="D634" s="260"/>
      <c r="E634" s="260"/>
      <c r="F634" s="260"/>
      <c r="G634" s="260"/>
      <c r="H634" s="260"/>
      <c r="I634" s="260"/>
      <c r="J634" s="260"/>
      <c r="K634" s="260"/>
      <c r="L634" s="260"/>
      <c r="M634" s="260"/>
      <c r="N634" s="260"/>
      <c r="O634" s="260"/>
      <c r="P634" s="260"/>
      <c r="Q634" s="260"/>
      <c r="R634" s="260"/>
      <c r="S634" s="260"/>
      <c r="T634" s="260"/>
      <c r="U634" s="260"/>
      <c r="V634" s="260"/>
      <c r="W634" s="260"/>
      <c r="X634" s="260"/>
      <c r="Y634" s="260"/>
      <c r="Z634" s="260"/>
    </row>
    <row r="635">
      <c r="A635" s="260"/>
      <c r="B635" s="260"/>
      <c r="C635" s="260"/>
      <c r="D635" s="260"/>
      <c r="E635" s="260"/>
      <c r="F635" s="260"/>
      <c r="G635" s="260"/>
      <c r="H635" s="260"/>
      <c r="I635" s="260"/>
      <c r="J635" s="260"/>
      <c r="K635" s="260"/>
      <c r="L635" s="260"/>
      <c r="M635" s="260"/>
      <c r="N635" s="260"/>
      <c r="O635" s="260"/>
      <c r="P635" s="260"/>
      <c r="Q635" s="260"/>
      <c r="R635" s="260"/>
      <c r="S635" s="260"/>
      <c r="T635" s="260"/>
      <c r="U635" s="260"/>
      <c r="V635" s="260"/>
      <c r="W635" s="260"/>
      <c r="X635" s="260"/>
      <c r="Y635" s="260"/>
      <c r="Z635" s="260"/>
    </row>
    <row r="636">
      <c r="A636" s="260"/>
      <c r="B636" s="260"/>
      <c r="C636" s="260"/>
      <c r="D636" s="260"/>
      <c r="E636" s="260"/>
      <c r="F636" s="260"/>
      <c r="G636" s="260"/>
      <c r="H636" s="260"/>
      <c r="I636" s="260"/>
      <c r="J636" s="260"/>
      <c r="K636" s="260"/>
      <c r="L636" s="260"/>
      <c r="M636" s="260"/>
      <c r="N636" s="260"/>
      <c r="O636" s="260"/>
      <c r="P636" s="260"/>
      <c r="Q636" s="260"/>
      <c r="R636" s="260"/>
      <c r="S636" s="260"/>
      <c r="T636" s="260"/>
      <c r="U636" s="260"/>
      <c r="V636" s="260"/>
      <c r="W636" s="260"/>
      <c r="X636" s="260"/>
      <c r="Y636" s="260"/>
      <c r="Z636" s="260"/>
    </row>
    <row r="637">
      <c r="A637" s="260"/>
      <c r="B637" s="260"/>
      <c r="C637" s="260"/>
      <c r="D637" s="260"/>
      <c r="E637" s="260"/>
      <c r="F637" s="260"/>
      <c r="G637" s="260"/>
      <c r="H637" s="260"/>
      <c r="I637" s="260"/>
      <c r="J637" s="260"/>
      <c r="K637" s="260"/>
      <c r="L637" s="260"/>
      <c r="M637" s="260"/>
      <c r="N637" s="260"/>
      <c r="O637" s="260"/>
      <c r="P637" s="260"/>
      <c r="Q637" s="260"/>
      <c r="R637" s="260"/>
      <c r="S637" s="260"/>
      <c r="T637" s="260"/>
      <c r="U637" s="260"/>
      <c r="V637" s="260"/>
      <c r="W637" s="260"/>
      <c r="X637" s="260"/>
      <c r="Y637" s="260"/>
      <c r="Z637" s="260"/>
    </row>
    <row r="638">
      <c r="A638" s="260"/>
      <c r="B638" s="260"/>
      <c r="C638" s="260"/>
      <c r="D638" s="260"/>
      <c r="E638" s="260"/>
      <c r="F638" s="260"/>
      <c r="G638" s="260"/>
      <c r="H638" s="260"/>
      <c r="I638" s="260"/>
      <c r="J638" s="260"/>
      <c r="K638" s="260"/>
      <c r="L638" s="260"/>
      <c r="M638" s="260"/>
      <c r="N638" s="260"/>
      <c r="O638" s="260"/>
      <c r="P638" s="260"/>
      <c r="Q638" s="260"/>
      <c r="R638" s="260"/>
      <c r="S638" s="260"/>
      <c r="T638" s="260"/>
      <c r="U638" s="260"/>
      <c r="V638" s="260"/>
      <c r="W638" s="260"/>
      <c r="X638" s="260"/>
      <c r="Y638" s="260"/>
      <c r="Z638" s="260"/>
    </row>
    <row r="639">
      <c r="A639" s="260"/>
      <c r="B639" s="260"/>
      <c r="C639" s="260"/>
      <c r="D639" s="260"/>
      <c r="E639" s="260"/>
      <c r="F639" s="260"/>
      <c r="G639" s="260"/>
      <c r="H639" s="260"/>
      <c r="I639" s="260"/>
      <c r="J639" s="260"/>
      <c r="K639" s="260"/>
      <c r="L639" s="260"/>
      <c r="M639" s="260"/>
      <c r="N639" s="260"/>
      <c r="O639" s="260"/>
      <c r="P639" s="260"/>
      <c r="Q639" s="260"/>
      <c r="R639" s="260"/>
      <c r="S639" s="260"/>
      <c r="T639" s="260"/>
      <c r="U639" s="260"/>
      <c r="V639" s="260"/>
      <c r="W639" s="260"/>
      <c r="X639" s="260"/>
      <c r="Y639" s="260"/>
      <c r="Z639" s="260"/>
    </row>
    <row r="640">
      <c r="A640" s="260"/>
      <c r="B640" s="260"/>
      <c r="C640" s="260"/>
      <c r="D640" s="260"/>
      <c r="E640" s="260"/>
      <c r="F640" s="260"/>
      <c r="G640" s="260"/>
      <c r="H640" s="260"/>
      <c r="I640" s="260"/>
      <c r="J640" s="260"/>
      <c r="K640" s="260"/>
      <c r="L640" s="260"/>
      <c r="M640" s="260"/>
      <c r="N640" s="260"/>
      <c r="O640" s="260"/>
      <c r="P640" s="260"/>
      <c r="Q640" s="260"/>
      <c r="R640" s="260"/>
      <c r="S640" s="260"/>
      <c r="T640" s="260"/>
      <c r="U640" s="260"/>
      <c r="V640" s="260"/>
      <c r="W640" s="260"/>
      <c r="X640" s="260"/>
      <c r="Y640" s="260"/>
      <c r="Z640" s="260"/>
    </row>
    <row r="641">
      <c r="A641" s="260"/>
      <c r="B641" s="260"/>
      <c r="C641" s="260"/>
      <c r="D641" s="260"/>
      <c r="E641" s="260"/>
      <c r="F641" s="260"/>
      <c r="G641" s="260"/>
      <c r="H641" s="260"/>
      <c r="I641" s="260"/>
      <c r="J641" s="260"/>
      <c r="K641" s="260"/>
      <c r="L641" s="260"/>
      <c r="M641" s="260"/>
      <c r="N641" s="260"/>
      <c r="O641" s="260"/>
      <c r="P641" s="260"/>
      <c r="Q641" s="260"/>
      <c r="R641" s="260"/>
      <c r="S641" s="260"/>
      <c r="T641" s="260"/>
      <c r="U641" s="260"/>
      <c r="V641" s="260"/>
      <c r="W641" s="260"/>
      <c r="X641" s="260"/>
      <c r="Y641" s="260"/>
      <c r="Z641" s="260"/>
    </row>
    <row r="642">
      <c r="A642" s="260"/>
      <c r="B642" s="260"/>
      <c r="C642" s="260"/>
      <c r="D642" s="260"/>
      <c r="E642" s="260"/>
      <c r="F642" s="260"/>
      <c r="G642" s="260"/>
      <c r="H642" s="260"/>
      <c r="I642" s="260"/>
      <c r="J642" s="260"/>
      <c r="K642" s="260"/>
      <c r="L642" s="260"/>
      <c r="M642" s="260"/>
      <c r="N642" s="260"/>
      <c r="O642" s="260"/>
      <c r="P642" s="260"/>
      <c r="Q642" s="260"/>
      <c r="R642" s="260"/>
      <c r="S642" s="260"/>
      <c r="T642" s="260"/>
      <c r="U642" s="260"/>
      <c r="V642" s="260"/>
      <c r="W642" s="260"/>
      <c r="X642" s="260"/>
      <c r="Y642" s="260"/>
      <c r="Z642" s="260"/>
    </row>
    <row r="643">
      <c r="A643" s="260"/>
      <c r="B643" s="260"/>
      <c r="C643" s="260"/>
      <c r="D643" s="260"/>
      <c r="E643" s="260"/>
      <c r="F643" s="260"/>
      <c r="G643" s="260"/>
      <c r="H643" s="260"/>
      <c r="I643" s="260"/>
      <c r="J643" s="260"/>
      <c r="K643" s="260"/>
      <c r="L643" s="260"/>
      <c r="M643" s="260"/>
      <c r="N643" s="260"/>
      <c r="O643" s="260"/>
      <c r="P643" s="260"/>
      <c r="Q643" s="260"/>
      <c r="R643" s="260"/>
      <c r="S643" s="260"/>
      <c r="T643" s="260"/>
      <c r="U643" s="260"/>
      <c r="V643" s="260"/>
      <c r="W643" s="260"/>
      <c r="X643" s="260"/>
      <c r="Y643" s="260"/>
      <c r="Z643" s="260"/>
    </row>
    <row r="644">
      <c r="A644" s="260"/>
      <c r="B644" s="260"/>
      <c r="C644" s="260"/>
      <c r="D644" s="260"/>
      <c r="E644" s="260"/>
      <c r="F644" s="260"/>
      <c r="G644" s="260"/>
      <c r="H644" s="260"/>
      <c r="I644" s="260"/>
      <c r="J644" s="260"/>
      <c r="K644" s="260"/>
      <c r="L644" s="260"/>
      <c r="M644" s="260"/>
      <c r="N644" s="260"/>
      <c r="O644" s="260"/>
      <c r="P644" s="260"/>
      <c r="Q644" s="260"/>
      <c r="R644" s="260"/>
      <c r="S644" s="260"/>
      <c r="T644" s="260"/>
      <c r="U644" s="260"/>
      <c r="V644" s="260"/>
      <c r="W644" s="260"/>
      <c r="X644" s="260"/>
      <c r="Y644" s="260"/>
      <c r="Z644" s="260"/>
    </row>
    <row r="645">
      <c r="A645" s="260"/>
      <c r="B645" s="260"/>
      <c r="C645" s="260"/>
      <c r="D645" s="260"/>
      <c r="E645" s="260"/>
      <c r="F645" s="260"/>
      <c r="G645" s="260"/>
      <c r="H645" s="260"/>
      <c r="I645" s="260"/>
      <c r="J645" s="260"/>
      <c r="K645" s="260"/>
      <c r="L645" s="260"/>
      <c r="M645" s="260"/>
      <c r="N645" s="260"/>
      <c r="O645" s="260"/>
      <c r="P645" s="260"/>
      <c r="Q645" s="260"/>
      <c r="R645" s="260"/>
      <c r="S645" s="260"/>
      <c r="T645" s="260"/>
      <c r="U645" s="260"/>
      <c r="V645" s="260"/>
      <c r="W645" s="260"/>
      <c r="X645" s="260"/>
      <c r="Y645" s="260"/>
      <c r="Z645" s="260"/>
    </row>
    <row r="646">
      <c r="A646" s="260"/>
      <c r="B646" s="260"/>
      <c r="C646" s="260"/>
      <c r="D646" s="260"/>
      <c r="E646" s="260"/>
      <c r="F646" s="260"/>
      <c r="G646" s="260"/>
      <c r="H646" s="260"/>
      <c r="I646" s="260"/>
      <c r="J646" s="260"/>
      <c r="K646" s="260"/>
      <c r="L646" s="260"/>
      <c r="M646" s="260"/>
      <c r="N646" s="260"/>
      <c r="O646" s="260"/>
      <c r="P646" s="260"/>
      <c r="Q646" s="260"/>
      <c r="R646" s="260"/>
      <c r="S646" s="260"/>
      <c r="T646" s="260"/>
      <c r="U646" s="260"/>
      <c r="V646" s="260"/>
      <c r="W646" s="260"/>
      <c r="X646" s="260"/>
      <c r="Y646" s="260"/>
      <c r="Z646" s="260"/>
    </row>
    <row r="647">
      <c r="A647" s="260"/>
      <c r="B647" s="260"/>
      <c r="C647" s="260"/>
      <c r="D647" s="260"/>
      <c r="E647" s="260"/>
      <c r="F647" s="260"/>
      <c r="G647" s="260"/>
      <c r="H647" s="260"/>
      <c r="I647" s="260"/>
      <c r="J647" s="260"/>
      <c r="K647" s="260"/>
      <c r="L647" s="260"/>
      <c r="M647" s="260"/>
      <c r="N647" s="260"/>
      <c r="O647" s="260"/>
      <c r="P647" s="260"/>
      <c r="Q647" s="260"/>
      <c r="R647" s="260"/>
      <c r="S647" s="260"/>
      <c r="T647" s="260"/>
      <c r="U647" s="260"/>
      <c r="V647" s="260"/>
      <c r="W647" s="260"/>
      <c r="X647" s="260"/>
      <c r="Y647" s="260"/>
      <c r="Z647" s="260"/>
    </row>
    <row r="648">
      <c r="A648" s="260"/>
      <c r="B648" s="260"/>
      <c r="C648" s="260"/>
      <c r="D648" s="260"/>
      <c r="E648" s="260"/>
      <c r="F648" s="260"/>
      <c r="G648" s="260"/>
      <c r="H648" s="260"/>
      <c r="I648" s="260"/>
      <c r="J648" s="260"/>
      <c r="K648" s="260"/>
      <c r="L648" s="260"/>
      <c r="M648" s="260"/>
      <c r="N648" s="260"/>
      <c r="O648" s="260"/>
      <c r="P648" s="260"/>
      <c r="Q648" s="260"/>
      <c r="R648" s="260"/>
      <c r="S648" s="260"/>
      <c r="T648" s="260"/>
      <c r="U648" s="260"/>
      <c r="V648" s="260"/>
      <c r="W648" s="260"/>
      <c r="X648" s="260"/>
      <c r="Y648" s="260"/>
      <c r="Z648" s="260"/>
    </row>
    <row r="649">
      <c r="A649" s="260"/>
      <c r="B649" s="260"/>
      <c r="C649" s="260"/>
      <c r="D649" s="260"/>
      <c r="E649" s="260"/>
      <c r="F649" s="260"/>
      <c r="G649" s="260"/>
      <c r="H649" s="260"/>
      <c r="I649" s="260"/>
      <c r="J649" s="260"/>
      <c r="K649" s="260"/>
      <c r="L649" s="260"/>
      <c r="M649" s="260"/>
      <c r="N649" s="260"/>
      <c r="O649" s="260"/>
      <c r="P649" s="260"/>
      <c r="Q649" s="260"/>
      <c r="R649" s="260"/>
      <c r="S649" s="260"/>
      <c r="T649" s="260"/>
      <c r="U649" s="260"/>
      <c r="V649" s="260"/>
      <c r="W649" s="260"/>
      <c r="X649" s="260"/>
      <c r="Y649" s="260"/>
      <c r="Z649" s="260"/>
    </row>
    <row r="650">
      <c r="A650" s="260"/>
      <c r="B650" s="260"/>
      <c r="C650" s="260"/>
      <c r="D650" s="260"/>
      <c r="E650" s="260"/>
      <c r="F650" s="260"/>
      <c r="G650" s="260"/>
      <c r="H650" s="260"/>
      <c r="I650" s="260"/>
      <c r="J650" s="260"/>
      <c r="K650" s="260"/>
      <c r="L650" s="260"/>
      <c r="M650" s="260"/>
      <c r="N650" s="260"/>
      <c r="O650" s="260"/>
      <c r="P650" s="260"/>
      <c r="Q650" s="260"/>
      <c r="R650" s="260"/>
      <c r="S650" s="260"/>
      <c r="T650" s="260"/>
      <c r="U650" s="260"/>
      <c r="V650" s="260"/>
      <c r="W650" s="260"/>
      <c r="X650" s="260"/>
      <c r="Y650" s="260"/>
      <c r="Z650" s="260"/>
    </row>
    <row r="651">
      <c r="A651" s="260"/>
      <c r="B651" s="260"/>
      <c r="C651" s="260"/>
      <c r="D651" s="260"/>
      <c r="E651" s="260"/>
      <c r="F651" s="260"/>
      <c r="G651" s="260"/>
      <c r="H651" s="260"/>
      <c r="I651" s="260"/>
      <c r="J651" s="260"/>
      <c r="K651" s="260"/>
      <c r="L651" s="260"/>
      <c r="M651" s="260"/>
      <c r="N651" s="260"/>
      <c r="O651" s="260"/>
      <c r="P651" s="260"/>
      <c r="Q651" s="260"/>
      <c r="R651" s="260"/>
      <c r="S651" s="260"/>
      <c r="T651" s="260"/>
      <c r="U651" s="260"/>
      <c r="V651" s="260"/>
      <c r="W651" s="260"/>
      <c r="X651" s="260"/>
      <c r="Y651" s="260"/>
      <c r="Z651" s="260"/>
    </row>
    <row r="652">
      <c r="A652" s="260"/>
      <c r="B652" s="260"/>
      <c r="C652" s="260"/>
      <c r="D652" s="260"/>
      <c r="E652" s="260"/>
      <c r="F652" s="260"/>
      <c r="G652" s="260"/>
      <c r="H652" s="260"/>
      <c r="I652" s="260"/>
      <c r="J652" s="260"/>
      <c r="K652" s="260"/>
      <c r="L652" s="260"/>
      <c r="M652" s="260"/>
      <c r="N652" s="260"/>
      <c r="O652" s="260"/>
      <c r="P652" s="260"/>
      <c r="Q652" s="260"/>
      <c r="R652" s="260"/>
      <c r="S652" s="260"/>
      <c r="T652" s="260"/>
      <c r="U652" s="260"/>
      <c r="V652" s="260"/>
      <c r="W652" s="260"/>
      <c r="X652" s="260"/>
      <c r="Y652" s="260"/>
      <c r="Z652" s="260"/>
    </row>
    <row r="653">
      <c r="A653" s="260"/>
      <c r="B653" s="260"/>
      <c r="C653" s="260"/>
      <c r="D653" s="260"/>
      <c r="E653" s="260"/>
      <c r="F653" s="260"/>
      <c r="G653" s="260"/>
      <c r="H653" s="260"/>
      <c r="I653" s="260"/>
      <c r="J653" s="260"/>
      <c r="K653" s="260"/>
      <c r="L653" s="260"/>
      <c r="M653" s="260"/>
      <c r="N653" s="260"/>
      <c r="O653" s="260"/>
      <c r="P653" s="260"/>
      <c r="Q653" s="260"/>
      <c r="R653" s="260"/>
      <c r="S653" s="260"/>
      <c r="T653" s="260"/>
      <c r="U653" s="260"/>
      <c r="V653" s="260"/>
      <c r="W653" s="260"/>
      <c r="X653" s="260"/>
      <c r="Y653" s="260"/>
      <c r="Z653" s="260"/>
    </row>
    <row r="654">
      <c r="A654" s="260"/>
      <c r="B654" s="260"/>
      <c r="C654" s="260"/>
      <c r="D654" s="260"/>
      <c r="E654" s="260"/>
      <c r="F654" s="260"/>
      <c r="G654" s="260"/>
      <c r="H654" s="260"/>
      <c r="I654" s="260"/>
      <c r="J654" s="260"/>
      <c r="K654" s="260"/>
      <c r="L654" s="260"/>
      <c r="M654" s="260"/>
      <c r="N654" s="260"/>
      <c r="O654" s="260"/>
      <c r="P654" s="260"/>
      <c r="Q654" s="260"/>
      <c r="R654" s="260"/>
      <c r="S654" s="260"/>
      <c r="T654" s="260"/>
      <c r="U654" s="260"/>
      <c r="V654" s="260"/>
      <c r="W654" s="260"/>
      <c r="X654" s="260"/>
      <c r="Y654" s="260"/>
      <c r="Z654" s="260"/>
    </row>
    <row r="655">
      <c r="A655" s="260"/>
      <c r="B655" s="260"/>
      <c r="C655" s="260"/>
      <c r="D655" s="260"/>
      <c r="E655" s="260"/>
      <c r="F655" s="260"/>
      <c r="G655" s="260"/>
      <c r="H655" s="260"/>
      <c r="I655" s="260"/>
      <c r="J655" s="260"/>
      <c r="K655" s="260"/>
      <c r="L655" s="260"/>
      <c r="M655" s="260"/>
      <c r="N655" s="260"/>
      <c r="O655" s="260"/>
      <c r="P655" s="260"/>
      <c r="Q655" s="260"/>
      <c r="R655" s="260"/>
      <c r="S655" s="260"/>
      <c r="T655" s="260"/>
      <c r="U655" s="260"/>
      <c r="V655" s="260"/>
      <c r="W655" s="260"/>
      <c r="X655" s="260"/>
      <c r="Y655" s="260"/>
      <c r="Z655" s="260"/>
    </row>
    <row r="656">
      <c r="A656" s="260"/>
      <c r="B656" s="260"/>
      <c r="C656" s="260"/>
      <c r="D656" s="260"/>
      <c r="E656" s="260"/>
      <c r="F656" s="260"/>
      <c r="G656" s="260"/>
      <c r="H656" s="260"/>
      <c r="I656" s="260"/>
      <c r="J656" s="260"/>
      <c r="K656" s="260"/>
      <c r="L656" s="260"/>
      <c r="M656" s="260"/>
      <c r="N656" s="260"/>
      <c r="O656" s="260"/>
      <c r="P656" s="260"/>
      <c r="Q656" s="260"/>
      <c r="R656" s="260"/>
      <c r="S656" s="260"/>
      <c r="T656" s="260"/>
      <c r="U656" s="260"/>
      <c r="V656" s="260"/>
      <c r="W656" s="260"/>
      <c r="X656" s="260"/>
      <c r="Y656" s="260"/>
      <c r="Z656" s="260"/>
    </row>
    <row r="657">
      <c r="A657" s="260"/>
      <c r="B657" s="260"/>
      <c r="C657" s="260"/>
      <c r="D657" s="260"/>
      <c r="E657" s="260"/>
      <c r="F657" s="260"/>
      <c r="G657" s="260"/>
      <c r="H657" s="260"/>
      <c r="I657" s="260"/>
      <c r="J657" s="260"/>
      <c r="K657" s="260"/>
      <c r="L657" s="260"/>
      <c r="M657" s="260"/>
      <c r="N657" s="260"/>
      <c r="O657" s="260"/>
      <c r="P657" s="260"/>
      <c r="Q657" s="260"/>
      <c r="R657" s="260"/>
      <c r="S657" s="260"/>
      <c r="T657" s="260"/>
      <c r="U657" s="260"/>
      <c r="V657" s="260"/>
      <c r="W657" s="260"/>
      <c r="X657" s="260"/>
      <c r="Y657" s="260"/>
      <c r="Z657" s="260"/>
    </row>
    <row r="658">
      <c r="A658" s="260"/>
      <c r="B658" s="260"/>
      <c r="C658" s="260"/>
      <c r="D658" s="260"/>
      <c r="E658" s="260"/>
      <c r="F658" s="260"/>
      <c r="G658" s="260"/>
      <c r="H658" s="260"/>
      <c r="I658" s="260"/>
      <c r="J658" s="260"/>
      <c r="K658" s="260"/>
      <c r="L658" s="260"/>
      <c r="M658" s="260"/>
      <c r="N658" s="260"/>
      <c r="O658" s="260"/>
      <c r="P658" s="260"/>
      <c r="Q658" s="260"/>
      <c r="R658" s="260"/>
      <c r="S658" s="260"/>
      <c r="T658" s="260"/>
      <c r="U658" s="260"/>
      <c r="V658" s="260"/>
      <c r="W658" s="260"/>
      <c r="X658" s="260"/>
      <c r="Y658" s="260"/>
      <c r="Z658" s="260"/>
    </row>
    <row r="659">
      <c r="A659" s="260"/>
      <c r="B659" s="260"/>
      <c r="C659" s="260"/>
      <c r="D659" s="260"/>
      <c r="E659" s="260"/>
      <c r="F659" s="260"/>
      <c r="G659" s="260"/>
      <c r="H659" s="260"/>
      <c r="I659" s="260"/>
      <c r="J659" s="260"/>
      <c r="K659" s="260"/>
      <c r="L659" s="260"/>
      <c r="M659" s="260"/>
      <c r="N659" s="260"/>
      <c r="O659" s="260"/>
      <c r="P659" s="260"/>
      <c r="Q659" s="260"/>
      <c r="R659" s="260"/>
      <c r="S659" s="260"/>
      <c r="T659" s="260"/>
      <c r="U659" s="260"/>
      <c r="V659" s="260"/>
      <c r="W659" s="260"/>
      <c r="X659" s="260"/>
      <c r="Y659" s="260"/>
      <c r="Z659" s="260"/>
    </row>
    <row r="660">
      <c r="A660" s="260"/>
      <c r="B660" s="260"/>
      <c r="C660" s="260"/>
      <c r="D660" s="260"/>
      <c r="E660" s="260"/>
      <c r="F660" s="260"/>
      <c r="G660" s="260"/>
      <c r="H660" s="260"/>
      <c r="I660" s="260"/>
      <c r="J660" s="260"/>
      <c r="K660" s="260"/>
      <c r="L660" s="260"/>
      <c r="M660" s="260"/>
      <c r="N660" s="260"/>
      <c r="O660" s="260"/>
      <c r="P660" s="260"/>
      <c r="Q660" s="260"/>
      <c r="R660" s="260"/>
      <c r="S660" s="260"/>
      <c r="T660" s="260"/>
      <c r="U660" s="260"/>
      <c r="V660" s="260"/>
      <c r="W660" s="260"/>
      <c r="X660" s="260"/>
      <c r="Y660" s="260"/>
      <c r="Z660" s="260"/>
    </row>
    <row r="661">
      <c r="A661" s="260"/>
      <c r="B661" s="260"/>
      <c r="C661" s="260"/>
      <c r="D661" s="260"/>
      <c r="E661" s="260"/>
      <c r="F661" s="260"/>
      <c r="G661" s="260"/>
      <c r="H661" s="260"/>
      <c r="I661" s="260"/>
      <c r="J661" s="260"/>
      <c r="K661" s="260"/>
      <c r="L661" s="260"/>
      <c r="M661" s="260"/>
      <c r="N661" s="260"/>
      <c r="O661" s="260"/>
      <c r="P661" s="260"/>
      <c r="Q661" s="260"/>
      <c r="R661" s="260"/>
      <c r="S661" s="260"/>
      <c r="T661" s="260"/>
      <c r="U661" s="260"/>
      <c r="V661" s="260"/>
      <c r="W661" s="260"/>
      <c r="X661" s="260"/>
      <c r="Y661" s="260"/>
      <c r="Z661" s="260"/>
    </row>
    <row r="662">
      <c r="A662" s="260"/>
      <c r="B662" s="260"/>
      <c r="C662" s="260"/>
      <c r="D662" s="260"/>
      <c r="E662" s="260"/>
      <c r="F662" s="260"/>
      <c r="G662" s="260"/>
      <c r="H662" s="260"/>
      <c r="I662" s="260"/>
      <c r="J662" s="260"/>
      <c r="K662" s="260"/>
      <c r="L662" s="260"/>
      <c r="M662" s="260"/>
      <c r="N662" s="260"/>
      <c r="O662" s="260"/>
      <c r="P662" s="260"/>
      <c r="Q662" s="260"/>
      <c r="R662" s="260"/>
      <c r="S662" s="260"/>
      <c r="T662" s="260"/>
      <c r="U662" s="260"/>
      <c r="V662" s="260"/>
      <c r="W662" s="260"/>
      <c r="X662" s="260"/>
      <c r="Y662" s="260"/>
      <c r="Z662" s="260"/>
    </row>
    <row r="663">
      <c r="A663" s="260"/>
      <c r="B663" s="260"/>
      <c r="C663" s="260"/>
      <c r="D663" s="260"/>
      <c r="E663" s="260"/>
      <c r="F663" s="260"/>
      <c r="G663" s="260"/>
      <c r="H663" s="260"/>
      <c r="I663" s="260"/>
      <c r="J663" s="260"/>
      <c r="K663" s="260"/>
      <c r="L663" s="260"/>
      <c r="M663" s="260"/>
      <c r="N663" s="260"/>
      <c r="O663" s="260"/>
      <c r="P663" s="260"/>
      <c r="Q663" s="260"/>
      <c r="R663" s="260"/>
      <c r="S663" s="260"/>
      <c r="T663" s="260"/>
      <c r="U663" s="260"/>
      <c r="V663" s="260"/>
      <c r="W663" s="260"/>
      <c r="X663" s="260"/>
      <c r="Y663" s="260"/>
      <c r="Z663" s="260"/>
    </row>
    <row r="664">
      <c r="A664" s="260"/>
      <c r="B664" s="260"/>
      <c r="C664" s="260"/>
      <c r="D664" s="260"/>
      <c r="E664" s="260"/>
      <c r="F664" s="260"/>
      <c r="G664" s="260"/>
      <c r="H664" s="260"/>
      <c r="I664" s="260"/>
      <c r="J664" s="260"/>
      <c r="K664" s="260"/>
      <c r="L664" s="260"/>
      <c r="M664" s="260"/>
      <c r="N664" s="260"/>
      <c r="O664" s="260"/>
      <c r="P664" s="260"/>
      <c r="Q664" s="260"/>
      <c r="R664" s="260"/>
      <c r="S664" s="260"/>
      <c r="T664" s="260"/>
      <c r="U664" s="260"/>
      <c r="V664" s="260"/>
      <c r="W664" s="260"/>
      <c r="X664" s="260"/>
      <c r="Y664" s="260"/>
      <c r="Z664" s="260"/>
    </row>
    <row r="665">
      <c r="A665" s="260"/>
      <c r="B665" s="260"/>
      <c r="C665" s="260"/>
      <c r="D665" s="260"/>
      <c r="E665" s="260"/>
      <c r="F665" s="260"/>
      <c r="G665" s="260"/>
      <c r="H665" s="260"/>
      <c r="I665" s="260"/>
      <c r="J665" s="260"/>
      <c r="K665" s="260"/>
      <c r="L665" s="260"/>
      <c r="M665" s="260"/>
      <c r="N665" s="260"/>
      <c r="O665" s="260"/>
      <c r="P665" s="260"/>
      <c r="Q665" s="260"/>
      <c r="R665" s="260"/>
      <c r="S665" s="260"/>
      <c r="T665" s="260"/>
      <c r="U665" s="260"/>
      <c r="V665" s="260"/>
      <c r="W665" s="260"/>
      <c r="X665" s="260"/>
      <c r="Y665" s="260"/>
      <c r="Z665" s="260"/>
    </row>
    <row r="666">
      <c r="A666" s="260"/>
      <c r="B666" s="260"/>
      <c r="C666" s="260"/>
      <c r="D666" s="260"/>
      <c r="E666" s="260"/>
      <c r="F666" s="260"/>
      <c r="G666" s="260"/>
      <c r="H666" s="260"/>
      <c r="I666" s="260"/>
      <c r="J666" s="260"/>
      <c r="K666" s="260"/>
      <c r="L666" s="260"/>
      <c r="M666" s="260"/>
      <c r="N666" s="260"/>
      <c r="O666" s="260"/>
      <c r="P666" s="260"/>
      <c r="Q666" s="260"/>
      <c r="R666" s="260"/>
      <c r="S666" s="260"/>
      <c r="T666" s="260"/>
      <c r="U666" s="260"/>
      <c r="V666" s="260"/>
      <c r="W666" s="260"/>
      <c r="X666" s="260"/>
      <c r="Y666" s="260"/>
      <c r="Z666" s="260"/>
    </row>
    <row r="667">
      <c r="A667" s="260"/>
      <c r="B667" s="260"/>
      <c r="C667" s="260"/>
      <c r="D667" s="260"/>
      <c r="E667" s="260"/>
      <c r="F667" s="260"/>
      <c r="G667" s="260"/>
      <c r="H667" s="260"/>
      <c r="I667" s="260"/>
      <c r="J667" s="260"/>
      <c r="K667" s="260"/>
      <c r="L667" s="260"/>
      <c r="M667" s="260"/>
      <c r="N667" s="260"/>
      <c r="O667" s="260"/>
      <c r="P667" s="260"/>
      <c r="Q667" s="260"/>
      <c r="R667" s="260"/>
      <c r="S667" s="260"/>
      <c r="T667" s="260"/>
      <c r="U667" s="260"/>
      <c r="V667" s="260"/>
      <c r="W667" s="260"/>
      <c r="X667" s="260"/>
      <c r="Y667" s="260"/>
      <c r="Z667" s="260"/>
    </row>
    <row r="668">
      <c r="A668" s="260"/>
      <c r="B668" s="260"/>
      <c r="C668" s="260"/>
      <c r="D668" s="260"/>
      <c r="E668" s="260"/>
      <c r="F668" s="260"/>
      <c r="G668" s="260"/>
      <c r="H668" s="260"/>
      <c r="I668" s="260"/>
      <c r="J668" s="260"/>
      <c r="K668" s="260"/>
      <c r="L668" s="260"/>
      <c r="M668" s="260"/>
      <c r="N668" s="260"/>
      <c r="O668" s="260"/>
      <c r="P668" s="260"/>
      <c r="Q668" s="260"/>
      <c r="R668" s="260"/>
      <c r="S668" s="260"/>
      <c r="T668" s="260"/>
      <c r="U668" s="260"/>
      <c r="V668" s="260"/>
      <c r="W668" s="260"/>
      <c r="X668" s="260"/>
      <c r="Y668" s="260"/>
      <c r="Z668" s="260"/>
    </row>
    <row r="669">
      <c r="A669" s="260"/>
      <c r="B669" s="260"/>
      <c r="C669" s="260"/>
      <c r="D669" s="260"/>
      <c r="E669" s="260"/>
      <c r="F669" s="260"/>
      <c r="G669" s="260"/>
      <c r="H669" s="260"/>
      <c r="I669" s="260"/>
      <c r="J669" s="260"/>
      <c r="K669" s="260"/>
      <c r="L669" s="260"/>
      <c r="M669" s="260"/>
      <c r="N669" s="260"/>
      <c r="O669" s="260"/>
      <c r="P669" s="260"/>
      <c r="Q669" s="260"/>
      <c r="R669" s="260"/>
      <c r="S669" s="260"/>
      <c r="T669" s="260"/>
      <c r="U669" s="260"/>
      <c r="V669" s="260"/>
      <c r="W669" s="260"/>
      <c r="X669" s="260"/>
      <c r="Y669" s="260"/>
      <c r="Z669" s="260"/>
    </row>
    <row r="670">
      <c r="A670" s="260"/>
      <c r="B670" s="260"/>
      <c r="C670" s="260"/>
      <c r="D670" s="260"/>
      <c r="E670" s="260"/>
      <c r="F670" s="260"/>
      <c r="G670" s="260"/>
      <c r="H670" s="260"/>
      <c r="I670" s="260"/>
      <c r="J670" s="260"/>
      <c r="K670" s="260"/>
      <c r="L670" s="260"/>
      <c r="M670" s="260"/>
      <c r="N670" s="260"/>
      <c r="O670" s="260"/>
      <c r="P670" s="260"/>
      <c r="Q670" s="260"/>
      <c r="R670" s="260"/>
      <c r="S670" s="260"/>
      <c r="T670" s="260"/>
      <c r="U670" s="260"/>
      <c r="V670" s="260"/>
      <c r="W670" s="260"/>
      <c r="X670" s="260"/>
      <c r="Y670" s="260"/>
      <c r="Z670" s="260"/>
    </row>
    <row r="671">
      <c r="A671" s="260"/>
      <c r="B671" s="260"/>
      <c r="C671" s="260"/>
      <c r="D671" s="260"/>
      <c r="E671" s="260"/>
      <c r="F671" s="260"/>
      <c r="G671" s="260"/>
      <c r="H671" s="260"/>
      <c r="I671" s="260"/>
      <c r="J671" s="260"/>
      <c r="K671" s="260"/>
      <c r="L671" s="260"/>
      <c r="M671" s="260"/>
      <c r="N671" s="260"/>
      <c r="O671" s="260"/>
      <c r="P671" s="260"/>
      <c r="Q671" s="260"/>
      <c r="R671" s="260"/>
      <c r="S671" s="260"/>
      <c r="T671" s="260"/>
      <c r="U671" s="260"/>
      <c r="V671" s="260"/>
      <c r="W671" s="260"/>
      <c r="X671" s="260"/>
      <c r="Y671" s="260"/>
      <c r="Z671" s="260"/>
    </row>
    <row r="672">
      <c r="A672" s="260"/>
      <c r="B672" s="260"/>
      <c r="C672" s="260"/>
      <c r="D672" s="260"/>
      <c r="E672" s="260"/>
      <c r="F672" s="260"/>
      <c r="G672" s="260"/>
      <c r="H672" s="260"/>
      <c r="I672" s="260"/>
      <c r="J672" s="260"/>
      <c r="K672" s="260"/>
      <c r="L672" s="260"/>
      <c r="M672" s="260"/>
      <c r="N672" s="260"/>
      <c r="O672" s="260"/>
      <c r="P672" s="260"/>
      <c r="Q672" s="260"/>
      <c r="R672" s="260"/>
      <c r="S672" s="260"/>
      <c r="T672" s="260"/>
      <c r="U672" s="260"/>
      <c r="V672" s="260"/>
      <c r="W672" s="260"/>
      <c r="X672" s="260"/>
      <c r="Y672" s="260"/>
      <c r="Z672" s="260"/>
    </row>
    <row r="673">
      <c r="A673" s="260"/>
      <c r="B673" s="260"/>
      <c r="C673" s="260"/>
      <c r="D673" s="260"/>
      <c r="E673" s="260"/>
      <c r="F673" s="260"/>
      <c r="G673" s="260"/>
      <c r="H673" s="260"/>
      <c r="I673" s="260"/>
      <c r="J673" s="260"/>
      <c r="K673" s="260"/>
      <c r="L673" s="260"/>
      <c r="M673" s="260"/>
      <c r="N673" s="260"/>
      <c r="O673" s="260"/>
      <c r="P673" s="260"/>
      <c r="Q673" s="260"/>
      <c r="R673" s="260"/>
      <c r="S673" s="260"/>
      <c r="T673" s="260"/>
      <c r="U673" s="260"/>
      <c r="V673" s="260"/>
      <c r="W673" s="260"/>
      <c r="X673" s="260"/>
      <c r="Y673" s="260"/>
      <c r="Z673" s="260"/>
    </row>
    <row r="674">
      <c r="A674" s="260"/>
      <c r="B674" s="260"/>
      <c r="C674" s="260"/>
      <c r="D674" s="260"/>
      <c r="E674" s="260"/>
      <c r="F674" s="260"/>
      <c r="G674" s="260"/>
      <c r="H674" s="260"/>
      <c r="I674" s="260"/>
      <c r="J674" s="260"/>
      <c r="K674" s="260"/>
      <c r="L674" s="260"/>
      <c r="M674" s="260"/>
      <c r="N674" s="260"/>
      <c r="O674" s="260"/>
      <c r="P674" s="260"/>
      <c r="Q674" s="260"/>
      <c r="R674" s="260"/>
      <c r="S674" s="260"/>
      <c r="T674" s="260"/>
      <c r="U674" s="260"/>
      <c r="V674" s="260"/>
      <c r="W674" s="260"/>
      <c r="X674" s="260"/>
      <c r="Y674" s="260"/>
      <c r="Z674" s="260"/>
    </row>
    <row r="675">
      <c r="A675" s="260"/>
      <c r="B675" s="260"/>
      <c r="C675" s="260"/>
      <c r="D675" s="260"/>
      <c r="E675" s="260"/>
      <c r="F675" s="260"/>
      <c r="G675" s="260"/>
      <c r="H675" s="260"/>
      <c r="I675" s="260"/>
      <c r="J675" s="260"/>
      <c r="K675" s="260"/>
      <c r="L675" s="260"/>
      <c r="M675" s="260"/>
      <c r="N675" s="260"/>
      <c r="O675" s="260"/>
      <c r="P675" s="260"/>
      <c r="Q675" s="260"/>
      <c r="R675" s="260"/>
      <c r="S675" s="260"/>
      <c r="T675" s="260"/>
      <c r="U675" s="260"/>
      <c r="V675" s="260"/>
      <c r="W675" s="260"/>
      <c r="X675" s="260"/>
      <c r="Y675" s="260"/>
      <c r="Z675" s="260"/>
    </row>
    <row r="676">
      <c r="A676" s="260"/>
      <c r="B676" s="260"/>
      <c r="C676" s="260"/>
      <c r="D676" s="260"/>
      <c r="E676" s="260"/>
      <c r="F676" s="260"/>
      <c r="G676" s="260"/>
      <c r="H676" s="260"/>
      <c r="I676" s="260"/>
      <c r="J676" s="260"/>
      <c r="K676" s="260"/>
      <c r="L676" s="260"/>
      <c r="M676" s="260"/>
      <c r="N676" s="260"/>
      <c r="O676" s="260"/>
      <c r="P676" s="260"/>
      <c r="Q676" s="260"/>
      <c r="R676" s="260"/>
      <c r="S676" s="260"/>
      <c r="T676" s="260"/>
      <c r="U676" s="260"/>
      <c r="V676" s="260"/>
      <c r="W676" s="260"/>
      <c r="X676" s="260"/>
      <c r="Y676" s="260"/>
      <c r="Z676" s="260"/>
    </row>
    <row r="677">
      <c r="A677" s="260"/>
      <c r="B677" s="260"/>
      <c r="C677" s="260"/>
      <c r="D677" s="260"/>
      <c r="E677" s="260"/>
      <c r="F677" s="260"/>
      <c r="G677" s="260"/>
      <c r="H677" s="260"/>
      <c r="I677" s="260"/>
      <c r="J677" s="260"/>
      <c r="K677" s="260"/>
      <c r="L677" s="260"/>
      <c r="M677" s="260"/>
      <c r="N677" s="260"/>
      <c r="O677" s="260"/>
      <c r="P677" s="260"/>
      <c r="Q677" s="260"/>
      <c r="R677" s="260"/>
      <c r="S677" s="260"/>
      <c r="T677" s="260"/>
      <c r="U677" s="260"/>
      <c r="V677" s="260"/>
      <c r="W677" s="260"/>
      <c r="X677" s="260"/>
      <c r="Y677" s="260"/>
      <c r="Z677" s="260"/>
    </row>
    <row r="678">
      <c r="A678" s="260"/>
      <c r="B678" s="260"/>
      <c r="C678" s="260"/>
      <c r="D678" s="260"/>
      <c r="E678" s="260"/>
      <c r="F678" s="260"/>
      <c r="G678" s="260"/>
      <c r="H678" s="260"/>
      <c r="I678" s="260"/>
      <c r="J678" s="260"/>
      <c r="K678" s="260"/>
      <c r="L678" s="260"/>
      <c r="M678" s="260"/>
      <c r="N678" s="260"/>
      <c r="O678" s="260"/>
      <c r="P678" s="260"/>
      <c r="Q678" s="260"/>
      <c r="R678" s="260"/>
      <c r="S678" s="260"/>
      <c r="T678" s="260"/>
      <c r="U678" s="260"/>
      <c r="V678" s="260"/>
      <c r="W678" s="260"/>
      <c r="X678" s="260"/>
      <c r="Y678" s="260"/>
      <c r="Z678" s="260"/>
    </row>
    <row r="679">
      <c r="A679" s="260"/>
      <c r="B679" s="260"/>
      <c r="C679" s="260"/>
      <c r="D679" s="260"/>
      <c r="E679" s="260"/>
      <c r="F679" s="260"/>
      <c r="G679" s="260"/>
      <c r="H679" s="260"/>
      <c r="I679" s="260"/>
      <c r="J679" s="260"/>
      <c r="K679" s="260"/>
      <c r="L679" s="260"/>
      <c r="M679" s="260"/>
      <c r="N679" s="260"/>
      <c r="O679" s="260"/>
      <c r="P679" s="260"/>
      <c r="Q679" s="260"/>
      <c r="R679" s="260"/>
      <c r="S679" s="260"/>
      <c r="T679" s="260"/>
      <c r="U679" s="260"/>
      <c r="V679" s="260"/>
      <c r="W679" s="260"/>
      <c r="X679" s="260"/>
      <c r="Y679" s="260"/>
      <c r="Z679" s="260"/>
    </row>
    <row r="680">
      <c r="A680" s="260"/>
      <c r="B680" s="260"/>
      <c r="C680" s="260"/>
      <c r="D680" s="260"/>
      <c r="E680" s="260"/>
      <c r="F680" s="260"/>
      <c r="G680" s="260"/>
      <c r="H680" s="260"/>
      <c r="I680" s="260"/>
      <c r="J680" s="260"/>
      <c r="K680" s="260"/>
      <c r="L680" s="260"/>
      <c r="M680" s="260"/>
      <c r="N680" s="260"/>
      <c r="O680" s="260"/>
      <c r="P680" s="260"/>
      <c r="Q680" s="260"/>
      <c r="R680" s="260"/>
      <c r="S680" s="260"/>
      <c r="T680" s="260"/>
      <c r="U680" s="260"/>
      <c r="V680" s="260"/>
      <c r="W680" s="260"/>
      <c r="X680" s="260"/>
      <c r="Y680" s="260"/>
      <c r="Z680" s="260"/>
    </row>
    <row r="681">
      <c r="A681" s="260"/>
      <c r="B681" s="260"/>
      <c r="C681" s="260"/>
      <c r="D681" s="260"/>
      <c r="E681" s="260"/>
      <c r="F681" s="260"/>
      <c r="G681" s="260"/>
      <c r="H681" s="260"/>
      <c r="I681" s="260"/>
      <c r="J681" s="260"/>
      <c r="K681" s="260"/>
      <c r="L681" s="260"/>
      <c r="M681" s="260"/>
      <c r="N681" s="260"/>
      <c r="O681" s="260"/>
      <c r="P681" s="260"/>
      <c r="Q681" s="260"/>
      <c r="R681" s="260"/>
      <c r="S681" s="260"/>
      <c r="T681" s="260"/>
      <c r="U681" s="260"/>
      <c r="V681" s="260"/>
      <c r="W681" s="260"/>
      <c r="X681" s="260"/>
      <c r="Y681" s="260"/>
      <c r="Z681" s="260"/>
    </row>
    <row r="682">
      <c r="A682" s="260"/>
      <c r="B682" s="260"/>
      <c r="C682" s="260"/>
      <c r="D682" s="260"/>
      <c r="E682" s="260"/>
      <c r="F682" s="260"/>
      <c r="G682" s="260"/>
      <c r="H682" s="260"/>
      <c r="I682" s="260"/>
      <c r="J682" s="260"/>
      <c r="K682" s="260"/>
      <c r="L682" s="260"/>
      <c r="M682" s="260"/>
      <c r="N682" s="260"/>
      <c r="O682" s="260"/>
      <c r="P682" s="260"/>
      <c r="Q682" s="260"/>
      <c r="R682" s="260"/>
      <c r="S682" s="260"/>
      <c r="T682" s="260"/>
      <c r="U682" s="260"/>
      <c r="V682" s="260"/>
      <c r="W682" s="260"/>
      <c r="X682" s="260"/>
      <c r="Y682" s="260"/>
      <c r="Z682" s="260"/>
    </row>
    <row r="683">
      <c r="A683" s="260"/>
      <c r="B683" s="260"/>
      <c r="C683" s="260"/>
      <c r="D683" s="260"/>
      <c r="E683" s="260"/>
      <c r="F683" s="260"/>
      <c r="G683" s="260"/>
      <c r="H683" s="260"/>
      <c r="I683" s="260"/>
      <c r="J683" s="260"/>
      <c r="K683" s="260"/>
      <c r="L683" s="260"/>
      <c r="M683" s="260"/>
      <c r="N683" s="260"/>
      <c r="O683" s="260"/>
      <c r="P683" s="260"/>
      <c r="Q683" s="260"/>
      <c r="R683" s="260"/>
      <c r="S683" s="260"/>
      <c r="T683" s="260"/>
      <c r="U683" s="260"/>
      <c r="V683" s="260"/>
      <c r="W683" s="260"/>
      <c r="X683" s="260"/>
      <c r="Y683" s="260"/>
      <c r="Z683" s="260"/>
    </row>
    <row r="684">
      <c r="A684" s="260"/>
      <c r="B684" s="260"/>
      <c r="C684" s="260"/>
      <c r="D684" s="260"/>
      <c r="E684" s="260"/>
      <c r="F684" s="260"/>
      <c r="G684" s="260"/>
      <c r="H684" s="260"/>
      <c r="I684" s="260"/>
      <c r="J684" s="260"/>
      <c r="K684" s="260"/>
      <c r="L684" s="260"/>
      <c r="M684" s="260"/>
      <c r="N684" s="260"/>
      <c r="O684" s="260"/>
      <c r="P684" s="260"/>
      <c r="Q684" s="260"/>
      <c r="R684" s="260"/>
      <c r="S684" s="260"/>
      <c r="T684" s="260"/>
      <c r="U684" s="260"/>
      <c r="V684" s="260"/>
      <c r="W684" s="260"/>
      <c r="X684" s="260"/>
      <c r="Y684" s="260"/>
      <c r="Z684" s="260"/>
    </row>
    <row r="685">
      <c r="A685" s="260"/>
      <c r="B685" s="260"/>
      <c r="C685" s="260"/>
      <c r="D685" s="260"/>
      <c r="E685" s="260"/>
      <c r="F685" s="260"/>
      <c r="G685" s="260"/>
      <c r="H685" s="260"/>
      <c r="I685" s="260"/>
      <c r="J685" s="260"/>
      <c r="K685" s="260"/>
      <c r="L685" s="260"/>
      <c r="M685" s="260"/>
      <c r="N685" s="260"/>
      <c r="O685" s="260"/>
      <c r="P685" s="260"/>
      <c r="Q685" s="260"/>
      <c r="R685" s="260"/>
      <c r="S685" s="260"/>
      <c r="T685" s="260"/>
      <c r="U685" s="260"/>
      <c r="V685" s="260"/>
      <c r="W685" s="260"/>
      <c r="X685" s="260"/>
      <c r="Y685" s="260"/>
      <c r="Z685" s="260"/>
    </row>
    <row r="686">
      <c r="A686" s="260"/>
      <c r="B686" s="260"/>
      <c r="C686" s="260"/>
      <c r="D686" s="260"/>
      <c r="E686" s="260"/>
      <c r="F686" s="260"/>
      <c r="G686" s="260"/>
      <c r="H686" s="260"/>
      <c r="I686" s="260"/>
      <c r="J686" s="260"/>
      <c r="K686" s="260"/>
      <c r="L686" s="260"/>
      <c r="M686" s="260"/>
      <c r="N686" s="260"/>
      <c r="O686" s="260"/>
      <c r="P686" s="260"/>
      <c r="Q686" s="260"/>
      <c r="R686" s="260"/>
      <c r="S686" s="260"/>
      <c r="T686" s="260"/>
      <c r="U686" s="260"/>
      <c r="V686" s="260"/>
      <c r="W686" s="260"/>
      <c r="X686" s="260"/>
      <c r="Y686" s="260"/>
      <c r="Z686" s="260"/>
    </row>
    <row r="687">
      <c r="A687" s="260"/>
      <c r="B687" s="260"/>
      <c r="C687" s="260"/>
      <c r="D687" s="260"/>
      <c r="E687" s="260"/>
      <c r="F687" s="260"/>
      <c r="G687" s="260"/>
      <c r="H687" s="260"/>
      <c r="I687" s="260"/>
      <c r="J687" s="260"/>
      <c r="K687" s="260"/>
      <c r="L687" s="260"/>
      <c r="M687" s="260"/>
      <c r="N687" s="260"/>
      <c r="O687" s="260"/>
      <c r="P687" s="260"/>
      <c r="Q687" s="260"/>
      <c r="R687" s="260"/>
      <c r="S687" s="260"/>
      <c r="T687" s="260"/>
      <c r="U687" s="260"/>
      <c r="V687" s="260"/>
      <c r="W687" s="260"/>
      <c r="X687" s="260"/>
      <c r="Y687" s="260"/>
      <c r="Z687" s="260"/>
    </row>
    <row r="688">
      <c r="A688" s="260"/>
      <c r="B688" s="260"/>
      <c r="C688" s="260"/>
      <c r="D688" s="260"/>
      <c r="E688" s="260"/>
      <c r="F688" s="260"/>
      <c r="G688" s="260"/>
      <c r="H688" s="260"/>
      <c r="I688" s="260"/>
      <c r="J688" s="260"/>
      <c r="K688" s="260"/>
      <c r="L688" s="260"/>
      <c r="M688" s="260"/>
      <c r="N688" s="260"/>
      <c r="O688" s="260"/>
      <c r="P688" s="260"/>
      <c r="Q688" s="260"/>
      <c r="R688" s="260"/>
      <c r="S688" s="260"/>
      <c r="T688" s="260"/>
      <c r="U688" s="260"/>
      <c r="V688" s="260"/>
      <c r="W688" s="260"/>
      <c r="X688" s="260"/>
      <c r="Y688" s="260"/>
      <c r="Z688" s="260"/>
    </row>
    <row r="689">
      <c r="A689" s="260"/>
      <c r="B689" s="260"/>
      <c r="C689" s="260"/>
      <c r="D689" s="260"/>
      <c r="E689" s="260"/>
      <c r="F689" s="260"/>
      <c r="G689" s="260"/>
      <c r="H689" s="260"/>
      <c r="I689" s="260"/>
      <c r="J689" s="260"/>
      <c r="K689" s="260"/>
      <c r="L689" s="260"/>
      <c r="M689" s="260"/>
      <c r="N689" s="260"/>
      <c r="O689" s="260"/>
      <c r="P689" s="260"/>
      <c r="Q689" s="260"/>
      <c r="R689" s="260"/>
      <c r="S689" s="260"/>
      <c r="T689" s="260"/>
      <c r="U689" s="260"/>
      <c r="V689" s="260"/>
      <c r="W689" s="260"/>
      <c r="X689" s="260"/>
      <c r="Y689" s="260"/>
      <c r="Z689" s="260"/>
    </row>
    <row r="690">
      <c r="A690" s="260"/>
      <c r="B690" s="260"/>
      <c r="C690" s="260"/>
      <c r="D690" s="260"/>
      <c r="E690" s="260"/>
      <c r="F690" s="260"/>
      <c r="G690" s="260"/>
      <c r="H690" s="260"/>
      <c r="I690" s="260"/>
      <c r="J690" s="260"/>
      <c r="K690" s="260"/>
      <c r="L690" s="260"/>
      <c r="M690" s="260"/>
      <c r="N690" s="260"/>
      <c r="O690" s="260"/>
      <c r="P690" s="260"/>
      <c r="Q690" s="260"/>
      <c r="R690" s="260"/>
      <c r="S690" s="260"/>
      <c r="T690" s="260"/>
      <c r="U690" s="260"/>
      <c r="V690" s="260"/>
      <c r="W690" s="260"/>
      <c r="X690" s="260"/>
      <c r="Y690" s="260"/>
      <c r="Z690" s="260"/>
    </row>
    <row r="691">
      <c r="A691" s="260"/>
      <c r="B691" s="260"/>
      <c r="C691" s="260"/>
      <c r="D691" s="260"/>
      <c r="E691" s="260"/>
      <c r="F691" s="260"/>
      <c r="G691" s="260"/>
      <c r="H691" s="260"/>
      <c r="I691" s="260"/>
      <c r="J691" s="260"/>
      <c r="K691" s="260"/>
      <c r="L691" s="260"/>
      <c r="M691" s="260"/>
      <c r="N691" s="260"/>
      <c r="O691" s="260"/>
      <c r="P691" s="260"/>
      <c r="Q691" s="260"/>
      <c r="R691" s="260"/>
      <c r="S691" s="260"/>
      <c r="T691" s="260"/>
      <c r="U691" s="260"/>
      <c r="V691" s="260"/>
      <c r="W691" s="260"/>
      <c r="X691" s="260"/>
      <c r="Y691" s="260"/>
      <c r="Z691" s="260"/>
    </row>
    <row r="692">
      <c r="A692" s="260"/>
      <c r="B692" s="260"/>
      <c r="C692" s="260"/>
      <c r="D692" s="260"/>
      <c r="E692" s="260"/>
      <c r="F692" s="260"/>
      <c r="G692" s="260"/>
      <c r="H692" s="260"/>
      <c r="I692" s="260"/>
      <c r="J692" s="260"/>
      <c r="K692" s="260"/>
      <c r="L692" s="260"/>
      <c r="M692" s="260"/>
      <c r="N692" s="260"/>
      <c r="O692" s="260"/>
      <c r="P692" s="260"/>
      <c r="Q692" s="260"/>
      <c r="R692" s="260"/>
      <c r="S692" s="260"/>
      <c r="T692" s="260"/>
      <c r="U692" s="260"/>
      <c r="V692" s="260"/>
      <c r="W692" s="260"/>
      <c r="X692" s="260"/>
      <c r="Y692" s="260"/>
      <c r="Z692" s="260"/>
    </row>
    <row r="693">
      <c r="A693" s="260"/>
      <c r="B693" s="260"/>
      <c r="C693" s="260"/>
      <c r="D693" s="260"/>
      <c r="E693" s="260"/>
      <c r="F693" s="260"/>
      <c r="G693" s="260"/>
      <c r="H693" s="260"/>
      <c r="I693" s="260"/>
      <c r="J693" s="260"/>
      <c r="K693" s="260"/>
      <c r="L693" s="260"/>
      <c r="M693" s="260"/>
      <c r="N693" s="260"/>
      <c r="O693" s="260"/>
      <c r="P693" s="260"/>
      <c r="Q693" s="260"/>
      <c r="R693" s="260"/>
      <c r="S693" s="260"/>
      <c r="T693" s="260"/>
      <c r="U693" s="260"/>
      <c r="V693" s="260"/>
      <c r="W693" s="260"/>
      <c r="X693" s="260"/>
      <c r="Y693" s="260"/>
      <c r="Z693" s="260"/>
    </row>
    <row r="694">
      <c r="A694" s="260"/>
      <c r="B694" s="260"/>
      <c r="C694" s="260"/>
      <c r="D694" s="260"/>
      <c r="E694" s="260"/>
      <c r="F694" s="260"/>
      <c r="G694" s="260"/>
      <c r="H694" s="260"/>
      <c r="I694" s="260"/>
      <c r="J694" s="260"/>
      <c r="K694" s="260"/>
      <c r="L694" s="260"/>
      <c r="M694" s="260"/>
      <c r="N694" s="260"/>
      <c r="O694" s="260"/>
      <c r="P694" s="260"/>
      <c r="Q694" s="260"/>
      <c r="R694" s="260"/>
      <c r="S694" s="260"/>
      <c r="T694" s="260"/>
      <c r="U694" s="260"/>
      <c r="V694" s="260"/>
      <c r="W694" s="260"/>
      <c r="X694" s="260"/>
      <c r="Y694" s="260"/>
      <c r="Z694" s="260"/>
    </row>
    <row r="695">
      <c r="A695" s="260"/>
      <c r="B695" s="260"/>
      <c r="C695" s="260"/>
      <c r="D695" s="260"/>
      <c r="E695" s="260"/>
      <c r="F695" s="260"/>
      <c r="G695" s="260"/>
      <c r="H695" s="260"/>
      <c r="I695" s="260"/>
      <c r="J695" s="260"/>
      <c r="K695" s="260"/>
      <c r="L695" s="260"/>
      <c r="M695" s="260"/>
      <c r="N695" s="260"/>
      <c r="O695" s="260"/>
      <c r="P695" s="260"/>
      <c r="Q695" s="260"/>
      <c r="R695" s="260"/>
      <c r="S695" s="260"/>
      <c r="T695" s="260"/>
      <c r="U695" s="260"/>
      <c r="V695" s="260"/>
      <c r="W695" s="260"/>
      <c r="X695" s="260"/>
      <c r="Y695" s="260"/>
      <c r="Z695" s="260"/>
    </row>
    <row r="696">
      <c r="A696" s="260"/>
      <c r="B696" s="260"/>
      <c r="C696" s="260"/>
      <c r="D696" s="260"/>
      <c r="E696" s="260"/>
      <c r="F696" s="260"/>
      <c r="G696" s="260"/>
      <c r="H696" s="260"/>
      <c r="I696" s="260"/>
      <c r="J696" s="260"/>
      <c r="K696" s="260"/>
      <c r="L696" s="260"/>
      <c r="M696" s="260"/>
      <c r="N696" s="260"/>
      <c r="O696" s="260"/>
      <c r="P696" s="260"/>
      <c r="Q696" s="260"/>
      <c r="R696" s="260"/>
      <c r="S696" s="260"/>
      <c r="T696" s="260"/>
      <c r="U696" s="260"/>
      <c r="V696" s="260"/>
      <c r="W696" s="260"/>
      <c r="X696" s="260"/>
      <c r="Y696" s="260"/>
      <c r="Z696" s="260"/>
    </row>
    <row r="697">
      <c r="A697" s="260"/>
      <c r="B697" s="260"/>
      <c r="C697" s="260"/>
      <c r="D697" s="260"/>
      <c r="E697" s="260"/>
      <c r="F697" s="260"/>
      <c r="G697" s="260"/>
      <c r="H697" s="260"/>
      <c r="I697" s="260"/>
      <c r="J697" s="260"/>
      <c r="K697" s="260"/>
      <c r="L697" s="260"/>
      <c r="M697" s="260"/>
      <c r="N697" s="260"/>
      <c r="O697" s="260"/>
      <c r="P697" s="260"/>
      <c r="Q697" s="260"/>
      <c r="R697" s="260"/>
      <c r="S697" s="260"/>
      <c r="T697" s="260"/>
      <c r="U697" s="260"/>
      <c r="V697" s="260"/>
      <c r="W697" s="260"/>
      <c r="X697" s="260"/>
      <c r="Y697" s="260"/>
      <c r="Z697" s="260"/>
    </row>
    <row r="698">
      <c r="A698" s="260"/>
      <c r="B698" s="260"/>
      <c r="C698" s="260"/>
      <c r="D698" s="260"/>
      <c r="E698" s="260"/>
      <c r="F698" s="260"/>
      <c r="G698" s="260"/>
      <c r="H698" s="260"/>
      <c r="I698" s="260"/>
      <c r="J698" s="260"/>
      <c r="K698" s="260"/>
      <c r="L698" s="260"/>
      <c r="M698" s="260"/>
      <c r="N698" s="260"/>
      <c r="O698" s="260"/>
      <c r="P698" s="260"/>
      <c r="Q698" s="260"/>
      <c r="R698" s="260"/>
      <c r="S698" s="260"/>
      <c r="T698" s="260"/>
      <c r="U698" s="260"/>
      <c r="V698" s="260"/>
      <c r="W698" s="260"/>
      <c r="X698" s="260"/>
      <c r="Y698" s="260"/>
      <c r="Z698" s="260"/>
    </row>
    <row r="699">
      <c r="A699" s="260"/>
      <c r="B699" s="260"/>
      <c r="C699" s="260"/>
      <c r="D699" s="260"/>
      <c r="E699" s="260"/>
      <c r="F699" s="260"/>
      <c r="G699" s="260"/>
      <c r="H699" s="260"/>
      <c r="I699" s="260"/>
      <c r="J699" s="260"/>
      <c r="K699" s="260"/>
      <c r="L699" s="260"/>
      <c r="M699" s="260"/>
      <c r="N699" s="260"/>
      <c r="O699" s="260"/>
      <c r="P699" s="260"/>
      <c r="Q699" s="260"/>
      <c r="R699" s="260"/>
      <c r="S699" s="260"/>
      <c r="T699" s="260"/>
      <c r="U699" s="260"/>
      <c r="V699" s="260"/>
      <c r="W699" s="260"/>
      <c r="X699" s="260"/>
      <c r="Y699" s="260"/>
      <c r="Z699" s="260"/>
    </row>
    <row r="700">
      <c r="A700" s="260"/>
      <c r="B700" s="260"/>
      <c r="C700" s="260"/>
      <c r="D700" s="260"/>
      <c r="E700" s="260"/>
      <c r="F700" s="260"/>
      <c r="G700" s="260"/>
      <c r="H700" s="260"/>
      <c r="I700" s="260"/>
      <c r="J700" s="260"/>
      <c r="K700" s="260"/>
      <c r="L700" s="260"/>
      <c r="M700" s="260"/>
      <c r="N700" s="260"/>
      <c r="O700" s="260"/>
      <c r="P700" s="260"/>
      <c r="Q700" s="260"/>
      <c r="R700" s="260"/>
      <c r="S700" s="260"/>
      <c r="T700" s="260"/>
      <c r="U700" s="260"/>
      <c r="V700" s="260"/>
      <c r="W700" s="260"/>
      <c r="X700" s="260"/>
      <c r="Y700" s="260"/>
      <c r="Z700" s="260"/>
    </row>
    <row r="701">
      <c r="A701" s="260"/>
      <c r="B701" s="260"/>
      <c r="C701" s="260"/>
      <c r="D701" s="260"/>
      <c r="E701" s="260"/>
      <c r="F701" s="260"/>
      <c r="G701" s="260"/>
      <c r="H701" s="260"/>
      <c r="I701" s="260"/>
      <c r="J701" s="260"/>
      <c r="K701" s="260"/>
      <c r="L701" s="260"/>
      <c r="M701" s="260"/>
      <c r="N701" s="260"/>
      <c r="O701" s="260"/>
      <c r="P701" s="260"/>
      <c r="Q701" s="260"/>
      <c r="R701" s="260"/>
      <c r="S701" s="260"/>
      <c r="T701" s="260"/>
      <c r="U701" s="260"/>
      <c r="V701" s="260"/>
      <c r="W701" s="260"/>
      <c r="X701" s="260"/>
      <c r="Y701" s="260"/>
      <c r="Z701" s="260"/>
    </row>
    <row r="702">
      <c r="A702" s="260"/>
      <c r="B702" s="260"/>
      <c r="C702" s="260"/>
      <c r="D702" s="260"/>
      <c r="E702" s="260"/>
      <c r="F702" s="260"/>
      <c r="G702" s="260"/>
      <c r="H702" s="260"/>
      <c r="I702" s="260"/>
      <c r="J702" s="260"/>
      <c r="K702" s="260"/>
      <c r="L702" s="260"/>
      <c r="M702" s="260"/>
      <c r="N702" s="260"/>
      <c r="O702" s="260"/>
      <c r="P702" s="260"/>
      <c r="Q702" s="260"/>
      <c r="R702" s="260"/>
      <c r="S702" s="260"/>
      <c r="T702" s="260"/>
      <c r="U702" s="260"/>
      <c r="V702" s="260"/>
      <c r="W702" s="260"/>
      <c r="X702" s="260"/>
      <c r="Y702" s="260"/>
      <c r="Z702" s="260"/>
    </row>
    <row r="703">
      <c r="A703" s="260"/>
      <c r="B703" s="260"/>
      <c r="C703" s="260"/>
      <c r="D703" s="260"/>
      <c r="E703" s="260"/>
      <c r="F703" s="260"/>
      <c r="G703" s="260"/>
      <c r="H703" s="260"/>
      <c r="I703" s="260"/>
      <c r="J703" s="260"/>
      <c r="K703" s="260"/>
      <c r="L703" s="260"/>
      <c r="M703" s="260"/>
      <c r="N703" s="260"/>
      <c r="O703" s="260"/>
      <c r="P703" s="260"/>
      <c r="Q703" s="260"/>
      <c r="R703" s="260"/>
      <c r="S703" s="260"/>
      <c r="T703" s="260"/>
      <c r="U703" s="260"/>
      <c r="V703" s="260"/>
      <c r="W703" s="260"/>
      <c r="X703" s="260"/>
      <c r="Y703" s="260"/>
      <c r="Z703" s="260"/>
    </row>
    <row r="704">
      <c r="A704" s="260"/>
      <c r="B704" s="260"/>
      <c r="C704" s="260"/>
      <c r="D704" s="260"/>
      <c r="E704" s="260"/>
      <c r="F704" s="260"/>
      <c r="G704" s="260"/>
      <c r="H704" s="260"/>
      <c r="I704" s="260"/>
      <c r="J704" s="260"/>
      <c r="K704" s="260"/>
      <c r="L704" s="260"/>
      <c r="M704" s="260"/>
      <c r="N704" s="260"/>
      <c r="O704" s="260"/>
      <c r="P704" s="260"/>
      <c r="Q704" s="260"/>
      <c r="R704" s="260"/>
      <c r="S704" s="260"/>
      <c r="T704" s="260"/>
      <c r="U704" s="260"/>
      <c r="V704" s="260"/>
      <c r="W704" s="260"/>
      <c r="X704" s="260"/>
      <c r="Y704" s="260"/>
      <c r="Z704" s="260"/>
    </row>
    <row r="705">
      <c r="A705" s="260"/>
      <c r="B705" s="260"/>
      <c r="C705" s="260"/>
      <c r="D705" s="260"/>
      <c r="E705" s="260"/>
      <c r="F705" s="260"/>
      <c r="G705" s="260"/>
      <c r="H705" s="260"/>
      <c r="I705" s="260"/>
      <c r="J705" s="260"/>
      <c r="K705" s="260"/>
      <c r="L705" s="260"/>
      <c r="M705" s="260"/>
      <c r="N705" s="260"/>
      <c r="O705" s="260"/>
      <c r="P705" s="260"/>
      <c r="Q705" s="260"/>
      <c r="R705" s="260"/>
      <c r="S705" s="260"/>
      <c r="T705" s="260"/>
      <c r="U705" s="260"/>
      <c r="V705" s="260"/>
      <c r="W705" s="260"/>
      <c r="X705" s="260"/>
      <c r="Y705" s="260"/>
      <c r="Z705" s="260"/>
    </row>
    <row r="706">
      <c r="A706" s="260"/>
      <c r="B706" s="260"/>
      <c r="C706" s="260"/>
      <c r="D706" s="260"/>
      <c r="E706" s="260"/>
      <c r="F706" s="260"/>
      <c r="G706" s="260"/>
      <c r="H706" s="260"/>
      <c r="I706" s="260"/>
      <c r="J706" s="260"/>
      <c r="K706" s="260"/>
      <c r="L706" s="260"/>
      <c r="M706" s="260"/>
      <c r="N706" s="260"/>
      <c r="O706" s="260"/>
      <c r="P706" s="260"/>
      <c r="Q706" s="260"/>
      <c r="R706" s="260"/>
      <c r="S706" s="260"/>
      <c r="T706" s="260"/>
      <c r="U706" s="260"/>
      <c r="V706" s="260"/>
      <c r="W706" s="260"/>
      <c r="X706" s="260"/>
      <c r="Y706" s="260"/>
      <c r="Z706" s="260"/>
    </row>
    <row r="707">
      <c r="A707" s="260"/>
      <c r="B707" s="260"/>
      <c r="C707" s="260"/>
      <c r="D707" s="260"/>
      <c r="E707" s="260"/>
      <c r="F707" s="260"/>
      <c r="G707" s="260"/>
      <c r="H707" s="260"/>
      <c r="I707" s="260"/>
      <c r="J707" s="260"/>
      <c r="K707" s="260"/>
      <c r="L707" s="260"/>
      <c r="M707" s="260"/>
      <c r="N707" s="260"/>
      <c r="O707" s="260"/>
      <c r="P707" s="260"/>
      <c r="Q707" s="260"/>
      <c r="R707" s="260"/>
      <c r="S707" s="260"/>
      <c r="T707" s="260"/>
      <c r="U707" s="260"/>
      <c r="V707" s="260"/>
      <c r="W707" s="260"/>
      <c r="X707" s="260"/>
      <c r="Y707" s="260"/>
      <c r="Z707" s="260"/>
    </row>
    <row r="708">
      <c r="A708" s="260"/>
      <c r="B708" s="260"/>
      <c r="C708" s="260"/>
      <c r="D708" s="260"/>
      <c r="E708" s="260"/>
      <c r="F708" s="260"/>
      <c r="G708" s="260"/>
      <c r="H708" s="260"/>
      <c r="I708" s="260"/>
      <c r="J708" s="260"/>
      <c r="K708" s="260"/>
      <c r="L708" s="260"/>
      <c r="M708" s="260"/>
      <c r="N708" s="260"/>
      <c r="O708" s="260"/>
      <c r="P708" s="260"/>
      <c r="Q708" s="260"/>
      <c r="R708" s="260"/>
      <c r="S708" s="260"/>
      <c r="T708" s="260"/>
      <c r="U708" s="260"/>
      <c r="V708" s="260"/>
      <c r="W708" s="260"/>
      <c r="X708" s="260"/>
      <c r="Y708" s="260"/>
      <c r="Z708" s="260"/>
    </row>
    <row r="709">
      <c r="A709" s="260"/>
      <c r="B709" s="260"/>
      <c r="C709" s="260"/>
      <c r="D709" s="260"/>
      <c r="E709" s="260"/>
      <c r="F709" s="260"/>
      <c r="G709" s="260"/>
      <c r="H709" s="260"/>
      <c r="I709" s="260"/>
      <c r="J709" s="260"/>
      <c r="K709" s="260"/>
      <c r="L709" s="260"/>
      <c r="M709" s="260"/>
      <c r="N709" s="260"/>
      <c r="O709" s="260"/>
      <c r="P709" s="260"/>
      <c r="Q709" s="260"/>
      <c r="R709" s="260"/>
      <c r="S709" s="260"/>
      <c r="T709" s="260"/>
      <c r="U709" s="260"/>
      <c r="V709" s="260"/>
      <c r="W709" s="260"/>
      <c r="X709" s="260"/>
      <c r="Y709" s="260"/>
      <c r="Z709" s="260"/>
    </row>
    <row r="710">
      <c r="A710" s="260"/>
      <c r="B710" s="260"/>
      <c r="C710" s="260"/>
      <c r="D710" s="260"/>
      <c r="E710" s="260"/>
      <c r="F710" s="260"/>
      <c r="G710" s="260"/>
      <c r="H710" s="260"/>
      <c r="I710" s="260"/>
      <c r="J710" s="260"/>
      <c r="K710" s="260"/>
      <c r="L710" s="260"/>
      <c r="M710" s="260"/>
      <c r="N710" s="260"/>
      <c r="O710" s="260"/>
      <c r="P710" s="260"/>
      <c r="Q710" s="260"/>
      <c r="R710" s="260"/>
      <c r="S710" s="260"/>
      <c r="T710" s="260"/>
      <c r="U710" s="260"/>
      <c r="V710" s="260"/>
      <c r="W710" s="260"/>
      <c r="X710" s="260"/>
      <c r="Y710" s="260"/>
      <c r="Z710" s="260"/>
    </row>
    <row r="711">
      <c r="A711" s="260"/>
      <c r="B711" s="260"/>
      <c r="C711" s="260"/>
      <c r="D711" s="260"/>
      <c r="E711" s="260"/>
      <c r="F711" s="260"/>
      <c r="G711" s="260"/>
      <c r="H711" s="260"/>
      <c r="I711" s="260"/>
      <c r="J711" s="260"/>
      <c r="K711" s="260"/>
      <c r="L711" s="260"/>
      <c r="M711" s="260"/>
      <c r="N711" s="260"/>
      <c r="O711" s="260"/>
      <c r="P711" s="260"/>
      <c r="Q711" s="260"/>
      <c r="R711" s="260"/>
      <c r="S711" s="260"/>
      <c r="T711" s="260"/>
      <c r="U711" s="260"/>
      <c r="V711" s="260"/>
      <c r="W711" s="260"/>
      <c r="X711" s="260"/>
      <c r="Y711" s="260"/>
      <c r="Z711" s="260"/>
    </row>
    <row r="712">
      <c r="A712" s="260"/>
      <c r="B712" s="260"/>
      <c r="C712" s="260"/>
      <c r="D712" s="260"/>
      <c r="E712" s="260"/>
      <c r="F712" s="260"/>
      <c r="G712" s="260"/>
      <c r="H712" s="260"/>
      <c r="I712" s="260"/>
      <c r="J712" s="260"/>
      <c r="K712" s="260"/>
      <c r="L712" s="260"/>
      <c r="M712" s="260"/>
      <c r="N712" s="260"/>
      <c r="O712" s="260"/>
      <c r="P712" s="260"/>
      <c r="Q712" s="260"/>
      <c r="R712" s="260"/>
      <c r="S712" s="260"/>
      <c r="T712" s="260"/>
      <c r="U712" s="260"/>
      <c r="V712" s="260"/>
      <c r="W712" s="260"/>
      <c r="X712" s="260"/>
      <c r="Y712" s="260"/>
      <c r="Z712" s="260"/>
    </row>
    <row r="713">
      <c r="A713" s="260"/>
      <c r="B713" s="260"/>
      <c r="C713" s="260"/>
      <c r="D713" s="260"/>
      <c r="E713" s="260"/>
      <c r="F713" s="260"/>
      <c r="G713" s="260"/>
      <c r="H713" s="260"/>
      <c r="I713" s="260"/>
      <c r="J713" s="260"/>
      <c r="K713" s="260"/>
      <c r="L713" s="260"/>
      <c r="M713" s="260"/>
      <c r="N713" s="260"/>
      <c r="O713" s="260"/>
      <c r="P713" s="260"/>
      <c r="Q713" s="260"/>
      <c r="R713" s="260"/>
      <c r="S713" s="260"/>
      <c r="T713" s="260"/>
      <c r="U713" s="260"/>
      <c r="V713" s="260"/>
      <c r="W713" s="260"/>
      <c r="X713" s="260"/>
      <c r="Y713" s="260"/>
      <c r="Z713" s="260"/>
    </row>
    <row r="714">
      <c r="A714" s="260"/>
      <c r="B714" s="260"/>
      <c r="C714" s="260"/>
      <c r="D714" s="260"/>
      <c r="E714" s="260"/>
      <c r="F714" s="260"/>
      <c r="G714" s="260"/>
      <c r="H714" s="260"/>
      <c r="I714" s="260"/>
      <c r="J714" s="260"/>
      <c r="K714" s="260"/>
      <c r="L714" s="260"/>
      <c r="M714" s="260"/>
      <c r="N714" s="260"/>
      <c r="O714" s="260"/>
      <c r="P714" s="260"/>
      <c r="Q714" s="260"/>
      <c r="R714" s="260"/>
      <c r="S714" s="260"/>
      <c r="T714" s="260"/>
      <c r="U714" s="260"/>
      <c r="V714" s="260"/>
      <c r="W714" s="260"/>
      <c r="X714" s="260"/>
      <c r="Y714" s="260"/>
      <c r="Z714" s="260"/>
    </row>
    <row r="715">
      <c r="A715" s="260"/>
      <c r="B715" s="260"/>
      <c r="C715" s="260"/>
      <c r="D715" s="260"/>
      <c r="E715" s="260"/>
      <c r="F715" s="260"/>
      <c r="G715" s="260"/>
      <c r="H715" s="260"/>
      <c r="I715" s="260"/>
      <c r="J715" s="260"/>
      <c r="K715" s="260"/>
      <c r="L715" s="260"/>
      <c r="M715" s="260"/>
      <c r="N715" s="260"/>
      <c r="O715" s="260"/>
      <c r="P715" s="260"/>
      <c r="Q715" s="260"/>
      <c r="R715" s="260"/>
      <c r="S715" s="260"/>
      <c r="T715" s="260"/>
      <c r="U715" s="260"/>
      <c r="V715" s="260"/>
      <c r="W715" s="260"/>
      <c r="X715" s="260"/>
      <c r="Y715" s="260"/>
      <c r="Z715" s="260"/>
    </row>
    <row r="716">
      <c r="A716" s="260"/>
      <c r="B716" s="260"/>
      <c r="C716" s="260"/>
      <c r="D716" s="260"/>
      <c r="E716" s="260"/>
      <c r="F716" s="260"/>
      <c r="G716" s="260"/>
      <c r="H716" s="260"/>
      <c r="I716" s="260"/>
      <c r="J716" s="260"/>
      <c r="K716" s="260"/>
      <c r="L716" s="260"/>
      <c r="M716" s="260"/>
      <c r="N716" s="260"/>
      <c r="O716" s="260"/>
      <c r="P716" s="260"/>
      <c r="Q716" s="260"/>
      <c r="R716" s="260"/>
      <c r="S716" s="260"/>
      <c r="T716" s="260"/>
      <c r="U716" s="260"/>
      <c r="V716" s="260"/>
      <c r="W716" s="260"/>
      <c r="X716" s="260"/>
      <c r="Y716" s="260"/>
      <c r="Z716" s="260"/>
    </row>
    <row r="717">
      <c r="A717" s="260"/>
      <c r="B717" s="260"/>
      <c r="C717" s="260"/>
      <c r="D717" s="260"/>
      <c r="E717" s="260"/>
      <c r="F717" s="260"/>
      <c r="G717" s="260"/>
      <c r="H717" s="260"/>
      <c r="I717" s="260"/>
      <c r="J717" s="260"/>
      <c r="K717" s="260"/>
      <c r="L717" s="260"/>
      <c r="M717" s="260"/>
      <c r="N717" s="260"/>
      <c r="O717" s="260"/>
      <c r="P717" s="260"/>
      <c r="Q717" s="260"/>
      <c r="R717" s="260"/>
      <c r="S717" s="260"/>
      <c r="T717" s="260"/>
      <c r="U717" s="260"/>
      <c r="V717" s="260"/>
      <c r="W717" s="260"/>
      <c r="X717" s="260"/>
      <c r="Y717" s="260"/>
      <c r="Z717" s="260"/>
    </row>
    <row r="718">
      <c r="A718" s="260"/>
      <c r="B718" s="260"/>
      <c r="C718" s="260"/>
      <c r="D718" s="260"/>
      <c r="E718" s="260"/>
      <c r="F718" s="260"/>
      <c r="G718" s="260"/>
      <c r="H718" s="260"/>
      <c r="I718" s="260"/>
      <c r="J718" s="260"/>
      <c r="K718" s="260"/>
      <c r="L718" s="260"/>
      <c r="M718" s="260"/>
      <c r="N718" s="260"/>
      <c r="O718" s="260"/>
      <c r="P718" s="260"/>
      <c r="Q718" s="260"/>
      <c r="R718" s="260"/>
      <c r="S718" s="260"/>
      <c r="T718" s="260"/>
      <c r="U718" s="260"/>
      <c r="V718" s="260"/>
      <c r="W718" s="260"/>
      <c r="X718" s="260"/>
      <c r="Y718" s="260"/>
      <c r="Z718" s="260"/>
    </row>
    <row r="719">
      <c r="A719" s="260"/>
      <c r="B719" s="260"/>
      <c r="C719" s="260"/>
      <c r="D719" s="260"/>
      <c r="E719" s="260"/>
      <c r="F719" s="260"/>
      <c r="G719" s="260"/>
      <c r="H719" s="260"/>
      <c r="I719" s="260"/>
      <c r="J719" s="260"/>
      <c r="K719" s="260"/>
      <c r="L719" s="260"/>
      <c r="M719" s="260"/>
      <c r="N719" s="260"/>
      <c r="O719" s="260"/>
      <c r="P719" s="260"/>
      <c r="Q719" s="260"/>
      <c r="R719" s="260"/>
      <c r="S719" s="260"/>
      <c r="T719" s="260"/>
      <c r="U719" s="260"/>
      <c r="V719" s="260"/>
      <c r="W719" s="260"/>
      <c r="X719" s="260"/>
      <c r="Y719" s="260"/>
      <c r="Z719" s="260"/>
    </row>
    <row r="720">
      <c r="A720" s="260"/>
      <c r="B720" s="260"/>
      <c r="C720" s="260"/>
      <c r="D720" s="260"/>
      <c r="E720" s="260"/>
      <c r="F720" s="260"/>
      <c r="G720" s="260"/>
      <c r="H720" s="260"/>
      <c r="I720" s="260"/>
      <c r="J720" s="260"/>
      <c r="K720" s="260"/>
      <c r="L720" s="260"/>
      <c r="M720" s="260"/>
      <c r="N720" s="260"/>
      <c r="O720" s="260"/>
      <c r="P720" s="260"/>
      <c r="Q720" s="260"/>
      <c r="R720" s="260"/>
      <c r="S720" s="260"/>
      <c r="T720" s="260"/>
      <c r="U720" s="260"/>
      <c r="V720" s="260"/>
      <c r="W720" s="260"/>
      <c r="X720" s="260"/>
      <c r="Y720" s="260"/>
      <c r="Z720" s="260"/>
    </row>
    <row r="721">
      <c r="A721" s="260"/>
      <c r="B721" s="260"/>
      <c r="C721" s="260"/>
      <c r="D721" s="260"/>
      <c r="E721" s="260"/>
      <c r="F721" s="260"/>
      <c r="G721" s="260"/>
      <c r="H721" s="260"/>
      <c r="I721" s="260"/>
      <c r="J721" s="260"/>
      <c r="K721" s="260"/>
      <c r="L721" s="260"/>
      <c r="M721" s="260"/>
      <c r="N721" s="260"/>
      <c r="O721" s="260"/>
      <c r="P721" s="260"/>
      <c r="Q721" s="260"/>
      <c r="R721" s="260"/>
      <c r="S721" s="260"/>
      <c r="T721" s="260"/>
      <c r="U721" s="260"/>
      <c r="V721" s="260"/>
      <c r="W721" s="260"/>
      <c r="X721" s="260"/>
      <c r="Y721" s="260"/>
      <c r="Z721" s="260"/>
    </row>
    <row r="722">
      <c r="A722" s="260"/>
      <c r="B722" s="260"/>
      <c r="C722" s="260"/>
      <c r="D722" s="260"/>
      <c r="E722" s="260"/>
      <c r="F722" s="260"/>
      <c r="G722" s="260"/>
      <c r="H722" s="260"/>
      <c r="I722" s="260"/>
      <c r="J722" s="260"/>
      <c r="K722" s="260"/>
      <c r="L722" s="260"/>
      <c r="M722" s="260"/>
      <c r="N722" s="260"/>
      <c r="O722" s="260"/>
      <c r="P722" s="260"/>
      <c r="Q722" s="260"/>
      <c r="R722" s="260"/>
      <c r="S722" s="260"/>
      <c r="T722" s="260"/>
      <c r="U722" s="260"/>
      <c r="V722" s="260"/>
      <c r="W722" s="260"/>
      <c r="X722" s="260"/>
      <c r="Y722" s="260"/>
      <c r="Z722" s="260"/>
    </row>
    <row r="723">
      <c r="A723" s="260"/>
      <c r="B723" s="260"/>
      <c r="C723" s="260"/>
      <c r="D723" s="260"/>
      <c r="E723" s="260"/>
      <c r="F723" s="260"/>
      <c r="G723" s="260"/>
      <c r="H723" s="260"/>
      <c r="I723" s="260"/>
      <c r="J723" s="260"/>
      <c r="K723" s="260"/>
      <c r="L723" s="260"/>
      <c r="M723" s="260"/>
      <c r="N723" s="260"/>
      <c r="O723" s="260"/>
      <c r="P723" s="260"/>
      <c r="Q723" s="260"/>
      <c r="R723" s="260"/>
      <c r="S723" s="260"/>
      <c r="T723" s="260"/>
      <c r="U723" s="260"/>
      <c r="V723" s="260"/>
      <c r="W723" s="260"/>
      <c r="X723" s="260"/>
      <c r="Y723" s="260"/>
      <c r="Z723" s="260"/>
    </row>
    <row r="724">
      <c r="A724" s="260"/>
      <c r="B724" s="260"/>
      <c r="C724" s="260"/>
      <c r="D724" s="260"/>
      <c r="E724" s="260"/>
      <c r="F724" s="260"/>
      <c r="G724" s="260"/>
      <c r="H724" s="260"/>
      <c r="I724" s="260"/>
      <c r="J724" s="260"/>
      <c r="K724" s="260"/>
      <c r="L724" s="260"/>
      <c r="M724" s="260"/>
      <c r="N724" s="260"/>
      <c r="O724" s="260"/>
      <c r="P724" s="260"/>
      <c r="Q724" s="260"/>
      <c r="R724" s="260"/>
      <c r="S724" s="260"/>
      <c r="T724" s="260"/>
      <c r="U724" s="260"/>
      <c r="V724" s="260"/>
      <c r="W724" s="260"/>
      <c r="X724" s="260"/>
      <c r="Y724" s="260"/>
      <c r="Z724" s="260"/>
    </row>
    <row r="725">
      <c r="A725" s="260"/>
      <c r="B725" s="260"/>
      <c r="C725" s="260"/>
      <c r="D725" s="260"/>
      <c r="E725" s="260"/>
      <c r="F725" s="260"/>
      <c r="G725" s="260"/>
      <c r="H725" s="260"/>
      <c r="I725" s="260"/>
      <c r="J725" s="260"/>
      <c r="K725" s="260"/>
      <c r="L725" s="260"/>
      <c r="M725" s="260"/>
      <c r="N725" s="260"/>
      <c r="O725" s="260"/>
      <c r="P725" s="260"/>
      <c r="Q725" s="260"/>
      <c r="R725" s="260"/>
      <c r="S725" s="260"/>
      <c r="T725" s="260"/>
      <c r="U725" s="260"/>
      <c r="V725" s="260"/>
      <c r="W725" s="260"/>
      <c r="X725" s="260"/>
      <c r="Y725" s="260"/>
      <c r="Z725" s="260"/>
    </row>
    <row r="726">
      <c r="A726" s="260"/>
      <c r="B726" s="260"/>
      <c r="C726" s="260"/>
      <c r="D726" s="260"/>
      <c r="E726" s="260"/>
      <c r="F726" s="260"/>
      <c r="G726" s="260"/>
      <c r="H726" s="260"/>
      <c r="I726" s="260"/>
      <c r="J726" s="260"/>
      <c r="K726" s="260"/>
      <c r="L726" s="260"/>
      <c r="M726" s="260"/>
      <c r="N726" s="260"/>
      <c r="O726" s="260"/>
      <c r="P726" s="260"/>
      <c r="Q726" s="260"/>
      <c r="R726" s="260"/>
      <c r="S726" s="260"/>
      <c r="T726" s="260"/>
      <c r="U726" s="260"/>
      <c r="V726" s="260"/>
      <c r="W726" s="260"/>
      <c r="X726" s="260"/>
      <c r="Y726" s="260"/>
      <c r="Z726" s="260"/>
    </row>
    <row r="727">
      <c r="A727" s="260"/>
      <c r="B727" s="260"/>
      <c r="C727" s="260"/>
      <c r="D727" s="260"/>
      <c r="E727" s="260"/>
      <c r="F727" s="260"/>
      <c r="G727" s="260"/>
      <c r="H727" s="260"/>
      <c r="I727" s="260"/>
      <c r="J727" s="260"/>
      <c r="K727" s="260"/>
      <c r="L727" s="260"/>
      <c r="M727" s="260"/>
      <c r="N727" s="260"/>
      <c r="O727" s="260"/>
      <c r="P727" s="260"/>
      <c r="Q727" s="260"/>
      <c r="R727" s="260"/>
      <c r="S727" s="260"/>
      <c r="T727" s="260"/>
      <c r="U727" s="260"/>
      <c r="V727" s="260"/>
      <c r="W727" s="260"/>
      <c r="X727" s="260"/>
      <c r="Y727" s="260"/>
      <c r="Z727" s="260"/>
    </row>
    <row r="728">
      <c r="A728" s="260"/>
      <c r="B728" s="260"/>
      <c r="C728" s="260"/>
      <c r="D728" s="260"/>
      <c r="E728" s="260"/>
      <c r="F728" s="260"/>
      <c r="G728" s="260"/>
      <c r="H728" s="260"/>
      <c r="I728" s="260"/>
      <c r="J728" s="260"/>
      <c r="K728" s="260"/>
      <c r="L728" s="260"/>
      <c r="M728" s="260"/>
      <c r="N728" s="260"/>
      <c r="O728" s="260"/>
      <c r="P728" s="260"/>
      <c r="Q728" s="260"/>
      <c r="R728" s="260"/>
      <c r="S728" s="260"/>
      <c r="T728" s="260"/>
      <c r="U728" s="260"/>
      <c r="V728" s="260"/>
      <c r="W728" s="260"/>
      <c r="X728" s="260"/>
      <c r="Y728" s="260"/>
      <c r="Z728" s="260"/>
    </row>
    <row r="729">
      <c r="A729" s="260"/>
      <c r="B729" s="260"/>
      <c r="C729" s="260"/>
      <c r="D729" s="260"/>
      <c r="E729" s="260"/>
      <c r="F729" s="260"/>
      <c r="G729" s="260"/>
      <c r="H729" s="260"/>
      <c r="I729" s="260"/>
      <c r="J729" s="260"/>
      <c r="K729" s="260"/>
      <c r="L729" s="260"/>
      <c r="M729" s="260"/>
      <c r="N729" s="260"/>
      <c r="O729" s="260"/>
      <c r="P729" s="260"/>
      <c r="Q729" s="260"/>
      <c r="R729" s="260"/>
      <c r="S729" s="260"/>
      <c r="T729" s="260"/>
      <c r="U729" s="260"/>
      <c r="V729" s="260"/>
      <c r="W729" s="260"/>
      <c r="X729" s="260"/>
      <c r="Y729" s="260"/>
      <c r="Z729" s="260"/>
    </row>
    <row r="730">
      <c r="A730" s="260"/>
      <c r="B730" s="260"/>
      <c r="C730" s="260"/>
      <c r="D730" s="260"/>
      <c r="E730" s="260"/>
      <c r="F730" s="260"/>
      <c r="G730" s="260"/>
      <c r="H730" s="260"/>
      <c r="I730" s="260"/>
      <c r="J730" s="260"/>
      <c r="K730" s="260"/>
      <c r="L730" s="260"/>
      <c r="M730" s="260"/>
      <c r="N730" s="260"/>
      <c r="O730" s="260"/>
      <c r="P730" s="260"/>
      <c r="Q730" s="260"/>
      <c r="R730" s="260"/>
      <c r="S730" s="260"/>
      <c r="T730" s="260"/>
      <c r="U730" s="260"/>
      <c r="V730" s="260"/>
      <c r="W730" s="260"/>
      <c r="X730" s="260"/>
      <c r="Y730" s="260"/>
      <c r="Z730" s="260"/>
    </row>
    <row r="731">
      <c r="A731" s="260"/>
      <c r="B731" s="260"/>
      <c r="C731" s="260"/>
      <c r="D731" s="260"/>
      <c r="E731" s="260"/>
      <c r="F731" s="260"/>
      <c r="G731" s="260"/>
      <c r="H731" s="260"/>
      <c r="I731" s="260"/>
      <c r="J731" s="260"/>
      <c r="K731" s="260"/>
      <c r="L731" s="260"/>
      <c r="M731" s="260"/>
      <c r="N731" s="260"/>
      <c r="O731" s="260"/>
      <c r="P731" s="260"/>
      <c r="Q731" s="260"/>
      <c r="R731" s="260"/>
      <c r="S731" s="260"/>
      <c r="T731" s="260"/>
      <c r="U731" s="260"/>
      <c r="V731" s="260"/>
      <c r="W731" s="260"/>
      <c r="X731" s="260"/>
      <c r="Y731" s="260"/>
      <c r="Z731" s="260"/>
    </row>
    <row r="732">
      <c r="A732" s="260"/>
      <c r="B732" s="260"/>
      <c r="C732" s="260"/>
      <c r="D732" s="260"/>
      <c r="E732" s="260"/>
      <c r="F732" s="260"/>
      <c r="G732" s="260"/>
      <c r="H732" s="260"/>
      <c r="I732" s="260"/>
      <c r="J732" s="260"/>
      <c r="K732" s="260"/>
      <c r="L732" s="260"/>
      <c r="M732" s="260"/>
      <c r="N732" s="260"/>
      <c r="O732" s="260"/>
      <c r="P732" s="260"/>
      <c r="Q732" s="260"/>
      <c r="R732" s="260"/>
      <c r="S732" s="260"/>
      <c r="T732" s="260"/>
      <c r="U732" s="260"/>
      <c r="V732" s="260"/>
      <c r="W732" s="260"/>
      <c r="X732" s="260"/>
      <c r="Y732" s="260"/>
      <c r="Z732" s="260"/>
    </row>
    <row r="733">
      <c r="A733" s="260"/>
      <c r="B733" s="260"/>
      <c r="C733" s="260"/>
      <c r="D733" s="260"/>
      <c r="E733" s="260"/>
      <c r="F733" s="260"/>
      <c r="G733" s="260"/>
      <c r="H733" s="260"/>
      <c r="I733" s="260"/>
      <c r="J733" s="260"/>
      <c r="K733" s="260"/>
      <c r="L733" s="260"/>
      <c r="M733" s="260"/>
      <c r="N733" s="260"/>
      <c r="O733" s="260"/>
      <c r="P733" s="260"/>
      <c r="Q733" s="260"/>
      <c r="R733" s="260"/>
      <c r="S733" s="260"/>
      <c r="T733" s="260"/>
      <c r="U733" s="260"/>
      <c r="V733" s="260"/>
      <c r="W733" s="260"/>
      <c r="X733" s="260"/>
      <c r="Y733" s="260"/>
      <c r="Z733" s="260"/>
    </row>
    <row r="734">
      <c r="A734" s="260"/>
      <c r="B734" s="260"/>
      <c r="C734" s="260"/>
      <c r="D734" s="260"/>
      <c r="E734" s="260"/>
      <c r="F734" s="260"/>
      <c r="G734" s="260"/>
      <c r="H734" s="260"/>
      <c r="I734" s="260"/>
      <c r="J734" s="260"/>
      <c r="K734" s="260"/>
      <c r="L734" s="260"/>
      <c r="M734" s="260"/>
      <c r="N734" s="260"/>
      <c r="O734" s="260"/>
      <c r="P734" s="260"/>
      <c r="Q734" s="260"/>
      <c r="R734" s="260"/>
      <c r="S734" s="260"/>
      <c r="T734" s="260"/>
      <c r="U734" s="260"/>
      <c r="V734" s="260"/>
      <c r="W734" s="260"/>
      <c r="X734" s="260"/>
      <c r="Y734" s="260"/>
      <c r="Z734" s="260"/>
    </row>
    <row r="735">
      <c r="A735" s="260"/>
      <c r="B735" s="260"/>
      <c r="C735" s="260"/>
      <c r="D735" s="260"/>
      <c r="E735" s="260"/>
      <c r="F735" s="260"/>
      <c r="G735" s="260"/>
      <c r="H735" s="260"/>
      <c r="I735" s="260"/>
      <c r="J735" s="260"/>
      <c r="K735" s="260"/>
      <c r="L735" s="260"/>
      <c r="M735" s="260"/>
      <c r="N735" s="260"/>
      <c r="O735" s="260"/>
      <c r="P735" s="260"/>
      <c r="Q735" s="260"/>
      <c r="R735" s="260"/>
      <c r="S735" s="260"/>
      <c r="T735" s="260"/>
      <c r="U735" s="260"/>
      <c r="V735" s="260"/>
      <c r="W735" s="260"/>
      <c r="X735" s="260"/>
      <c r="Y735" s="260"/>
      <c r="Z735" s="260"/>
    </row>
    <row r="736">
      <c r="A736" s="260"/>
      <c r="B736" s="260"/>
      <c r="C736" s="260"/>
      <c r="D736" s="260"/>
      <c r="E736" s="260"/>
      <c r="F736" s="260"/>
      <c r="G736" s="260"/>
      <c r="H736" s="260"/>
      <c r="I736" s="260"/>
      <c r="J736" s="260"/>
      <c r="K736" s="260"/>
      <c r="L736" s="260"/>
      <c r="M736" s="260"/>
      <c r="N736" s="260"/>
      <c r="O736" s="260"/>
      <c r="P736" s="260"/>
      <c r="Q736" s="260"/>
      <c r="R736" s="260"/>
      <c r="S736" s="260"/>
      <c r="T736" s="260"/>
      <c r="U736" s="260"/>
      <c r="V736" s="260"/>
      <c r="W736" s="260"/>
      <c r="X736" s="260"/>
      <c r="Y736" s="260"/>
      <c r="Z736" s="260"/>
    </row>
    <row r="737">
      <c r="A737" s="260"/>
      <c r="B737" s="260"/>
      <c r="C737" s="260"/>
      <c r="D737" s="260"/>
      <c r="E737" s="260"/>
      <c r="F737" s="260"/>
      <c r="G737" s="260"/>
      <c r="H737" s="260"/>
      <c r="I737" s="260"/>
      <c r="J737" s="260"/>
      <c r="K737" s="260"/>
      <c r="L737" s="260"/>
      <c r="M737" s="260"/>
      <c r="N737" s="260"/>
      <c r="O737" s="260"/>
      <c r="P737" s="260"/>
      <c r="Q737" s="260"/>
      <c r="R737" s="260"/>
      <c r="S737" s="260"/>
      <c r="T737" s="260"/>
      <c r="U737" s="260"/>
      <c r="V737" s="260"/>
      <c r="W737" s="260"/>
      <c r="X737" s="260"/>
      <c r="Y737" s="260"/>
      <c r="Z737" s="260"/>
    </row>
    <row r="738">
      <c r="A738" s="260"/>
      <c r="B738" s="260"/>
      <c r="C738" s="260"/>
      <c r="D738" s="260"/>
      <c r="E738" s="260"/>
      <c r="F738" s="260"/>
      <c r="G738" s="260"/>
      <c r="H738" s="260"/>
      <c r="I738" s="260"/>
      <c r="J738" s="260"/>
      <c r="K738" s="260"/>
      <c r="L738" s="260"/>
      <c r="M738" s="260"/>
      <c r="N738" s="260"/>
      <c r="O738" s="260"/>
      <c r="P738" s="260"/>
      <c r="Q738" s="260"/>
      <c r="R738" s="260"/>
      <c r="S738" s="260"/>
      <c r="T738" s="260"/>
      <c r="U738" s="260"/>
      <c r="V738" s="260"/>
      <c r="W738" s="260"/>
      <c r="X738" s="260"/>
      <c r="Y738" s="260"/>
      <c r="Z738" s="260"/>
    </row>
    <row r="739">
      <c r="A739" s="260"/>
      <c r="B739" s="260"/>
      <c r="C739" s="260"/>
      <c r="D739" s="260"/>
      <c r="E739" s="260"/>
      <c r="F739" s="260"/>
      <c r="G739" s="260"/>
      <c r="H739" s="260"/>
      <c r="I739" s="260"/>
      <c r="J739" s="260"/>
      <c r="K739" s="260"/>
      <c r="L739" s="260"/>
      <c r="M739" s="260"/>
      <c r="N739" s="260"/>
      <c r="O739" s="260"/>
      <c r="P739" s="260"/>
      <c r="Q739" s="260"/>
      <c r="R739" s="260"/>
      <c r="S739" s="260"/>
      <c r="T739" s="260"/>
      <c r="U739" s="260"/>
      <c r="V739" s="260"/>
      <c r="W739" s="260"/>
      <c r="X739" s="260"/>
      <c r="Y739" s="260"/>
      <c r="Z739" s="260"/>
    </row>
    <row r="740">
      <c r="A740" s="260"/>
      <c r="B740" s="260"/>
      <c r="C740" s="260"/>
      <c r="D740" s="260"/>
      <c r="E740" s="260"/>
      <c r="F740" s="260"/>
      <c r="G740" s="260"/>
      <c r="H740" s="260"/>
      <c r="I740" s="260"/>
      <c r="J740" s="260"/>
      <c r="K740" s="260"/>
      <c r="L740" s="260"/>
      <c r="M740" s="260"/>
      <c r="N740" s="260"/>
      <c r="O740" s="260"/>
      <c r="P740" s="260"/>
      <c r="Q740" s="260"/>
      <c r="R740" s="260"/>
      <c r="S740" s="260"/>
      <c r="T740" s="260"/>
      <c r="U740" s="260"/>
      <c r="V740" s="260"/>
      <c r="W740" s="260"/>
      <c r="X740" s="260"/>
      <c r="Y740" s="260"/>
      <c r="Z740" s="260"/>
    </row>
    <row r="741">
      <c r="A741" s="260"/>
      <c r="B741" s="260"/>
      <c r="C741" s="260"/>
      <c r="D741" s="260"/>
      <c r="E741" s="260"/>
      <c r="F741" s="260"/>
      <c r="G741" s="260"/>
      <c r="H741" s="260"/>
      <c r="I741" s="260"/>
      <c r="J741" s="260"/>
      <c r="K741" s="260"/>
      <c r="L741" s="260"/>
      <c r="M741" s="260"/>
      <c r="N741" s="260"/>
      <c r="O741" s="260"/>
      <c r="P741" s="260"/>
      <c r="Q741" s="260"/>
      <c r="R741" s="260"/>
      <c r="S741" s="260"/>
      <c r="T741" s="260"/>
      <c r="U741" s="260"/>
      <c r="V741" s="260"/>
      <c r="W741" s="260"/>
      <c r="X741" s="260"/>
      <c r="Y741" s="260"/>
      <c r="Z741" s="260"/>
    </row>
    <row r="742">
      <c r="A742" s="260"/>
      <c r="B742" s="260"/>
      <c r="C742" s="260"/>
      <c r="D742" s="260"/>
      <c r="E742" s="260"/>
      <c r="F742" s="260"/>
      <c r="G742" s="260"/>
      <c r="H742" s="260"/>
      <c r="I742" s="260"/>
      <c r="J742" s="260"/>
      <c r="K742" s="260"/>
      <c r="L742" s="260"/>
      <c r="M742" s="260"/>
      <c r="N742" s="260"/>
      <c r="O742" s="260"/>
      <c r="P742" s="260"/>
      <c r="Q742" s="260"/>
      <c r="R742" s="260"/>
      <c r="S742" s="260"/>
      <c r="T742" s="260"/>
      <c r="U742" s="260"/>
      <c r="V742" s="260"/>
      <c r="W742" s="260"/>
      <c r="X742" s="260"/>
      <c r="Y742" s="260"/>
      <c r="Z742" s="260"/>
    </row>
    <row r="743">
      <c r="A743" s="260"/>
      <c r="B743" s="260"/>
      <c r="C743" s="260"/>
      <c r="D743" s="260"/>
      <c r="E743" s="260"/>
      <c r="F743" s="260"/>
      <c r="G743" s="260"/>
      <c r="H743" s="260"/>
      <c r="I743" s="260"/>
      <c r="J743" s="260"/>
      <c r="K743" s="260"/>
      <c r="L743" s="260"/>
      <c r="M743" s="260"/>
      <c r="N743" s="260"/>
      <c r="O743" s="260"/>
      <c r="P743" s="260"/>
      <c r="Q743" s="260"/>
      <c r="R743" s="260"/>
      <c r="S743" s="260"/>
      <c r="T743" s="260"/>
      <c r="U743" s="260"/>
      <c r="V743" s="260"/>
      <c r="W743" s="260"/>
      <c r="X743" s="260"/>
      <c r="Y743" s="260"/>
      <c r="Z743" s="260"/>
    </row>
    <row r="744">
      <c r="A744" s="260"/>
      <c r="B744" s="260"/>
      <c r="C744" s="260"/>
      <c r="D744" s="260"/>
      <c r="E744" s="260"/>
      <c r="F744" s="260"/>
      <c r="G744" s="260"/>
      <c r="H744" s="260"/>
      <c r="I744" s="260"/>
      <c r="J744" s="260"/>
      <c r="K744" s="260"/>
      <c r="L744" s="260"/>
      <c r="M744" s="260"/>
      <c r="N744" s="260"/>
      <c r="O744" s="260"/>
      <c r="P744" s="260"/>
      <c r="Q744" s="260"/>
      <c r="R744" s="260"/>
      <c r="S744" s="260"/>
      <c r="T744" s="260"/>
      <c r="U744" s="260"/>
      <c r="V744" s="260"/>
      <c r="W744" s="260"/>
      <c r="X744" s="260"/>
      <c r="Y744" s="260"/>
      <c r="Z744" s="260"/>
    </row>
    <row r="745">
      <c r="A745" s="260"/>
      <c r="B745" s="260"/>
      <c r="C745" s="260"/>
      <c r="D745" s="260"/>
      <c r="E745" s="260"/>
      <c r="F745" s="260"/>
      <c r="G745" s="260"/>
      <c r="H745" s="260"/>
      <c r="I745" s="260"/>
      <c r="J745" s="260"/>
      <c r="K745" s="260"/>
      <c r="L745" s="260"/>
      <c r="M745" s="260"/>
      <c r="N745" s="260"/>
      <c r="O745" s="260"/>
      <c r="P745" s="260"/>
      <c r="Q745" s="260"/>
      <c r="R745" s="260"/>
      <c r="S745" s="260"/>
      <c r="T745" s="260"/>
      <c r="U745" s="260"/>
      <c r="V745" s="260"/>
      <c r="W745" s="260"/>
      <c r="X745" s="260"/>
      <c r="Y745" s="260"/>
      <c r="Z745" s="260"/>
    </row>
    <row r="746">
      <c r="A746" s="260"/>
      <c r="B746" s="260"/>
      <c r="C746" s="260"/>
      <c r="D746" s="260"/>
      <c r="E746" s="260"/>
      <c r="F746" s="260"/>
      <c r="G746" s="260"/>
      <c r="H746" s="260"/>
      <c r="I746" s="260"/>
      <c r="J746" s="260"/>
      <c r="K746" s="260"/>
      <c r="L746" s="260"/>
      <c r="M746" s="260"/>
      <c r="N746" s="260"/>
      <c r="O746" s="260"/>
      <c r="P746" s="260"/>
      <c r="Q746" s="260"/>
      <c r="R746" s="260"/>
      <c r="S746" s="260"/>
      <c r="T746" s="260"/>
      <c r="U746" s="260"/>
      <c r="V746" s="260"/>
      <c r="W746" s="260"/>
      <c r="X746" s="260"/>
      <c r="Y746" s="260"/>
      <c r="Z746" s="260"/>
    </row>
    <row r="747">
      <c r="A747" s="260"/>
      <c r="B747" s="260"/>
      <c r="C747" s="260"/>
      <c r="D747" s="260"/>
      <c r="E747" s="260"/>
      <c r="F747" s="260"/>
      <c r="G747" s="260"/>
      <c r="H747" s="260"/>
      <c r="I747" s="260"/>
      <c r="J747" s="260"/>
      <c r="K747" s="260"/>
      <c r="L747" s="260"/>
      <c r="M747" s="260"/>
      <c r="N747" s="260"/>
      <c r="O747" s="260"/>
      <c r="P747" s="260"/>
      <c r="Q747" s="260"/>
      <c r="R747" s="260"/>
      <c r="S747" s="260"/>
      <c r="T747" s="260"/>
      <c r="U747" s="260"/>
      <c r="V747" s="260"/>
      <c r="W747" s="260"/>
      <c r="X747" s="260"/>
      <c r="Y747" s="260"/>
      <c r="Z747" s="260"/>
    </row>
    <row r="748">
      <c r="A748" s="260"/>
      <c r="B748" s="260"/>
      <c r="C748" s="260"/>
      <c r="D748" s="260"/>
      <c r="E748" s="260"/>
      <c r="F748" s="260"/>
      <c r="G748" s="260"/>
      <c r="H748" s="260"/>
      <c r="I748" s="260"/>
      <c r="J748" s="260"/>
      <c r="K748" s="260"/>
      <c r="L748" s="260"/>
      <c r="M748" s="260"/>
      <c r="N748" s="260"/>
      <c r="O748" s="260"/>
      <c r="P748" s="260"/>
      <c r="Q748" s="260"/>
      <c r="R748" s="260"/>
      <c r="S748" s="260"/>
      <c r="T748" s="260"/>
      <c r="U748" s="260"/>
      <c r="V748" s="260"/>
      <c r="W748" s="260"/>
      <c r="X748" s="260"/>
      <c r="Y748" s="260"/>
      <c r="Z748" s="260"/>
    </row>
    <row r="749">
      <c r="A749" s="260"/>
      <c r="B749" s="260"/>
      <c r="C749" s="260"/>
      <c r="D749" s="260"/>
      <c r="E749" s="260"/>
      <c r="F749" s="260"/>
      <c r="G749" s="260"/>
      <c r="H749" s="260"/>
      <c r="I749" s="260"/>
      <c r="J749" s="260"/>
      <c r="K749" s="260"/>
      <c r="L749" s="260"/>
      <c r="M749" s="260"/>
      <c r="N749" s="260"/>
      <c r="O749" s="260"/>
      <c r="P749" s="260"/>
      <c r="Q749" s="260"/>
      <c r="R749" s="260"/>
      <c r="S749" s="260"/>
      <c r="T749" s="260"/>
      <c r="U749" s="260"/>
      <c r="V749" s="260"/>
      <c r="W749" s="260"/>
      <c r="X749" s="260"/>
      <c r="Y749" s="260"/>
      <c r="Z749" s="260"/>
    </row>
    <row r="750">
      <c r="A750" s="260"/>
      <c r="B750" s="260"/>
      <c r="C750" s="260"/>
      <c r="D750" s="260"/>
      <c r="E750" s="260"/>
      <c r="F750" s="260"/>
      <c r="G750" s="260"/>
      <c r="H750" s="260"/>
      <c r="I750" s="260"/>
      <c r="J750" s="260"/>
      <c r="K750" s="260"/>
      <c r="L750" s="260"/>
      <c r="M750" s="260"/>
      <c r="N750" s="260"/>
      <c r="O750" s="260"/>
      <c r="P750" s="260"/>
      <c r="Q750" s="260"/>
      <c r="R750" s="260"/>
      <c r="S750" s="260"/>
      <c r="T750" s="260"/>
      <c r="U750" s="260"/>
      <c r="V750" s="260"/>
      <c r="W750" s="260"/>
      <c r="X750" s="260"/>
      <c r="Y750" s="260"/>
      <c r="Z750" s="260"/>
    </row>
    <row r="751">
      <c r="A751" s="260"/>
      <c r="B751" s="260"/>
      <c r="C751" s="260"/>
      <c r="D751" s="260"/>
      <c r="E751" s="260"/>
      <c r="F751" s="260"/>
      <c r="G751" s="260"/>
      <c r="H751" s="260"/>
      <c r="I751" s="260"/>
      <c r="J751" s="260"/>
      <c r="K751" s="260"/>
      <c r="L751" s="260"/>
      <c r="M751" s="260"/>
      <c r="N751" s="260"/>
      <c r="O751" s="260"/>
      <c r="P751" s="260"/>
      <c r="Q751" s="260"/>
      <c r="R751" s="260"/>
      <c r="S751" s="260"/>
      <c r="T751" s="260"/>
      <c r="U751" s="260"/>
      <c r="V751" s="260"/>
      <c r="W751" s="260"/>
      <c r="X751" s="260"/>
      <c r="Y751" s="260"/>
      <c r="Z751" s="260"/>
    </row>
    <row r="752">
      <c r="A752" s="260"/>
      <c r="B752" s="260"/>
      <c r="C752" s="260"/>
      <c r="D752" s="260"/>
      <c r="E752" s="260"/>
      <c r="F752" s="260"/>
      <c r="G752" s="260"/>
      <c r="H752" s="260"/>
      <c r="I752" s="260"/>
      <c r="J752" s="260"/>
      <c r="K752" s="260"/>
      <c r="L752" s="260"/>
      <c r="M752" s="260"/>
      <c r="N752" s="260"/>
      <c r="O752" s="260"/>
      <c r="P752" s="260"/>
      <c r="Q752" s="260"/>
      <c r="R752" s="260"/>
      <c r="S752" s="260"/>
      <c r="T752" s="260"/>
      <c r="U752" s="260"/>
      <c r="V752" s="260"/>
      <c r="W752" s="260"/>
      <c r="X752" s="260"/>
      <c r="Y752" s="260"/>
      <c r="Z752" s="260"/>
    </row>
    <row r="753">
      <c r="A753" s="260"/>
      <c r="B753" s="260"/>
      <c r="C753" s="260"/>
      <c r="D753" s="260"/>
      <c r="E753" s="260"/>
      <c r="F753" s="260"/>
      <c r="G753" s="260"/>
      <c r="H753" s="260"/>
      <c r="I753" s="260"/>
      <c r="J753" s="260"/>
      <c r="K753" s="260"/>
      <c r="L753" s="260"/>
      <c r="M753" s="260"/>
      <c r="N753" s="260"/>
      <c r="O753" s="260"/>
      <c r="P753" s="260"/>
      <c r="Q753" s="260"/>
      <c r="R753" s="260"/>
      <c r="S753" s="260"/>
      <c r="T753" s="260"/>
      <c r="U753" s="260"/>
      <c r="V753" s="260"/>
      <c r="W753" s="260"/>
      <c r="X753" s="260"/>
      <c r="Y753" s="260"/>
      <c r="Z753" s="260"/>
    </row>
    <row r="754">
      <c r="A754" s="260"/>
      <c r="B754" s="260"/>
      <c r="C754" s="260"/>
      <c r="D754" s="260"/>
      <c r="E754" s="260"/>
      <c r="F754" s="260"/>
      <c r="G754" s="260"/>
      <c r="H754" s="260"/>
      <c r="I754" s="260"/>
      <c r="J754" s="260"/>
      <c r="K754" s="260"/>
      <c r="L754" s="260"/>
      <c r="M754" s="260"/>
      <c r="N754" s="260"/>
      <c r="O754" s="260"/>
      <c r="P754" s="260"/>
      <c r="Q754" s="260"/>
      <c r="R754" s="260"/>
      <c r="S754" s="260"/>
      <c r="T754" s="260"/>
      <c r="U754" s="260"/>
      <c r="V754" s="260"/>
      <c r="W754" s="260"/>
      <c r="X754" s="260"/>
      <c r="Y754" s="260"/>
      <c r="Z754" s="260"/>
    </row>
    <row r="755">
      <c r="A755" s="260"/>
      <c r="B755" s="260"/>
      <c r="C755" s="260"/>
      <c r="D755" s="260"/>
      <c r="E755" s="260"/>
      <c r="F755" s="260"/>
      <c r="G755" s="260"/>
      <c r="H755" s="260"/>
      <c r="I755" s="260"/>
      <c r="J755" s="260"/>
      <c r="K755" s="260"/>
      <c r="L755" s="260"/>
      <c r="M755" s="260"/>
      <c r="N755" s="260"/>
      <c r="O755" s="260"/>
      <c r="P755" s="260"/>
      <c r="Q755" s="260"/>
      <c r="R755" s="260"/>
      <c r="S755" s="260"/>
      <c r="T755" s="260"/>
      <c r="U755" s="260"/>
      <c r="V755" s="260"/>
      <c r="W755" s="260"/>
      <c r="X755" s="260"/>
      <c r="Y755" s="260"/>
      <c r="Z755" s="260"/>
    </row>
    <row r="756">
      <c r="A756" s="260"/>
      <c r="B756" s="260"/>
      <c r="C756" s="260"/>
      <c r="D756" s="260"/>
      <c r="E756" s="260"/>
      <c r="F756" s="260"/>
      <c r="G756" s="260"/>
      <c r="H756" s="260"/>
      <c r="I756" s="260"/>
      <c r="J756" s="260"/>
      <c r="K756" s="260"/>
      <c r="L756" s="260"/>
      <c r="M756" s="260"/>
      <c r="N756" s="260"/>
      <c r="O756" s="260"/>
      <c r="P756" s="260"/>
      <c r="Q756" s="260"/>
      <c r="R756" s="260"/>
      <c r="S756" s="260"/>
      <c r="T756" s="260"/>
      <c r="U756" s="260"/>
      <c r="V756" s="260"/>
      <c r="W756" s="260"/>
      <c r="X756" s="260"/>
      <c r="Y756" s="260"/>
      <c r="Z756" s="260"/>
    </row>
    <row r="757">
      <c r="A757" s="260"/>
      <c r="B757" s="260"/>
      <c r="C757" s="260"/>
      <c r="D757" s="260"/>
      <c r="E757" s="260"/>
      <c r="F757" s="260"/>
      <c r="G757" s="260"/>
      <c r="H757" s="260"/>
      <c r="I757" s="260"/>
      <c r="J757" s="260"/>
      <c r="K757" s="260"/>
      <c r="L757" s="260"/>
      <c r="M757" s="260"/>
      <c r="N757" s="260"/>
      <c r="O757" s="260"/>
      <c r="P757" s="260"/>
      <c r="Q757" s="260"/>
      <c r="R757" s="260"/>
      <c r="S757" s="260"/>
      <c r="T757" s="260"/>
      <c r="U757" s="260"/>
      <c r="V757" s="260"/>
      <c r="W757" s="260"/>
      <c r="X757" s="260"/>
      <c r="Y757" s="260"/>
      <c r="Z757" s="260"/>
    </row>
    <row r="758">
      <c r="A758" s="260"/>
      <c r="B758" s="260"/>
      <c r="C758" s="260"/>
      <c r="D758" s="260"/>
      <c r="E758" s="260"/>
      <c r="F758" s="260"/>
      <c r="G758" s="260"/>
      <c r="H758" s="260"/>
      <c r="I758" s="260"/>
      <c r="J758" s="260"/>
      <c r="K758" s="260"/>
      <c r="L758" s="260"/>
      <c r="M758" s="260"/>
      <c r="N758" s="260"/>
      <c r="O758" s="260"/>
      <c r="P758" s="260"/>
      <c r="Q758" s="260"/>
      <c r="R758" s="260"/>
      <c r="S758" s="260"/>
      <c r="T758" s="260"/>
      <c r="U758" s="260"/>
      <c r="V758" s="260"/>
      <c r="W758" s="260"/>
      <c r="X758" s="260"/>
      <c r="Y758" s="260"/>
      <c r="Z758" s="260"/>
    </row>
    <row r="759">
      <c r="A759" s="260"/>
      <c r="B759" s="260"/>
      <c r="C759" s="260"/>
      <c r="D759" s="260"/>
      <c r="E759" s="260"/>
      <c r="F759" s="260"/>
      <c r="G759" s="260"/>
      <c r="H759" s="260"/>
      <c r="I759" s="260"/>
      <c r="J759" s="260"/>
      <c r="K759" s="260"/>
      <c r="L759" s="260"/>
      <c r="M759" s="260"/>
      <c r="N759" s="260"/>
      <c r="O759" s="260"/>
      <c r="P759" s="260"/>
      <c r="Q759" s="260"/>
      <c r="R759" s="260"/>
      <c r="S759" s="260"/>
      <c r="T759" s="260"/>
      <c r="U759" s="260"/>
      <c r="V759" s="260"/>
      <c r="W759" s="260"/>
      <c r="X759" s="260"/>
      <c r="Y759" s="260"/>
      <c r="Z759" s="260"/>
    </row>
    <row r="760">
      <c r="A760" s="260"/>
      <c r="B760" s="260"/>
      <c r="C760" s="260"/>
      <c r="D760" s="260"/>
      <c r="E760" s="260"/>
      <c r="F760" s="260"/>
      <c r="G760" s="260"/>
      <c r="H760" s="260"/>
      <c r="I760" s="260"/>
      <c r="J760" s="260"/>
      <c r="K760" s="260"/>
      <c r="L760" s="260"/>
      <c r="M760" s="260"/>
      <c r="N760" s="260"/>
      <c r="O760" s="260"/>
      <c r="P760" s="260"/>
      <c r="Q760" s="260"/>
      <c r="R760" s="260"/>
      <c r="S760" s="260"/>
      <c r="T760" s="260"/>
      <c r="U760" s="260"/>
      <c r="V760" s="260"/>
      <c r="W760" s="260"/>
      <c r="X760" s="260"/>
      <c r="Y760" s="260"/>
      <c r="Z760" s="260"/>
    </row>
    <row r="761">
      <c r="A761" s="260"/>
      <c r="B761" s="260"/>
      <c r="C761" s="260"/>
      <c r="D761" s="260"/>
      <c r="E761" s="260"/>
      <c r="F761" s="260"/>
      <c r="G761" s="260"/>
      <c r="H761" s="260"/>
      <c r="I761" s="260"/>
      <c r="J761" s="260"/>
      <c r="K761" s="260"/>
      <c r="L761" s="260"/>
      <c r="M761" s="260"/>
      <c r="N761" s="260"/>
      <c r="O761" s="260"/>
      <c r="P761" s="260"/>
      <c r="Q761" s="260"/>
      <c r="R761" s="260"/>
      <c r="S761" s="260"/>
      <c r="T761" s="260"/>
      <c r="U761" s="260"/>
      <c r="V761" s="260"/>
      <c r="W761" s="260"/>
      <c r="X761" s="260"/>
      <c r="Y761" s="260"/>
      <c r="Z761" s="260"/>
    </row>
    <row r="762">
      <c r="A762" s="260"/>
      <c r="B762" s="260"/>
      <c r="C762" s="260"/>
      <c r="D762" s="260"/>
      <c r="E762" s="260"/>
      <c r="F762" s="260"/>
      <c r="G762" s="260"/>
      <c r="H762" s="260"/>
      <c r="I762" s="260"/>
      <c r="J762" s="260"/>
      <c r="K762" s="260"/>
      <c r="L762" s="260"/>
      <c r="M762" s="260"/>
      <c r="N762" s="260"/>
      <c r="O762" s="260"/>
      <c r="P762" s="260"/>
      <c r="Q762" s="260"/>
      <c r="R762" s="260"/>
      <c r="S762" s="260"/>
      <c r="T762" s="260"/>
      <c r="U762" s="260"/>
      <c r="V762" s="260"/>
      <c r="W762" s="260"/>
      <c r="X762" s="260"/>
      <c r="Y762" s="260"/>
      <c r="Z762" s="260"/>
    </row>
    <row r="763">
      <c r="A763" s="260"/>
      <c r="B763" s="260"/>
      <c r="C763" s="260"/>
      <c r="D763" s="260"/>
      <c r="E763" s="260"/>
      <c r="F763" s="260"/>
      <c r="G763" s="260"/>
      <c r="H763" s="260"/>
      <c r="I763" s="260"/>
      <c r="J763" s="260"/>
      <c r="K763" s="260"/>
      <c r="L763" s="260"/>
      <c r="M763" s="260"/>
      <c r="N763" s="260"/>
      <c r="O763" s="260"/>
      <c r="P763" s="260"/>
      <c r="Q763" s="260"/>
      <c r="R763" s="260"/>
      <c r="S763" s="260"/>
      <c r="T763" s="260"/>
      <c r="U763" s="260"/>
      <c r="V763" s="260"/>
      <c r="W763" s="260"/>
      <c r="X763" s="260"/>
      <c r="Y763" s="260"/>
      <c r="Z763" s="260"/>
    </row>
    <row r="764">
      <c r="A764" s="260"/>
      <c r="B764" s="260"/>
      <c r="C764" s="260"/>
      <c r="D764" s="260"/>
      <c r="E764" s="260"/>
      <c r="F764" s="260"/>
      <c r="G764" s="260"/>
      <c r="H764" s="260"/>
      <c r="I764" s="260"/>
      <c r="J764" s="260"/>
      <c r="K764" s="260"/>
      <c r="L764" s="260"/>
      <c r="M764" s="260"/>
      <c r="N764" s="260"/>
      <c r="O764" s="260"/>
      <c r="P764" s="260"/>
      <c r="Q764" s="260"/>
      <c r="R764" s="260"/>
      <c r="S764" s="260"/>
      <c r="T764" s="260"/>
      <c r="U764" s="260"/>
      <c r="V764" s="260"/>
      <c r="W764" s="260"/>
      <c r="X764" s="260"/>
      <c r="Y764" s="260"/>
      <c r="Z764" s="260"/>
    </row>
    <row r="765">
      <c r="A765" s="260"/>
      <c r="B765" s="260"/>
      <c r="C765" s="260"/>
      <c r="D765" s="260"/>
      <c r="E765" s="260"/>
      <c r="F765" s="260"/>
      <c r="G765" s="260"/>
      <c r="H765" s="260"/>
      <c r="I765" s="260"/>
      <c r="J765" s="260"/>
      <c r="K765" s="260"/>
      <c r="L765" s="260"/>
      <c r="M765" s="260"/>
      <c r="N765" s="260"/>
      <c r="O765" s="260"/>
      <c r="P765" s="260"/>
      <c r="Q765" s="260"/>
      <c r="R765" s="260"/>
      <c r="S765" s="260"/>
      <c r="T765" s="260"/>
      <c r="U765" s="260"/>
      <c r="V765" s="260"/>
      <c r="W765" s="260"/>
      <c r="X765" s="260"/>
      <c r="Y765" s="260"/>
      <c r="Z765" s="260"/>
    </row>
    <row r="766">
      <c r="A766" s="260"/>
      <c r="B766" s="260"/>
      <c r="C766" s="260"/>
      <c r="D766" s="260"/>
      <c r="E766" s="260"/>
      <c r="F766" s="260"/>
      <c r="G766" s="260"/>
      <c r="H766" s="260"/>
      <c r="I766" s="260"/>
      <c r="J766" s="260"/>
      <c r="K766" s="260"/>
      <c r="L766" s="260"/>
      <c r="M766" s="260"/>
      <c r="N766" s="260"/>
      <c r="O766" s="260"/>
      <c r="P766" s="260"/>
      <c r="Q766" s="260"/>
      <c r="R766" s="260"/>
      <c r="S766" s="260"/>
      <c r="T766" s="260"/>
      <c r="U766" s="260"/>
      <c r="V766" s="260"/>
      <c r="W766" s="260"/>
      <c r="X766" s="260"/>
      <c r="Y766" s="260"/>
      <c r="Z766" s="260"/>
    </row>
    <row r="767">
      <c r="A767" s="260"/>
      <c r="B767" s="260"/>
      <c r="C767" s="260"/>
      <c r="D767" s="260"/>
      <c r="E767" s="260"/>
      <c r="F767" s="260"/>
      <c r="G767" s="260"/>
      <c r="H767" s="260"/>
      <c r="I767" s="260"/>
      <c r="J767" s="260"/>
      <c r="K767" s="260"/>
      <c r="L767" s="260"/>
      <c r="M767" s="260"/>
      <c r="N767" s="260"/>
      <c r="O767" s="260"/>
      <c r="P767" s="260"/>
      <c r="Q767" s="260"/>
      <c r="R767" s="260"/>
      <c r="S767" s="260"/>
      <c r="T767" s="260"/>
      <c r="U767" s="260"/>
      <c r="V767" s="260"/>
      <c r="W767" s="260"/>
      <c r="X767" s="260"/>
      <c r="Y767" s="260"/>
      <c r="Z767" s="260"/>
    </row>
    <row r="768">
      <c r="A768" s="260"/>
      <c r="B768" s="260"/>
      <c r="C768" s="260"/>
      <c r="D768" s="260"/>
      <c r="E768" s="260"/>
      <c r="F768" s="260"/>
      <c r="G768" s="260"/>
      <c r="H768" s="260"/>
      <c r="I768" s="260"/>
      <c r="J768" s="260"/>
      <c r="K768" s="260"/>
      <c r="L768" s="260"/>
      <c r="M768" s="260"/>
      <c r="N768" s="260"/>
      <c r="O768" s="260"/>
      <c r="P768" s="260"/>
      <c r="Q768" s="260"/>
      <c r="R768" s="260"/>
      <c r="S768" s="260"/>
      <c r="T768" s="260"/>
      <c r="U768" s="260"/>
      <c r="V768" s="260"/>
      <c r="W768" s="260"/>
      <c r="X768" s="260"/>
      <c r="Y768" s="260"/>
      <c r="Z768" s="260"/>
    </row>
    <row r="769">
      <c r="A769" s="260"/>
      <c r="B769" s="260"/>
      <c r="C769" s="260"/>
      <c r="D769" s="260"/>
      <c r="E769" s="260"/>
      <c r="F769" s="260"/>
      <c r="G769" s="260"/>
      <c r="H769" s="260"/>
      <c r="I769" s="260"/>
      <c r="J769" s="260"/>
      <c r="K769" s="260"/>
      <c r="L769" s="260"/>
      <c r="M769" s="260"/>
      <c r="N769" s="260"/>
      <c r="O769" s="260"/>
      <c r="P769" s="260"/>
      <c r="Q769" s="260"/>
      <c r="R769" s="260"/>
      <c r="S769" s="260"/>
      <c r="T769" s="260"/>
      <c r="U769" s="260"/>
      <c r="V769" s="260"/>
      <c r="W769" s="260"/>
      <c r="X769" s="260"/>
      <c r="Y769" s="260"/>
      <c r="Z769" s="260"/>
    </row>
    <row r="770">
      <c r="A770" s="260"/>
      <c r="B770" s="260"/>
      <c r="C770" s="260"/>
      <c r="D770" s="260"/>
      <c r="E770" s="260"/>
      <c r="F770" s="260"/>
      <c r="G770" s="260"/>
      <c r="H770" s="260"/>
      <c r="I770" s="260"/>
      <c r="J770" s="260"/>
      <c r="K770" s="260"/>
      <c r="L770" s="260"/>
      <c r="M770" s="260"/>
      <c r="N770" s="260"/>
      <c r="O770" s="260"/>
      <c r="P770" s="260"/>
      <c r="Q770" s="260"/>
      <c r="R770" s="260"/>
      <c r="S770" s="260"/>
      <c r="T770" s="260"/>
      <c r="U770" s="260"/>
      <c r="V770" s="260"/>
      <c r="W770" s="260"/>
      <c r="X770" s="260"/>
      <c r="Y770" s="260"/>
      <c r="Z770" s="260"/>
    </row>
    <row r="771">
      <c r="A771" s="260"/>
      <c r="B771" s="260"/>
      <c r="C771" s="260"/>
      <c r="D771" s="260"/>
      <c r="E771" s="260"/>
      <c r="F771" s="260"/>
      <c r="G771" s="260"/>
      <c r="H771" s="260"/>
      <c r="I771" s="260"/>
      <c r="J771" s="260"/>
      <c r="K771" s="260"/>
      <c r="L771" s="260"/>
      <c r="M771" s="260"/>
      <c r="N771" s="260"/>
      <c r="O771" s="260"/>
      <c r="P771" s="260"/>
      <c r="Q771" s="260"/>
      <c r="R771" s="260"/>
      <c r="S771" s="260"/>
      <c r="T771" s="260"/>
      <c r="U771" s="260"/>
      <c r="V771" s="260"/>
      <c r="W771" s="260"/>
      <c r="X771" s="260"/>
      <c r="Y771" s="260"/>
      <c r="Z771" s="260"/>
    </row>
    <row r="772">
      <c r="A772" s="260"/>
      <c r="B772" s="260"/>
      <c r="C772" s="260"/>
      <c r="D772" s="260"/>
      <c r="E772" s="260"/>
      <c r="F772" s="260"/>
      <c r="G772" s="260"/>
      <c r="H772" s="260"/>
      <c r="I772" s="260"/>
      <c r="J772" s="260"/>
      <c r="K772" s="260"/>
      <c r="L772" s="260"/>
      <c r="M772" s="260"/>
      <c r="N772" s="260"/>
      <c r="O772" s="260"/>
      <c r="P772" s="260"/>
      <c r="Q772" s="260"/>
      <c r="R772" s="260"/>
      <c r="S772" s="260"/>
      <c r="T772" s="260"/>
      <c r="U772" s="260"/>
      <c r="V772" s="260"/>
      <c r="W772" s="260"/>
      <c r="X772" s="260"/>
      <c r="Y772" s="260"/>
      <c r="Z772" s="260"/>
    </row>
    <row r="773">
      <c r="A773" s="260"/>
      <c r="B773" s="260"/>
      <c r="C773" s="260"/>
      <c r="D773" s="260"/>
      <c r="E773" s="260"/>
      <c r="F773" s="260"/>
      <c r="G773" s="260"/>
      <c r="H773" s="260"/>
      <c r="I773" s="260"/>
      <c r="J773" s="260"/>
      <c r="K773" s="260"/>
      <c r="L773" s="260"/>
      <c r="M773" s="260"/>
      <c r="N773" s="260"/>
      <c r="O773" s="260"/>
      <c r="P773" s="260"/>
      <c r="Q773" s="260"/>
      <c r="R773" s="260"/>
      <c r="S773" s="260"/>
      <c r="T773" s="260"/>
      <c r="U773" s="260"/>
      <c r="V773" s="260"/>
      <c r="W773" s="260"/>
      <c r="X773" s="260"/>
      <c r="Y773" s="260"/>
      <c r="Z773" s="260"/>
    </row>
    <row r="774">
      <c r="A774" s="260"/>
      <c r="B774" s="260"/>
      <c r="C774" s="260"/>
      <c r="D774" s="260"/>
      <c r="E774" s="260"/>
      <c r="F774" s="260"/>
      <c r="G774" s="260"/>
      <c r="H774" s="260"/>
      <c r="I774" s="260"/>
      <c r="J774" s="260"/>
      <c r="K774" s="260"/>
      <c r="L774" s="260"/>
      <c r="M774" s="260"/>
      <c r="N774" s="260"/>
      <c r="O774" s="260"/>
      <c r="P774" s="260"/>
      <c r="Q774" s="260"/>
      <c r="R774" s="260"/>
      <c r="S774" s="260"/>
      <c r="T774" s="260"/>
      <c r="U774" s="260"/>
      <c r="V774" s="260"/>
      <c r="W774" s="260"/>
      <c r="X774" s="260"/>
      <c r="Y774" s="260"/>
      <c r="Z774" s="260"/>
    </row>
    <row r="775">
      <c r="A775" s="260"/>
      <c r="B775" s="260"/>
      <c r="C775" s="260"/>
      <c r="D775" s="260"/>
      <c r="E775" s="260"/>
      <c r="F775" s="260"/>
      <c r="G775" s="260"/>
      <c r="H775" s="260"/>
      <c r="I775" s="260"/>
      <c r="J775" s="260"/>
      <c r="K775" s="260"/>
      <c r="L775" s="260"/>
      <c r="M775" s="260"/>
      <c r="N775" s="260"/>
      <c r="O775" s="260"/>
      <c r="P775" s="260"/>
      <c r="Q775" s="260"/>
      <c r="R775" s="260"/>
      <c r="S775" s="260"/>
      <c r="T775" s="260"/>
      <c r="U775" s="260"/>
      <c r="V775" s="260"/>
      <c r="W775" s="260"/>
      <c r="X775" s="260"/>
      <c r="Y775" s="260"/>
      <c r="Z775" s="260"/>
    </row>
    <row r="776">
      <c r="A776" s="260"/>
      <c r="B776" s="260"/>
      <c r="C776" s="260"/>
      <c r="D776" s="260"/>
      <c r="E776" s="260"/>
      <c r="F776" s="260"/>
      <c r="G776" s="260"/>
      <c r="H776" s="260"/>
      <c r="I776" s="260"/>
      <c r="J776" s="260"/>
      <c r="K776" s="260"/>
      <c r="L776" s="260"/>
      <c r="M776" s="260"/>
      <c r="N776" s="260"/>
      <c r="O776" s="260"/>
      <c r="P776" s="260"/>
      <c r="Q776" s="260"/>
      <c r="R776" s="260"/>
      <c r="S776" s="260"/>
      <c r="T776" s="260"/>
      <c r="U776" s="260"/>
      <c r="V776" s="260"/>
      <c r="W776" s="260"/>
      <c r="X776" s="260"/>
      <c r="Y776" s="260"/>
      <c r="Z776" s="260"/>
    </row>
    <row r="777">
      <c r="A777" s="260"/>
      <c r="B777" s="260"/>
      <c r="C777" s="260"/>
      <c r="D777" s="260"/>
      <c r="E777" s="260"/>
      <c r="F777" s="260"/>
      <c r="G777" s="260"/>
      <c r="H777" s="260"/>
      <c r="I777" s="260"/>
      <c r="J777" s="260"/>
      <c r="K777" s="260"/>
      <c r="L777" s="260"/>
      <c r="M777" s="260"/>
      <c r="N777" s="260"/>
      <c r="O777" s="260"/>
      <c r="P777" s="260"/>
      <c r="Q777" s="260"/>
      <c r="R777" s="260"/>
      <c r="S777" s="260"/>
      <c r="T777" s="260"/>
      <c r="U777" s="260"/>
      <c r="V777" s="260"/>
      <c r="W777" s="260"/>
      <c r="X777" s="260"/>
      <c r="Y777" s="260"/>
      <c r="Z777" s="260"/>
    </row>
    <row r="778">
      <c r="A778" s="260"/>
      <c r="B778" s="260"/>
      <c r="C778" s="260"/>
      <c r="D778" s="260"/>
      <c r="E778" s="260"/>
      <c r="F778" s="260"/>
      <c r="G778" s="260"/>
      <c r="H778" s="260"/>
      <c r="I778" s="260"/>
      <c r="J778" s="260"/>
      <c r="K778" s="260"/>
      <c r="L778" s="260"/>
      <c r="M778" s="260"/>
      <c r="N778" s="260"/>
      <c r="O778" s="260"/>
      <c r="P778" s="260"/>
      <c r="Q778" s="260"/>
      <c r="R778" s="260"/>
      <c r="S778" s="260"/>
      <c r="T778" s="260"/>
      <c r="U778" s="260"/>
      <c r="V778" s="260"/>
      <c r="W778" s="260"/>
      <c r="X778" s="260"/>
      <c r="Y778" s="260"/>
      <c r="Z778" s="260"/>
    </row>
    <row r="779">
      <c r="A779" s="260"/>
      <c r="B779" s="260"/>
      <c r="C779" s="260"/>
      <c r="D779" s="260"/>
      <c r="E779" s="260"/>
      <c r="F779" s="260"/>
      <c r="G779" s="260"/>
      <c r="H779" s="260"/>
      <c r="I779" s="260"/>
      <c r="J779" s="260"/>
      <c r="K779" s="260"/>
      <c r="L779" s="260"/>
      <c r="M779" s="260"/>
      <c r="N779" s="260"/>
      <c r="O779" s="260"/>
      <c r="P779" s="260"/>
      <c r="Q779" s="260"/>
      <c r="R779" s="260"/>
      <c r="S779" s="260"/>
      <c r="T779" s="260"/>
      <c r="U779" s="260"/>
      <c r="V779" s="260"/>
      <c r="W779" s="260"/>
      <c r="X779" s="260"/>
      <c r="Y779" s="260"/>
      <c r="Z779" s="260"/>
    </row>
    <row r="780">
      <c r="A780" s="260"/>
      <c r="B780" s="260"/>
      <c r="C780" s="260"/>
      <c r="D780" s="260"/>
      <c r="E780" s="260"/>
      <c r="F780" s="260"/>
      <c r="G780" s="260"/>
      <c r="H780" s="260"/>
      <c r="I780" s="260"/>
      <c r="J780" s="260"/>
      <c r="K780" s="260"/>
      <c r="L780" s="260"/>
      <c r="M780" s="260"/>
      <c r="N780" s="260"/>
      <c r="O780" s="260"/>
      <c r="P780" s="260"/>
      <c r="Q780" s="260"/>
      <c r="R780" s="260"/>
      <c r="S780" s="260"/>
      <c r="T780" s="260"/>
      <c r="U780" s="260"/>
      <c r="V780" s="260"/>
      <c r="W780" s="260"/>
      <c r="X780" s="260"/>
      <c r="Y780" s="260"/>
      <c r="Z780" s="260"/>
    </row>
    <row r="781">
      <c r="A781" s="260"/>
      <c r="B781" s="260"/>
      <c r="C781" s="260"/>
      <c r="D781" s="260"/>
      <c r="E781" s="260"/>
      <c r="F781" s="260"/>
      <c r="G781" s="260"/>
      <c r="H781" s="260"/>
      <c r="I781" s="260"/>
      <c r="J781" s="260"/>
      <c r="K781" s="260"/>
      <c r="L781" s="260"/>
      <c r="M781" s="260"/>
      <c r="N781" s="260"/>
      <c r="O781" s="260"/>
      <c r="P781" s="260"/>
      <c r="Q781" s="260"/>
      <c r="R781" s="260"/>
      <c r="S781" s="260"/>
      <c r="T781" s="260"/>
      <c r="U781" s="260"/>
      <c r="V781" s="260"/>
      <c r="W781" s="260"/>
      <c r="X781" s="260"/>
      <c r="Y781" s="260"/>
      <c r="Z781" s="260"/>
    </row>
    <row r="782">
      <c r="A782" s="260"/>
      <c r="B782" s="260"/>
      <c r="C782" s="260"/>
      <c r="D782" s="260"/>
      <c r="E782" s="260"/>
      <c r="F782" s="260"/>
      <c r="G782" s="260"/>
      <c r="H782" s="260"/>
      <c r="I782" s="260"/>
      <c r="J782" s="260"/>
      <c r="K782" s="260"/>
      <c r="L782" s="260"/>
      <c r="M782" s="260"/>
      <c r="N782" s="260"/>
      <c r="O782" s="260"/>
      <c r="P782" s="260"/>
      <c r="Q782" s="260"/>
      <c r="R782" s="260"/>
      <c r="S782" s="260"/>
      <c r="T782" s="260"/>
      <c r="U782" s="260"/>
      <c r="V782" s="260"/>
      <c r="W782" s="260"/>
      <c r="X782" s="260"/>
      <c r="Y782" s="260"/>
      <c r="Z782" s="260"/>
    </row>
    <row r="783">
      <c r="A783" s="260"/>
      <c r="B783" s="260"/>
      <c r="C783" s="260"/>
      <c r="D783" s="260"/>
      <c r="E783" s="260"/>
      <c r="F783" s="260"/>
      <c r="G783" s="260"/>
      <c r="H783" s="260"/>
      <c r="I783" s="260"/>
      <c r="J783" s="260"/>
      <c r="K783" s="260"/>
      <c r="L783" s="260"/>
      <c r="M783" s="260"/>
      <c r="N783" s="260"/>
      <c r="O783" s="260"/>
      <c r="P783" s="260"/>
      <c r="Q783" s="260"/>
      <c r="R783" s="260"/>
      <c r="S783" s="260"/>
      <c r="T783" s="260"/>
      <c r="U783" s="260"/>
      <c r="V783" s="260"/>
      <c r="W783" s="260"/>
      <c r="X783" s="260"/>
      <c r="Y783" s="260"/>
      <c r="Z783" s="260"/>
    </row>
    <row r="784">
      <c r="A784" s="260"/>
      <c r="B784" s="260"/>
      <c r="C784" s="260"/>
      <c r="D784" s="260"/>
      <c r="E784" s="260"/>
      <c r="F784" s="260"/>
      <c r="G784" s="260"/>
      <c r="H784" s="260"/>
      <c r="I784" s="260"/>
      <c r="J784" s="260"/>
      <c r="K784" s="260"/>
      <c r="L784" s="260"/>
      <c r="M784" s="260"/>
      <c r="N784" s="260"/>
      <c r="O784" s="260"/>
      <c r="P784" s="260"/>
      <c r="Q784" s="260"/>
      <c r="R784" s="260"/>
      <c r="S784" s="260"/>
      <c r="T784" s="260"/>
      <c r="U784" s="260"/>
      <c r="V784" s="260"/>
      <c r="W784" s="260"/>
      <c r="X784" s="260"/>
      <c r="Y784" s="260"/>
      <c r="Z784" s="260"/>
    </row>
    <row r="785">
      <c r="A785" s="260"/>
      <c r="B785" s="260"/>
      <c r="C785" s="260"/>
      <c r="D785" s="260"/>
      <c r="E785" s="260"/>
      <c r="F785" s="260"/>
      <c r="G785" s="260"/>
      <c r="H785" s="260"/>
      <c r="I785" s="260"/>
      <c r="J785" s="260"/>
      <c r="K785" s="260"/>
      <c r="L785" s="260"/>
      <c r="M785" s="260"/>
      <c r="N785" s="260"/>
      <c r="O785" s="260"/>
      <c r="P785" s="260"/>
      <c r="Q785" s="260"/>
      <c r="R785" s="260"/>
      <c r="S785" s="260"/>
      <c r="T785" s="260"/>
      <c r="U785" s="260"/>
      <c r="V785" s="260"/>
      <c r="W785" s="260"/>
      <c r="X785" s="260"/>
      <c r="Y785" s="260"/>
      <c r="Z785" s="260"/>
    </row>
    <row r="786">
      <c r="A786" s="260"/>
      <c r="B786" s="260"/>
      <c r="C786" s="260"/>
      <c r="D786" s="260"/>
      <c r="E786" s="260"/>
      <c r="F786" s="260"/>
      <c r="G786" s="260"/>
      <c r="H786" s="260"/>
      <c r="I786" s="260"/>
      <c r="J786" s="260"/>
      <c r="K786" s="260"/>
      <c r="L786" s="260"/>
      <c r="M786" s="260"/>
      <c r="N786" s="260"/>
      <c r="O786" s="260"/>
      <c r="P786" s="260"/>
      <c r="Q786" s="260"/>
      <c r="R786" s="260"/>
      <c r="S786" s="260"/>
      <c r="T786" s="260"/>
      <c r="U786" s="260"/>
      <c r="V786" s="260"/>
      <c r="W786" s="260"/>
      <c r="X786" s="260"/>
      <c r="Y786" s="260"/>
      <c r="Z786" s="260"/>
    </row>
    <row r="787">
      <c r="A787" s="260"/>
      <c r="B787" s="260"/>
      <c r="C787" s="260"/>
      <c r="D787" s="260"/>
      <c r="E787" s="260"/>
      <c r="F787" s="260"/>
      <c r="G787" s="260"/>
      <c r="H787" s="260"/>
      <c r="I787" s="260"/>
      <c r="J787" s="260"/>
      <c r="K787" s="260"/>
      <c r="L787" s="260"/>
      <c r="M787" s="260"/>
      <c r="N787" s="260"/>
      <c r="O787" s="260"/>
      <c r="P787" s="260"/>
      <c r="Q787" s="260"/>
      <c r="R787" s="260"/>
      <c r="S787" s="260"/>
      <c r="T787" s="260"/>
      <c r="U787" s="260"/>
      <c r="V787" s="260"/>
      <c r="W787" s="260"/>
      <c r="X787" s="260"/>
      <c r="Y787" s="260"/>
      <c r="Z787" s="260"/>
    </row>
    <row r="788">
      <c r="A788" s="260"/>
      <c r="B788" s="260"/>
      <c r="C788" s="260"/>
      <c r="D788" s="260"/>
      <c r="E788" s="260"/>
      <c r="F788" s="260"/>
      <c r="G788" s="260"/>
      <c r="H788" s="260"/>
      <c r="I788" s="260"/>
      <c r="J788" s="260"/>
      <c r="K788" s="260"/>
      <c r="L788" s="260"/>
      <c r="M788" s="260"/>
      <c r="N788" s="260"/>
      <c r="O788" s="260"/>
      <c r="P788" s="260"/>
      <c r="Q788" s="260"/>
      <c r="R788" s="260"/>
      <c r="S788" s="260"/>
      <c r="T788" s="260"/>
      <c r="U788" s="260"/>
      <c r="V788" s="260"/>
      <c r="W788" s="260"/>
      <c r="X788" s="260"/>
      <c r="Y788" s="260"/>
      <c r="Z788" s="260"/>
    </row>
    <row r="789">
      <c r="A789" s="260"/>
      <c r="B789" s="260"/>
      <c r="C789" s="260"/>
      <c r="D789" s="260"/>
      <c r="E789" s="260"/>
      <c r="F789" s="260"/>
      <c r="G789" s="260"/>
      <c r="H789" s="260"/>
      <c r="I789" s="260"/>
      <c r="J789" s="260"/>
      <c r="K789" s="260"/>
      <c r="L789" s="260"/>
      <c r="M789" s="260"/>
      <c r="N789" s="260"/>
      <c r="O789" s="260"/>
      <c r="P789" s="260"/>
      <c r="Q789" s="260"/>
      <c r="R789" s="260"/>
      <c r="S789" s="260"/>
      <c r="T789" s="260"/>
      <c r="U789" s="260"/>
      <c r="V789" s="260"/>
      <c r="W789" s="260"/>
      <c r="X789" s="260"/>
      <c r="Y789" s="260"/>
      <c r="Z789" s="260"/>
    </row>
    <row r="790">
      <c r="A790" s="260"/>
      <c r="B790" s="260"/>
      <c r="C790" s="260"/>
      <c r="D790" s="260"/>
      <c r="E790" s="260"/>
      <c r="F790" s="260"/>
      <c r="G790" s="260"/>
      <c r="H790" s="260"/>
      <c r="I790" s="260"/>
      <c r="J790" s="260"/>
      <c r="K790" s="260"/>
      <c r="L790" s="260"/>
      <c r="M790" s="260"/>
      <c r="N790" s="260"/>
      <c r="O790" s="260"/>
      <c r="P790" s="260"/>
      <c r="Q790" s="260"/>
      <c r="R790" s="260"/>
      <c r="S790" s="260"/>
      <c r="T790" s="260"/>
      <c r="U790" s="260"/>
      <c r="V790" s="260"/>
      <c r="W790" s="260"/>
      <c r="X790" s="260"/>
      <c r="Y790" s="260"/>
      <c r="Z790" s="260"/>
    </row>
    <row r="791">
      <c r="A791" s="260"/>
      <c r="B791" s="260"/>
      <c r="C791" s="260"/>
      <c r="D791" s="260"/>
      <c r="E791" s="260"/>
      <c r="F791" s="260"/>
      <c r="G791" s="260"/>
      <c r="H791" s="260"/>
      <c r="I791" s="260"/>
      <c r="J791" s="260"/>
      <c r="K791" s="260"/>
      <c r="L791" s="260"/>
      <c r="M791" s="260"/>
      <c r="N791" s="260"/>
      <c r="O791" s="260"/>
      <c r="P791" s="260"/>
      <c r="Q791" s="260"/>
      <c r="R791" s="260"/>
      <c r="S791" s="260"/>
      <c r="T791" s="260"/>
      <c r="U791" s="260"/>
      <c r="V791" s="260"/>
      <c r="W791" s="260"/>
      <c r="X791" s="260"/>
      <c r="Y791" s="260"/>
      <c r="Z791" s="260"/>
    </row>
    <row r="792">
      <c r="A792" s="260"/>
      <c r="B792" s="260"/>
      <c r="C792" s="260"/>
      <c r="D792" s="260"/>
      <c r="E792" s="260"/>
      <c r="F792" s="260"/>
      <c r="G792" s="260"/>
      <c r="H792" s="260"/>
      <c r="I792" s="260"/>
      <c r="J792" s="260"/>
      <c r="K792" s="260"/>
      <c r="L792" s="260"/>
      <c r="M792" s="260"/>
      <c r="N792" s="260"/>
      <c r="O792" s="260"/>
      <c r="P792" s="260"/>
      <c r="Q792" s="260"/>
      <c r="R792" s="260"/>
      <c r="S792" s="260"/>
      <c r="T792" s="260"/>
      <c r="U792" s="260"/>
      <c r="V792" s="260"/>
      <c r="W792" s="260"/>
      <c r="X792" s="260"/>
      <c r="Y792" s="260"/>
      <c r="Z792" s="260"/>
    </row>
    <row r="793">
      <c r="A793" s="260"/>
      <c r="B793" s="260"/>
      <c r="C793" s="260"/>
      <c r="D793" s="260"/>
      <c r="E793" s="260"/>
      <c r="F793" s="260"/>
      <c r="G793" s="260"/>
      <c r="H793" s="260"/>
      <c r="I793" s="260"/>
      <c r="J793" s="260"/>
      <c r="K793" s="260"/>
      <c r="L793" s="260"/>
      <c r="M793" s="260"/>
      <c r="N793" s="260"/>
      <c r="O793" s="260"/>
      <c r="P793" s="260"/>
      <c r="Q793" s="260"/>
      <c r="R793" s="260"/>
      <c r="S793" s="260"/>
      <c r="T793" s="260"/>
      <c r="U793" s="260"/>
      <c r="V793" s="260"/>
      <c r="W793" s="260"/>
      <c r="X793" s="260"/>
      <c r="Y793" s="260"/>
      <c r="Z793" s="260"/>
    </row>
    <row r="794">
      <c r="A794" s="260"/>
      <c r="B794" s="260"/>
      <c r="C794" s="260"/>
      <c r="D794" s="260"/>
      <c r="E794" s="260"/>
      <c r="F794" s="260"/>
      <c r="G794" s="260"/>
      <c r="H794" s="260"/>
      <c r="I794" s="260"/>
      <c r="J794" s="260"/>
      <c r="K794" s="260"/>
      <c r="L794" s="260"/>
      <c r="M794" s="260"/>
      <c r="N794" s="260"/>
      <c r="O794" s="260"/>
      <c r="P794" s="260"/>
      <c r="Q794" s="260"/>
      <c r="R794" s="260"/>
      <c r="S794" s="260"/>
      <c r="T794" s="260"/>
      <c r="U794" s="260"/>
      <c r="V794" s="260"/>
      <c r="W794" s="260"/>
      <c r="X794" s="260"/>
      <c r="Y794" s="260"/>
      <c r="Z794" s="260"/>
    </row>
    <row r="795">
      <c r="A795" s="260"/>
      <c r="B795" s="260"/>
      <c r="C795" s="260"/>
      <c r="D795" s="260"/>
      <c r="E795" s="260"/>
      <c r="F795" s="260"/>
      <c r="G795" s="260"/>
      <c r="H795" s="260"/>
      <c r="I795" s="260"/>
      <c r="J795" s="260"/>
      <c r="K795" s="260"/>
      <c r="L795" s="260"/>
      <c r="M795" s="260"/>
      <c r="N795" s="260"/>
      <c r="O795" s="260"/>
      <c r="P795" s="260"/>
      <c r="Q795" s="260"/>
      <c r="R795" s="260"/>
      <c r="S795" s="260"/>
      <c r="T795" s="260"/>
      <c r="U795" s="260"/>
      <c r="V795" s="260"/>
      <c r="W795" s="260"/>
      <c r="X795" s="260"/>
      <c r="Y795" s="260"/>
      <c r="Z795" s="260"/>
    </row>
    <row r="796">
      <c r="A796" s="260"/>
      <c r="B796" s="260"/>
      <c r="C796" s="260"/>
      <c r="D796" s="260"/>
      <c r="E796" s="260"/>
      <c r="F796" s="260"/>
      <c r="G796" s="260"/>
      <c r="H796" s="260"/>
      <c r="I796" s="260"/>
      <c r="J796" s="260"/>
      <c r="K796" s="260"/>
      <c r="L796" s="260"/>
      <c r="M796" s="260"/>
      <c r="N796" s="260"/>
      <c r="O796" s="260"/>
      <c r="P796" s="260"/>
      <c r="Q796" s="260"/>
      <c r="R796" s="260"/>
      <c r="S796" s="260"/>
      <c r="T796" s="260"/>
      <c r="U796" s="260"/>
      <c r="V796" s="260"/>
      <c r="W796" s="260"/>
      <c r="X796" s="260"/>
      <c r="Y796" s="260"/>
      <c r="Z796" s="260"/>
    </row>
    <row r="797">
      <c r="A797" s="260"/>
      <c r="B797" s="260"/>
      <c r="C797" s="260"/>
      <c r="D797" s="260"/>
      <c r="E797" s="260"/>
      <c r="F797" s="260"/>
      <c r="G797" s="260"/>
      <c r="H797" s="260"/>
      <c r="I797" s="260"/>
      <c r="J797" s="260"/>
      <c r="K797" s="260"/>
      <c r="L797" s="260"/>
      <c r="M797" s="260"/>
      <c r="N797" s="260"/>
      <c r="O797" s="260"/>
      <c r="P797" s="260"/>
      <c r="Q797" s="260"/>
      <c r="R797" s="260"/>
      <c r="S797" s="260"/>
      <c r="T797" s="260"/>
      <c r="U797" s="260"/>
      <c r="V797" s="260"/>
      <c r="W797" s="260"/>
      <c r="X797" s="260"/>
      <c r="Y797" s="260"/>
      <c r="Z797" s="260"/>
    </row>
    <row r="798">
      <c r="A798" s="260"/>
      <c r="B798" s="260"/>
      <c r="C798" s="260"/>
      <c r="D798" s="260"/>
      <c r="E798" s="260"/>
      <c r="F798" s="260"/>
      <c r="G798" s="260"/>
      <c r="H798" s="260"/>
      <c r="I798" s="260"/>
      <c r="J798" s="260"/>
      <c r="K798" s="260"/>
      <c r="L798" s="260"/>
      <c r="M798" s="260"/>
      <c r="N798" s="260"/>
      <c r="O798" s="260"/>
      <c r="P798" s="260"/>
      <c r="Q798" s="260"/>
      <c r="R798" s="260"/>
      <c r="S798" s="260"/>
      <c r="T798" s="260"/>
      <c r="U798" s="260"/>
      <c r="V798" s="260"/>
      <c r="W798" s="260"/>
      <c r="X798" s="260"/>
      <c r="Y798" s="260"/>
      <c r="Z798" s="260"/>
    </row>
    <row r="799">
      <c r="A799" s="260"/>
      <c r="B799" s="260"/>
      <c r="C799" s="260"/>
      <c r="D799" s="260"/>
      <c r="E799" s="260"/>
      <c r="F799" s="260"/>
      <c r="G799" s="260"/>
      <c r="H799" s="260"/>
      <c r="I799" s="260"/>
      <c r="J799" s="260"/>
      <c r="K799" s="260"/>
      <c r="L799" s="260"/>
      <c r="M799" s="260"/>
      <c r="N799" s="260"/>
      <c r="O799" s="260"/>
      <c r="P799" s="260"/>
      <c r="Q799" s="260"/>
      <c r="R799" s="260"/>
      <c r="S799" s="260"/>
      <c r="T799" s="260"/>
      <c r="U799" s="260"/>
      <c r="V799" s="260"/>
      <c r="W799" s="260"/>
      <c r="X799" s="260"/>
      <c r="Y799" s="260"/>
      <c r="Z799" s="260"/>
    </row>
    <row r="800">
      <c r="A800" s="260"/>
      <c r="B800" s="260"/>
      <c r="C800" s="260"/>
      <c r="D800" s="260"/>
      <c r="E800" s="260"/>
      <c r="F800" s="260"/>
      <c r="G800" s="260"/>
      <c r="H800" s="260"/>
      <c r="I800" s="260"/>
      <c r="J800" s="260"/>
      <c r="K800" s="260"/>
      <c r="L800" s="260"/>
      <c r="M800" s="260"/>
      <c r="N800" s="260"/>
      <c r="O800" s="260"/>
      <c r="P800" s="260"/>
      <c r="Q800" s="260"/>
      <c r="R800" s="260"/>
      <c r="S800" s="260"/>
      <c r="T800" s="260"/>
      <c r="U800" s="260"/>
      <c r="V800" s="260"/>
      <c r="W800" s="260"/>
      <c r="X800" s="260"/>
      <c r="Y800" s="260"/>
      <c r="Z800" s="260"/>
    </row>
    <row r="801">
      <c r="A801" s="260"/>
      <c r="B801" s="260"/>
      <c r="C801" s="260"/>
      <c r="D801" s="260"/>
      <c r="E801" s="260"/>
      <c r="F801" s="260"/>
      <c r="G801" s="260"/>
      <c r="H801" s="260"/>
      <c r="I801" s="260"/>
      <c r="J801" s="260"/>
      <c r="K801" s="260"/>
      <c r="L801" s="260"/>
      <c r="M801" s="260"/>
      <c r="N801" s="260"/>
      <c r="O801" s="260"/>
      <c r="P801" s="260"/>
      <c r="Q801" s="260"/>
      <c r="R801" s="260"/>
      <c r="S801" s="260"/>
      <c r="T801" s="260"/>
      <c r="U801" s="260"/>
      <c r="V801" s="260"/>
      <c r="W801" s="260"/>
      <c r="X801" s="260"/>
      <c r="Y801" s="260"/>
      <c r="Z801" s="260"/>
    </row>
    <row r="802">
      <c r="A802" s="260"/>
      <c r="B802" s="260"/>
      <c r="C802" s="260"/>
      <c r="D802" s="260"/>
      <c r="E802" s="260"/>
      <c r="F802" s="260"/>
      <c r="G802" s="260"/>
      <c r="H802" s="260"/>
      <c r="I802" s="260"/>
      <c r="J802" s="260"/>
      <c r="K802" s="260"/>
      <c r="L802" s="260"/>
      <c r="M802" s="260"/>
      <c r="N802" s="260"/>
      <c r="O802" s="260"/>
      <c r="P802" s="260"/>
      <c r="Q802" s="260"/>
      <c r="R802" s="260"/>
      <c r="S802" s="260"/>
      <c r="T802" s="260"/>
      <c r="U802" s="260"/>
      <c r="V802" s="260"/>
      <c r="W802" s="260"/>
      <c r="X802" s="260"/>
      <c r="Y802" s="260"/>
      <c r="Z802" s="260"/>
    </row>
    <row r="803">
      <c r="A803" s="260"/>
      <c r="B803" s="260"/>
      <c r="C803" s="260"/>
      <c r="D803" s="260"/>
      <c r="E803" s="260"/>
      <c r="F803" s="260"/>
      <c r="G803" s="260"/>
      <c r="H803" s="260"/>
      <c r="I803" s="260"/>
      <c r="J803" s="260"/>
      <c r="K803" s="260"/>
      <c r="L803" s="260"/>
      <c r="M803" s="260"/>
      <c r="N803" s="260"/>
      <c r="O803" s="260"/>
      <c r="P803" s="260"/>
      <c r="Q803" s="260"/>
      <c r="R803" s="260"/>
      <c r="S803" s="260"/>
      <c r="T803" s="260"/>
      <c r="U803" s="260"/>
      <c r="V803" s="260"/>
      <c r="W803" s="260"/>
      <c r="X803" s="260"/>
      <c r="Y803" s="260"/>
      <c r="Z803" s="260"/>
    </row>
    <row r="804">
      <c r="A804" s="260"/>
      <c r="B804" s="260"/>
      <c r="C804" s="260"/>
      <c r="D804" s="260"/>
      <c r="E804" s="260"/>
      <c r="F804" s="260"/>
      <c r="G804" s="260"/>
      <c r="H804" s="260"/>
      <c r="I804" s="260"/>
      <c r="J804" s="260"/>
      <c r="K804" s="260"/>
      <c r="L804" s="260"/>
      <c r="M804" s="260"/>
      <c r="N804" s="260"/>
      <c r="O804" s="260"/>
      <c r="P804" s="260"/>
      <c r="Q804" s="260"/>
      <c r="R804" s="260"/>
      <c r="S804" s="260"/>
      <c r="T804" s="260"/>
      <c r="U804" s="260"/>
      <c r="V804" s="260"/>
      <c r="W804" s="260"/>
      <c r="X804" s="260"/>
      <c r="Y804" s="260"/>
      <c r="Z804" s="260"/>
    </row>
    <row r="805">
      <c r="A805" s="260"/>
      <c r="B805" s="260"/>
      <c r="C805" s="260"/>
      <c r="D805" s="260"/>
      <c r="E805" s="260"/>
      <c r="F805" s="260"/>
      <c r="G805" s="260"/>
      <c r="H805" s="260"/>
      <c r="I805" s="260"/>
      <c r="J805" s="260"/>
      <c r="K805" s="260"/>
      <c r="L805" s="260"/>
      <c r="M805" s="260"/>
      <c r="N805" s="260"/>
      <c r="O805" s="260"/>
      <c r="P805" s="260"/>
      <c r="Q805" s="260"/>
      <c r="R805" s="260"/>
      <c r="S805" s="260"/>
      <c r="T805" s="260"/>
      <c r="U805" s="260"/>
      <c r="V805" s="260"/>
      <c r="W805" s="260"/>
      <c r="X805" s="260"/>
      <c r="Y805" s="260"/>
      <c r="Z805" s="260"/>
    </row>
    <row r="806">
      <c r="A806" s="260"/>
      <c r="B806" s="260"/>
      <c r="C806" s="260"/>
      <c r="D806" s="260"/>
      <c r="E806" s="260"/>
      <c r="F806" s="260"/>
      <c r="G806" s="260"/>
      <c r="H806" s="260"/>
      <c r="I806" s="260"/>
      <c r="J806" s="260"/>
      <c r="K806" s="260"/>
      <c r="L806" s="260"/>
      <c r="M806" s="260"/>
      <c r="N806" s="260"/>
      <c r="O806" s="260"/>
      <c r="P806" s="260"/>
      <c r="Q806" s="260"/>
      <c r="R806" s="260"/>
      <c r="S806" s="260"/>
      <c r="T806" s="260"/>
      <c r="U806" s="260"/>
      <c r="V806" s="260"/>
      <c r="W806" s="260"/>
      <c r="X806" s="260"/>
      <c r="Y806" s="260"/>
      <c r="Z806" s="260"/>
    </row>
    <row r="807">
      <c r="A807" s="260"/>
      <c r="B807" s="260"/>
      <c r="C807" s="260"/>
      <c r="D807" s="260"/>
      <c r="E807" s="260"/>
      <c r="F807" s="260"/>
      <c r="G807" s="260"/>
      <c r="H807" s="260"/>
      <c r="I807" s="260"/>
      <c r="J807" s="260"/>
      <c r="K807" s="260"/>
      <c r="L807" s="260"/>
      <c r="M807" s="260"/>
      <c r="N807" s="260"/>
      <c r="O807" s="260"/>
      <c r="P807" s="260"/>
      <c r="Q807" s="260"/>
      <c r="R807" s="260"/>
      <c r="S807" s="260"/>
      <c r="T807" s="260"/>
      <c r="U807" s="260"/>
      <c r="V807" s="260"/>
      <c r="W807" s="260"/>
      <c r="X807" s="260"/>
      <c r="Y807" s="260"/>
      <c r="Z807" s="260"/>
    </row>
    <row r="808">
      <c r="A808" s="260"/>
      <c r="B808" s="260"/>
      <c r="C808" s="260"/>
      <c r="D808" s="260"/>
      <c r="E808" s="260"/>
      <c r="F808" s="260"/>
      <c r="G808" s="260"/>
      <c r="H808" s="260"/>
      <c r="I808" s="260"/>
      <c r="J808" s="260"/>
      <c r="K808" s="260"/>
      <c r="L808" s="260"/>
      <c r="M808" s="260"/>
      <c r="N808" s="260"/>
      <c r="O808" s="260"/>
      <c r="P808" s="260"/>
      <c r="Q808" s="260"/>
      <c r="R808" s="260"/>
      <c r="S808" s="260"/>
      <c r="T808" s="260"/>
      <c r="U808" s="260"/>
      <c r="V808" s="260"/>
      <c r="W808" s="260"/>
      <c r="X808" s="260"/>
      <c r="Y808" s="260"/>
      <c r="Z808" s="260"/>
    </row>
    <row r="809">
      <c r="A809" s="260"/>
      <c r="B809" s="260"/>
      <c r="C809" s="260"/>
      <c r="D809" s="260"/>
      <c r="E809" s="260"/>
      <c r="F809" s="260"/>
      <c r="G809" s="260"/>
      <c r="H809" s="260"/>
      <c r="I809" s="260"/>
      <c r="J809" s="260"/>
      <c r="K809" s="260"/>
      <c r="L809" s="260"/>
      <c r="M809" s="260"/>
      <c r="N809" s="260"/>
      <c r="O809" s="260"/>
      <c r="P809" s="260"/>
      <c r="Q809" s="260"/>
      <c r="R809" s="260"/>
      <c r="S809" s="260"/>
      <c r="T809" s="260"/>
      <c r="U809" s="260"/>
      <c r="V809" s="260"/>
      <c r="W809" s="260"/>
      <c r="X809" s="260"/>
      <c r="Y809" s="260"/>
      <c r="Z809" s="260"/>
    </row>
    <row r="810">
      <c r="A810" s="260"/>
      <c r="B810" s="260"/>
      <c r="C810" s="260"/>
      <c r="D810" s="260"/>
      <c r="E810" s="260"/>
      <c r="F810" s="260"/>
      <c r="G810" s="260"/>
      <c r="H810" s="260"/>
      <c r="I810" s="260"/>
      <c r="J810" s="260"/>
      <c r="K810" s="260"/>
      <c r="L810" s="260"/>
      <c r="M810" s="260"/>
      <c r="N810" s="260"/>
      <c r="O810" s="260"/>
      <c r="P810" s="260"/>
      <c r="Q810" s="260"/>
      <c r="R810" s="260"/>
      <c r="S810" s="260"/>
      <c r="T810" s="260"/>
      <c r="U810" s="260"/>
      <c r="V810" s="260"/>
      <c r="W810" s="260"/>
      <c r="X810" s="260"/>
      <c r="Y810" s="260"/>
      <c r="Z810" s="260"/>
    </row>
    <row r="811">
      <c r="A811" s="260"/>
      <c r="B811" s="260"/>
      <c r="C811" s="260"/>
      <c r="D811" s="260"/>
      <c r="E811" s="260"/>
      <c r="F811" s="260"/>
      <c r="G811" s="260"/>
      <c r="H811" s="260"/>
      <c r="I811" s="260"/>
      <c r="J811" s="260"/>
      <c r="K811" s="260"/>
      <c r="L811" s="260"/>
      <c r="M811" s="260"/>
      <c r="N811" s="260"/>
      <c r="O811" s="260"/>
      <c r="P811" s="260"/>
      <c r="Q811" s="260"/>
      <c r="R811" s="260"/>
      <c r="S811" s="260"/>
      <c r="T811" s="260"/>
      <c r="U811" s="260"/>
      <c r="V811" s="260"/>
      <c r="W811" s="260"/>
      <c r="X811" s="260"/>
      <c r="Y811" s="260"/>
      <c r="Z811" s="260"/>
    </row>
    <row r="812">
      <c r="A812" s="260"/>
      <c r="B812" s="260"/>
      <c r="C812" s="260"/>
      <c r="D812" s="260"/>
      <c r="E812" s="260"/>
      <c r="F812" s="260"/>
      <c r="G812" s="260"/>
      <c r="H812" s="260"/>
      <c r="I812" s="260"/>
      <c r="J812" s="260"/>
      <c r="K812" s="260"/>
      <c r="L812" s="260"/>
      <c r="M812" s="260"/>
      <c r="N812" s="260"/>
      <c r="O812" s="260"/>
      <c r="P812" s="260"/>
      <c r="Q812" s="260"/>
      <c r="R812" s="260"/>
      <c r="S812" s="260"/>
      <c r="T812" s="260"/>
      <c r="U812" s="260"/>
      <c r="V812" s="260"/>
      <c r="W812" s="260"/>
      <c r="X812" s="260"/>
      <c r="Y812" s="260"/>
      <c r="Z812" s="260"/>
    </row>
    <row r="813">
      <c r="A813" s="260"/>
      <c r="B813" s="260"/>
      <c r="C813" s="260"/>
      <c r="D813" s="260"/>
      <c r="E813" s="260"/>
      <c r="F813" s="260"/>
      <c r="G813" s="260"/>
      <c r="H813" s="260"/>
      <c r="I813" s="260"/>
      <c r="J813" s="260"/>
      <c r="K813" s="260"/>
      <c r="L813" s="260"/>
      <c r="M813" s="260"/>
      <c r="N813" s="260"/>
      <c r="O813" s="260"/>
      <c r="P813" s="260"/>
      <c r="Q813" s="260"/>
      <c r="R813" s="260"/>
      <c r="S813" s="260"/>
      <c r="T813" s="260"/>
      <c r="U813" s="260"/>
      <c r="V813" s="260"/>
      <c r="W813" s="260"/>
      <c r="X813" s="260"/>
      <c r="Y813" s="260"/>
      <c r="Z813" s="260"/>
    </row>
    <row r="814">
      <c r="A814" s="260"/>
      <c r="B814" s="260"/>
      <c r="C814" s="260"/>
      <c r="D814" s="260"/>
      <c r="E814" s="260"/>
      <c r="F814" s="260"/>
      <c r="G814" s="260"/>
      <c r="H814" s="260"/>
      <c r="I814" s="260"/>
      <c r="J814" s="260"/>
      <c r="K814" s="260"/>
      <c r="L814" s="260"/>
      <c r="M814" s="260"/>
      <c r="N814" s="260"/>
      <c r="O814" s="260"/>
      <c r="P814" s="260"/>
      <c r="Q814" s="260"/>
      <c r="R814" s="260"/>
      <c r="S814" s="260"/>
      <c r="T814" s="260"/>
      <c r="U814" s="260"/>
      <c r="V814" s="260"/>
      <c r="W814" s="260"/>
      <c r="X814" s="260"/>
      <c r="Y814" s="260"/>
      <c r="Z814" s="260"/>
    </row>
    <row r="815">
      <c r="A815" s="260"/>
      <c r="B815" s="260"/>
      <c r="C815" s="260"/>
      <c r="D815" s="260"/>
      <c r="E815" s="260"/>
      <c r="F815" s="260"/>
      <c r="G815" s="260"/>
      <c r="H815" s="260"/>
      <c r="I815" s="260"/>
      <c r="J815" s="260"/>
      <c r="K815" s="260"/>
      <c r="L815" s="260"/>
      <c r="M815" s="260"/>
      <c r="N815" s="260"/>
      <c r="O815" s="260"/>
      <c r="P815" s="260"/>
      <c r="Q815" s="260"/>
      <c r="R815" s="260"/>
      <c r="S815" s="260"/>
      <c r="T815" s="260"/>
      <c r="U815" s="260"/>
      <c r="V815" s="260"/>
      <c r="W815" s="260"/>
      <c r="X815" s="260"/>
      <c r="Y815" s="260"/>
      <c r="Z815" s="260"/>
    </row>
    <row r="816">
      <c r="A816" s="260"/>
      <c r="B816" s="260"/>
      <c r="C816" s="260"/>
      <c r="D816" s="260"/>
      <c r="E816" s="260"/>
      <c r="F816" s="260"/>
      <c r="G816" s="260"/>
      <c r="H816" s="260"/>
      <c r="I816" s="260"/>
      <c r="J816" s="260"/>
      <c r="K816" s="260"/>
      <c r="L816" s="260"/>
      <c r="M816" s="260"/>
      <c r="N816" s="260"/>
      <c r="O816" s="260"/>
      <c r="P816" s="260"/>
      <c r="Q816" s="260"/>
      <c r="R816" s="260"/>
      <c r="S816" s="260"/>
      <c r="T816" s="260"/>
      <c r="U816" s="260"/>
      <c r="V816" s="260"/>
      <c r="W816" s="260"/>
      <c r="X816" s="260"/>
      <c r="Y816" s="260"/>
      <c r="Z816" s="260"/>
    </row>
    <row r="817">
      <c r="A817" s="260"/>
      <c r="B817" s="260"/>
      <c r="C817" s="260"/>
      <c r="D817" s="260"/>
      <c r="E817" s="260"/>
      <c r="F817" s="260"/>
      <c r="G817" s="260"/>
      <c r="H817" s="260"/>
      <c r="I817" s="260"/>
      <c r="J817" s="260"/>
      <c r="K817" s="260"/>
      <c r="L817" s="260"/>
      <c r="M817" s="260"/>
      <c r="N817" s="260"/>
      <c r="O817" s="260"/>
      <c r="P817" s="260"/>
      <c r="Q817" s="260"/>
      <c r="R817" s="260"/>
      <c r="S817" s="260"/>
      <c r="T817" s="260"/>
      <c r="U817" s="260"/>
      <c r="V817" s="260"/>
      <c r="W817" s="260"/>
      <c r="X817" s="260"/>
      <c r="Y817" s="260"/>
      <c r="Z817" s="260"/>
    </row>
    <row r="818">
      <c r="A818" s="260"/>
      <c r="B818" s="260"/>
      <c r="C818" s="260"/>
      <c r="D818" s="260"/>
      <c r="E818" s="260"/>
      <c r="F818" s="260"/>
      <c r="G818" s="260"/>
      <c r="H818" s="260"/>
      <c r="I818" s="260"/>
      <c r="J818" s="260"/>
      <c r="K818" s="260"/>
      <c r="L818" s="260"/>
      <c r="M818" s="260"/>
      <c r="N818" s="260"/>
      <c r="O818" s="260"/>
      <c r="P818" s="260"/>
      <c r="Q818" s="260"/>
      <c r="R818" s="260"/>
      <c r="S818" s="260"/>
      <c r="T818" s="260"/>
      <c r="U818" s="260"/>
      <c r="V818" s="260"/>
      <c r="W818" s="260"/>
      <c r="X818" s="260"/>
      <c r="Y818" s="260"/>
      <c r="Z818" s="260"/>
    </row>
    <row r="819">
      <c r="A819" s="260"/>
      <c r="B819" s="260"/>
      <c r="C819" s="260"/>
      <c r="D819" s="260"/>
      <c r="E819" s="260"/>
      <c r="F819" s="260"/>
      <c r="G819" s="260"/>
      <c r="H819" s="260"/>
      <c r="I819" s="260"/>
      <c r="J819" s="260"/>
      <c r="K819" s="260"/>
      <c r="L819" s="260"/>
      <c r="M819" s="260"/>
      <c r="N819" s="260"/>
      <c r="O819" s="260"/>
      <c r="P819" s="260"/>
      <c r="Q819" s="260"/>
      <c r="R819" s="260"/>
      <c r="S819" s="260"/>
      <c r="T819" s="260"/>
      <c r="U819" s="260"/>
      <c r="V819" s="260"/>
      <c r="W819" s="260"/>
      <c r="X819" s="260"/>
      <c r="Y819" s="260"/>
      <c r="Z819" s="260"/>
    </row>
    <row r="820">
      <c r="A820" s="260"/>
      <c r="B820" s="260"/>
      <c r="C820" s="260"/>
      <c r="D820" s="260"/>
      <c r="E820" s="260"/>
      <c r="F820" s="260"/>
      <c r="G820" s="260"/>
      <c r="H820" s="260"/>
      <c r="I820" s="260"/>
      <c r="J820" s="260"/>
      <c r="K820" s="260"/>
      <c r="L820" s="260"/>
      <c r="M820" s="260"/>
      <c r="N820" s="260"/>
      <c r="O820" s="260"/>
      <c r="P820" s="260"/>
      <c r="Q820" s="260"/>
      <c r="R820" s="260"/>
      <c r="S820" s="260"/>
      <c r="T820" s="260"/>
      <c r="U820" s="260"/>
      <c r="V820" s="260"/>
      <c r="W820" s="260"/>
      <c r="X820" s="260"/>
      <c r="Y820" s="260"/>
      <c r="Z820" s="260"/>
    </row>
    <row r="821">
      <c r="A821" s="260"/>
      <c r="B821" s="260"/>
      <c r="C821" s="260"/>
      <c r="D821" s="260"/>
      <c r="E821" s="260"/>
      <c r="F821" s="260"/>
      <c r="G821" s="260"/>
      <c r="H821" s="260"/>
      <c r="I821" s="260"/>
      <c r="J821" s="260"/>
      <c r="K821" s="260"/>
      <c r="L821" s="260"/>
      <c r="M821" s="260"/>
      <c r="N821" s="260"/>
      <c r="O821" s="260"/>
      <c r="P821" s="260"/>
      <c r="Q821" s="260"/>
      <c r="R821" s="260"/>
      <c r="S821" s="260"/>
      <c r="T821" s="260"/>
      <c r="U821" s="260"/>
      <c r="V821" s="260"/>
      <c r="W821" s="260"/>
      <c r="X821" s="260"/>
      <c r="Y821" s="260"/>
      <c r="Z821" s="260"/>
    </row>
    <row r="822">
      <c r="A822" s="260"/>
      <c r="B822" s="260"/>
      <c r="C822" s="260"/>
      <c r="D822" s="260"/>
      <c r="E822" s="260"/>
      <c r="F822" s="260"/>
      <c r="G822" s="260"/>
      <c r="H822" s="260"/>
      <c r="I822" s="260"/>
      <c r="J822" s="260"/>
      <c r="K822" s="260"/>
      <c r="L822" s="260"/>
      <c r="M822" s="260"/>
      <c r="N822" s="260"/>
      <c r="O822" s="260"/>
      <c r="P822" s="260"/>
      <c r="Q822" s="260"/>
      <c r="R822" s="260"/>
      <c r="S822" s="260"/>
      <c r="T822" s="260"/>
      <c r="U822" s="260"/>
      <c r="V822" s="260"/>
      <c r="W822" s="260"/>
      <c r="X822" s="260"/>
      <c r="Y822" s="260"/>
      <c r="Z822" s="260"/>
    </row>
    <row r="823">
      <c r="A823" s="260"/>
      <c r="B823" s="260"/>
      <c r="C823" s="260"/>
      <c r="D823" s="260"/>
      <c r="E823" s="260"/>
      <c r="F823" s="260"/>
      <c r="G823" s="260"/>
      <c r="H823" s="260"/>
      <c r="I823" s="260"/>
      <c r="J823" s="260"/>
      <c r="K823" s="260"/>
      <c r="L823" s="260"/>
      <c r="M823" s="260"/>
      <c r="N823" s="260"/>
      <c r="O823" s="260"/>
      <c r="P823" s="260"/>
      <c r="Q823" s="260"/>
      <c r="R823" s="260"/>
      <c r="S823" s="260"/>
      <c r="T823" s="260"/>
      <c r="U823" s="260"/>
      <c r="V823" s="260"/>
      <c r="W823" s="260"/>
      <c r="X823" s="260"/>
      <c r="Y823" s="260"/>
      <c r="Z823" s="260"/>
    </row>
    <row r="824">
      <c r="A824" s="260"/>
      <c r="B824" s="260"/>
      <c r="C824" s="260"/>
      <c r="D824" s="260"/>
      <c r="E824" s="260"/>
      <c r="F824" s="260"/>
      <c r="G824" s="260"/>
      <c r="H824" s="260"/>
      <c r="I824" s="260"/>
      <c r="J824" s="260"/>
      <c r="K824" s="260"/>
      <c r="L824" s="260"/>
      <c r="M824" s="260"/>
      <c r="N824" s="260"/>
      <c r="O824" s="260"/>
      <c r="P824" s="260"/>
      <c r="Q824" s="260"/>
      <c r="R824" s="260"/>
      <c r="S824" s="260"/>
      <c r="T824" s="260"/>
      <c r="U824" s="260"/>
      <c r="V824" s="260"/>
      <c r="W824" s="260"/>
      <c r="X824" s="260"/>
      <c r="Y824" s="260"/>
      <c r="Z824" s="260"/>
    </row>
    <row r="825">
      <c r="A825" s="260"/>
      <c r="B825" s="260"/>
      <c r="C825" s="260"/>
      <c r="D825" s="260"/>
      <c r="E825" s="260"/>
      <c r="F825" s="260"/>
      <c r="G825" s="260"/>
      <c r="H825" s="260"/>
      <c r="I825" s="260"/>
      <c r="J825" s="260"/>
      <c r="K825" s="260"/>
      <c r="L825" s="260"/>
      <c r="M825" s="260"/>
      <c r="N825" s="260"/>
      <c r="O825" s="260"/>
      <c r="P825" s="260"/>
      <c r="Q825" s="260"/>
      <c r="R825" s="260"/>
      <c r="S825" s="260"/>
      <c r="T825" s="260"/>
      <c r="U825" s="260"/>
      <c r="V825" s="260"/>
      <c r="W825" s="260"/>
      <c r="X825" s="260"/>
      <c r="Y825" s="260"/>
      <c r="Z825" s="260"/>
    </row>
    <row r="826">
      <c r="A826" s="260"/>
      <c r="B826" s="260"/>
      <c r="C826" s="260"/>
      <c r="D826" s="260"/>
      <c r="E826" s="260"/>
      <c r="F826" s="260"/>
      <c r="G826" s="260"/>
      <c r="H826" s="260"/>
      <c r="I826" s="260"/>
      <c r="J826" s="260"/>
      <c r="K826" s="260"/>
      <c r="L826" s="260"/>
      <c r="M826" s="260"/>
      <c r="N826" s="260"/>
      <c r="O826" s="260"/>
      <c r="P826" s="260"/>
      <c r="Q826" s="260"/>
      <c r="R826" s="260"/>
      <c r="S826" s="260"/>
      <c r="T826" s="260"/>
      <c r="U826" s="260"/>
      <c r="V826" s="260"/>
      <c r="W826" s="260"/>
      <c r="X826" s="260"/>
      <c r="Y826" s="260"/>
      <c r="Z826" s="260"/>
    </row>
    <row r="827">
      <c r="A827" s="260"/>
      <c r="B827" s="260"/>
      <c r="C827" s="260"/>
      <c r="D827" s="260"/>
      <c r="E827" s="260"/>
      <c r="F827" s="260"/>
      <c r="G827" s="260"/>
      <c r="H827" s="260"/>
      <c r="I827" s="260"/>
      <c r="J827" s="260"/>
      <c r="K827" s="260"/>
      <c r="L827" s="260"/>
      <c r="M827" s="260"/>
      <c r="N827" s="260"/>
      <c r="O827" s="260"/>
      <c r="P827" s="260"/>
      <c r="Q827" s="260"/>
      <c r="R827" s="260"/>
      <c r="S827" s="260"/>
      <c r="T827" s="260"/>
      <c r="U827" s="260"/>
      <c r="V827" s="260"/>
      <c r="W827" s="260"/>
      <c r="X827" s="260"/>
      <c r="Y827" s="260"/>
      <c r="Z827" s="260"/>
    </row>
    <row r="828">
      <c r="A828" s="260"/>
      <c r="B828" s="260"/>
      <c r="C828" s="260"/>
      <c r="D828" s="260"/>
      <c r="E828" s="260"/>
      <c r="F828" s="260"/>
      <c r="G828" s="260"/>
      <c r="H828" s="260"/>
      <c r="I828" s="260"/>
      <c r="J828" s="260"/>
      <c r="K828" s="260"/>
      <c r="L828" s="260"/>
      <c r="M828" s="260"/>
      <c r="N828" s="260"/>
      <c r="O828" s="260"/>
      <c r="P828" s="260"/>
      <c r="Q828" s="260"/>
      <c r="R828" s="260"/>
      <c r="S828" s="260"/>
      <c r="T828" s="260"/>
      <c r="U828" s="260"/>
      <c r="V828" s="260"/>
      <c r="W828" s="260"/>
      <c r="X828" s="260"/>
      <c r="Y828" s="260"/>
      <c r="Z828" s="260"/>
    </row>
    <row r="829">
      <c r="A829" s="260"/>
      <c r="B829" s="260"/>
      <c r="C829" s="260"/>
      <c r="D829" s="260"/>
      <c r="E829" s="260"/>
      <c r="F829" s="260"/>
      <c r="G829" s="260"/>
      <c r="H829" s="260"/>
      <c r="I829" s="260"/>
      <c r="J829" s="260"/>
      <c r="K829" s="260"/>
      <c r="L829" s="260"/>
      <c r="M829" s="260"/>
      <c r="N829" s="260"/>
      <c r="O829" s="260"/>
      <c r="P829" s="260"/>
      <c r="Q829" s="260"/>
      <c r="R829" s="260"/>
      <c r="S829" s="260"/>
      <c r="T829" s="260"/>
      <c r="U829" s="260"/>
      <c r="V829" s="260"/>
      <c r="W829" s="260"/>
      <c r="X829" s="260"/>
      <c r="Y829" s="260"/>
      <c r="Z829" s="260"/>
    </row>
    <row r="830">
      <c r="A830" s="260"/>
      <c r="B830" s="260"/>
      <c r="C830" s="260"/>
      <c r="D830" s="260"/>
      <c r="E830" s="260"/>
      <c r="F830" s="260"/>
      <c r="G830" s="260"/>
      <c r="H830" s="260"/>
      <c r="I830" s="260"/>
      <c r="J830" s="260"/>
      <c r="K830" s="260"/>
      <c r="L830" s="260"/>
      <c r="M830" s="260"/>
      <c r="N830" s="260"/>
      <c r="O830" s="260"/>
      <c r="P830" s="260"/>
      <c r="Q830" s="260"/>
      <c r="R830" s="260"/>
      <c r="S830" s="260"/>
      <c r="T830" s="260"/>
      <c r="U830" s="260"/>
      <c r="V830" s="260"/>
      <c r="W830" s="260"/>
      <c r="X830" s="260"/>
      <c r="Y830" s="260"/>
      <c r="Z830" s="260"/>
    </row>
    <row r="831">
      <c r="A831" s="260"/>
      <c r="B831" s="260"/>
      <c r="C831" s="260"/>
      <c r="D831" s="260"/>
      <c r="E831" s="260"/>
      <c r="F831" s="260"/>
      <c r="G831" s="260"/>
      <c r="H831" s="260"/>
      <c r="I831" s="260"/>
      <c r="J831" s="260"/>
      <c r="K831" s="260"/>
      <c r="L831" s="260"/>
      <c r="M831" s="260"/>
      <c r="N831" s="260"/>
      <c r="O831" s="260"/>
      <c r="P831" s="260"/>
      <c r="Q831" s="260"/>
      <c r="R831" s="260"/>
      <c r="S831" s="260"/>
      <c r="T831" s="260"/>
      <c r="U831" s="260"/>
      <c r="V831" s="260"/>
      <c r="W831" s="260"/>
      <c r="X831" s="260"/>
      <c r="Y831" s="260"/>
      <c r="Z831" s="260"/>
    </row>
    <row r="832">
      <c r="A832" s="260"/>
      <c r="B832" s="260"/>
      <c r="C832" s="260"/>
      <c r="D832" s="260"/>
      <c r="E832" s="260"/>
      <c r="F832" s="260"/>
      <c r="G832" s="260"/>
      <c r="H832" s="260"/>
      <c r="I832" s="260"/>
      <c r="J832" s="260"/>
      <c r="K832" s="260"/>
      <c r="L832" s="260"/>
      <c r="M832" s="260"/>
      <c r="N832" s="260"/>
      <c r="O832" s="260"/>
      <c r="P832" s="260"/>
      <c r="Q832" s="260"/>
      <c r="R832" s="260"/>
      <c r="S832" s="260"/>
      <c r="T832" s="260"/>
      <c r="U832" s="260"/>
      <c r="V832" s="260"/>
      <c r="W832" s="260"/>
      <c r="X832" s="260"/>
      <c r="Y832" s="260"/>
      <c r="Z832" s="260"/>
    </row>
    <row r="833">
      <c r="A833" s="260"/>
      <c r="B833" s="260"/>
      <c r="C833" s="260"/>
      <c r="D833" s="260"/>
      <c r="E833" s="260"/>
      <c r="F833" s="260"/>
      <c r="G833" s="260"/>
      <c r="H833" s="260"/>
      <c r="I833" s="260"/>
      <c r="J833" s="260"/>
      <c r="K833" s="260"/>
      <c r="L833" s="260"/>
      <c r="M833" s="260"/>
      <c r="N833" s="260"/>
      <c r="O833" s="260"/>
      <c r="P833" s="260"/>
      <c r="Q833" s="260"/>
      <c r="R833" s="260"/>
      <c r="S833" s="260"/>
      <c r="T833" s="260"/>
      <c r="U833" s="260"/>
      <c r="V833" s="260"/>
      <c r="W833" s="260"/>
      <c r="X833" s="260"/>
      <c r="Y833" s="260"/>
      <c r="Z833" s="260"/>
    </row>
    <row r="834">
      <c r="A834" s="260"/>
      <c r="B834" s="260"/>
      <c r="C834" s="260"/>
      <c r="D834" s="260"/>
      <c r="E834" s="260"/>
      <c r="F834" s="260"/>
      <c r="G834" s="260"/>
      <c r="H834" s="260"/>
      <c r="I834" s="260"/>
      <c r="J834" s="260"/>
      <c r="K834" s="260"/>
      <c r="L834" s="260"/>
      <c r="M834" s="260"/>
      <c r="N834" s="260"/>
      <c r="O834" s="260"/>
      <c r="P834" s="260"/>
      <c r="Q834" s="260"/>
      <c r="R834" s="260"/>
      <c r="S834" s="260"/>
      <c r="T834" s="260"/>
      <c r="U834" s="260"/>
      <c r="V834" s="260"/>
      <c r="W834" s="260"/>
      <c r="X834" s="260"/>
      <c r="Y834" s="260"/>
      <c r="Z834" s="260"/>
    </row>
    <row r="835">
      <c r="A835" s="260"/>
      <c r="B835" s="260"/>
      <c r="C835" s="260"/>
      <c r="D835" s="260"/>
      <c r="E835" s="260"/>
      <c r="F835" s="260"/>
      <c r="G835" s="260"/>
      <c r="H835" s="260"/>
      <c r="I835" s="260"/>
      <c r="J835" s="260"/>
      <c r="K835" s="260"/>
      <c r="L835" s="260"/>
      <c r="M835" s="260"/>
      <c r="N835" s="260"/>
      <c r="O835" s="260"/>
      <c r="P835" s="260"/>
      <c r="Q835" s="260"/>
      <c r="R835" s="260"/>
      <c r="S835" s="260"/>
      <c r="T835" s="260"/>
      <c r="U835" s="260"/>
      <c r="V835" s="260"/>
      <c r="W835" s="260"/>
      <c r="X835" s="260"/>
      <c r="Y835" s="260"/>
      <c r="Z835" s="260"/>
    </row>
    <row r="836">
      <c r="A836" s="260"/>
      <c r="B836" s="260"/>
      <c r="C836" s="260"/>
      <c r="D836" s="260"/>
      <c r="E836" s="260"/>
      <c r="F836" s="260"/>
      <c r="G836" s="260"/>
      <c r="H836" s="260"/>
      <c r="I836" s="260"/>
      <c r="J836" s="260"/>
      <c r="K836" s="260"/>
      <c r="L836" s="260"/>
      <c r="M836" s="260"/>
      <c r="N836" s="260"/>
      <c r="O836" s="260"/>
      <c r="P836" s="260"/>
      <c r="Q836" s="260"/>
      <c r="R836" s="260"/>
      <c r="S836" s="260"/>
      <c r="T836" s="260"/>
      <c r="U836" s="260"/>
      <c r="V836" s="260"/>
      <c r="W836" s="260"/>
      <c r="X836" s="260"/>
      <c r="Y836" s="260"/>
      <c r="Z836" s="260"/>
    </row>
    <row r="837">
      <c r="A837" s="260"/>
      <c r="B837" s="260"/>
      <c r="C837" s="260"/>
      <c r="D837" s="260"/>
      <c r="E837" s="260"/>
      <c r="F837" s="260"/>
      <c r="G837" s="260"/>
      <c r="H837" s="260"/>
      <c r="I837" s="260"/>
      <c r="J837" s="260"/>
      <c r="K837" s="260"/>
      <c r="L837" s="260"/>
      <c r="M837" s="260"/>
      <c r="N837" s="260"/>
      <c r="O837" s="260"/>
      <c r="P837" s="260"/>
      <c r="Q837" s="260"/>
      <c r="R837" s="260"/>
      <c r="S837" s="260"/>
      <c r="T837" s="260"/>
      <c r="U837" s="260"/>
      <c r="V837" s="260"/>
      <c r="W837" s="260"/>
      <c r="X837" s="260"/>
      <c r="Y837" s="260"/>
      <c r="Z837" s="260"/>
    </row>
    <row r="838">
      <c r="A838" s="260"/>
      <c r="B838" s="260"/>
      <c r="C838" s="260"/>
      <c r="D838" s="260"/>
      <c r="E838" s="260"/>
      <c r="F838" s="260"/>
      <c r="G838" s="260"/>
      <c r="H838" s="260"/>
      <c r="I838" s="260"/>
      <c r="J838" s="260"/>
      <c r="K838" s="260"/>
      <c r="L838" s="260"/>
      <c r="M838" s="260"/>
      <c r="N838" s="260"/>
      <c r="O838" s="260"/>
      <c r="P838" s="260"/>
      <c r="Q838" s="260"/>
      <c r="R838" s="260"/>
      <c r="S838" s="260"/>
      <c r="T838" s="260"/>
      <c r="U838" s="260"/>
      <c r="V838" s="260"/>
      <c r="W838" s="260"/>
      <c r="X838" s="260"/>
      <c r="Y838" s="260"/>
      <c r="Z838" s="260"/>
    </row>
    <row r="839">
      <c r="A839" s="260"/>
      <c r="B839" s="260"/>
      <c r="C839" s="260"/>
      <c r="D839" s="260"/>
      <c r="E839" s="260"/>
      <c r="F839" s="260"/>
      <c r="G839" s="260"/>
      <c r="H839" s="260"/>
      <c r="I839" s="260"/>
      <c r="J839" s="260"/>
      <c r="K839" s="260"/>
      <c r="L839" s="260"/>
      <c r="M839" s="260"/>
      <c r="N839" s="260"/>
      <c r="O839" s="260"/>
      <c r="P839" s="260"/>
      <c r="Q839" s="260"/>
      <c r="R839" s="260"/>
      <c r="S839" s="260"/>
      <c r="T839" s="260"/>
      <c r="U839" s="260"/>
      <c r="V839" s="260"/>
      <c r="W839" s="260"/>
      <c r="X839" s="260"/>
      <c r="Y839" s="260"/>
      <c r="Z839" s="260"/>
    </row>
    <row r="840">
      <c r="A840" s="260"/>
      <c r="B840" s="260"/>
      <c r="C840" s="260"/>
      <c r="D840" s="260"/>
      <c r="E840" s="260"/>
      <c r="F840" s="260"/>
      <c r="G840" s="260"/>
      <c r="H840" s="260"/>
      <c r="I840" s="260"/>
      <c r="J840" s="260"/>
      <c r="K840" s="260"/>
      <c r="L840" s="260"/>
      <c r="M840" s="260"/>
      <c r="N840" s="260"/>
      <c r="O840" s="260"/>
      <c r="P840" s="260"/>
      <c r="Q840" s="260"/>
      <c r="R840" s="260"/>
      <c r="S840" s="260"/>
      <c r="T840" s="260"/>
      <c r="U840" s="260"/>
      <c r="V840" s="260"/>
      <c r="W840" s="260"/>
      <c r="X840" s="260"/>
      <c r="Y840" s="260"/>
      <c r="Z840" s="260"/>
    </row>
    <row r="841">
      <c r="A841" s="260"/>
      <c r="B841" s="260"/>
      <c r="C841" s="260"/>
      <c r="D841" s="260"/>
      <c r="E841" s="260"/>
      <c r="F841" s="260"/>
      <c r="G841" s="260"/>
      <c r="H841" s="260"/>
      <c r="I841" s="260"/>
      <c r="J841" s="260"/>
      <c r="K841" s="260"/>
      <c r="L841" s="260"/>
      <c r="M841" s="260"/>
      <c r="N841" s="260"/>
      <c r="O841" s="260"/>
      <c r="P841" s="260"/>
      <c r="Q841" s="260"/>
      <c r="R841" s="260"/>
      <c r="S841" s="260"/>
      <c r="T841" s="260"/>
      <c r="U841" s="260"/>
      <c r="V841" s="260"/>
      <c r="W841" s="260"/>
      <c r="X841" s="260"/>
      <c r="Y841" s="260"/>
      <c r="Z841" s="260"/>
    </row>
    <row r="842">
      <c r="A842" s="260"/>
      <c r="B842" s="260"/>
      <c r="C842" s="260"/>
      <c r="D842" s="260"/>
      <c r="E842" s="260"/>
      <c r="F842" s="260"/>
      <c r="G842" s="260"/>
      <c r="H842" s="260"/>
      <c r="I842" s="260"/>
      <c r="J842" s="260"/>
      <c r="K842" s="260"/>
      <c r="L842" s="260"/>
      <c r="M842" s="260"/>
      <c r="N842" s="260"/>
      <c r="O842" s="260"/>
      <c r="P842" s="260"/>
      <c r="Q842" s="260"/>
      <c r="R842" s="260"/>
      <c r="S842" s="260"/>
      <c r="T842" s="260"/>
      <c r="U842" s="260"/>
      <c r="V842" s="260"/>
      <c r="W842" s="260"/>
      <c r="X842" s="260"/>
      <c r="Y842" s="260"/>
      <c r="Z842" s="260"/>
    </row>
    <row r="843">
      <c r="A843" s="260"/>
      <c r="B843" s="260"/>
      <c r="C843" s="260"/>
      <c r="D843" s="260"/>
      <c r="E843" s="260"/>
      <c r="F843" s="260"/>
      <c r="G843" s="260"/>
      <c r="H843" s="260"/>
      <c r="I843" s="260"/>
      <c r="J843" s="260"/>
      <c r="K843" s="260"/>
      <c r="L843" s="260"/>
      <c r="M843" s="260"/>
      <c r="N843" s="260"/>
      <c r="O843" s="260"/>
      <c r="P843" s="260"/>
      <c r="Q843" s="260"/>
      <c r="R843" s="260"/>
      <c r="S843" s="260"/>
      <c r="T843" s="260"/>
      <c r="U843" s="260"/>
      <c r="V843" s="260"/>
      <c r="W843" s="260"/>
      <c r="X843" s="260"/>
      <c r="Y843" s="260"/>
      <c r="Z843" s="260"/>
    </row>
    <row r="844">
      <c r="A844" s="260"/>
      <c r="B844" s="260"/>
      <c r="C844" s="260"/>
      <c r="D844" s="260"/>
      <c r="E844" s="260"/>
      <c r="F844" s="260"/>
      <c r="G844" s="260"/>
      <c r="H844" s="260"/>
      <c r="I844" s="260"/>
      <c r="J844" s="260"/>
      <c r="K844" s="260"/>
      <c r="L844" s="260"/>
      <c r="M844" s="260"/>
      <c r="N844" s="260"/>
      <c r="O844" s="260"/>
      <c r="P844" s="260"/>
      <c r="Q844" s="260"/>
      <c r="R844" s="260"/>
      <c r="S844" s="260"/>
      <c r="T844" s="260"/>
      <c r="U844" s="260"/>
      <c r="V844" s="260"/>
      <c r="W844" s="260"/>
      <c r="X844" s="260"/>
      <c r="Y844" s="260"/>
      <c r="Z844" s="260"/>
    </row>
    <row r="845">
      <c r="A845" s="260"/>
      <c r="B845" s="260"/>
      <c r="C845" s="260"/>
      <c r="D845" s="260"/>
      <c r="E845" s="260"/>
      <c r="F845" s="260"/>
      <c r="G845" s="260"/>
      <c r="H845" s="260"/>
      <c r="I845" s="260"/>
      <c r="J845" s="260"/>
      <c r="K845" s="260"/>
      <c r="L845" s="260"/>
      <c r="M845" s="260"/>
      <c r="N845" s="260"/>
      <c r="O845" s="260"/>
      <c r="P845" s="260"/>
      <c r="Q845" s="260"/>
      <c r="R845" s="260"/>
      <c r="S845" s="260"/>
      <c r="T845" s="260"/>
      <c r="U845" s="260"/>
      <c r="V845" s="260"/>
      <c r="W845" s="260"/>
      <c r="X845" s="260"/>
      <c r="Y845" s="260"/>
      <c r="Z845" s="260"/>
    </row>
    <row r="846">
      <c r="A846" s="260"/>
      <c r="B846" s="260"/>
      <c r="C846" s="260"/>
      <c r="D846" s="260"/>
      <c r="E846" s="260"/>
      <c r="F846" s="260"/>
      <c r="G846" s="260"/>
      <c r="H846" s="260"/>
      <c r="I846" s="260"/>
      <c r="J846" s="260"/>
      <c r="K846" s="260"/>
      <c r="L846" s="260"/>
      <c r="M846" s="260"/>
      <c r="N846" s="260"/>
      <c r="O846" s="260"/>
      <c r="P846" s="260"/>
      <c r="Q846" s="260"/>
      <c r="R846" s="260"/>
      <c r="S846" s="260"/>
      <c r="T846" s="260"/>
      <c r="U846" s="260"/>
      <c r="V846" s="260"/>
      <c r="W846" s="260"/>
      <c r="X846" s="260"/>
      <c r="Y846" s="260"/>
      <c r="Z846" s="260"/>
    </row>
    <row r="847">
      <c r="A847" s="260"/>
      <c r="B847" s="260"/>
      <c r="C847" s="260"/>
      <c r="D847" s="260"/>
      <c r="E847" s="260"/>
      <c r="F847" s="260"/>
      <c r="G847" s="260"/>
      <c r="H847" s="260"/>
      <c r="I847" s="260"/>
      <c r="J847" s="260"/>
      <c r="K847" s="260"/>
      <c r="L847" s="260"/>
      <c r="M847" s="260"/>
      <c r="N847" s="260"/>
      <c r="O847" s="260"/>
      <c r="P847" s="260"/>
      <c r="Q847" s="260"/>
      <c r="R847" s="260"/>
      <c r="S847" s="260"/>
      <c r="T847" s="260"/>
      <c r="U847" s="260"/>
      <c r="V847" s="260"/>
      <c r="W847" s="260"/>
      <c r="X847" s="260"/>
      <c r="Y847" s="260"/>
      <c r="Z847" s="260"/>
    </row>
    <row r="848">
      <c r="A848" s="260"/>
      <c r="B848" s="260"/>
      <c r="C848" s="260"/>
      <c r="D848" s="260"/>
      <c r="E848" s="260"/>
      <c r="F848" s="260"/>
      <c r="G848" s="260"/>
      <c r="H848" s="260"/>
      <c r="I848" s="260"/>
      <c r="J848" s="260"/>
      <c r="K848" s="260"/>
      <c r="L848" s="260"/>
      <c r="M848" s="260"/>
      <c r="N848" s="260"/>
      <c r="O848" s="260"/>
      <c r="P848" s="260"/>
      <c r="Q848" s="260"/>
      <c r="R848" s="260"/>
      <c r="S848" s="260"/>
      <c r="T848" s="260"/>
      <c r="U848" s="260"/>
      <c r="V848" s="260"/>
      <c r="W848" s="260"/>
      <c r="X848" s="260"/>
      <c r="Y848" s="260"/>
      <c r="Z848" s="260"/>
    </row>
    <row r="849">
      <c r="A849" s="260"/>
      <c r="B849" s="260"/>
      <c r="C849" s="260"/>
      <c r="D849" s="260"/>
      <c r="E849" s="260"/>
      <c r="F849" s="260"/>
      <c r="G849" s="260"/>
      <c r="H849" s="260"/>
      <c r="I849" s="260"/>
      <c r="J849" s="260"/>
      <c r="K849" s="260"/>
      <c r="L849" s="260"/>
      <c r="M849" s="260"/>
      <c r="N849" s="260"/>
      <c r="O849" s="260"/>
      <c r="P849" s="260"/>
      <c r="Q849" s="260"/>
      <c r="R849" s="260"/>
      <c r="S849" s="260"/>
      <c r="T849" s="260"/>
      <c r="U849" s="260"/>
      <c r="V849" s="260"/>
      <c r="W849" s="260"/>
      <c r="X849" s="260"/>
      <c r="Y849" s="260"/>
      <c r="Z849" s="260"/>
    </row>
    <row r="850">
      <c r="A850" s="260"/>
      <c r="B850" s="260"/>
      <c r="C850" s="260"/>
      <c r="D850" s="260"/>
      <c r="E850" s="260"/>
      <c r="F850" s="260"/>
      <c r="G850" s="260"/>
      <c r="H850" s="260"/>
      <c r="I850" s="260"/>
      <c r="J850" s="260"/>
      <c r="K850" s="260"/>
      <c r="L850" s="260"/>
      <c r="M850" s="260"/>
      <c r="N850" s="260"/>
      <c r="O850" s="260"/>
      <c r="P850" s="260"/>
      <c r="Q850" s="260"/>
      <c r="R850" s="260"/>
      <c r="S850" s="260"/>
      <c r="T850" s="260"/>
      <c r="U850" s="260"/>
      <c r="V850" s="260"/>
      <c r="W850" s="260"/>
      <c r="X850" s="260"/>
      <c r="Y850" s="260"/>
      <c r="Z850" s="260"/>
    </row>
    <row r="851">
      <c r="A851" s="260"/>
      <c r="B851" s="260"/>
      <c r="C851" s="260"/>
      <c r="D851" s="260"/>
      <c r="E851" s="260"/>
      <c r="F851" s="260"/>
      <c r="G851" s="260"/>
      <c r="H851" s="260"/>
      <c r="I851" s="260"/>
      <c r="J851" s="260"/>
      <c r="K851" s="260"/>
      <c r="L851" s="260"/>
      <c r="M851" s="260"/>
      <c r="N851" s="260"/>
      <c r="O851" s="260"/>
      <c r="P851" s="260"/>
      <c r="Q851" s="260"/>
      <c r="R851" s="260"/>
      <c r="S851" s="260"/>
      <c r="T851" s="260"/>
      <c r="U851" s="260"/>
      <c r="V851" s="260"/>
      <c r="W851" s="260"/>
      <c r="X851" s="260"/>
      <c r="Y851" s="260"/>
      <c r="Z851" s="260"/>
    </row>
    <row r="852">
      <c r="A852" s="260"/>
      <c r="B852" s="260"/>
      <c r="C852" s="260"/>
      <c r="D852" s="260"/>
      <c r="E852" s="260"/>
      <c r="F852" s="260"/>
      <c r="G852" s="260"/>
      <c r="H852" s="260"/>
      <c r="I852" s="260"/>
      <c r="J852" s="260"/>
      <c r="K852" s="260"/>
      <c r="L852" s="260"/>
      <c r="M852" s="260"/>
      <c r="N852" s="260"/>
      <c r="O852" s="260"/>
      <c r="P852" s="260"/>
      <c r="Q852" s="260"/>
      <c r="R852" s="260"/>
      <c r="S852" s="260"/>
      <c r="T852" s="260"/>
      <c r="U852" s="260"/>
      <c r="V852" s="260"/>
      <c r="W852" s="260"/>
      <c r="X852" s="260"/>
      <c r="Y852" s="260"/>
      <c r="Z852" s="260"/>
    </row>
    <row r="853">
      <c r="A853" s="260"/>
      <c r="B853" s="260"/>
      <c r="C853" s="260"/>
      <c r="D853" s="260"/>
      <c r="E853" s="260"/>
      <c r="F853" s="260"/>
      <c r="G853" s="260"/>
      <c r="H853" s="260"/>
      <c r="I853" s="260"/>
      <c r="J853" s="260"/>
      <c r="K853" s="260"/>
      <c r="L853" s="260"/>
      <c r="M853" s="260"/>
      <c r="N853" s="260"/>
      <c r="O853" s="260"/>
      <c r="P853" s="260"/>
      <c r="Q853" s="260"/>
      <c r="R853" s="260"/>
      <c r="S853" s="260"/>
      <c r="T853" s="260"/>
      <c r="U853" s="260"/>
      <c r="V853" s="260"/>
      <c r="W853" s="260"/>
      <c r="X853" s="260"/>
      <c r="Y853" s="260"/>
      <c r="Z853" s="260"/>
    </row>
    <row r="854">
      <c r="A854" s="260"/>
      <c r="B854" s="260"/>
      <c r="C854" s="260"/>
      <c r="D854" s="260"/>
      <c r="E854" s="260"/>
      <c r="F854" s="260"/>
      <c r="G854" s="260"/>
      <c r="H854" s="260"/>
      <c r="I854" s="260"/>
      <c r="J854" s="260"/>
      <c r="K854" s="260"/>
      <c r="L854" s="260"/>
      <c r="M854" s="260"/>
      <c r="N854" s="260"/>
      <c r="O854" s="260"/>
      <c r="P854" s="260"/>
      <c r="Q854" s="260"/>
      <c r="R854" s="260"/>
      <c r="S854" s="260"/>
      <c r="T854" s="260"/>
      <c r="U854" s="260"/>
      <c r="V854" s="260"/>
      <c r="W854" s="260"/>
      <c r="X854" s="260"/>
      <c r="Y854" s="260"/>
      <c r="Z854" s="260"/>
    </row>
    <row r="855">
      <c r="A855" s="260"/>
      <c r="B855" s="260"/>
      <c r="C855" s="260"/>
      <c r="D855" s="260"/>
      <c r="E855" s="260"/>
      <c r="F855" s="260"/>
      <c r="G855" s="260"/>
      <c r="H855" s="260"/>
      <c r="I855" s="260"/>
      <c r="J855" s="260"/>
      <c r="K855" s="260"/>
      <c r="L855" s="260"/>
      <c r="M855" s="260"/>
      <c r="N855" s="260"/>
      <c r="O855" s="260"/>
      <c r="P855" s="260"/>
      <c r="Q855" s="260"/>
      <c r="R855" s="260"/>
      <c r="S855" s="260"/>
      <c r="T855" s="260"/>
      <c r="U855" s="260"/>
      <c r="V855" s="260"/>
      <c r="W855" s="260"/>
      <c r="X855" s="260"/>
      <c r="Y855" s="260"/>
      <c r="Z855" s="260"/>
    </row>
    <row r="856">
      <c r="A856" s="260"/>
      <c r="B856" s="260"/>
      <c r="C856" s="260"/>
      <c r="D856" s="260"/>
      <c r="E856" s="260"/>
      <c r="F856" s="260"/>
      <c r="G856" s="260"/>
      <c r="H856" s="260"/>
      <c r="I856" s="260"/>
      <c r="J856" s="260"/>
      <c r="K856" s="260"/>
      <c r="L856" s="260"/>
      <c r="M856" s="260"/>
      <c r="N856" s="260"/>
      <c r="O856" s="260"/>
      <c r="P856" s="260"/>
      <c r="Q856" s="260"/>
      <c r="R856" s="260"/>
      <c r="S856" s="260"/>
      <c r="T856" s="260"/>
      <c r="U856" s="260"/>
      <c r="V856" s="260"/>
      <c r="W856" s="260"/>
      <c r="X856" s="260"/>
      <c r="Y856" s="260"/>
      <c r="Z856" s="260"/>
    </row>
    <row r="857">
      <c r="A857" s="260"/>
      <c r="B857" s="260"/>
      <c r="C857" s="260"/>
      <c r="D857" s="260"/>
      <c r="E857" s="260"/>
      <c r="F857" s="260"/>
      <c r="G857" s="260"/>
      <c r="H857" s="260"/>
      <c r="I857" s="260"/>
      <c r="J857" s="260"/>
      <c r="K857" s="260"/>
      <c r="L857" s="260"/>
      <c r="M857" s="260"/>
      <c r="N857" s="260"/>
      <c r="O857" s="260"/>
      <c r="P857" s="260"/>
      <c r="Q857" s="260"/>
      <c r="R857" s="260"/>
      <c r="S857" s="260"/>
      <c r="T857" s="260"/>
      <c r="U857" s="260"/>
      <c r="V857" s="260"/>
      <c r="W857" s="260"/>
      <c r="X857" s="260"/>
      <c r="Y857" s="260"/>
      <c r="Z857" s="260"/>
    </row>
    <row r="858">
      <c r="A858" s="260"/>
      <c r="B858" s="260"/>
      <c r="C858" s="260"/>
      <c r="D858" s="260"/>
      <c r="E858" s="260"/>
      <c r="F858" s="260"/>
      <c r="G858" s="260"/>
      <c r="H858" s="260"/>
      <c r="I858" s="260"/>
      <c r="J858" s="260"/>
      <c r="K858" s="260"/>
      <c r="L858" s="260"/>
      <c r="M858" s="260"/>
      <c r="N858" s="260"/>
      <c r="O858" s="260"/>
      <c r="P858" s="260"/>
      <c r="Q858" s="260"/>
      <c r="R858" s="260"/>
      <c r="S858" s="260"/>
      <c r="T858" s="260"/>
      <c r="U858" s="260"/>
      <c r="V858" s="260"/>
      <c r="W858" s="260"/>
      <c r="X858" s="260"/>
      <c r="Y858" s="260"/>
      <c r="Z858" s="260"/>
    </row>
    <row r="859">
      <c r="A859" s="260"/>
      <c r="B859" s="260"/>
      <c r="C859" s="260"/>
      <c r="D859" s="260"/>
      <c r="E859" s="260"/>
      <c r="F859" s="260"/>
      <c r="G859" s="260"/>
      <c r="H859" s="260"/>
      <c r="I859" s="260"/>
      <c r="J859" s="260"/>
      <c r="K859" s="260"/>
      <c r="L859" s="260"/>
      <c r="M859" s="260"/>
      <c r="N859" s="260"/>
      <c r="O859" s="260"/>
      <c r="P859" s="260"/>
      <c r="Q859" s="260"/>
      <c r="R859" s="260"/>
      <c r="S859" s="260"/>
      <c r="T859" s="260"/>
      <c r="U859" s="260"/>
      <c r="V859" s="260"/>
      <c r="W859" s="260"/>
      <c r="X859" s="260"/>
      <c r="Y859" s="260"/>
      <c r="Z859" s="260"/>
    </row>
    <row r="860">
      <c r="A860" s="260"/>
      <c r="B860" s="260"/>
      <c r="C860" s="260"/>
      <c r="D860" s="260"/>
      <c r="E860" s="260"/>
      <c r="F860" s="260"/>
      <c r="G860" s="260"/>
      <c r="H860" s="260"/>
      <c r="I860" s="260"/>
      <c r="J860" s="260"/>
      <c r="K860" s="260"/>
      <c r="L860" s="260"/>
      <c r="M860" s="260"/>
      <c r="N860" s="260"/>
      <c r="O860" s="260"/>
      <c r="P860" s="260"/>
      <c r="Q860" s="260"/>
      <c r="R860" s="260"/>
      <c r="S860" s="260"/>
      <c r="T860" s="260"/>
      <c r="U860" s="260"/>
      <c r="V860" s="260"/>
      <c r="W860" s="260"/>
      <c r="X860" s="260"/>
      <c r="Y860" s="260"/>
      <c r="Z860" s="260"/>
    </row>
    <row r="861">
      <c r="A861" s="260"/>
      <c r="B861" s="260"/>
      <c r="C861" s="260"/>
      <c r="D861" s="260"/>
      <c r="E861" s="260"/>
      <c r="F861" s="260"/>
      <c r="G861" s="260"/>
      <c r="H861" s="260"/>
      <c r="I861" s="260"/>
      <c r="J861" s="260"/>
      <c r="K861" s="260"/>
      <c r="L861" s="260"/>
      <c r="M861" s="260"/>
      <c r="N861" s="260"/>
      <c r="O861" s="260"/>
      <c r="P861" s="260"/>
      <c r="Q861" s="260"/>
      <c r="R861" s="260"/>
      <c r="S861" s="260"/>
      <c r="T861" s="260"/>
      <c r="U861" s="260"/>
      <c r="V861" s="260"/>
      <c r="W861" s="260"/>
      <c r="X861" s="260"/>
      <c r="Y861" s="260"/>
      <c r="Z861" s="260"/>
    </row>
    <row r="862">
      <c r="A862" s="260"/>
      <c r="B862" s="260"/>
      <c r="C862" s="260"/>
      <c r="D862" s="260"/>
      <c r="E862" s="260"/>
      <c r="F862" s="260"/>
      <c r="G862" s="260"/>
      <c r="H862" s="260"/>
      <c r="I862" s="260"/>
      <c r="J862" s="260"/>
      <c r="K862" s="260"/>
      <c r="L862" s="260"/>
      <c r="M862" s="260"/>
      <c r="N862" s="260"/>
      <c r="O862" s="260"/>
      <c r="P862" s="260"/>
      <c r="Q862" s="260"/>
      <c r="R862" s="260"/>
      <c r="S862" s="260"/>
      <c r="T862" s="260"/>
      <c r="U862" s="260"/>
      <c r="V862" s="260"/>
      <c r="W862" s="260"/>
      <c r="X862" s="260"/>
      <c r="Y862" s="260"/>
      <c r="Z862" s="260"/>
    </row>
    <row r="863">
      <c r="A863" s="260"/>
      <c r="B863" s="260"/>
      <c r="C863" s="260"/>
      <c r="D863" s="260"/>
      <c r="E863" s="260"/>
      <c r="F863" s="260"/>
      <c r="G863" s="260"/>
      <c r="H863" s="260"/>
      <c r="I863" s="260"/>
      <c r="J863" s="260"/>
      <c r="K863" s="260"/>
      <c r="L863" s="260"/>
      <c r="M863" s="260"/>
      <c r="N863" s="260"/>
      <c r="O863" s="260"/>
      <c r="P863" s="260"/>
      <c r="Q863" s="260"/>
      <c r="R863" s="260"/>
      <c r="S863" s="260"/>
      <c r="T863" s="260"/>
      <c r="U863" s="260"/>
      <c r="V863" s="260"/>
      <c r="W863" s="260"/>
      <c r="X863" s="260"/>
      <c r="Y863" s="260"/>
      <c r="Z863" s="260"/>
    </row>
    <row r="864">
      <c r="A864" s="260"/>
      <c r="B864" s="260"/>
      <c r="C864" s="260"/>
      <c r="D864" s="260"/>
      <c r="E864" s="260"/>
      <c r="F864" s="260"/>
      <c r="G864" s="260"/>
      <c r="H864" s="260"/>
      <c r="I864" s="260"/>
      <c r="J864" s="260"/>
      <c r="K864" s="260"/>
      <c r="L864" s="260"/>
      <c r="M864" s="260"/>
      <c r="N864" s="260"/>
      <c r="O864" s="260"/>
      <c r="P864" s="260"/>
      <c r="Q864" s="260"/>
      <c r="R864" s="260"/>
      <c r="S864" s="260"/>
      <c r="T864" s="260"/>
      <c r="U864" s="260"/>
      <c r="V864" s="260"/>
      <c r="W864" s="260"/>
      <c r="X864" s="260"/>
      <c r="Y864" s="260"/>
      <c r="Z864" s="260"/>
    </row>
    <row r="865">
      <c r="A865" s="260"/>
      <c r="B865" s="260"/>
      <c r="C865" s="260"/>
      <c r="D865" s="260"/>
      <c r="E865" s="260"/>
      <c r="F865" s="260"/>
      <c r="G865" s="260"/>
      <c r="H865" s="260"/>
      <c r="I865" s="260"/>
      <c r="J865" s="260"/>
      <c r="K865" s="260"/>
      <c r="L865" s="260"/>
      <c r="M865" s="260"/>
      <c r="N865" s="260"/>
      <c r="O865" s="260"/>
      <c r="P865" s="260"/>
      <c r="Q865" s="260"/>
      <c r="R865" s="260"/>
      <c r="S865" s="260"/>
      <c r="T865" s="260"/>
      <c r="U865" s="260"/>
      <c r="V865" s="260"/>
      <c r="W865" s="260"/>
      <c r="X865" s="260"/>
      <c r="Y865" s="260"/>
      <c r="Z865" s="260"/>
    </row>
    <row r="866">
      <c r="A866" s="260"/>
      <c r="B866" s="260"/>
      <c r="C866" s="260"/>
      <c r="D866" s="260"/>
      <c r="E866" s="260"/>
      <c r="F866" s="260"/>
      <c r="G866" s="260"/>
      <c r="H866" s="260"/>
      <c r="I866" s="260"/>
      <c r="J866" s="260"/>
      <c r="K866" s="260"/>
      <c r="L866" s="260"/>
      <c r="M866" s="260"/>
      <c r="N866" s="260"/>
      <c r="O866" s="260"/>
      <c r="P866" s="260"/>
      <c r="Q866" s="260"/>
      <c r="R866" s="260"/>
      <c r="S866" s="260"/>
      <c r="T866" s="260"/>
      <c r="U866" s="260"/>
      <c r="V866" s="260"/>
      <c r="W866" s="260"/>
      <c r="X866" s="260"/>
      <c r="Y866" s="260"/>
      <c r="Z866" s="260"/>
    </row>
    <row r="867">
      <c r="A867" s="260"/>
      <c r="B867" s="260"/>
      <c r="C867" s="260"/>
      <c r="D867" s="260"/>
      <c r="E867" s="260"/>
      <c r="F867" s="260"/>
      <c r="G867" s="260"/>
      <c r="H867" s="260"/>
      <c r="I867" s="260"/>
      <c r="J867" s="260"/>
      <c r="K867" s="260"/>
      <c r="L867" s="260"/>
      <c r="M867" s="260"/>
      <c r="N867" s="260"/>
      <c r="O867" s="260"/>
      <c r="P867" s="260"/>
      <c r="Q867" s="260"/>
      <c r="R867" s="260"/>
      <c r="S867" s="260"/>
      <c r="T867" s="260"/>
      <c r="U867" s="260"/>
      <c r="V867" s="260"/>
      <c r="W867" s="260"/>
      <c r="X867" s="260"/>
      <c r="Y867" s="260"/>
      <c r="Z867" s="260"/>
    </row>
    <row r="868">
      <c r="A868" s="260"/>
      <c r="B868" s="260"/>
      <c r="C868" s="260"/>
      <c r="D868" s="260"/>
      <c r="E868" s="260"/>
      <c r="F868" s="260"/>
      <c r="G868" s="260"/>
      <c r="H868" s="260"/>
      <c r="I868" s="260"/>
      <c r="J868" s="260"/>
      <c r="K868" s="260"/>
      <c r="L868" s="260"/>
      <c r="M868" s="260"/>
      <c r="N868" s="260"/>
      <c r="O868" s="260"/>
      <c r="P868" s="260"/>
      <c r="Q868" s="260"/>
      <c r="R868" s="260"/>
      <c r="S868" s="260"/>
      <c r="T868" s="260"/>
      <c r="U868" s="260"/>
      <c r="V868" s="260"/>
      <c r="W868" s="260"/>
      <c r="X868" s="260"/>
      <c r="Y868" s="260"/>
      <c r="Z868" s="260"/>
    </row>
    <row r="869">
      <c r="A869" s="260"/>
      <c r="B869" s="260"/>
      <c r="C869" s="260"/>
      <c r="D869" s="260"/>
      <c r="E869" s="260"/>
      <c r="F869" s="260"/>
      <c r="G869" s="260"/>
      <c r="H869" s="260"/>
      <c r="I869" s="260"/>
      <c r="J869" s="260"/>
      <c r="K869" s="260"/>
      <c r="L869" s="260"/>
      <c r="M869" s="260"/>
      <c r="N869" s="260"/>
      <c r="O869" s="260"/>
      <c r="P869" s="260"/>
      <c r="Q869" s="260"/>
      <c r="R869" s="260"/>
      <c r="S869" s="260"/>
      <c r="T869" s="260"/>
      <c r="U869" s="260"/>
      <c r="V869" s="260"/>
      <c r="W869" s="260"/>
      <c r="X869" s="260"/>
      <c r="Y869" s="260"/>
      <c r="Z869" s="260"/>
    </row>
    <row r="870">
      <c r="A870" s="260"/>
      <c r="B870" s="260"/>
      <c r="C870" s="260"/>
      <c r="D870" s="260"/>
      <c r="E870" s="260"/>
      <c r="F870" s="260"/>
      <c r="G870" s="260"/>
      <c r="H870" s="260"/>
      <c r="I870" s="260"/>
      <c r="J870" s="260"/>
      <c r="K870" s="260"/>
      <c r="L870" s="260"/>
      <c r="M870" s="260"/>
      <c r="N870" s="260"/>
      <c r="O870" s="260"/>
      <c r="P870" s="260"/>
      <c r="Q870" s="260"/>
      <c r="R870" s="260"/>
      <c r="S870" s="260"/>
      <c r="T870" s="260"/>
      <c r="U870" s="260"/>
      <c r="V870" s="260"/>
      <c r="W870" s="260"/>
      <c r="X870" s="260"/>
      <c r="Y870" s="260"/>
      <c r="Z870" s="260"/>
    </row>
    <row r="871">
      <c r="A871" s="260"/>
      <c r="B871" s="260"/>
      <c r="C871" s="260"/>
      <c r="D871" s="260"/>
      <c r="E871" s="260"/>
      <c r="F871" s="260"/>
      <c r="G871" s="260"/>
      <c r="H871" s="260"/>
      <c r="I871" s="260"/>
      <c r="J871" s="260"/>
      <c r="K871" s="260"/>
      <c r="L871" s="260"/>
      <c r="M871" s="260"/>
      <c r="N871" s="260"/>
      <c r="O871" s="260"/>
      <c r="P871" s="260"/>
      <c r="Q871" s="260"/>
      <c r="R871" s="260"/>
      <c r="S871" s="260"/>
      <c r="T871" s="260"/>
      <c r="U871" s="260"/>
      <c r="V871" s="260"/>
      <c r="W871" s="260"/>
      <c r="X871" s="260"/>
      <c r="Y871" s="260"/>
      <c r="Z871" s="260"/>
    </row>
    <row r="872">
      <c r="A872" s="260"/>
      <c r="B872" s="260"/>
      <c r="C872" s="260"/>
      <c r="D872" s="260"/>
      <c r="E872" s="260"/>
      <c r="F872" s="260"/>
      <c r="G872" s="260"/>
      <c r="H872" s="260"/>
      <c r="I872" s="260"/>
      <c r="J872" s="260"/>
      <c r="K872" s="260"/>
      <c r="L872" s="260"/>
      <c r="M872" s="260"/>
      <c r="N872" s="260"/>
      <c r="O872" s="260"/>
      <c r="P872" s="260"/>
      <c r="Q872" s="260"/>
      <c r="R872" s="260"/>
      <c r="S872" s="260"/>
      <c r="T872" s="260"/>
      <c r="U872" s="260"/>
      <c r="V872" s="260"/>
      <c r="W872" s="260"/>
      <c r="X872" s="260"/>
      <c r="Y872" s="260"/>
      <c r="Z872" s="260"/>
    </row>
    <row r="873">
      <c r="A873" s="260"/>
      <c r="B873" s="260"/>
      <c r="C873" s="260"/>
      <c r="D873" s="260"/>
      <c r="E873" s="260"/>
      <c r="F873" s="260"/>
      <c r="G873" s="260"/>
      <c r="H873" s="260"/>
      <c r="I873" s="260"/>
      <c r="J873" s="260"/>
      <c r="K873" s="260"/>
      <c r="L873" s="260"/>
      <c r="M873" s="260"/>
      <c r="N873" s="260"/>
      <c r="O873" s="260"/>
      <c r="P873" s="260"/>
      <c r="Q873" s="260"/>
      <c r="R873" s="260"/>
      <c r="S873" s="260"/>
      <c r="T873" s="260"/>
      <c r="U873" s="260"/>
      <c r="V873" s="260"/>
      <c r="W873" s="260"/>
      <c r="X873" s="260"/>
      <c r="Y873" s="260"/>
      <c r="Z873" s="260"/>
    </row>
    <row r="874">
      <c r="A874" s="260"/>
      <c r="B874" s="260"/>
      <c r="C874" s="260"/>
      <c r="D874" s="260"/>
      <c r="E874" s="260"/>
      <c r="F874" s="260"/>
      <c r="G874" s="260"/>
      <c r="H874" s="260"/>
      <c r="I874" s="260"/>
      <c r="J874" s="260"/>
      <c r="K874" s="260"/>
      <c r="L874" s="260"/>
      <c r="M874" s="260"/>
      <c r="N874" s="260"/>
      <c r="O874" s="260"/>
      <c r="P874" s="260"/>
      <c r="Q874" s="260"/>
      <c r="R874" s="260"/>
      <c r="S874" s="260"/>
      <c r="T874" s="260"/>
      <c r="U874" s="260"/>
      <c r="V874" s="260"/>
      <c r="W874" s="260"/>
      <c r="X874" s="260"/>
      <c r="Y874" s="260"/>
      <c r="Z874" s="260"/>
    </row>
    <row r="875">
      <c r="A875" s="260"/>
      <c r="B875" s="260"/>
      <c r="C875" s="260"/>
      <c r="D875" s="260"/>
      <c r="E875" s="260"/>
      <c r="F875" s="260"/>
      <c r="G875" s="260"/>
      <c r="H875" s="260"/>
      <c r="I875" s="260"/>
      <c r="J875" s="260"/>
      <c r="K875" s="260"/>
      <c r="L875" s="260"/>
      <c r="M875" s="260"/>
      <c r="N875" s="260"/>
      <c r="O875" s="260"/>
      <c r="P875" s="260"/>
      <c r="Q875" s="260"/>
      <c r="R875" s="260"/>
      <c r="S875" s="260"/>
      <c r="T875" s="260"/>
      <c r="U875" s="260"/>
      <c r="V875" s="260"/>
      <c r="W875" s="260"/>
      <c r="X875" s="260"/>
      <c r="Y875" s="260"/>
      <c r="Z875" s="260"/>
    </row>
    <row r="876">
      <c r="A876" s="260"/>
      <c r="B876" s="260"/>
      <c r="C876" s="260"/>
      <c r="D876" s="260"/>
      <c r="E876" s="260"/>
      <c r="F876" s="260"/>
      <c r="G876" s="260"/>
      <c r="H876" s="260"/>
      <c r="I876" s="260"/>
      <c r="J876" s="260"/>
      <c r="K876" s="260"/>
      <c r="L876" s="260"/>
      <c r="M876" s="260"/>
      <c r="N876" s="260"/>
      <c r="O876" s="260"/>
      <c r="P876" s="260"/>
      <c r="Q876" s="260"/>
      <c r="R876" s="260"/>
      <c r="S876" s="260"/>
      <c r="T876" s="260"/>
      <c r="U876" s="260"/>
      <c r="V876" s="260"/>
      <c r="W876" s="260"/>
      <c r="X876" s="260"/>
      <c r="Y876" s="260"/>
      <c r="Z876" s="260"/>
    </row>
    <row r="877">
      <c r="A877" s="260"/>
      <c r="B877" s="260"/>
      <c r="C877" s="260"/>
      <c r="D877" s="260"/>
      <c r="E877" s="260"/>
      <c r="F877" s="260"/>
      <c r="G877" s="260"/>
      <c r="H877" s="260"/>
      <c r="I877" s="260"/>
      <c r="J877" s="260"/>
      <c r="K877" s="260"/>
      <c r="L877" s="260"/>
      <c r="M877" s="260"/>
      <c r="N877" s="260"/>
      <c r="O877" s="260"/>
      <c r="P877" s="260"/>
      <c r="Q877" s="260"/>
      <c r="R877" s="260"/>
      <c r="S877" s="260"/>
      <c r="T877" s="260"/>
      <c r="U877" s="260"/>
      <c r="V877" s="260"/>
      <c r="W877" s="260"/>
      <c r="X877" s="260"/>
      <c r="Y877" s="260"/>
      <c r="Z877" s="260"/>
    </row>
    <row r="878">
      <c r="A878" s="260"/>
      <c r="B878" s="260"/>
      <c r="C878" s="260"/>
      <c r="D878" s="260"/>
      <c r="E878" s="260"/>
      <c r="F878" s="260"/>
      <c r="G878" s="260"/>
      <c r="H878" s="260"/>
      <c r="I878" s="260"/>
      <c r="J878" s="260"/>
      <c r="K878" s="260"/>
      <c r="L878" s="260"/>
      <c r="M878" s="260"/>
      <c r="N878" s="260"/>
      <c r="O878" s="260"/>
      <c r="P878" s="260"/>
      <c r="Q878" s="260"/>
      <c r="R878" s="260"/>
      <c r="S878" s="260"/>
      <c r="T878" s="260"/>
      <c r="U878" s="260"/>
      <c r="V878" s="260"/>
      <c r="W878" s="260"/>
      <c r="X878" s="260"/>
      <c r="Y878" s="260"/>
      <c r="Z878" s="260"/>
    </row>
    <row r="879">
      <c r="A879" s="260"/>
      <c r="B879" s="260"/>
      <c r="C879" s="260"/>
      <c r="D879" s="260"/>
      <c r="E879" s="260"/>
      <c r="F879" s="260"/>
      <c r="G879" s="260"/>
      <c r="H879" s="260"/>
      <c r="I879" s="260"/>
      <c r="J879" s="260"/>
      <c r="K879" s="260"/>
      <c r="L879" s="260"/>
      <c r="M879" s="260"/>
      <c r="N879" s="260"/>
      <c r="O879" s="260"/>
      <c r="P879" s="260"/>
      <c r="Q879" s="260"/>
      <c r="R879" s="260"/>
      <c r="S879" s="260"/>
      <c r="T879" s="260"/>
      <c r="U879" s="260"/>
      <c r="V879" s="260"/>
      <c r="W879" s="260"/>
      <c r="X879" s="260"/>
      <c r="Y879" s="260"/>
      <c r="Z879" s="260"/>
    </row>
    <row r="880">
      <c r="A880" s="260"/>
      <c r="B880" s="260"/>
      <c r="C880" s="260"/>
      <c r="D880" s="260"/>
      <c r="E880" s="260"/>
      <c r="F880" s="260"/>
      <c r="G880" s="260"/>
      <c r="H880" s="260"/>
      <c r="I880" s="260"/>
      <c r="J880" s="260"/>
      <c r="K880" s="260"/>
      <c r="L880" s="260"/>
      <c r="M880" s="260"/>
      <c r="N880" s="260"/>
      <c r="O880" s="260"/>
      <c r="P880" s="260"/>
      <c r="Q880" s="260"/>
      <c r="R880" s="260"/>
      <c r="S880" s="260"/>
      <c r="T880" s="260"/>
      <c r="U880" s="260"/>
      <c r="V880" s="260"/>
      <c r="W880" s="260"/>
      <c r="X880" s="260"/>
      <c r="Y880" s="260"/>
      <c r="Z880" s="260"/>
    </row>
    <row r="881">
      <c r="A881" s="260"/>
      <c r="B881" s="260"/>
      <c r="C881" s="260"/>
      <c r="D881" s="260"/>
      <c r="E881" s="260"/>
      <c r="F881" s="260"/>
      <c r="G881" s="260"/>
      <c r="H881" s="260"/>
      <c r="I881" s="260"/>
      <c r="J881" s="260"/>
      <c r="K881" s="260"/>
      <c r="L881" s="260"/>
      <c r="M881" s="260"/>
      <c r="N881" s="260"/>
      <c r="O881" s="260"/>
      <c r="P881" s="260"/>
      <c r="Q881" s="260"/>
      <c r="R881" s="260"/>
      <c r="S881" s="260"/>
      <c r="T881" s="260"/>
      <c r="U881" s="260"/>
      <c r="V881" s="260"/>
      <c r="W881" s="260"/>
      <c r="X881" s="260"/>
      <c r="Y881" s="260"/>
      <c r="Z881" s="260"/>
    </row>
    <row r="882">
      <c r="A882" s="260"/>
      <c r="B882" s="260"/>
      <c r="C882" s="260"/>
      <c r="D882" s="260"/>
      <c r="E882" s="260"/>
      <c r="F882" s="260"/>
      <c r="G882" s="260"/>
      <c r="H882" s="260"/>
      <c r="I882" s="260"/>
      <c r="J882" s="260"/>
      <c r="K882" s="260"/>
      <c r="L882" s="260"/>
      <c r="M882" s="260"/>
      <c r="N882" s="260"/>
      <c r="O882" s="260"/>
      <c r="P882" s="260"/>
      <c r="Q882" s="260"/>
      <c r="R882" s="260"/>
      <c r="S882" s="260"/>
      <c r="T882" s="260"/>
      <c r="U882" s="260"/>
      <c r="V882" s="260"/>
      <c r="W882" s="260"/>
      <c r="X882" s="260"/>
      <c r="Y882" s="260"/>
      <c r="Z882" s="260"/>
    </row>
    <row r="883">
      <c r="A883" s="260"/>
      <c r="B883" s="260"/>
      <c r="C883" s="260"/>
      <c r="D883" s="260"/>
      <c r="E883" s="260"/>
      <c r="F883" s="260"/>
      <c r="G883" s="260"/>
      <c r="H883" s="260"/>
      <c r="I883" s="260"/>
      <c r="J883" s="260"/>
      <c r="K883" s="260"/>
      <c r="L883" s="260"/>
      <c r="M883" s="260"/>
      <c r="N883" s="260"/>
      <c r="O883" s="260"/>
      <c r="P883" s="260"/>
      <c r="Q883" s="260"/>
      <c r="R883" s="260"/>
      <c r="S883" s="260"/>
      <c r="T883" s="260"/>
      <c r="U883" s="260"/>
      <c r="V883" s="260"/>
      <c r="W883" s="260"/>
      <c r="X883" s="260"/>
      <c r="Y883" s="260"/>
      <c r="Z883" s="260"/>
    </row>
    <row r="884">
      <c r="A884" s="260"/>
      <c r="B884" s="260"/>
      <c r="C884" s="260"/>
      <c r="D884" s="260"/>
      <c r="E884" s="260"/>
      <c r="F884" s="260"/>
      <c r="G884" s="260"/>
      <c r="H884" s="260"/>
      <c r="I884" s="260"/>
      <c r="J884" s="260"/>
      <c r="K884" s="260"/>
      <c r="L884" s="260"/>
      <c r="M884" s="260"/>
      <c r="N884" s="260"/>
      <c r="O884" s="260"/>
      <c r="P884" s="260"/>
      <c r="Q884" s="260"/>
      <c r="R884" s="260"/>
      <c r="S884" s="260"/>
      <c r="T884" s="260"/>
      <c r="U884" s="260"/>
      <c r="V884" s="260"/>
      <c r="W884" s="260"/>
      <c r="X884" s="260"/>
      <c r="Y884" s="260"/>
      <c r="Z884" s="260"/>
    </row>
    <row r="885">
      <c r="A885" s="260"/>
      <c r="B885" s="260"/>
      <c r="C885" s="260"/>
      <c r="D885" s="260"/>
      <c r="E885" s="260"/>
      <c r="F885" s="260"/>
      <c r="G885" s="260"/>
      <c r="H885" s="260"/>
      <c r="I885" s="260"/>
      <c r="J885" s="260"/>
      <c r="K885" s="260"/>
      <c r="L885" s="260"/>
      <c r="M885" s="260"/>
      <c r="N885" s="260"/>
      <c r="O885" s="260"/>
      <c r="P885" s="260"/>
      <c r="Q885" s="260"/>
      <c r="R885" s="260"/>
      <c r="S885" s="260"/>
      <c r="T885" s="260"/>
      <c r="U885" s="260"/>
      <c r="V885" s="260"/>
      <c r="W885" s="260"/>
      <c r="X885" s="260"/>
      <c r="Y885" s="260"/>
      <c r="Z885" s="260"/>
    </row>
    <row r="886">
      <c r="A886" s="260"/>
      <c r="B886" s="260"/>
      <c r="C886" s="260"/>
      <c r="D886" s="260"/>
      <c r="E886" s="260"/>
      <c r="F886" s="260"/>
      <c r="G886" s="260"/>
      <c r="H886" s="260"/>
      <c r="I886" s="260"/>
      <c r="J886" s="260"/>
      <c r="K886" s="260"/>
      <c r="L886" s="260"/>
      <c r="M886" s="260"/>
      <c r="N886" s="260"/>
      <c r="O886" s="260"/>
      <c r="P886" s="260"/>
      <c r="Q886" s="260"/>
      <c r="R886" s="260"/>
      <c r="S886" s="260"/>
      <c r="T886" s="260"/>
      <c r="U886" s="260"/>
      <c r="V886" s="260"/>
      <c r="W886" s="260"/>
      <c r="X886" s="260"/>
      <c r="Y886" s="260"/>
      <c r="Z886" s="260"/>
    </row>
    <row r="887">
      <c r="A887" s="260"/>
      <c r="B887" s="260"/>
      <c r="C887" s="260"/>
      <c r="D887" s="260"/>
      <c r="E887" s="260"/>
      <c r="F887" s="260"/>
      <c r="G887" s="260"/>
      <c r="H887" s="260"/>
      <c r="I887" s="260"/>
      <c r="J887" s="260"/>
      <c r="K887" s="260"/>
      <c r="L887" s="260"/>
      <c r="M887" s="260"/>
      <c r="N887" s="260"/>
      <c r="O887" s="260"/>
      <c r="P887" s="260"/>
      <c r="Q887" s="260"/>
      <c r="R887" s="260"/>
      <c r="S887" s="260"/>
      <c r="T887" s="260"/>
      <c r="U887" s="260"/>
      <c r="V887" s="260"/>
      <c r="W887" s="260"/>
      <c r="X887" s="260"/>
      <c r="Y887" s="260"/>
      <c r="Z887" s="260"/>
    </row>
    <row r="888">
      <c r="A888" s="260"/>
      <c r="B888" s="260"/>
      <c r="C888" s="260"/>
      <c r="D888" s="260"/>
      <c r="E888" s="260"/>
      <c r="F888" s="260"/>
      <c r="G888" s="260"/>
      <c r="H888" s="260"/>
      <c r="I888" s="260"/>
      <c r="J888" s="260"/>
      <c r="K888" s="260"/>
      <c r="L888" s="260"/>
      <c r="M888" s="260"/>
      <c r="N888" s="260"/>
      <c r="O888" s="260"/>
      <c r="P888" s="260"/>
      <c r="Q888" s="260"/>
      <c r="R888" s="260"/>
      <c r="S888" s="260"/>
      <c r="T888" s="260"/>
      <c r="U888" s="260"/>
      <c r="V888" s="260"/>
      <c r="W888" s="260"/>
      <c r="X888" s="260"/>
      <c r="Y888" s="260"/>
      <c r="Z888" s="260"/>
    </row>
    <row r="889">
      <c r="A889" s="260"/>
      <c r="B889" s="260"/>
      <c r="C889" s="260"/>
      <c r="D889" s="260"/>
      <c r="E889" s="260"/>
      <c r="F889" s="260"/>
      <c r="G889" s="260"/>
      <c r="H889" s="260"/>
      <c r="I889" s="260"/>
      <c r="J889" s="260"/>
      <c r="K889" s="260"/>
      <c r="L889" s="260"/>
      <c r="M889" s="260"/>
      <c r="N889" s="260"/>
      <c r="O889" s="260"/>
      <c r="P889" s="260"/>
      <c r="Q889" s="260"/>
      <c r="R889" s="260"/>
      <c r="S889" s="260"/>
      <c r="T889" s="260"/>
      <c r="U889" s="260"/>
      <c r="V889" s="260"/>
      <c r="W889" s="260"/>
      <c r="X889" s="260"/>
      <c r="Y889" s="260"/>
      <c r="Z889" s="260"/>
    </row>
    <row r="890">
      <c r="A890" s="260"/>
      <c r="B890" s="260"/>
      <c r="C890" s="260"/>
      <c r="D890" s="260"/>
      <c r="E890" s="260"/>
      <c r="F890" s="260"/>
      <c r="G890" s="260"/>
      <c r="H890" s="260"/>
      <c r="I890" s="260"/>
      <c r="J890" s="260"/>
      <c r="K890" s="260"/>
      <c r="L890" s="260"/>
      <c r="M890" s="260"/>
      <c r="N890" s="260"/>
      <c r="O890" s="260"/>
      <c r="P890" s="260"/>
      <c r="Q890" s="260"/>
      <c r="R890" s="260"/>
      <c r="S890" s="260"/>
      <c r="T890" s="260"/>
      <c r="U890" s="260"/>
      <c r="V890" s="260"/>
      <c r="W890" s="260"/>
      <c r="X890" s="260"/>
      <c r="Y890" s="260"/>
      <c r="Z890" s="260"/>
    </row>
    <row r="891">
      <c r="A891" s="260"/>
      <c r="B891" s="260"/>
      <c r="C891" s="260"/>
      <c r="D891" s="260"/>
      <c r="E891" s="260"/>
      <c r="F891" s="260"/>
      <c r="G891" s="260"/>
      <c r="H891" s="260"/>
      <c r="I891" s="260"/>
      <c r="J891" s="260"/>
      <c r="K891" s="260"/>
      <c r="L891" s="260"/>
      <c r="M891" s="260"/>
      <c r="N891" s="260"/>
      <c r="O891" s="260"/>
      <c r="P891" s="260"/>
      <c r="Q891" s="260"/>
      <c r="R891" s="260"/>
      <c r="S891" s="260"/>
      <c r="T891" s="260"/>
      <c r="U891" s="260"/>
      <c r="V891" s="260"/>
      <c r="W891" s="260"/>
      <c r="X891" s="260"/>
      <c r="Y891" s="260"/>
      <c r="Z891" s="260"/>
    </row>
    <row r="892">
      <c r="A892" s="260"/>
      <c r="B892" s="260"/>
      <c r="C892" s="260"/>
      <c r="D892" s="260"/>
      <c r="E892" s="260"/>
      <c r="F892" s="260"/>
      <c r="G892" s="260"/>
      <c r="H892" s="260"/>
      <c r="I892" s="260"/>
      <c r="J892" s="260"/>
      <c r="K892" s="260"/>
      <c r="L892" s="260"/>
      <c r="M892" s="260"/>
      <c r="N892" s="260"/>
      <c r="O892" s="260"/>
      <c r="P892" s="260"/>
      <c r="Q892" s="260"/>
      <c r="R892" s="260"/>
      <c r="S892" s="260"/>
      <c r="T892" s="260"/>
      <c r="U892" s="260"/>
      <c r="V892" s="260"/>
      <c r="W892" s="260"/>
      <c r="X892" s="260"/>
      <c r="Y892" s="260"/>
      <c r="Z892" s="260"/>
    </row>
    <row r="893">
      <c r="A893" s="260"/>
      <c r="B893" s="260"/>
      <c r="C893" s="260"/>
      <c r="D893" s="260"/>
      <c r="E893" s="260"/>
      <c r="F893" s="260"/>
      <c r="G893" s="260"/>
      <c r="H893" s="260"/>
      <c r="I893" s="260"/>
      <c r="J893" s="260"/>
      <c r="K893" s="260"/>
      <c r="L893" s="260"/>
      <c r="M893" s="260"/>
      <c r="N893" s="260"/>
      <c r="O893" s="260"/>
      <c r="P893" s="260"/>
      <c r="Q893" s="260"/>
      <c r="R893" s="260"/>
      <c r="S893" s="260"/>
      <c r="T893" s="260"/>
      <c r="U893" s="260"/>
      <c r="V893" s="260"/>
      <c r="W893" s="260"/>
      <c r="X893" s="260"/>
      <c r="Y893" s="260"/>
      <c r="Z893" s="260"/>
    </row>
    <row r="894">
      <c r="A894" s="260"/>
      <c r="B894" s="260"/>
      <c r="C894" s="260"/>
      <c r="D894" s="260"/>
      <c r="E894" s="260"/>
      <c r="F894" s="260"/>
      <c r="G894" s="260"/>
      <c r="H894" s="260"/>
      <c r="I894" s="260"/>
      <c r="J894" s="260"/>
      <c r="K894" s="260"/>
      <c r="L894" s="260"/>
      <c r="M894" s="260"/>
      <c r="N894" s="260"/>
      <c r="O894" s="260"/>
      <c r="P894" s="260"/>
      <c r="Q894" s="260"/>
      <c r="R894" s="260"/>
      <c r="S894" s="260"/>
      <c r="T894" s="260"/>
      <c r="U894" s="260"/>
      <c r="V894" s="260"/>
      <c r="W894" s="260"/>
      <c r="X894" s="260"/>
      <c r="Y894" s="260"/>
      <c r="Z894" s="260"/>
    </row>
    <row r="895">
      <c r="A895" s="260"/>
      <c r="B895" s="260"/>
      <c r="C895" s="260"/>
      <c r="D895" s="260"/>
      <c r="E895" s="260"/>
      <c r="F895" s="260"/>
      <c r="G895" s="260"/>
      <c r="H895" s="260"/>
      <c r="I895" s="260"/>
      <c r="J895" s="260"/>
      <c r="K895" s="260"/>
      <c r="L895" s="260"/>
      <c r="M895" s="260"/>
      <c r="N895" s="260"/>
      <c r="O895" s="260"/>
      <c r="P895" s="260"/>
      <c r="Q895" s="260"/>
      <c r="R895" s="260"/>
      <c r="S895" s="260"/>
      <c r="T895" s="260"/>
      <c r="U895" s="260"/>
      <c r="V895" s="260"/>
      <c r="W895" s="260"/>
      <c r="X895" s="260"/>
      <c r="Y895" s="260"/>
      <c r="Z895" s="260"/>
    </row>
    <row r="896">
      <c r="A896" s="260"/>
      <c r="B896" s="260"/>
      <c r="C896" s="260"/>
      <c r="D896" s="260"/>
      <c r="E896" s="260"/>
      <c r="F896" s="260"/>
      <c r="G896" s="260"/>
      <c r="H896" s="260"/>
      <c r="I896" s="260"/>
      <c r="J896" s="260"/>
      <c r="K896" s="260"/>
      <c r="L896" s="260"/>
      <c r="M896" s="260"/>
      <c r="N896" s="260"/>
      <c r="O896" s="260"/>
      <c r="P896" s="260"/>
      <c r="Q896" s="260"/>
      <c r="R896" s="260"/>
      <c r="S896" s="260"/>
      <c r="T896" s="260"/>
      <c r="U896" s="260"/>
      <c r="V896" s="260"/>
      <c r="W896" s="260"/>
      <c r="X896" s="260"/>
      <c r="Y896" s="260"/>
      <c r="Z896" s="260"/>
    </row>
    <row r="897">
      <c r="A897" s="260"/>
      <c r="B897" s="260"/>
      <c r="C897" s="260"/>
      <c r="D897" s="260"/>
      <c r="E897" s="260"/>
      <c r="F897" s="260"/>
      <c r="G897" s="260"/>
      <c r="H897" s="260"/>
      <c r="I897" s="260"/>
      <c r="J897" s="260"/>
      <c r="K897" s="260"/>
      <c r="L897" s="260"/>
      <c r="M897" s="260"/>
      <c r="N897" s="260"/>
      <c r="O897" s="260"/>
      <c r="P897" s="260"/>
      <c r="Q897" s="260"/>
      <c r="R897" s="260"/>
      <c r="S897" s="260"/>
      <c r="T897" s="260"/>
      <c r="U897" s="260"/>
      <c r="V897" s="260"/>
      <c r="W897" s="260"/>
      <c r="X897" s="260"/>
      <c r="Y897" s="260"/>
      <c r="Z897" s="260"/>
    </row>
    <row r="898">
      <c r="A898" s="260"/>
      <c r="B898" s="260"/>
      <c r="C898" s="260"/>
      <c r="D898" s="260"/>
      <c r="E898" s="260"/>
      <c r="F898" s="260"/>
      <c r="G898" s="260"/>
      <c r="H898" s="260"/>
      <c r="I898" s="260"/>
      <c r="J898" s="260"/>
      <c r="K898" s="260"/>
      <c r="L898" s="260"/>
      <c r="M898" s="260"/>
      <c r="N898" s="260"/>
      <c r="O898" s="260"/>
      <c r="P898" s="260"/>
      <c r="Q898" s="260"/>
      <c r="R898" s="260"/>
      <c r="S898" s="260"/>
      <c r="T898" s="260"/>
      <c r="U898" s="260"/>
      <c r="V898" s="260"/>
      <c r="W898" s="260"/>
      <c r="X898" s="260"/>
      <c r="Y898" s="260"/>
      <c r="Z898" s="260"/>
    </row>
    <row r="899">
      <c r="A899" s="260"/>
      <c r="B899" s="260"/>
      <c r="C899" s="260"/>
      <c r="D899" s="260"/>
      <c r="E899" s="260"/>
      <c r="F899" s="260"/>
      <c r="G899" s="260"/>
      <c r="H899" s="260"/>
      <c r="I899" s="260"/>
      <c r="J899" s="260"/>
      <c r="K899" s="260"/>
      <c r="L899" s="260"/>
      <c r="M899" s="260"/>
      <c r="N899" s="260"/>
      <c r="O899" s="260"/>
      <c r="P899" s="260"/>
      <c r="Q899" s="260"/>
      <c r="R899" s="260"/>
      <c r="S899" s="260"/>
      <c r="T899" s="260"/>
      <c r="U899" s="260"/>
      <c r="V899" s="260"/>
      <c r="W899" s="260"/>
      <c r="X899" s="260"/>
      <c r="Y899" s="260"/>
      <c r="Z899" s="260"/>
    </row>
    <row r="900">
      <c r="A900" s="260"/>
      <c r="B900" s="260"/>
      <c r="C900" s="260"/>
      <c r="D900" s="260"/>
      <c r="E900" s="260"/>
      <c r="F900" s="260"/>
      <c r="G900" s="260"/>
      <c r="H900" s="260"/>
      <c r="I900" s="260"/>
      <c r="J900" s="260"/>
      <c r="K900" s="260"/>
      <c r="L900" s="260"/>
      <c r="M900" s="260"/>
      <c r="N900" s="260"/>
      <c r="O900" s="260"/>
      <c r="P900" s="260"/>
      <c r="Q900" s="260"/>
      <c r="R900" s="260"/>
      <c r="S900" s="260"/>
      <c r="T900" s="260"/>
      <c r="U900" s="260"/>
      <c r="V900" s="260"/>
      <c r="W900" s="260"/>
      <c r="X900" s="260"/>
      <c r="Y900" s="260"/>
      <c r="Z900" s="260"/>
    </row>
    <row r="901">
      <c r="A901" s="260"/>
      <c r="B901" s="260"/>
      <c r="C901" s="260"/>
      <c r="D901" s="260"/>
      <c r="E901" s="260"/>
      <c r="F901" s="260"/>
      <c r="G901" s="260"/>
      <c r="H901" s="260"/>
      <c r="I901" s="260"/>
      <c r="J901" s="260"/>
      <c r="K901" s="260"/>
      <c r="L901" s="260"/>
      <c r="M901" s="260"/>
      <c r="N901" s="260"/>
      <c r="O901" s="260"/>
      <c r="P901" s="260"/>
      <c r="Q901" s="260"/>
      <c r="R901" s="260"/>
      <c r="S901" s="260"/>
      <c r="T901" s="260"/>
      <c r="U901" s="260"/>
      <c r="V901" s="260"/>
      <c r="W901" s="260"/>
      <c r="X901" s="260"/>
      <c r="Y901" s="260"/>
      <c r="Z901" s="260"/>
    </row>
    <row r="902">
      <c r="A902" s="260"/>
      <c r="B902" s="260"/>
      <c r="C902" s="260"/>
      <c r="D902" s="260"/>
      <c r="E902" s="260"/>
      <c r="F902" s="260"/>
      <c r="G902" s="260"/>
      <c r="H902" s="260"/>
      <c r="I902" s="260"/>
      <c r="J902" s="260"/>
      <c r="K902" s="260"/>
      <c r="L902" s="260"/>
      <c r="M902" s="260"/>
      <c r="N902" s="260"/>
      <c r="O902" s="260"/>
      <c r="P902" s="260"/>
      <c r="Q902" s="260"/>
      <c r="R902" s="260"/>
      <c r="S902" s="260"/>
      <c r="T902" s="260"/>
      <c r="U902" s="260"/>
      <c r="V902" s="260"/>
      <c r="W902" s="260"/>
      <c r="X902" s="260"/>
      <c r="Y902" s="260"/>
      <c r="Z902" s="260"/>
    </row>
    <row r="903">
      <c r="A903" s="260"/>
      <c r="B903" s="260"/>
      <c r="C903" s="260"/>
      <c r="D903" s="260"/>
      <c r="E903" s="260"/>
      <c r="F903" s="260"/>
      <c r="G903" s="260"/>
      <c r="H903" s="260"/>
      <c r="I903" s="260"/>
      <c r="J903" s="260"/>
      <c r="K903" s="260"/>
      <c r="L903" s="260"/>
      <c r="M903" s="260"/>
      <c r="N903" s="260"/>
      <c r="O903" s="260"/>
      <c r="P903" s="260"/>
      <c r="Q903" s="260"/>
      <c r="R903" s="260"/>
      <c r="S903" s="260"/>
      <c r="T903" s="260"/>
      <c r="U903" s="260"/>
      <c r="V903" s="260"/>
      <c r="W903" s="260"/>
      <c r="X903" s="260"/>
      <c r="Y903" s="260"/>
      <c r="Z903" s="260"/>
    </row>
    <row r="904">
      <c r="A904" s="260"/>
      <c r="B904" s="260"/>
      <c r="C904" s="260"/>
      <c r="D904" s="260"/>
      <c r="E904" s="260"/>
      <c r="F904" s="260"/>
      <c r="G904" s="260"/>
      <c r="H904" s="260"/>
      <c r="I904" s="260"/>
      <c r="J904" s="260"/>
      <c r="K904" s="260"/>
      <c r="L904" s="260"/>
      <c r="M904" s="260"/>
      <c r="N904" s="260"/>
      <c r="O904" s="260"/>
      <c r="P904" s="260"/>
      <c r="Q904" s="260"/>
      <c r="R904" s="260"/>
      <c r="S904" s="260"/>
      <c r="T904" s="260"/>
      <c r="U904" s="260"/>
      <c r="V904" s="260"/>
      <c r="W904" s="260"/>
      <c r="X904" s="260"/>
      <c r="Y904" s="260"/>
      <c r="Z904" s="260"/>
    </row>
    <row r="905">
      <c r="A905" s="260"/>
      <c r="B905" s="260"/>
      <c r="C905" s="260"/>
      <c r="D905" s="260"/>
      <c r="E905" s="260"/>
      <c r="F905" s="260"/>
      <c r="G905" s="260"/>
      <c r="H905" s="260"/>
      <c r="I905" s="260"/>
      <c r="J905" s="260"/>
      <c r="K905" s="260"/>
      <c r="L905" s="260"/>
      <c r="M905" s="260"/>
      <c r="N905" s="260"/>
      <c r="O905" s="260"/>
      <c r="P905" s="260"/>
      <c r="Q905" s="260"/>
      <c r="R905" s="260"/>
      <c r="S905" s="260"/>
      <c r="T905" s="260"/>
      <c r="U905" s="260"/>
      <c r="V905" s="260"/>
      <c r="W905" s="260"/>
      <c r="X905" s="260"/>
      <c r="Y905" s="260"/>
      <c r="Z905" s="260"/>
    </row>
    <row r="906">
      <c r="A906" s="260"/>
      <c r="B906" s="260"/>
      <c r="C906" s="260"/>
      <c r="D906" s="260"/>
      <c r="E906" s="260"/>
      <c r="F906" s="260"/>
      <c r="G906" s="260"/>
      <c r="H906" s="260"/>
      <c r="I906" s="260"/>
      <c r="J906" s="260"/>
      <c r="K906" s="260"/>
      <c r="L906" s="260"/>
      <c r="M906" s="260"/>
      <c r="N906" s="260"/>
      <c r="O906" s="260"/>
      <c r="P906" s="260"/>
      <c r="Q906" s="260"/>
      <c r="R906" s="260"/>
      <c r="S906" s="260"/>
      <c r="T906" s="260"/>
      <c r="U906" s="260"/>
      <c r="V906" s="260"/>
      <c r="W906" s="260"/>
      <c r="X906" s="260"/>
      <c r="Y906" s="260"/>
      <c r="Z906" s="260"/>
    </row>
    <row r="907">
      <c r="A907" s="260"/>
      <c r="B907" s="260"/>
      <c r="C907" s="260"/>
      <c r="D907" s="260"/>
      <c r="E907" s="260"/>
      <c r="F907" s="260"/>
      <c r="G907" s="260"/>
      <c r="H907" s="260"/>
      <c r="I907" s="260"/>
      <c r="J907" s="260"/>
      <c r="K907" s="260"/>
      <c r="L907" s="260"/>
      <c r="M907" s="260"/>
      <c r="N907" s="260"/>
      <c r="O907" s="260"/>
      <c r="P907" s="260"/>
      <c r="Q907" s="260"/>
      <c r="R907" s="260"/>
      <c r="S907" s="260"/>
      <c r="T907" s="260"/>
      <c r="U907" s="260"/>
      <c r="V907" s="260"/>
      <c r="W907" s="260"/>
      <c r="X907" s="260"/>
      <c r="Y907" s="260"/>
      <c r="Z907" s="260"/>
    </row>
    <row r="908">
      <c r="A908" s="260"/>
      <c r="B908" s="260"/>
      <c r="C908" s="260"/>
      <c r="D908" s="260"/>
      <c r="E908" s="260"/>
      <c r="F908" s="260"/>
      <c r="G908" s="260"/>
      <c r="H908" s="260"/>
      <c r="I908" s="260"/>
      <c r="J908" s="260"/>
      <c r="K908" s="260"/>
      <c r="L908" s="260"/>
      <c r="M908" s="260"/>
      <c r="N908" s="260"/>
      <c r="O908" s="260"/>
      <c r="P908" s="260"/>
      <c r="Q908" s="260"/>
      <c r="R908" s="260"/>
      <c r="S908" s="260"/>
      <c r="T908" s="260"/>
      <c r="U908" s="260"/>
      <c r="V908" s="260"/>
      <c r="W908" s="260"/>
      <c r="X908" s="260"/>
      <c r="Y908" s="260"/>
      <c r="Z908" s="260"/>
    </row>
    <row r="909">
      <c r="A909" s="260"/>
      <c r="B909" s="260"/>
      <c r="C909" s="260"/>
      <c r="D909" s="260"/>
      <c r="E909" s="260"/>
      <c r="F909" s="260"/>
      <c r="G909" s="260"/>
      <c r="H909" s="260"/>
      <c r="I909" s="260"/>
      <c r="J909" s="260"/>
      <c r="K909" s="260"/>
      <c r="L909" s="260"/>
      <c r="M909" s="260"/>
      <c r="N909" s="260"/>
      <c r="O909" s="260"/>
      <c r="P909" s="260"/>
      <c r="Q909" s="260"/>
      <c r="R909" s="260"/>
      <c r="S909" s="260"/>
      <c r="T909" s="260"/>
      <c r="U909" s="260"/>
      <c r="V909" s="260"/>
      <c r="W909" s="260"/>
      <c r="X909" s="260"/>
      <c r="Y909" s="260"/>
      <c r="Z909" s="260"/>
    </row>
    <row r="910">
      <c r="A910" s="260"/>
      <c r="B910" s="260"/>
      <c r="C910" s="260"/>
      <c r="D910" s="260"/>
      <c r="E910" s="260"/>
      <c r="F910" s="260"/>
      <c r="G910" s="260"/>
      <c r="H910" s="260"/>
      <c r="I910" s="260"/>
      <c r="J910" s="260"/>
      <c r="K910" s="260"/>
      <c r="L910" s="260"/>
      <c r="M910" s="260"/>
      <c r="N910" s="260"/>
      <c r="O910" s="260"/>
      <c r="P910" s="260"/>
      <c r="Q910" s="260"/>
      <c r="R910" s="260"/>
      <c r="S910" s="260"/>
      <c r="T910" s="260"/>
      <c r="U910" s="260"/>
      <c r="V910" s="260"/>
      <c r="W910" s="260"/>
      <c r="X910" s="260"/>
      <c r="Y910" s="260"/>
      <c r="Z910" s="260"/>
    </row>
    <row r="911">
      <c r="A911" s="260"/>
      <c r="B911" s="260"/>
      <c r="C911" s="260"/>
      <c r="D911" s="260"/>
      <c r="E911" s="260"/>
      <c r="F911" s="260"/>
      <c r="G911" s="260"/>
      <c r="H911" s="260"/>
      <c r="I911" s="260"/>
      <c r="J911" s="260"/>
      <c r="K911" s="260"/>
      <c r="L911" s="260"/>
      <c r="M911" s="260"/>
      <c r="N911" s="260"/>
      <c r="O911" s="260"/>
      <c r="P911" s="260"/>
      <c r="Q911" s="260"/>
      <c r="R911" s="260"/>
      <c r="S911" s="260"/>
      <c r="T911" s="260"/>
      <c r="U911" s="260"/>
      <c r="V911" s="260"/>
      <c r="W911" s="260"/>
      <c r="X911" s="260"/>
      <c r="Y911" s="260"/>
      <c r="Z911" s="260"/>
    </row>
    <row r="912">
      <c r="A912" s="260"/>
      <c r="B912" s="260"/>
      <c r="C912" s="260"/>
      <c r="D912" s="260"/>
      <c r="E912" s="260"/>
      <c r="F912" s="260"/>
      <c r="G912" s="260"/>
      <c r="H912" s="260"/>
      <c r="I912" s="260"/>
      <c r="J912" s="260"/>
      <c r="K912" s="260"/>
      <c r="L912" s="260"/>
      <c r="M912" s="260"/>
      <c r="N912" s="260"/>
      <c r="O912" s="260"/>
      <c r="P912" s="260"/>
      <c r="Q912" s="260"/>
      <c r="R912" s="260"/>
      <c r="S912" s="260"/>
      <c r="T912" s="260"/>
      <c r="U912" s="260"/>
      <c r="V912" s="260"/>
      <c r="W912" s="260"/>
      <c r="X912" s="260"/>
      <c r="Y912" s="260"/>
      <c r="Z912" s="260"/>
    </row>
    <row r="913">
      <c r="A913" s="260"/>
      <c r="B913" s="260"/>
      <c r="C913" s="260"/>
      <c r="D913" s="260"/>
      <c r="E913" s="260"/>
      <c r="F913" s="260"/>
      <c r="G913" s="260"/>
      <c r="H913" s="260"/>
      <c r="I913" s="260"/>
      <c r="J913" s="260"/>
      <c r="K913" s="260"/>
      <c r="L913" s="260"/>
      <c r="M913" s="260"/>
      <c r="N913" s="260"/>
      <c r="O913" s="260"/>
      <c r="P913" s="260"/>
      <c r="Q913" s="260"/>
      <c r="R913" s="260"/>
      <c r="S913" s="260"/>
      <c r="T913" s="260"/>
      <c r="U913" s="260"/>
      <c r="V913" s="260"/>
      <c r="W913" s="260"/>
      <c r="X913" s="260"/>
      <c r="Y913" s="260"/>
      <c r="Z913" s="260"/>
    </row>
    <row r="914">
      <c r="A914" s="260"/>
      <c r="B914" s="260"/>
      <c r="C914" s="260"/>
      <c r="D914" s="260"/>
      <c r="E914" s="260"/>
      <c r="F914" s="260"/>
      <c r="G914" s="260"/>
      <c r="H914" s="260"/>
      <c r="I914" s="260"/>
      <c r="J914" s="260"/>
      <c r="K914" s="260"/>
      <c r="L914" s="260"/>
      <c r="M914" s="260"/>
      <c r="N914" s="260"/>
      <c r="O914" s="260"/>
      <c r="P914" s="260"/>
      <c r="Q914" s="260"/>
      <c r="R914" s="260"/>
      <c r="S914" s="260"/>
      <c r="T914" s="260"/>
      <c r="U914" s="260"/>
      <c r="V914" s="260"/>
      <c r="W914" s="260"/>
      <c r="X914" s="260"/>
      <c r="Y914" s="260"/>
      <c r="Z914" s="260"/>
    </row>
    <row r="915">
      <c r="A915" s="260"/>
      <c r="B915" s="260"/>
      <c r="C915" s="260"/>
      <c r="D915" s="260"/>
      <c r="E915" s="260"/>
      <c r="F915" s="260"/>
      <c r="G915" s="260"/>
      <c r="H915" s="260"/>
      <c r="I915" s="260"/>
      <c r="J915" s="260"/>
      <c r="K915" s="260"/>
      <c r="L915" s="260"/>
      <c r="M915" s="260"/>
      <c r="N915" s="260"/>
      <c r="O915" s="260"/>
      <c r="P915" s="260"/>
      <c r="Q915" s="260"/>
      <c r="R915" s="260"/>
      <c r="S915" s="260"/>
      <c r="T915" s="260"/>
      <c r="U915" s="260"/>
      <c r="V915" s="260"/>
      <c r="W915" s="260"/>
      <c r="X915" s="260"/>
      <c r="Y915" s="260"/>
      <c r="Z915" s="260"/>
    </row>
    <row r="916">
      <c r="A916" s="260"/>
      <c r="B916" s="260"/>
      <c r="C916" s="260"/>
      <c r="D916" s="260"/>
      <c r="E916" s="260"/>
      <c r="F916" s="260"/>
      <c r="G916" s="260"/>
      <c r="H916" s="260"/>
      <c r="I916" s="260"/>
      <c r="J916" s="260"/>
      <c r="K916" s="260"/>
      <c r="L916" s="260"/>
      <c r="M916" s="260"/>
      <c r="N916" s="260"/>
      <c r="O916" s="260"/>
      <c r="P916" s="260"/>
      <c r="Q916" s="260"/>
      <c r="R916" s="260"/>
      <c r="S916" s="260"/>
      <c r="T916" s="260"/>
      <c r="U916" s="260"/>
      <c r="V916" s="260"/>
      <c r="W916" s="260"/>
      <c r="X916" s="260"/>
      <c r="Y916" s="260"/>
      <c r="Z916" s="260"/>
    </row>
    <row r="917">
      <c r="A917" s="260"/>
      <c r="B917" s="260"/>
      <c r="C917" s="260"/>
      <c r="D917" s="260"/>
      <c r="E917" s="260"/>
      <c r="F917" s="260"/>
      <c r="G917" s="260"/>
      <c r="H917" s="260"/>
      <c r="I917" s="260"/>
      <c r="J917" s="260"/>
      <c r="K917" s="260"/>
      <c r="L917" s="260"/>
      <c r="M917" s="260"/>
      <c r="N917" s="260"/>
      <c r="O917" s="260"/>
      <c r="P917" s="260"/>
      <c r="Q917" s="260"/>
      <c r="R917" s="260"/>
      <c r="S917" s="260"/>
      <c r="T917" s="260"/>
      <c r="U917" s="260"/>
      <c r="V917" s="260"/>
      <c r="W917" s="260"/>
      <c r="X917" s="260"/>
      <c r="Y917" s="260"/>
      <c r="Z917" s="260"/>
    </row>
    <row r="918">
      <c r="A918" s="260"/>
      <c r="B918" s="260"/>
      <c r="C918" s="260"/>
      <c r="D918" s="260"/>
      <c r="E918" s="260"/>
      <c r="F918" s="260"/>
      <c r="G918" s="260"/>
      <c r="H918" s="260"/>
      <c r="I918" s="260"/>
      <c r="J918" s="260"/>
      <c r="K918" s="260"/>
      <c r="L918" s="260"/>
      <c r="M918" s="260"/>
      <c r="N918" s="260"/>
      <c r="O918" s="260"/>
      <c r="P918" s="260"/>
      <c r="Q918" s="260"/>
      <c r="R918" s="260"/>
      <c r="S918" s="260"/>
      <c r="T918" s="260"/>
      <c r="U918" s="260"/>
      <c r="V918" s="260"/>
      <c r="W918" s="260"/>
      <c r="X918" s="260"/>
      <c r="Y918" s="260"/>
      <c r="Z918" s="260"/>
    </row>
    <row r="919">
      <c r="A919" s="260"/>
      <c r="B919" s="260"/>
      <c r="C919" s="260"/>
      <c r="D919" s="260"/>
      <c r="E919" s="260"/>
      <c r="F919" s="260"/>
      <c r="G919" s="260"/>
      <c r="H919" s="260"/>
      <c r="I919" s="260"/>
      <c r="J919" s="260"/>
      <c r="K919" s="260"/>
      <c r="L919" s="260"/>
      <c r="M919" s="260"/>
      <c r="N919" s="260"/>
      <c r="O919" s="260"/>
      <c r="P919" s="260"/>
      <c r="Q919" s="260"/>
      <c r="R919" s="260"/>
      <c r="S919" s="260"/>
      <c r="T919" s="260"/>
      <c r="U919" s="260"/>
      <c r="V919" s="260"/>
      <c r="W919" s="260"/>
      <c r="X919" s="260"/>
      <c r="Y919" s="260"/>
      <c r="Z919" s="260"/>
    </row>
    <row r="920">
      <c r="A920" s="260"/>
      <c r="B920" s="260"/>
      <c r="C920" s="260"/>
      <c r="D920" s="260"/>
      <c r="E920" s="260"/>
      <c r="F920" s="260"/>
      <c r="G920" s="260"/>
      <c r="H920" s="260"/>
      <c r="I920" s="260"/>
      <c r="J920" s="260"/>
      <c r="K920" s="260"/>
      <c r="L920" s="260"/>
      <c r="M920" s="260"/>
      <c r="N920" s="260"/>
      <c r="O920" s="260"/>
      <c r="P920" s="260"/>
      <c r="Q920" s="260"/>
      <c r="R920" s="260"/>
      <c r="S920" s="260"/>
      <c r="T920" s="260"/>
      <c r="U920" s="260"/>
      <c r="V920" s="260"/>
      <c r="W920" s="260"/>
      <c r="X920" s="260"/>
      <c r="Y920" s="260"/>
      <c r="Z920" s="260"/>
    </row>
    <row r="921">
      <c r="A921" s="260"/>
      <c r="B921" s="260"/>
      <c r="C921" s="260"/>
      <c r="D921" s="260"/>
      <c r="E921" s="260"/>
      <c r="F921" s="260"/>
      <c r="G921" s="260"/>
      <c r="H921" s="260"/>
      <c r="I921" s="260"/>
      <c r="J921" s="260"/>
      <c r="K921" s="260"/>
      <c r="L921" s="260"/>
      <c r="M921" s="260"/>
      <c r="N921" s="260"/>
      <c r="O921" s="260"/>
      <c r="P921" s="260"/>
      <c r="Q921" s="260"/>
      <c r="R921" s="260"/>
      <c r="S921" s="260"/>
      <c r="T921" s="260"/>
      <c r="U921" s="260"/>
      <c r="V921" s="260"/>
      <c r="W921" s="260"/>
      <c r="X921" s="260"/>
      <c r="Y921" s="260"/>
      <c r="Z921" s="260"/>
    </row>
    <row r="922">
      <c r="A922" s="260"/>
      <c r="B922" s="260"/>
      <c r="C922" s="260"/>
      <c r="D922" s="260"/>
      <c r="E922" s="260"/>
      <c r="F922" s="260"/>
      <c r="G922" s="260"/>
      <c r="H922" s="260"/>
      <c r="I922" s="260"/>
      <c r="J922" s="260"/>
      <c r="K922" s="260"/>
      <c r="L922" s="260"/>
      <c r="M922" s="260"/>
      <c r="N922" s="260"/>
      <c r="O922" s="260"/>
      <c r="P922" s="260"/>
      <c r="Q922" s="260"/>
      <c r="R922" s="260"/>
      <c r="S922" s="260"/>
      <c r="T922" s="260"/>
      <c r="U922" s="260"/>
      <c r="V922" s="260"/>
      <c r="W922" s="260"/>
      <c r="X922" s="260"/>
      <c r="Y922" s="260"/>
      <c r="Z922" s="260"/>
    </row>
    <row r="923">
      <c r="A923" s="260"/>
      <c r="B923" s="260"/>
      <c r="C923" s="260"/>
      <c r="D923" s="260"/>
      <c r="E923" s="260"/>
      <c r="F923" s="260"/>
      <c r="G923" s="260"/>
      <c r="H923" s="260"/>
      <c r="I923" s="260"/>
      <c r="J923" s="260"/>
      <c r="K923" s="260"/>
      <c r="L923" s="260"/>
      <c r="M923" s="260"/>
      <c r="N923" s="260"/>
      <c r="O923" s="260"/>
      <c r="P923" s="260"/>
      <c r="Q923" s="260"/>
      <c r="R923" s="260"/>
      <c r="S923" s="260"/>
      <c r="T923" s="260"/>
      <c r="U923" s="260"/>
      <c r="V923" s="260"/>
      <c r="W923" s="260"/>
      <c r="X923" s="260"/>
      <c r="Y923" s="260"/>
      <c r="Z923" s="260"/>
    </row>
    <row r="924">
      <c r="A924" s="260"/>
      <c r="B924" s="260"/>
      <c r="C924" s="260"/>
      <c r="D924" s="260"/>
      <c r="E924" s="260"/>
      <c r="F924" s="260"/>
      <c r="G924" s="260"/>
      <c r="H924" s="260"/>
      <c r="I924" s="260"/>
      <c r="J924" s="260"/>
      <c r="K924" s="260"/>
      <c r="L924" s="260"/>
      <c r="M924" s="260"/>
      <c r="N924" s="260"/>
      <c r="O924" s="260"/>
      <c r="P924" s="260"/>
      <c r="Q924" s="260"/>
      <c r="R924" s="260"/>
      <c r="S924" s="260"/>
      <c r="T924" s="260"/>
      <c r="U924" s="260"/>
      <c r="V924" s="260"/>
      <c r="W924" s="260"/>
      <c r="X924" s="260"/>
      <c r="Y924" s="260"/>
      <c r="Z924" s="260"/>
    </row>
    <row r="925">
      <c r="A925" s="260"/>
      <c r="B925" s="260"/>
      <c r="C925" s="260"/>
      <c r="D925" s="260"/>
      <c r="E925" s="260"/>
      <c r="F925" s="260"/>
      <c r="G925" s="260"/>
      <c r="H925" s="260"/>
      <c r="I925" s="260"/>
      <c r="J925" s="260"/>
      <c r="K925" s="260"/>
      <c r="L925" s="260"/>
      <c r="M925" s="260"/>
      <c r="N925" s="260"/>
      <c r="O925" s="260"/>
      <c r="P925" s="260"/>
      <c r="Q925" s="260"/>
      <c r="R925" s="260"/>
      <c r="S925" s="260"/>
      <c r="T925" s="260"/>
      <c r="U925" s="260"/>
      <c r="V925" s="260"/>
      <c r="W925" s="260"/>
      <c r="X925" s="260"/>
      <c r="Y925" s="260"/>
      <c r="Z925" s="260"/>
    </row>
    <row r="926">
      <c r="A926" s="260"/>
      <c r="B926" s="260"/>
      <c r="C926" s="260"/>
      <c r="D926" s="260"/>
      <c r="E926" s="260"/>
      <c r="F926" s="260"/>
      <c r="G926" s="260"/>
      <c r="H926" s="260"/>
      <c r="I926" s="260"/>
      <c r="J926" s="260"/>
      <c r="K926" s="260"/>
      <c r="L926" s="260"/>
      <c r="M926" s="260"/>
      <c r="N926" s="260"/>
      <c r="O926" s="260"/>
      <c r="P926" s="260"/>
      <c r="Q926" s="260"/>
      <c r="R926" s="260"/>
      <c r="S926" s="260"/>
      <c r="T926" s="260"/>
      <c r="U926" s="260"/>
      <c r="V926" s="260"/>
      <c r="W926" s="260"/>
      <c r="X926" s="260"/>
      <c r="Y926" s="260"/>
      <c r="Z926" s="260"/>
    </row>
    <row r="927">
      <c r="A927" s="260"/>
      <c r="B927" s="260"/>
      <c r="C927" s="260"/>
      <c r="D927" s="260"/>
      <c r="E927" s="260"/>
      <c r="F927" s="260"/>
      <c r="G927" s="260"/>
      <c r="H927" s="260"/>
      <c r="I927" s="260"/>
      <c r="J927" s="260"/>
      <c r="K927" s="260"/>
      <c r="L927" s="260"/>
      <c r="M927" s="260"/>
      <c r="N927" s="260"/>
      <c r="O927" s="260"/>
      <c r="P927" s="260"/>
      <c r="Q927" s="260"/>
      <c r="R927" s="260"/>
      <c r="S927" s="260"/>
      <c r="T927" s="260"/>
      <c r="U927" s="260"/>
      <c r="V927" s="260"/>
      <c r="W927" s="260"/>
      <c r="X927" s="260"/>
      <c r="Y927" s="260"/>
      <c r="Z927" s="260"/>
    </row>
    <row r="928">
      <c r="A928" s="260"/>
      <c r="B928" s="260"/>
      <c r="C928" s="260"/>
      <c r="D928" s="260"/>
      <c r="E928" s="260"/>
      <c r="F928" s="260"/>
      <c r="G928" s="260"/>
      <c r="H928" s="260"/>
      <c r="I928" s="260"/>
      <c r="J928" s="260"/>
      <c r="K928" s="260"/>
      <c r="L928" s="260"/>
      <c r="M928" s="260"/>
      <c r="N928" s="260"/>
      <c r="O928" s="260"/>
      <c r="P928" s="260"/>
      <c r="Q928" s="260"/>
      <c r="R928" s="260"/>
      <c r="S928" s="260"/>
      <c r="T928" s="260"/>
      <c r="U928" s="260"/>
      <c r="V928" s="260"/>
      <c r="W928" s="260"/>
      <c r="X928" s="260"/>
      <c r="Y928" s="260"/>
      <c r="Z928" s="260"/>
    </row>
    <row r="929">
      <c r="A929" s="260"/>
      <c r="B929" s="260"/>
      <c r="C929" s="260"/>
      <c r="D929" s="260"/>
      <c r="E929" s="260"/>
      <c r="F929" s="260"/>
      <c r="G929" s="260"/>
      <c r="H929" s="260"/>
      <c r="I929" s="260"/>
      <c r="J929" s="260"/>
      <c r="K929" s="260"/>
      <c r="L929" s="260"/>
      <c r="M929" s="260"/>
      <c r="N929" s="260"/>
      <c r="O929" s="260"/>
      <c r="P929" s="260"/>
      <c r="Q929" s="260"/>
      <c r="R929" s="260"/>
      <c r="S929" s="260"/>
      <c r="T929" s="260"/>
      <c r="U929" s="260"/>
      <c r="V929" s="260"/>
      <c r="W929" s="260"/>
      <c r="X929" s="260"/>
      <c r="Y929" s="260"/>
      <c r="Z929" s="260"/>
    </row>
    <row r="930">
      <c r="A930" s="260"/>
      <c r="B930" s="260"/>
      <c r="C930" s="260"/>
      <c r="D930" s="260"/>
      <c r="E930" s="260"/>
      <c r="F930" s="260"/>
      <c r="G930" s="260"/>
      <c r="H930" s="260"/>
      <c r="I930" s="260"/>
      <c r="J930" s="260"/>
      <c r="K930" s="260"/>
      <c r="L930" s="260"/>
      <c r="M930" s="260"/>
      <c r="N930" s="260"/>
      <c r="O930" s="260"/>
      <c r="P930" s="260"/>
      <c r="Q930" s="260"/>
      <c r="R930" s="260"/>
      <c r="S930" s="260"/>
      <c r="T930" s="260"/>
      <c r="U930" s="260"/>
      <c r="V930" s="260"/>
      <c r="W930" s="260"/>
      <c r="X930" s="260"/>
      <c r="Y930" s="260"/>
      <c r="Z930" s="260"/>
    </row>
    <row r="931">
      <c r="A931" s="260"/>
      <c r="B931" s="260"/>
      <c r="C931" s="260"/>
      <c r="D931" s="260"/>
      <c r="E931" s="260"/>
      <c r="F931" s="260"/>
      <c r="G931" s="260"/>
      <c r="H931" s="260"/>
      <c r="I931" s="260"/>
      <c r="J931" s="260"/>
      <c r="K931" s="260"/>
      <c r="L931" s="260"/>
      <c r="M931" s="260"/>
      <c r="N931" s="260"/>
      <c r="O931" s="260"/>
      <c r="P931" s="260"/>
      <c r="Q931" s="260"/>
      <c r="R931" s="260"/>
      <c r="S931" s="260"/>
      <c r="T931" s="260"/>
      <c r="U931" s="260"/>
      <c r="V931" s="260"/>
      <c r="W931" s="260"/>
      <c r="X931" s="260"/>
      <c r="Y931" s="260"/>
      <c r="Z931" s="260"/>
    </row>
    <row r="932">
      <c r="A932" s="260"/>
      <c r="B932" s="260"/>
      <c r="C932" s="260"/>
      <c r="D932" s="260"/>
      <c r="E932" s="260"/>
      <c r="F932" s="260"/>
      <c r="G932" s="260"/>
      <c r="H932" s="260"/>
      <c r="I932" s="260"/>
      <c r="J932" s="260"/>
      <c r="K932" s="260"/>
      <c r="L932" s="260"/>
      <c r="M932" s="260"/>
      <c r="N932" s="260"/>
      <c r="O932" s="260"/>
      <c r="P932" s="260"/>
      <c r="Q932" s="260"/>
      <c r="R932" s="260"/>
      <c r="S932" s="260"/>
      <c r="T932" s="260"/>
      <c r="U932" s="260"/>
      <c r="V932" s="260"/>
      <c r="W932" s="260"/>
      <c r="X932" s="260"/>
      <c r="Y932" s="260"/>
      <c r="Z932" s="260"/>
    </row>
    <row r="933">
      <c r="A933" s="260"/>
      <c r="B933" s="260"/>
      <c r="C933" s="260"/>
      <c r="D933" s="260"/>
      <c r="E933" s="260"/>
      <c r="F933" s="260"/>
      <c r="G933" s="260"/>
      <c r="H933" s="260"/>
      <c r="I933" s="260"/>
      <c r="J933" s="260"/>
      <c r="K933" s="260"/>
      <c r="L933" s="260"/>
      <c r="M933" s="260"/>
      <c r="N933" s="260"/>
      <c r="O933" s="260"/>
      <c r="P933" s="260"/>
      <c r="Q933" s="260"/>
      <c r="R933" s="260"/>
      <c r="S933" s="260"/>
      <c r="T933" s="260"/>
      <c r="U933" s="260"/>
      <c r="V933" s="260"/>
      <c r="W933" s="260"/>
      <c r="X933" s="260"/>
      <c r="Y933" s="260"/>
      <c r="Z933" s="260"/>
    </row>
    <row r="934">
      <c r="A934" s="260"/>
      <c r="B934" s="260"/>
      <c r="C934" s="260"/>
      <c r="D934" s="260"/>
      <c r="E934" s="260"/>
      <c r="F934" s="260"/>
      <c r="G934" s="260"/>
      <c r="H934" s="260"/>
      <c r="I934" s="260"/>
      <c r="J934" s="260"/>
      <c r="K934" s="260"/>
      <c r="L934" s="260"/>
      <c r="M934" s="260"/>
      <c r="N934" s="260"/>
      <c r="O934" s="260"/>
      <c r="P934" s="260"/>
      <c r="Q934" s="260"/>
      <c r="R934" s="260"/>
      <c r="S934" s="260"/>
      <c r="T934" s="260"/>
      <c r="U934" s="260"/>
      <c r="V934" s="260"/>
      <c r="W934" s="260"/>
      <c r="X934" s="260"/>
      <c r="Y934" s="260"/>
      <c r="Z934" s="260"/>
    </row>
    <row r="935">
      <c r="A935" s="260"/>
      <c r="B935" s="260"/>
      <c r="C935" s="260"/>
      <c r="D935" s="260"/>
      <c r="E935" s="260"/>
      <c r="F935" s="260"/>
      <c r="G935" s="260"/>
      <c r="H935" s="260"/>
      <c r="I935" s="260"/>
      <c r="J935" s="260"/>
      <c r="K935" s="260"/>
      <c r="L935" s="260"/>
      <c r="M935" s="260"/>
      <c r="N935" s="260"/>
      <c r="O935" s="260"/>
      <c r="P935" s="260"/>
      <c r="Q935" s="260"/>
      <c r="R935" s="260"/>
      <c r="S935" s="260"/>
      <c r="T935" s="260"/>
      <c r="U935" s="260"/>
      <c r="V935" s="260"/>
      <c r="W935" s="260"/>
      <c r="X935" s="260"/>
      <c r="Y935" s="260"/>
      <c r="Z935" s="260"/>
    </row>
    <row r="936">
      <c r="A936" s="260"/>
      <c r="B936" s="260"/>
      <c r="C936" s="260"/>
      <c r="D936" s="260"/>
      <c r="E936" s="260"/>
      <c r="F936" s="260"/>
      <c r="G936" s="260"/>
      <c r="H936" s="260"/>
      <c r="I936" s="260"/>
      <c r="J936" s="260"/>
      <c r="K936" s="260"/>
      <c r="L936" s="260"/>
      <c r="M936" s="260"/>
      <c r="N936" s="260"/>
      <c r="O936" s="260"/>
      <c r="P936" s="260"/>
      <c r="Q936" s="260"/>
      <c r="R936" s="260"/>
      <c r="S936" s="260"/>
      <c r="T936" s="260"/>
      <c r="U936" s="260"/>
      <c r="V936" s="260"/>
      <c r="W936" s="260"/>
      <c r="X936" s="260"/>
      <c r="Y936" s="260"/>
      <c r="Z936" s="260"/>
    </row>
    <row r="937">
      <c r="A937" s="260"/>
      <c r="B937" s="260"/>
      <c r="C937" s="260"/>
      <c r="D937" s="260"/>
      <c r="E937" s="260"/>
      <c r="F937" s="260"/>
      <c r="G937" s="260"/>
      <c r="H937" s="260"/>
      <c r="I937" s="260"/>
      <c r="J937" s="260"/>
      <c r="K937" s="260"/>
      <c r="L937" s="260"/>
      <c r="M937" s="260"/>
      <c r="N937" s="260"/>
      <c r="O937" s="260"/>
      <c r="P937" s="260"/>
      <c r="Q937" s="260"/>
      <c r="R937" s="260"/>
      <c r="S937" s="260"/>
      <c r="T937" s="260"/>
      <c r="U937" s="260"/>
      <c r="V937" s="260"/>
      <c r="W937" s="260"/>
      <c r="X937" s="260"/>
      <c r="Y937" s="260"/>
      <c r="Z937" s="260"/>
    </row>
    <row r="938">
      <c r="A938" s="260"/>
      <c r="B938" s="260"/>
      <c r="C938" s="260"/>
      <c r="D938" s="260"/>
      <c r="E938" s="260"/>
      <c r="F938" s="260"/>
      <c r="G938" s="260"/>
      <c r="H938" s="260"/>
      <c r="I938" s="260"/>
      <c r="J938" s="260"/>
      <c r="K938" s="260"/>
      <c r="L938" s="260"/>
      <c r="M938" s="260"/>
      <c r="N938" s="260"/>
      <c r="O938" s="260"/>
      <c r="P938" s="260"/>
      <c r="Q938" s="260"/>
      <c r="R938" s="260"/>
      <c r="S938" s="260"/>
      <c r="T938" s="260"/>
      <c r="U938" s="260"/>
      <c r="V938" s="260"/>
      <c r="W938" s="260"/>
      <c r="X938" s="260"/>
      <c r="Y938" s="260"/>
      <c r="Z938" s="260"/>
    </row>
    <row r="939">
      <c r="A939" s="260"/>
      <c r="B939" s="260"/>
      <c r="C939" s="260"/>
      <c r="D939" s="260"/>
      <c r="E939" s="260"/>
      <c r="F939" s="260"/>
      <c r="G939" s="260"/>
      <c r="H939" s="260"/>
      <c r="I939" s="260"/>
      <c r="J939" s="260"/>
      <c r="K939" s="260"/>
      <c r="L939" s="260"/>
      <c r="M939" s="260"/>
      <c r="N939" s="260"/>
      <c r="O939" s="260"/>
      <c r="P939" s="260"/>
      <c r="Q939" s="260"/>
      <c r="R939" s="260"/>
      <c r="S939" s="260"/>
      <c r="T939" s="260"/>
      <c r="U939" s="260"/>
      <c r="V939" s="260"/>
      <c r="W939" s="260"/>
      <c r="X939" s="260"/>
      <c r="Y939" s="260"/>
      <c r="Z939" s="260"/>
    </row>
    <row r="940">
      <c r="A940" s="260"/>
      <c r="B940" s="260"/>
      <c r="C940" s="260"/>
      <c r="D940" s="260"/>
      <c r="E940" s="260"/>
      <c r="F940" s="260"/>
      <c r="G940" s="260"/>
      <c r="H940" s="260"/>
      <c r="I940" s="260"/>
      <c r="J940" s="260"/>
      <c r="K940" s="260"/>
      <c r="L940" s="260"/>
      <c r="M940" s="260"/>
      <c r="N940" s="260"/>
      <c r="O940" s="260"/>
      <c r="P940" s="260"/>
      <c r="Q940" s="260"/>
      <c r="R940" s="260"/>
      <c r="S940" s="260"/>
      <c r="T940" s="260"/>
      <c r="U940" s="260"/>
      <c r="V940" s="260"/>
      <c r="W940" s="260"/>
      <c r="X940" s="260"/>
      <c r="Y940" s="260"/>
      <c r="Z940" s="260"/>
    </row>
    <row r="941">
      <c r="A941" s="260"/>
      <c r="B941" s="260"/>
      <c r="C941" s="260"/>
      <c r="D941" s="260"/>
      <c r="E941" s="260"/>
      <c r="F941" s="260"/>
      <c r="G941" s="260"/>
      <c r="H941" s="260"/>
      <c r="I941" s="260"/>
      <c r="J941" s="260"/>
      <c r="K941" s="260"/>
      <c r="L941" s="260"/>
      <c r="M941" s="260"/>
      <c r="N941" s="260"/>
      <c r="O941" s="260"/>
      <c r="P941" s="260"/>
      <c r="Q941" s="260"/>
      <c r="R941" s="260"/>
      <c r="S941" s="260"/>
      <c r="T941" s="260"/>
      <c r="U941" s="260"/>
      <c r="V941" s="260"/>
      <c r="W941" s="260"/>
      <c r="X941" s="260"/>
      <c r="Y941" s="260"/>
      <c r="Z941" s="260"/>
    </row>
    <row r="942">
      <c r="A942" s="260"/>
      <c r="B942" s="260"/>
      <c r="C942" s="260"/>
      <c r="D942" s="260"/>
      <c r="E942" s="260"/>
      <c r="F942" s="260"/>
      <c r="G942" s="260"/>
      <c r="H942" s="260"/>
      <c r="I942" s="260"/>
      <c r="J942" s="260"/>
      <c r="K942" s="260"/>
      <c r="L942" s="260"/>
      <c r="M942" s="260"/>
      <c r="N942" s="260"/>
      <c r="O942" s="260"/>
      <c r="P942" s="260"/>
      <c r="Q942" s="260"/>
      <c r="R942" s="260"/>
      <c r="S942" s="260"/>
      <c r="T942" s="260"/>
      <c r="U942" s="260"/>
      <c r="V942" s="260"/>
      <c r="W942" s="260"/>
      <c r="X942" s="260"/>
      <c r="Y942" s="260"/>
      <c r="Z942" s="260"/>
    </row>
    <row r="943">
      <c r="A943" s="260"/>
      <c r="B943" s="260"/>
      <c r="C943" s="260"/>
      <c r="D943" s="260"/>
      <c r="E943" s="260"/>
      <c r="F943" s="260"/>
      <c r="G943" s="260"/>
      <c r="H943" s="260"/>
      <c r="I943" s="260"/>
      <c r="J943" s="260"/>
      <c r="K943" s="260"/>
      <c r="L943" s="260"/>
      <c r="M943" s="260"/>
      <c r="N943" s="260"/>
      <c r="O943" s="260"/>
      <c r="P943" s="260"/>
      <c r="Q943" s="260"/>
      <c r="R943" s="260"/>
      <c r="S943" s="260"/>
      <c r="T943" s="260"/>
      <c r="U943" s="260"/>
      <c r="V943" s="260"/>
      <c r="W943" s="260"/>
      <c r="X943" s="260"/>
      <c r="Y943" s="260"/>
      <c r="Z943" s="260"/>
    </row>
    <row r="944">
      <c r="A944" s="260"/>
      <c r="B944" s="260"/>
      <c r="C944" s="260"/>
      <c r="D944" s="260"/>
      <c r="E944" s="260"/>
      <c r="F944" s="260"/>
      <c r="G944" s="260"/>
      <c r="H944" s="260"/>
      <c r="I944" s="260"/>
      <c r="J944" s="260"/>
      <c r="K944" s="260"/>
      <c r="L944" s="260"/>
      <c r="M944" s="260"/>
      <c r="N944" s="260"/>
      <c r="O944" s="260"/>
      <c r="P944" s="260"/>
      <c r="Q944" s="260"/>
      <c r="R944" s="260"/>
      <c r="S944" s="260"/>
      <c r="T944" s="260"/>
      <c r="U944" s="260"/>
      <c r="V944" s="260"/>
      <c r="W944" s="260"/>
      <c r="X944" s="260"/>
      <c r="Y944" s="260"/>
      <c r="Z944" s="260"/>
    </row>
    <row r="945">
      <c r="A945" s="260"/>
      <c r="B945" s="260"/>
      <c r="C945" s="260"/>
      <c r="D945" s="260"/>
      <c r="E945" s="260"/>
      <c r="F945" s="260"/>
      <c r="G945" s="260"/>
      <c r="H945" s="260"/>
      <c r="I945" s="260"/>
      <c r="J945" s="260"/>
      <c r="K945" s="260"/>
      <c r="L945" s="260"/>
      <c r="M945" s="260"/>
      <c r="N945" s="260"/>
      <c r="O945" s="260"/>
      <c r="P945" s="260"/>
      <c r="Q945" s="260"/>
      <c r="R945" s="260"/>
      <c r="S945" s="260"/>
      <c r="T945" s="260"/>
      <c r="U945" s="260"/>
      <c r="V945" s="260"/>
      <c r="W945" s="260"/>
      <c r="X945" s="260"/>
      <c r="Y945" s="260"/>
      <c r="Z945" s="260"/>
    </row>
    <row r="946">
      <c r="A946" s="260"/>
      <c r="B946" s="260"/>
      <c r="C946" s="260"/>
      <c r="D946" s="260"/>
      <c r="E946" s="260"/>
      <c r="F946" s="260"/>
      <c r="G946" s="260"/>
      <c r="H946" s="260"/>
      <c r="I946" s="260"/>
      <c r="J946" s="260"/>
      <c r="K946" s="260"/>
      <c r="L946" s="260"/>
      <c r="M946" s="260"/>
      <c r="N946" s="260"/>
      <c r="O946" s="260"/>
      <c r="P946" s="260"/>
      <c r="Q946" s="260"/>
      <c r="R946" s="260"/>
      <c r="S946" s="260"/>
      <c r="T946" s="260"/>
      <c r="U946" s="260"/>
      <c r="V946" s="260"/>
      <c r="W946" s="260"/>
      <c r="X946" s="260"/>
      <c r="Y946" s="260"/>
      <c r="Z946" s="260"/>
    </row>
    <row r="947">
      <c r="A947" s="260"/>
      <c r="B947" s="260"/>
      <c r="C947" s="260"/>
      <c r="D947" s="260"/>
      <c r="E947" s="260"/>
      <c r="F947" s="260"/>
      <c r="G947" s="260"/>
      <c r="H947" s="260"/>
      <c r="I947" s="260"/>
      <c r="J947" s="260"/>
      <c r="K947" s="260"/>
      <c r="L947" s="260"/>
      <c r="M947" s="260"/>
      <c r="N947" s="260"/>
      <c r="O947" s="260"/>
      <c r="P947" s="260"/>
      <c r="Q947" s="260"/>
      <c r="R947" s="260"/>
      <c r="S947" s="260"/>
      <c r="T947" s="260"/>
      <c r="U947" s="260"/>
      <c r="V947" s="260"/>
      <c r="W947" s="260"/>
      <c r="X947" s="260"/>
      <c r="Y947" s="260"/>
      <c r="Z947" s="260"/>
    </row>
    <row r="948">
      <c r="A948" s="260"/>
      <c r="B948" s="260"/>
      <c r="C948" s="260"/>
      <c r="D948" s="260"/>
      <c r="E948" s="260"/>
      <c r="F948" s="260"/>
      <c r="G948" s="260"/>
      <c r="H948" s="260"/>
      <c r="I948" s="260"/>
      <c r="J948" s="260"/>
      <c r="K948" s="260"/>
      <c r="L948" s="260"/>
      <c r="M948" s="260"/>
      <c r="N948" s="260"/>
      <c r="O948" s="260"/>
      <c r="P948" s="260"/>
      <c r="Q948" s="260"/>
      <c r="R948" s="260"/>
      <c r="S948" s="260"/>
      <c r="T948" s="260"/>
      <c r="U948" s="260"/>
      <c r="V948" s="260"/>
      <c r="W948" s="260"/>
      <c r="X948" s="260"/>
      <c r="Y948" s="260"/>
      <c r="Z948" s="260"/>
    </row>
    <row r="949">
      <c r="A949" s="260"/>
      <c r="B949" s="260"/>
      <c r="C949" s="260"/>
      <c r="D949" s="260"/>
      <c r="E949" s="260"/>
      <c r="F949" s="260"/>
      <c r="G949" s="260"/>
      <c r="H949" s="260"/>
      <c r="I949" s="260"/>
      <c r="J949" s="260"/>
      <c r="K949" s="260"/>
      <c r="L949" s="260"/>
      <c r="M949" s="260"/>
      <c r="N949" s="260"/>
      <c r="O949" s="260"/>
      <c r="P949" s="260"/>
      <c r="Q949" s="260"/>
      <c r="R949" s="260"/>
      <c r="S949" s="260"/>
      <c r="T949" s="260"/>
      <c r="U949" s="260"/>
      <c r="V949" s="260"/>
      <c r="W949" s="260"/>
      <c r="X949" s="260"/>
      <c r="Y949" s="260"/>
      <c r="Z949" s="260"/>
    </row>
    <row r="950">
      <c r="A950" s="260"/>
      <c r="B950" s="260"/>
      <c r="C950" s="260"/>
      <c r="D950" s="260"/>
      <c r="E950" s="260"/>
      <c r="F950" s="260"/>
      <c r="G950" s="260"/>
      <c r="H950" s="260"/>
      <c r="I950" s="260"/>
      <c r="J950" s="260"/>
      <c r="K950" s="260"/>
      <c r="L950" s="260"/>
      <c r="M950" s="260"/>
      <c r="N950" s="260"/>
      <c r="O950" s="260"/>
      <c r="P950" s="260"/>
      <c r="Q950" s="260"/>
      <c r="R950" s="260"/>
      <c r="S950" s="260"/>
      <c r="T950" s="260"/>
      <c r="U950" s="260"/>
      <c r="V950" s="260"/>
      <c r="W950" s="260"/>
      <c r="X950" s="260"/>
      <c r="Y950" s="260"/>
      <c r="Z950" s="260"/>
    </row>
    <row r="951">
      <c r="A951" s="260"/>
      <c r="B951" s="260"/>
      <c r="C951" s="260"/>
      <c r="D951" s="260"/>
      <c r="E951" s="260"/>
      <c r="F951" s="260"/>
      <c r="G951" s="260"/>
      <c r="H951" s="260"/>
      <c r="I951" s="260"/>
      <c r="J951" s="260"/>
      <c r="K951" s="260"/>
      <c r="L951" s="260"/>
      <c r="M951" s="260"/>
      <c r="N951" s="260"/>
      <c r="O951" s="260"/>
      <c r="P951" s="260"/>
      <c r="Q951" s="260"/>
      <c r="R951" s="260"/>
      <c r="S951" s="260"/>
      <c r="T951" s="260"/>
      <c r="U951" s="260"/>
      <c r="V951" s="260"/>
      <c r="W951" s="260"/>
      <c r="X951" s="260"/>
      <c r="Y951" s="260"/>
      <c r="Z951" s="260"/>
    </row>
    <row r="952">
      <c r="A952" s="260"/>
      <c r="B952" s="260"/>
      <c r="C952" s="260"/>
      <c r="D952" s="260"/>
      <c r="E952" s="260"/>
      <c r="F952" s="260"/>
      <c r="G952" s="260"/>
      <c r="H952" s="260"/>
      <c r="I952" s="260"/>
      <c r="J952" s="260"/>
      <c r="K952" s="260"/>
      <c r="L952" s="260"/>
      <c r="M952" s="260"/>
      <c r="N952" s="260"/>
      <c r="O952" s="260"/>
      <c r="P952" s="260"/>
      <c r="Q952" s="260"/>
      <c r="R952" s="260"/>
      <c r="S952" s="260"/>
      <c r="T952" s="260"/>
      <c r="U952" s="260"/>
      <c r="V952" s="260"/>
      <c r="W952" s="260"/>
      <c r="X952" s="260"/>
      <c r="Y952" s="260"/>
      <c r="Z952" s="260"/>
    </row>
    <row r="953">
      <c r="A953" s="260"/>
      <c r="B953" s="260"/>
      <c r="C953" s="260"/>
      <c r="D953" s="260"/>
      <c r="E953" s="260"/>
      <c r="F953" s="260"/>
      <c r="G953" s="260"/>
      <c r="H953" s="260"/>
      <c r="I953" s="260"/>
      <c r="J953" s="260"/>
      <c r="K953" s="260"/>
      <c r="L953" s="260"/>
      <c r="M953" s="260"/>
      <c r="N953" s="260"/>
      <c r="O953" s="260"/>
      <c r="P953" s="260"/>
      <c r="Q953" s="260"/>
      <c r="R953" s="260"/>
      <c r="S953" s="260"/>
      <c r="T953" s="260"/>
      <c r="U953" s="260"/>
      <c r="V953" s="260"/>
      <c r="W953" s="260"/>
      <c r="X953" s="260"/>
      <c r="Y953" s="260"/>
      <c r="Z953" s="260"/>
    </row>
    <row r="954">
      <c r="A954" s="260"/>
      <c r="B954" s="260"/>
      <c r="C954" s="260"/>
      <c r="D954" s="260"/>
      <c r="E954" s="260"/>
      <c r="F954" s="260"/>
      <c r="G954" s="260"/>
      <c r="H954" s="260"/>
      <c r="I954" s="260"/>
      <c r="J954" s="260"/>
      <c r="K954" s="260"/>
      <c r="L954" s="260"/>
      <c r="M954" s="260"/>
      <c r="N954" s="260"/>
      <c r="O954" s="260"/>
      <c r="P954" s="260"/>
      <c r="Q954" s="260"/>
      <c r="R954" s="260"/>
      <c r="S954" s="260"/>
      <c r="T954" s="260"/>
      <c r="U954" s="260"/>
      <c r="V954" s="260"/>
      <c r="W954" s="260"/>
      <c r="X954" s="260"/>
      <c r="Y954" s="260"/>
      <c r="Z954" s="260"/>
    </row>
    <row r="955">
      <c r="A955" s="260"/>
      <c r="B955" s="260"/>
      <c r="C955" s="260"/>
      <c r="D955" s="260"/>
      <c r="E955" s="260"/>
      <c r="F955" s="260"/>
      <c r="G955" s="260"/>
      <c r="H955" s="260"/>
      <c r="I955" s="260"/>
      <c r="J955" s="260"/>
      <c r="K955" s="260"/>
      <c r="L955" s="260"/>
      <c r="M955" s="260"/>
      <c r="N955" s="260"/>
      <c r="O955" s="260"/>
      <c r="P955" s="260"/>
      <c r="Q955" s="260"/>
      <c r="R955" s="260"/>
      <c r="S955" s="260"/>
      <c r="T955" s="260"/>
      <c r="U955" s="260"/>
      <c r="V955" s="260"/>
      <c r="W955" s="260"/>
      <c r="X955" s="260"/>
      <c r="Y955" s="260"/>
      <c r="Z955" s="260"/>
    </row>
    <row r="956">
      <c r="A956" s="260"/>
      <c r="B956" s="260"/>
      <c r="C956" s="260"/>
      <c r="D956" s="260"/>
      <c r="E956" s="260"/>
      <c r="F956" s="260"/>
      <c r="G956" s="260"/>
      <c r="H956" s="260"/>
      <c r="I956" s="260"/>
      <c r="J956" s="260"/>
      <c r="K956" s="260"/>
      <c r="L956" s="260"/>
      <c r="M956" s="260"/>
      <c r="N956" s="260"/>
      <c r="O956" s="260"/>
      <c r="P956" s="260"/>
      <c r="Q956" s="260"/>
      <c r="R956" s="260"/>
      <c r="S956" s="260"/>
      <c r="T956" s="260"/>
      <c r="U956" s="260"/>
      <c r="V956" s="260"/>
      <c r="W956" s="260"/>
      <c r="X956" s="260"/>
      <c r="Y956" s="260"/>
      <c r="Z956" s="260"/>
    </row>
    <row r="957">
      <c r="A957" s="260"/>
      <c r="B957" s="260"/>
      <c r="C957" s="260"/>
      <c r="D957" s="260"/>
      <c r="E957" s="260"/>
      <c r="F957" s="260"/>
      <c r="G957" s="260"/>
      <c r="H957" s="260"/>
      <c r="I957" s="260"/>
      <c r="J957" s="260"/>
      <c r="K957" s="260"/>
      <c r="L957" s="260"/>
      <c r="M957" s="260"/>
      <c r="N957" s="260"/>
      <c r="O957" s="260"/>
      <c r="P957" s="260"/>
      <c r="Q957" s="260"/>
      <c r="R957" s="260"/>
      <c r="S957" s="260"/>
      <c r="T957" s="260"/>
      <c r="U957" s="260"/>
      <c r="V957" s="260"/>
      <c r="W957" s="260"/>
      <c r="X957" s="260"/>
      <c r="Y957" s="260"/>
      <c r="Z957" s="260"/>
    </row>
    <row r="958">
      <c r="A958" s="260"/>
      <c r="B958" s="260"/>
      <c r="C958" s="260"/>
      <c r="D958" s="260"/>
      <c r="E958" s="260"/>
      <c r="F958" s="260"/>
      <c r="G958" s="260"/>
      <c r="H958" s="260"/>
      <c r="I958" s="260"/>
      <c r="J958" s="260"/>
      <c r="K958" s="260"/>
      <c r="L958" s="260"/>
      <c r="M958" s="260"/>
      <c r="N958" s="260"/>
      <c r="O958" s="260"/>
      <c r="P958" s="260"/>
      <c r="Q958" s="260"/>
      <c r="R958" s="260"/>
      <c r="S958" s="260"/>
      <c r="T958" s="260"/>
      <c r="U958" s="260"/>
      <c r="V958" s="260"/>
      <c r="W958" s="260"/>
      <c r="X958" s="260"/>
      <c r="Y958" s="260"/>
      <c r="Z958" s="260"/>
    </row>
    <row r="959">
      <c r="A959" s="260"/>
      <c r="B959" s="260"/>
      <c r="C959" s="260"/>
      <c r="D959" s="260"/>
      <c r="E959" s="260"/>
      <c r="F959" s="260"/>
      <c r="G959" s="260"/>
      <c r="H959" s="260"/>
      <c r="I959" s="260"/>
      <c r="J959" s="260"/>
      <c r="K959" s="260"/>
      <c r="L959" s="260"/>
      <c r="M959" s="260"/>
      <c r="N959" s="260"/>
      <c r="O959" s="260"/>
      <c r="P959" s="260"/>
      <c r="Q959" s="260"/>
      <c r="R959" s="260"/>
      <c r="S959" s="260"/>
      <c r="T959" s="260"/>
      <c r="U959" s="260"/>
      <c r="V959" s="260"/>
      <c r="W959" s="260"/>
      <c r="X959" s="260"/>
      <c r="Y959" s="260"/>
      <c r="Z959" s="260"/>
    </row>
    <row r="960">
      <c r="A960" s="260"/>
      <c r="B960" s="260"/>
      <c r="C960" s="260"/>
      <c r="D960" s="260"/>
      <c r="E960" s="260"/>
      <c r="F960" s="260"/>
      <c r="G960" s="260"/>
      <c r="H960" s="260"/>
      <c r="I960" s="260"/>
      <c r="J960" s="260"/>
      <c r="K960" s="260"/>
      <c r="L960" s="260"/>
      <c r="M960" s="260"/>
      <c r="N960" s="260"/>
      <c r="O960" s="260"/>
      <c r="P960" s="260"/>
      <c r="Q960" s="260"/>
      <c r="R960" s="260"/>
      <c r="S960" s="260"/>
      <c r="T960" s="260"/>
      <c r="U960" s="260"/>
      <c r="V960" s="260"/>
      <c r="W960" s="260"/>
      <c r="X960" s="260"/>
      <c r="Y960" s="260"/>
      <c r="Z960" s="260"/>
    </row>
    <row r="961">
      <c r="A961" s="260"/>
      <c r="B961" s="260"/>
      <c r="C961" s="260"/>
      <c r="D961" s="260"/>
      <c r="E961" s="260"/>
      <c r="F961" s="260"/>
      <c r="G961" s="260"/>
      <c r="H961" s="260"/>
      <c r="I961" s="260"/>
      <c r="J961" s="260"/>
      <c r="K961" s="260"/>
      <c r="L961" s="260"/>
      <c r="M961" s="260"/>
      <c r="N961" s="260"/>
      <c r="O961" s="260"/>
      <c r="P961" s="260"/>
      <c r="Q961" s="260"/>
      <c r="R961" s="260"/>
      <c r="S961" s="260"/>
      <c r="T961" s="260"/>
      <c r="U961" s="260"/>
      <c r="V961" s="260"/>
      <c r="W961" s="260"/>
      <c r="X961" s="260"/>
      <c r="Y961" s="260"/>
      <c r="Z961" s="260"/>
    </row>
    <row r="962">
      <c r="A962" s="260"/>
      <c r="B962" s="260"/>
      <c r="C962" s="260"/>
      <c r="D962" s="260"/>
      <c r="E962" s="260"/>
      <c r="F962" s="260"/>
      <c r="G962" s="260"/>
      <c r="H962" s="260"/>
      <c r="I962" s="260"/>
      <c r="J962" s="260"/>
      <c r="K962" s="260"/>
      <c r="L962" s="260"/>
      <c r="M962" s="260"/>
      <c r="N962" s="260"/>
      <c r="O962" s="260"/>
      <c r="P962" s="260"/>
      <c r="Q962" s="260"/>
      <c r="R962" s="260"/>
      <c r="S962" s="260"/>
      <c r="T962" s="260"/>
      <c r="U962" s="260"/>
      <c r="V962" s="260"/>
      <c r="W962" s="260"/>
      <c r="X962" s="260"/>
      <c r="Y962" s="260"/>
      <c r="Z962" s="260"/>
    </row>
    <row r="963">
      <c r="A963" s="260"/>
      <c r="B963" s="260"/>
      <c r="C963" s="260"/>
      <c r="D963" s="260"/>
      <c r="E963" s="260"/>
      <c r="F963" s="260"/>
      <c r="G963" s="260"/>
      <c r="H963" s="260"/>
      <c r="I963" s="260"/>
      <c r="J963" s="260"/>
      <c r="K963" s="260"/>
      <c r="L963" s="260"/>
      <c r="M963" s="260"/>
      <c r="N963" s="260"/>
      <c r="O963" s="260"/>
      <c r="P963" s="260"/>
      <c r="Q963" s="260"/>
      <c r="R963" s="260"/>
      <c r="S963" s="260"/>
      <c r="T963" s="260"/>
      <c r="U963" s="260"/>
      <c r="V963" s="260"/>
      <c r="W963" s="260"/>
      <c r="X963" s="260"/>
      <c r="Y963" s="260"/>
      <c r="Z963" s="260"/>
    </row>
    <row r="964">
      <c r="A964" s="260"/>
      <c r="B964" s="260"/>
      <c r="C964" s="260"/>
      <c r="D964" s="260"/>
      <c r="E964" s="260"/>
      <c r="F964" s="260"/>
      <c r="G964" s="260"/>
      <c r="H964" s="260"/>
      <c r="I964" s="260"/>
      <c r="J964" s="260"/>
      <c r="K964" s="260"/>
      <c r="L964" s="260"/>
      <c r="M964" s="260"/>
      <c r="N964" s="260"/>
      <c r="O964" s="260"/>
      <c r="P964" s="260"/>
      <c r="Q964" s="260"/>
      <c r="R964" s="260"/>
      <c r="S964" s="260"/>
      <c r="T964" s="260"/>
      <c r="U964" s="260"/>
      <c r="V964" s="260"/>
      <c r="W964" s="260"/>
      <c r="X964" s="260"/>
      <c r="Y964" s="260"/>
      <c r="Z964" s="260"/>
    </row>
    <row r="965">
      <c r="A965" s="260"/>
      <c r="B965" s="260"/>
      <c r="C965" s="260"/>
      <c r="D965" s="260"/>
      <c r="E965" s="260"/>
      <c r="F965" s="260"/>
      <c r="G965" s="260"/>
      <c r="H965" s="260"/>
      <c r="I965" s="260"/>
      <c r="J965" s="260"/>
      <c r="K965" s="260"/>
      <c r="L965" s="260"/>
      <c r="M965" s="260"/>
      <c r="N965" s="260"/>
      <c r="O965" s="260"/>
      <c r="P965" s="260"/>
      <c r="Q965" s="260"/>
      <c r="R965" s="260"/>
      <c r="S965" s="260"/>
      <c r="T965" s="260"/>
      <c r="U965" s="260"/>
      <c r="V965" s="260"/>
      <c r="W965" s="260"/>
      <c r="X965" s="260"/>
      <c r="Y965" s="260"/>
      <c r="Z965" s="260"/>
    </row>
    <row r="966">
      <c r="A966" s="260"/>
      <c r="B966" s="260"/>
      <c r="C966" s="260"/>
      <c r="D966" s="260"/>
      <c r="E966" s="260"/>
      <c r="F966" s="260"/>
      <c r="G966" s="260"/>
      <c r="H966" s="260"/>
      <c r="I966" s="260"/>
      <c r="J966" s="260"/>
      <c r="K966" s="260"/>
      <c r="L966" s="260"/>
      <c r="M966" s="260"/>
      <c r="N966" s="260"/>
      <c r="O966" s="260"/>
      <c r="P966" s="260"/>
      <c r="Q966" s="260"/>
      <c r="R966" s="260"/>
      <c r="S966" s="260"/>
      <c r="T966" s="260"/>
      <c r="U966" s="260"/>
      <c r="V966" s="260"/>
      <c r="W966" s="260"/>
      <c r="X966" s="260"/>
      <c r="Y966" s="260"/>
      <c r="Z966" s="260"/>
    </row>
    <row r="967">
      <c r="A967" s="260"/>
      <c r="B967" s="260"/>
      <c r="C967" s="260"/>
      <c r="D967" s="260"/>
      <c r="E967" s="260"/>
      <c r="F967" s="260"/>
      <c r="G967" s="260"/>
      <c r="H967" s="260"/>
      <c r="I967" s="260"/>
      <c r="J967" s="260"/>
      <c r="K967" s="260"/>
      <c r="L967" s="260"/>
      <c r="M967" s="260"/>
      <c r="N967" s="260"/>
      <c r="O967" s="260"/>
      <c r="P967" s="260"/>
      <c r="Q967" s="260"/>
      <c r="R967" s="260"/>
      <c r="S967" s="260"/>
      <c r="T967" s="260"/>
      <c r="U967" s="260"/>
      <c r="V967" s="260"/>
      <c r="W967" s="260"/>
      <c r="X967" s="260"/>
      <c r="Y967" s="260"/>
      <c r="Z967" s="260"/>
    </row>
    <row r="968">
      <c r="A968" s="260"/>
      <c r="B968" s="260"/>
      <c r="C968" s="260"/>
      <c r="D968" s="260"/>
      <c r="E968" s="260"/>
      <c r="F968" s="260"/>
      <c r="G968" s="260"/>
      <c r="H968" s="260"/>
      <c r="I968" s="260"/>
      <c r="J968" s="260"/>
      <c r="K968" s="260"/>
      <c r="L968" s="260"/>
      <c r="M968" s="260"/>
      <c r="N968" s="260"/>
      <c r="O968" s="260"/>
      <c r="P968" s="260"/>
      <c r="Q968" s="260"/>
      <c r="R968" s="260"/>
      <c r="S968" s="260"/>
      <c r="T968" s="260"/>
      <c r="U968" s="260"/>
      <c r="V968" s="260"/>
      <c r="W968" s="260"/>
      <c r="X968" s="260"/>
      <c r="Y968" s="260"/>
      <c r="Z968" s="260"/>
    </row>
    <row r="969">
      <c r="A969" s="260"/>
      <c r="B969" s="260"/>
      <c r="C969" s="260"/>
      <c r="D969" s="260"/>
      <c r="E969" s="260"/>
      <c r="F969" s="260"/>
      <c r="G969" s="260"/>
      <c r="H969" s="260"/>
      <c r="I969" s="260"/>
      <c r="J969" s="260"/>
      <c r="K969" s="260"/>
      <c r="L969" s="260"/>
      <c r="M969" s="260"/>
      <c r="N969" s="260"/>
      <c r="O969" s="260"/>
      <c r="P969" s="260"/>
      <c r="Q969" s="260"/>
      <c r="R969" s="260"/>
      <c r="S969" s="260"/>
      <c r="T969" s="260"/>
      <c r="U969" s="260"/>
      <c r="V969" s="260"/>
      <c r="W969" s="260"/>
      <c r="X969" s="260"/>
      <c r="Y969" s="260"/>
      <c r="Z969" s="260"/>
    </row>
    <row r="970">
      <c r="A970" s="260"/>
      <c r="B970" s="260"/>
      <c r="C970" s="260"/>
      <c r="D970" s="260"/>
      <c r="E970" s="260"/>
      <c r="F970" s="260"/>
      <c r="G970" s="260"/>
      <c r="H970" s="260"/>
      <c r="I970" s="260"/>
      <c r="J970" s="260"/>
      <c r="K970" s="260"/>
      <c r="L970" s="260"/>
      <c r="M970" s="260"/>
      <c r="N970" s="260"/>
      <c r="O970" s="260"/>
      <c r="P970" s="260"/>
      <c r="Q970" s="260"/>
      <c r="R970" s="260"/>
      <c r="S970" s="260"/>
      <c r="T970" s="260"/>
      <c r="U970" s="260"/>
      <c r="V970" s="260"/>
      <c r="W970" s="260"/>
      <c r="X970" s="260"/>
      <c r="Y970" s="260"/>
      <c r="Z970" s="260"/>
    </row>
    <row r="971">
      <c r="A971" s="260"/>
      <c r="B971" s="260"/>
      <c r="C971" s="260"/>
      <c r="D971" s="260"/>
      <c r="E971" s="260"/>
      <c r="F971" s="260"/>
      <c r="G971" s="260"/>
      <c r="H971" s="260"/>
      <c r="I971" s="260"/>
      <c r="J971" s="260"/>
      <c r="K971" s="260"/>
      <c r="L971" s="260"/>
      <c r="M971" s="260"/>
      <c r="N971" s="260"/>
      <c r="O971" s="260"/>
      <c r="P971" s="260"/>
      <c r="Q971" s="260"/>
      <c r="R971" s="260"/>
      <c r="S971" s="260"/>
      <c r="T971" s="260"/>
      <c r="U971" s="260"/>
      <c r="V971" s="260"/>
      <c r="W971" s="260"/>
      <c r="X971" s="260"/>
      <c r="Y971" s="260"/>
      <c r="Z971" s="260"/>
    </row>
    <row r="972">
      <c r="A972" s="260"/>
      <c r="B972" s="260"/>
      <c r="C972" s="260"/>
      <c r="D972" s="260"/>
      <c r="E972" s="260"/>
      <c r="F972" s="260"/>
      <c r="G972" s="260"/>
      <c r="H972" s="260"/>
      <c r="I972" s="260"/>
      <c r="J972" s="260"/>
      <c r="K972" s="260"/>
      <c r="L972" s="260"/>
      <c r="M972" s="260"/>
      <c r="N972" s="260"/>
      <c r="O972" s="260"/>
      <c r="P972" s="260"/>
      <c r="Q972" s="260"/>
      <c r="R972" s="260"/>
      <c r="S972" s="260"/>
      <c r="T972" s="260"/>
      <c r="U972" s="260"/>
      <c r="V972" s="260"/>
      <c r="W972" s="260"/>
      <c r="X972" s="260"/>
      <c r="Y972" s="260"/>
      <c r="Z972" s="260"/>
    </row>
    <row r="973">
      <c r="A973" s="260"/>
      <c r="B973" s="260"/>
      <c r="C973" s="260"/>
      <c r="D973" s="260"/>
      <c r="E973" s="260"/>
      <c r="F973" s="260"/>
      <c r="G973" s="260"/>
      <c r="H973" s="260"/>
      <c r="I973" s="260"/>
      <c r="J973" s="260"/>
      <c r="K973" s="260"/>
      <c r="L973" s="260"/>
      <c r="M973" s="260"/>
      <c r="N973" s="260"/>
      <c r="O973" s="260"/>
      <c r="P973" s="260"/>
      <c r="Q973" s="260"/>
      <c r="R973" s="260"/>
      <c r="S973" s="260"/>
      <c r="T973" s="260"/>
      <c r="U973" s="260"/>
      <c r="V973" s="260"/>
      <c r="W973" s="260"/>
      <c r="X973" s="260"/>
      <c r="Y973" s="260"/>
      <c r="Z973" s="260"/>
    </row>
    <row r="974">
      <c r="A974" s="260"/>
      <c r="B974" s="260"/>
      <c r="C974" s="260"/>
      <c r="D974" s="260"/>
      <c r="E974" s="260"/>
      <c r="F974" s="260"/>
      <c r="G974" s="260"/>
      <c r="H974" s="260"/>
      <c r="I974" s="260"/>
      <c r="J974" s="260"/>
      <c r="K974" s="260"/>
      <c r="L974" s="260"/>
      <c r="M974" s="260"/>
      <c r="N974" s="260"/>
      <c r="O974" s="260"/>
      <c r="P974" s="260"/>
      <c r="Q974" s="260"/>
      <c r="R974" s="260"/>
      <c r="S974" s="260"/>
      <c r="T974" s="260"/>
      <c r="U974" s="260"/>
      <c r="V974" s="260"/>
      <c r="W974" s="260"/>
      <c r="X974" s="260"/>
      <c r="Y974" s="260"/>
      <c r="Z974" s="260"/>
    </row>
    <row r="975">
      <c r="A975" s="260"/>
      <c r="B975" s="260"/>
      <c r="C975" s="260"/>
      <c r="D975" s="260"/>
      <c r="E975" s="260"/>
      <c r="F975" s="260"/>
      <c r="G975" s="260"/>
      <c r="H975" s="260"/>
      <c r="I975" s="260"/>
      <c r="J975" s="260"/>
      <c r="K975" s="260"/>
      <c r="L975" s="260"/>
      <c r="M975" s="260"/>
      <c r="N975" s="260"/>
      <c r="O975" s="260"/>
      <c r="P975" s="260"/>
      <c r="Q975" s="260"/>
      <c r="R975" s="260"/>
      <c r="S975" s="260"/>
      <c r="T975" s="260"/>
      <c r="U975" s="260"/>
      <c r="V975" s="260"/>
      <c r="W975" s="260"/>
      <c r="X975" s="260"/>
      <c r="Y975" s="260"/>
      <c r="Z975" s="260"/>
    </row>
    <row r="976">
      <c r="A976" s="260"/>
      <c r="B976" s="260"/>
      <c r="C976" s="260"/>
      <c r="D976" s="260"/>
      <c r="E976" s="260"/>
      <c r="F976" s="260"/>
      <c r="G976" s="260"/>
      <c r="H976" s="260"/>
      <c r="I976" s="260"/>
      <c r="J976" s="260"/>
      <c r="K976" s="260"/>
      <c r="L976" s="260"/>
      <c r="M976" s="260"/>
      <c r="N976" s="260"/>
      <c r="O976" s="260"/>
      <c r="P976" s="260"/>
      <c r="Q976" s="260"/>
      <c r="R976" s="260"/>
      <c r="S976" s="260"/>
      <c r="T976" s="260"/>
      <c r="U976" s="260"/>
      <c r="V976" s="260"/>
      <c r="W976" s="260"/>
      <c r="X976" s="260"/>
      <c r="Y976" s="260"/>
      <c r="Z976" s="260"/>
    </row>
    <row r="977">
      <c r="A977" s="260"/>
      <c r="B977" s="260"/>
      <c r="C977" s="260"/>
      <c r="D977" s="260"/>
      <c r="E977" s="260"/>
      <c r="F977" s="260"/>
      <c r="G977" s="260"/>
      <c r="H977" s="260"/>
      <c r="I977" s="260"/>
      <c r="J977" s="260"/>
      <c r="K977" s="260"/>
      <c r="L977" s="260"/>
      <c r="M977" s="260"/>
      <c r="N977" s="260"/>
      <c r="O977" s="260"/>
      <c r="P977" s="260"/>
      <c r="Q977" s="260"/>
      <c r="R977" s="260"/>
      <c r="S977" s="260"/>
      <c r="T977" s="260"/>
      <c r="U977" s="260"/>
      <c r="V977" s="260"/>
      <c r="W977" s="260"/>
      <c r="X977" s="260"/>
      <c r="Y977" s="260"/>
      <c r="Z977" s="260"/>
    </row>
    <row r="978">
      <c r="A978" s="260"/>
      <c r="B978" s="260"/>
      <c r="C978" s="260"/>
      <c r="D978" s="260"/>
      <c r="E978" s="260"/>
      <c r="F978" s="260"/>
      <c r="G978" s="260"/>
      <c r="H978" s="260"/>
      <c r="I978" s="260"/>
      <c r="J978" s="260"/>
      <c r="K978" s="260"/>
      <c r="L978" s="260"/>
      <c r="M978" s="260"/>
      <c r="N978" s="260"/>
      <c r="O978" s="260"/>
      <c r="P978" s="260"/>
      <c r="Q978" s="260"/>
      <c r="R978" s="260"/>
      <c r="S978" s="260"/>
      <c r="T978" s="260"/>
      <c r="U978" s="260"/>
      <c r="V978" s="260"/>
      <c r="W978" s="260"/>
      <c r="X978" s="260"/>
      <c r="Y978" s="260"/>
      <c r="Z978" s="260"/>
    </row>
    <row r="979">
      <c r="A979" s="260"/>
      <c r="B979" s="260"/>
      <c r="C979" s="260"/>
      <c r="D979" s="260"/>
      <c r="E979" s="260"/>
      <c r="F979" s="260"/>
      <c r="G979" s="260"/>
      <c r="H979" s="260"/>
      <c r="I979" s="260"/>
      <c r="J979" s="260"/>
      <c r="K979" s="260"/>
      <c r="L979" s="260"/>
      <c r="M979" s="260"/>
      <c r="N979" s="260"/>
      <c r="O979" s="260"/>
      <c r="P979" s="260"/>
      <c r="Q979" s="260"/>
      <c r="R979" s="260"/>
      <c r="S979" s="260"/>
      <c r="T979" s="260"/>
      <c r="U979" s="260"/>
      <c r="V979" s="260"/>
      <c r="W979" s="260"/>
      <c r="X979" s="260"/>
      <c r="Y979" s="260"/>
      <c r="Z979" s="260"/>
    </row>
    <row r="980">
      <c r="A980" s="260"/>
      <c r="B980" s="260"/>
      <c r="C980" s="260"/>
      <c r="D980" s="260"/>
      <c r="E980" s="260"/>
      <c r="F980" s="260"/>
      <c r="G980" s="260"/>
      <c r="H980" s="260"/>
      <c r="I980" s="260"/>
      <c r="J980" s="260"/>
      <c r="K980" s="260"/>
      <c r="L980" s="260"/>
      <c r="M980" s="260"/>
      <c r="N980" s="260"/>
      <c r="O980" s="260"/>
      <c r="P980" s="260"/>
      <c r="Q980" s="260"/>
      <c r="R980" s="260"/>
      <c r="S980" s="260"/>
      <c r="T980" s="260"/>
      <c r="U980" s="260"/>
      <c r="V980" s="260"/>
      <c r="W980" s="260"/>
      <c r="X980" s="260"/>
      <c r="Y980" s="260"/>
      <c r="Z980" s="260"/>
    </row>
    <row r="981">
      <c r="A981" s="260"/>
      <c r="B981" s="260"/>
      <c r="C981" s="260"/>
      <c r="D981" s="260"/>
      <c r="E981" s="260"/>
      <c r="F981" s="260"/>
      <c r="G981" s="260"/>
      <c r="H981" s="260"/>
      <c r="I981" s="260"/>
      <c r="J981" s="260"/>
      <c r="K981" s="260"/>
      <c r="L981" s="260"/>
      <c r="M981" s="260"/>
      <c r="N981" s="260"/>
      <c r="O981" s="260"/>
      <c r="P981" s="260"/>
      <c r="Q981" s="260"/>
      <c r="R981" s="260"/>
      <c r="S981" s="260"/>
      <c r="T981" s="260"/>
      <c r="U981" s="260"/>
      <c r="V981" s="260"/>
      <c r="W981" s="260"/>
      <c r="X981" s="260"/>
      <c r="Y981" s="260"/>
      <c r="Z981" s="260"/>
    </row>
    <row r="982">
      <c r="A982" s="260"/>
      <c r="B982" s="260"/>
      <c r="C982" s="260"/>
      <c r="D982" s="260"/>
      <c r="E982" s="260"/>
      <c r="F982" s="260"/>
      <c r="G982" s="260"/>
      <c r="H982" s="260"/>
      <c r="I982" s="260"/>
      <c r="J982" s="260"/>
      <c r="K982" s="260"/>
      <c r="L982" s="260"/>
      <c r="M982" s="260"/>
      <c r="N982" s="260"/>
      <c r="O982" s="260"/>
      <c r="P982" s="260"/>
      <c r="Q982" s="260"/>
      <c r="R982" s="260"/>
      <c r="S982" s="260"/>
      <c r="T982" s="260"/>
      <c r="U982" s="260"/>
      <c r="V982" s="260"/>
      <c r="W982" s="260"/>
      <c r="X982" s="260"/>
      <c r="Y982" s="260"/>
      <c r="Z982" s="260"/>
    </row>
    <row r="983">
      <c r="A983" s="260"/>
      <c r="B983" s="260"/>
      <c r="C983" s="260"/>
      <c r="D983" s="260"/>
      <c r="E983" s="260"/>
      <c r="F983" s="260"/>
      <c r="G983" s="260"/>
      <c r="H983" s="260"/>
      <c r="I983" s="260"/>
      <c r="J983" s="260"/>
      <c r="K983" s="260"/>
      <c r="L983" s="260"/>
      <c r="M983" s="260"/>
      <c r="N983" s="260"/>
      <c r="O983" s="260"/>
      <c r="P983" s="260"/>
      <c r="Q983" s="260"/>
      <c r="R983" s="260"/>
      <c r="S983" s="260"/>
      <c r="T983" s="260"/>
      <c r="U983" s="260"/>
      <c r="V983" s="260"/>
      <c r="W983" s="260"/>
      <c r="X983" s="260"/>
      <c r="Y983" s="260"/>
      <c r="Z983" s="260"/>
    </row>
    <row r="984">
      <c r="A984" s="260"/>
      <c r="B984" s="260"/>
      <c r="C984" s="260"/>
      <c r="D984" s="260"/>
      <c r="E984" s="260"/>
      <c r="F984" s="260"/>
      <c r="G984" s="260"/>
      <c r="H984" s="260"/>
      <c r="I984" s="260"/>
      <c r="J984" s="260"/>
      <c r="K984" s="260"/>
      <c r="L984" s="260"/>
      <c r="M984" s="260"/>
      <c r="N984" s="260"/>
      <c r="O984" s="260"/>
      <c r="P984" s="260"/>
      <c r="Q984" s="260"/>
      <c r="R984" s="260"/>
      <c r="S984" s="260"/>
      <c r="T984" s="260"/>
      <c r="U984" s="260"/>
      <c r="V984" s="260"/>
      <c r="W984" s="260"/>
      <c r="X984" s="260"/>
      <c r="Y984" s="260"/>
      <c r="Z984" s="260"/>
    </row>
    <row r="985">
      <c r="A985" s="260"/>
      <c r="B985" s="260"/>
      <c r="C985" s="260"/>
      <c r="D985" s="260"/>
      <c r="E985" s="260"/>
      <c r="F985" s="260"/>
      <c r="G985" s="260"/>
      <c r="H985" s="260"/>
      <c r="I985" s="260"/>
      <c r="J985" s="260"/>
      <c r="K985" s="260"/>
      <c r="L985" s="260"/>
      <c r="M985" s="260"/>
      <c r="N985" s="260"/>
      <c r="O985" s="260"/>
      <c r="P985" s="260"/>
      <c r="Q985" s="260"/>
      <c r="R985" s="260"/>
      <c r="S985" s="260"/>
      <c r="T985" s="260"/>
      <c r="U985" s="260"/>
      <c r="V985" s="260"/>
      <c r="W985" s="260"/>
      <c r="X985" s="260"/>
      <c r="Y985" s="260"/>
      <c r="Z985" s="260"/>
    </row>
    <row r="986">
      <c r="A986" s="260"/>
      <c r="B986" s="260"/>
      <c r="C986" s="260"/>
      <c r="D986" s="260"/>
      <c r="E986" s="260"/>
      <c r="F986" s="260"/>
      <c r="G986" s="260"/>
      <c r="H986" s="260"/>
      <c r="I986" s="260"/>
      <c r="J986" s="260"/>
      <c r="K986" s="260"/>
      <c r="L986" s="260"/>
      <c r="M986" s="260"/>
      <c r="N986" s="260"/>
      <c r="O986" s="260"/>
      <c r="P986" s="260"/>
      <c r="Q986" s="260"/>
      <c r="R986" s="260"/>
      <c r="S986" s="260"/>
      <c r="T986" s="260"/>
      <c r="U986" s="260"/>
      <c r="V986" s="260"/>
      <c r="W986" s="260"/>
      <c r="X986" s="260"/>
      <c r="Y986" s="260"/>
      <c r="Z986" s="260"/>
    </row>
    <row r="987">
      <c r="A987" s="260"/>
      <c r="B987" s="260"/>
      <c r="C987" s="260"/>
      <c r="D987" s="260"/>
      <c r="E987" s="260"/>
      <c r="F987" s="260"/>
      <c r="G987" s="260"/>
      <c r="H987" s="260"/>
      <c r="I987" s="260"/>
      <c r="J987" s="260"/>
      <c r="K987" s="260"/>
      <c r="L987" s="260"/>
      <c r="M987" s="260"/>
      <c r="N987" s="260"/>
      <c r="O987" s="260"/>
      <c r="P987" s="260"/>
      <c r="Q987" s="260"/>
      <c r="R987" s="260"/>
      <c r="S987" s="260"/>
      <c r="T987" s="260"/>
      <c r="U987" s="260"/>
      <c r="V987" s="260"/>
      <c r="W987" s="260"/>
      <c r="X987" s="260"/>
      <c r="Y987" s="260"/>
      <c r="Z987" s="260"/>
    </row>
    <row r="988">
      <c r="A988" s="260"/>
      <c r="B988" s="260"/>
      <c r="C988" s="260"/>
      <c r="D988" s="260"/>
      <c r="E988" s="260"/>
      <c r="F988" s="260"/>
      <c r="G988" s="260"/>
      <c r="H988" s="260"/>
      <c r="I988" s="260"/>
      <c r="J988" s="260"/>
      <c r="K988" s="260"/>
      <c r="L988" s="260"/>
      <c r="M988" s="260"/>
      <c r="N988" s="260"/>
      <c r="O988" s="260"/>
      <c r="P988" s="260"/>
      <c r="Q988" s="260"/>
      <c r="R988" s="260"/>
      <c r="S988" s="260"/>
      <c r="T988" s="260"/>
      <c r="U988" s="260"/>
      <c r="V988" s="260"/>
      <c r="W988" s="260"/>
      <c r="X988" s="260"/>
      <c r="Y988" s="260"/>
      <c r="Z988" s="260"/>
    </row>
    <row r="989">
      <c r="A989" s="260"/>
      <c r="B989" s="260"/>
      <c r="C989" s="260"/>
      <c r="D989" s="260"/>
      <c r="E989" s="260"/>
      <c r="F989" s="260"/>
      <c r="G989" s="260"/>
      <c r="H989" s="260"/>
      <c r="I989" s="260"/>
      <c r="J989" s="260"/>
      <c r="K989" s="260"/>
      <c r="L989" s="260"/>
      <c r="M989" s="260"/>
      <c r="N989" s="260"/>
      <c r="O989" s="260"/>
      <c r="P989" s="260"/>
      <c r="Q989" s="260"/>
      <c r="R989" s="260"/>
      <c r="S989" s="260"/>
      <c r="T989" s="260"/>
      <c r="U989" s="260"/>
      <c r="V989" s="260"/>
      <c r="W989" s="260"/>
      <c r="X989" s="260"/>
      <c r="Y989" s="260"/>
      <c r="Z989" s="260"/>
    </row>
    <row r="990">
      <c r="A990" s="260"/>
      <c r="B990" s="260"/>
      <c r="C990" s="260"/>
      <c r="D990" s="260"/>
      <c r="E990" s="260"/>
      <c r="F990" s="260"/>
      <c r="G990" s="260"/>
      <c r="H990" s="260"/>
      <c r="I990" s="260"/>
      <c r="J990" s="260"/>
      <c r="K990" s="260"/>
      <c r="L990" s="260"/>
      <c r="M990" s="260"/>
      <c r="N990" s="260"/>
      <c r="O990" s="260"/>
      <c r="P990" s="260"/>
      <c r="Q990" s="260"/>
      <c r="R990" s="260"/>
      <c r="S990" s="260"/>
      <c r="T990" s="260"/>
      <c r="U990" s="260"/>
      <c r="V990" s="260"/>
      <c r="W990" s="260"/>
      <c r="X990" s="260"/>
      <c r="Y990" s="260"/>
      <c r="Z990" s="260"/>
    </row>
    <row r="991">
      <c r="A991" s="260"/>
      <c r="B991" s="260"/>
      <c r="C991" s="260"/>
      <c r="D991" s="260"/>
      <c r="E991" s="260"/>
      <c r="F991" s="260"/>
      <c r="G991" s="260"/>
      <c r="H991" s="260"/>
      <c r="I991" s="260"/>
      <c r="J991" s="260"/>
      <c r="K991" s="260"/>
      <c r="L991" s="260"/>
      <c r="M991" s="260"/>
      <c r="N991" s="260"/>
      <c r="O991" s="260"/>
      <c r="P991" s="260"/>
      <c r="Q991" s="260"/>
      <c r="R991" s="260"/>
      <c r="S991" s="260"/>
      <c r="T991" s="260"/>
      <c r="U991" s="260"/>
      <c r="V991" s="260"/>
      <c r="W991" s="260"/>
      <c r="X991" s="260"/>
      <c r="Y991" s="260"/>
      <c r="Z991" s="260"/>
    </row>
    <row r="992">
      <c r="A992" s="260"/>
      <c r="B992" s="260"/>
      <c r="C992" s="260"/>
      <c r="D992" s="260"/>
      <c r="E992" s="260"/>
      <c r="F992" s="260"/>
      <c r="G992" s="260"/>
      <c r="H992" s="260"/>
      <c r="I992" s="260"/>
      <c r="J992" s="260"/>
      <c r="K992" s="260"/>
      <c r="L992" s="260"/>
      <c r="M992" s="260"/>
      <c r="N992" s="260"/>
      <c r="O992" s="260"/>
      <c r="P992" s="260"/>
      <c r="Q992" s="260"/>
      <c r="R992" s="260"/>
      <c r="S992" s="260"/>
      <c r="T992" s="260"/>
      <c r="U992" s="260"/>
      <c r="V992" s="260"/>
      <c r="W992" s="260"/>
      <c r="X992" s="260"/>
      <c r="Y992" s="260"/>
      <c r="Z992" s="260"/>
    </row>
    <row r="993">
      <c r="A993" s="260"/>
      <c r="B993" s="260"/>
      <c r="C993" s="260"/>
      <c r="D993" s="260"/>
      <c r="E993" s="260"/>
      <c r="F993" s="260"/>
      <c r="G993" s="260"/>
      <c r="H993" s="260"/>
      <c r="I993" s="260"/>
      <c r="J993" s="260"/>
      <c r="K993" s="260"/>
      <c r="L993" s="260"/>
      <c r="M993" s="260"/>
      <c r="N993" s="260"/>
      <c r="O993" s="260"/>
      <c r="P993" s="260"/>
      <c r="Q993" s="260"/>
      <c r="R993" s="260"/>
      <c r="S993" s="260"/>
      <c r="T993" s="260"/>
      <c r="U993" s="260"/>
      <c r="V993" s="260"/>
      <c r="W993" s="260"/>
      <c r="X993" s="260"/>
      <c r="Y993" s="260"/>
      <c r="Z993" s="260"/>
    </row>
    <row r="994">
      <c r="A994" s="260"/>
      <c r="B994" s="260"/>
      <c r="C994" s="260"/>
      <c r="D994" s="260"/>
      <c r="E994" s="260"/>
      <c r="F994" s="260"/>
      <c r="G994" s="260"/>
      <c r="H994" s="260"/>
      <c r="I994" s="260"/>
      <c r="J994" s="260"/>
      <c r="K994" s="260"/>
      <c r="L994" s="260"/>
      <c r="M994" s="260"/>
      <c r="N994" s="260"/>
      <c r="O994" s="260"/>
      <c r="P994" s="260"/>
      <c r="Q994" s="260"/>
      <c r="R994" s="260"/>
      <c r="S994" s="260"/>
      <c r="T994" s="260"/>
      <c r="U994" s="260"/>
      <c r="V994" s="260"/>
      <c r="W994" s="260"/>
      <c r="X994" s="260"/>
      <c r="Y994" s="260"/>
      <c r="Z994" s="260"/>
    </row>
    <row r="995">
      <c r="A995" s="260"/>
      <c r="B995" s="260"/>
      <c r="C995" s="260"/>
      <c r="D995" s="260"/>
      <c r="E995" s="260"/>
      <c r="F995" s="260"/>
      <c r="G995" s="260"/>
      <c r="H995" s="260"/>
      <c r="I995" s="260"/>
      <c r="J995" s="260"/>
      <c r="K995" s="260"/>
      <c r="L995" s="260"/>
      <c r="M995" s="260"/>
      <c r="N995" s="260"/>
      <c r="O995" s="260"/>
      <c r="P995" s="260"/>
      <c r="Q995" s="260"/>
      <c r="R995" s="260"/>
      <c r="S995" s="260"/>
      <c r="T995" s="260"/>
      <c r="U995" s="260"/>
      <c r="V995" s="260"/>
      <c r="W995" s="260"/>
      <c r="X995" s="260"/>
      <c r="Y995" s="260"/>
      <c r="Z995" s="260"/>
    </row>
    <row r="996">
      <c r="A996" s="260"/>
      <c r="B996" s="260"/>
      <c r="C996" s="260"/>
      <c r="D996" s="260"/>
      <c r="E996" s="260"/>
      <c r="F996" s="260"/>
      <c r="G996" s="260"/>
      <c r="H996" s="260"/>
      <c r="I996" s="260"/>
      <c r="J996" s="260"/>
      <c r="K996" s="260"/>
      <c r="L996" s="260"/>
      <c r="M996" s="260"/>
      <c r="N996" s="260"/>
      <c r="O996" s="260"/>
      <c r="P996" s="260"/>
      <c r="Q996" s="260"/>
      <c r="R996" s="260"/>
      <c r="S996" s="260"/>
      <c r="T996" s="260"/>
      <c r="U996" s="260"/>
      <c r="V996" s="260"/>
      <c r="W996" s="260"/>
      <c r="X996" s="260"/>
      <c r="Y996" s="260"/>
      <c r="Z996" s="260"/>
    </row>
    <row r="997">
      <c r="A997" s="260"/>
      <c r="B997" s="260"/>
      <c r="C997" s="260"/>
      <c r="D997" s="260"/>
      <c r="E997" s="260"/>
      <c r="F997" s="260"/>
      <c r="G997" s="260"/>
      <c r="H997" s="260"/>
      <c r="I997" s="260"/>
      <c r="J997" s="260"/>
      <c r="K997" s="260"/>
      <c r="L997" s="260"/>
      <c r="M997" s="260"/>
      <c r="N997" s="260"/>
      <c r="O997" s="260"/>
      <c r="P997" s="260"/>
      <c r="Q997" s="260"/>
      <c r="R997" s="260"/>
      <c r="S997" s="260"/>
      <c r="T997" s="260"/>
      <c r="U997" s="260"/>
      <c r="V997" s="260"/>
      <c r="W997" s="260"/>
      <c r="X997" s="260"/>
      <c r="Y997" s="260"/>
      <c r="Z997" s="260"/>
    </row>
    <row r="998">
      <c r="A998" s="260"/>
      <c r="B998" s="260"/>
      <c r="C998" s="260"/>
      <c r="D998" s="260"/>
      <c r="E998" s="260"/>
      <c r="F998" s="260"/>
      <c r="G998" s="260"/>
      <c r="H998" s="260"/>
      <c r="I998" s="260"/>
      <c r="J998" s="260"/>
      <c r="K998" s="260"/>
      <c r="L998" s="260"/>
      <c r="M998" s="260"/>
      <c r="N998" s="260"/>
      <c r="O998" s="260"/>
      <c r="P998" s="260"/>
      <c r="Q998" s="260"/>
      <c r="R998" s="260"/>
      <c r="S998" s="260"/>
      <c r="T998" s="260"/>
      <c r="U998" s="260"/>
      <c r="V998" s="260"/>
      <c r="W998" s="260"/>
      <c r="X998" s="260"/>
      <c r="Y998" s="260"/>
      <c r="Z998" s="260"/>
    </row>
    <row r="999">
      <c r="A999" s="260"/>
      <c r="B999" s="260"/>
      <c r="C999" s="260"/>
      <c r="D999" s="260"/>
      <c r="E999" s="260"/>
      <c r="F999" s="260"/>
      <c r="G999" s="260"/>
      <c r="H999" s="260"/>
      <c r="I999" s="260"/>
      <c r="J999" s="260"/>
      <c r="K999" s="260"/>
      <c r="L999" s="260"/>
      <c r="M999" s="260"/>
      <c r="N999" s="260"/>
      <c r="O999" s="260"/>
      <c r="P999" s="260"/>
      <c r="Q999" s="260"/>
      <c r="R999" s="260"/>
      <c r="S999" s="260"/>
      <c r="T999" s="260"/>
      <c r="U999" s="260"/>
      <c r="V999" s="260"/>
      <c r="W999" s="260"/>
      <c r="X999" s="260"/>
      <c r="Y999" s="260"/>
      <c r="Z999" s="260"/>
    </row>
    <row r="1000">
      <c r="A1000" s="260"/>
      <c r="B1000" s="260"/>
      <c r="C1000" s="260"/>
      <c r="D1000" s="260"/>
      <c r="E1000" s="260"/>
      <c r="F1000" s="260"/>
      <c r="G1000" s="260"/>
      <c r="H1000" s="260"/>
      <c r="I1000" s="260"/>
      <c r="J1000" s="260"/>
      <c r="K1000" s="260"/>
      <c r="L1000" s="260"/>
      <c r="M1000" s="260"/>
      <c r="N1000" s="260"/>
      <c r="O1000" s="260"/>
      <c r="P1000" s="260"/>
      <c r="Q1000" s="260"/>
      <c r="R1000" s="260"/>
      <c r="S1000" s="260"/>
      <c r="T1000" s="260"/>
      <c r="U1000" s="260"/>
      <c r="V1000" s="260"/>
      <c r="W1000" s="260"/>
      <c r="X1000" s="260"/>
      <c r="Y1000" s="260"/>
      <c r="Z1000" s="260"/>
    </row>
  </sheetData>
  <mergeCells count="8">
    <mergeCell ref="A16:B16"/>
    <mergeCell ref="A26:B26"/>
    <mergeCell ref="A46:B46"/>
    <mergeCell ref="G46:H46"/>
    <mergeCell ref="M46:N46"/>
    <mergeCell ref="A58:B58"/>
    <mergeCell ref="G58:H58"/>
    <mergeCell ref="M58:N5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4.38"/>
    <col customWidth="1" min="2" max="2" width="40.63"/>
    <col customWidth="1" min="3" max="3" width="19.13"/>
    <col customWidth="1" min="4" max="4" width="9.25"/>
    <col customWidth="1" min="5" max="5" width="11.25"/>
    <col customWidth="1" min="6" max="6" width="8.38"/>
    <col customWidth="1" min="8" max="8" width="14.38"/>
    <col customWidth="1" min="10" max="10" width="20.38"/>
    <col customWidth="1" min="11" max="11" width="58.75"/>
    <col customWidth="1" min="13" max="13" width="11.88"/>
    <col customWidth="1" min="14" max="14" width="9.88"/>
    <col customWidth="1" min="15" max="15" width="15.25"/>
    <col customWidth="1" min="16" max="16" width="11.13"/>
    <col customWidth="1" min="17" max="17" width="24.5"/>
    <col customWidth="1" min="18" max="18" width="49.75"/>
    <col customWidth="1" min="19" max="19" width="14.13"/>
    <col customWidth="1" min="20" max="20" width="6.75"/>
    <col customWidth="1" min="21" max="21" width="12.38"/>
    <col customWidth="1" min="22" max="22" width="13.75"/>
    <col customWidth="1" min="23" max="23" width="12.63"/>
    <col customWidth="1" min="24" max="24" width="12.38"/>
    <col customWidth="1" min="25" max="25" width="10.13"/>
    <col customWidth="1" min="26" max="26" width="13.0"/>
    <col customWidth="1" min="27" max="27" width="20.5"/>
    <col customWidth="1" min="28" max="28" width="27.88"/>
    <col customWidth="1" min="29" max="29" width="36.38"/>
    <col customWidth="1" min="30" max="31" width="15.0"/>
    <col customWidth="1" min="32" max="32" width="18.0"/>
    <col customWidth="1" min="33" max="33" width="19.88"/>
    <col customWidth="1" min="34" max="34" width="6.88"/>
    <col customWidth="1" min="35" max="35" width="3.63"/>
  </cols>
  <sheetData>
    <row r="1">
      <c r="A1" s="244" t="s">
        <v>5948</v>
      </c>
      <c r="B1" s="3"/>
      <c r="C1" s="290"/>
      <c r="D1" s="2"/>
      <c r="E1" s="2"/>
      <c r="F1" s="2"/>
      <c r="G1" s="3"/>
      <c r="H1" s="3"/>
      <c r="I1" s="2"/>
      <c r="J1" s="3"/>
      <c r="K1" s="3"/>
      <c r="L1" s="2"/>
      <c r="M1" s="4"/>
      <c r="N1" s="3"/>
      <c r="O1" s="4"/>
      <c r="P1" s="2"/>
      <c r="Q1" s="4"/>
      <c r="R1" s="3"/>
      <c r="S1" s="2"/>
      <c r="T1" s="2"/>
      <c r="U1" s="2"/>
      <c r="V1" s="4"/>
      <c r="W1" s="4"/>
      <c r="X1" s="4"/>
      <c r="Y1" s="2"/>
      <c r="Z1" s="4"/>
      <c r="AA1" s="4"/>
      <c r="AB1" s="4"/>
      <c r="AC1" s="4"/>
      <c r="AD1" s="2"/>
      <c r="AE1" s="2"/>
      <c r="AF1" s="2"/>
      <c r="AG1" s="2"/>
      <c r="AH1" s="4"/>
      <c r="AI1" s="4"/>
    </row>
    <row r="2">
      <c r="A2" s="2"/>
      <c r="B2" s="3"/>
      <c r="C2" s="290"/>
      <c r="D2" s="2"/>
      <c r="E2" s="2"/>
      <c r="F2" s="2"/>
      <c r="G2" s="3"/>
      <c r="H2" s="3"/>
      <c r="I2" s="2"/>
      <c r="J2" s="3"/>
      <c r="K2" s="3"/>
      <c r="L2" s="2"/>
      <c r="M2" s="4"/>
      <c r="N2" s="3"/>
      <c r="O2" s="4"/>
      <c r="P2" s="2"/>
      <c r="Q2" s="4"/>
      <c r="R2" s="3"/>
      <c r="S2" s="2"/>
      <c r="T2" s="2"/>
      <c r="U2" s="2"/>
      <c r="V2" s="4"/>
      <c r="W2" s="4"/>
      <c r="X2" s="4"/>
      <c r="Y2" s="2"/>
      <c r="Z2" s="4"/>
      <c r="AA2" s="4"/>
      <c r="AB2" s="4"/>
      <c r="AC2" s="4"/>
      <c r="AD2" s="2"/>
      <c r="AE2" s="2"/>
      <c r="AF2" s="2"/>
      <c r="AG2" s="2"/>
      <c r="AH2" s="4"/>
      <c r="AI2" s="4"/>
    </row>
    <row r="3" ht="15.75" customHeight="1">
      <c r="A3" s="291" t="s">
        <v>1</v>
      </c>
      <c r="B3" s="291" t="s">
        <v>2</v>
      </c>
      <c r="C3" s="292" t="s">
        <v>3</v>
      </c>
      <c r="D3" s="293"/>
      <c r="E3" s="10"/>
      <c r="F3" s="293"/>
      <c r="G3" s="11"/>
      <c r="H3" s="11"/>
      <c r="I3" s="10"/>
      <c r="J3" s="293"/>
      <c r="K3" s="11"/>
      <c r="L3" s="11"/>
      <c r="M3" s="11"/>
      <c r="N3" s="11"/>
      <c r="O3" s="10"/>
      <c r="P3" s="293" t="s">
        <v>8</v>
      </c>
      <c r="Q3" s="11"/>
      <c r="R3" s="11"/>
      <c r="S3" s="10"/>
      <c r="T3" s="294" t="s">
        <v>12</v>
      </c>
      <c r="U3" s="294" t="s">
        <v>13</v>
      </c>
      <c r="V3" s="295" t="s">
        <v>14</v>
      </c>
      <c r="W3" s="295" t="s">
        <v>15</v>
      </c>
      <c r="X3" s="295" t="s">
        <v>16</v>
      </c>
      <c r="Y3" s="294" t="s">
        <v>17</v>
      </c>
      <c r="Z3" s="295" t="s">
        <v>18</v>
      </c>
      <c r="AA3" s="295" t="s">
        <v>19</v>
      </c>
      <c r="AB3" s="295" t="s">
        <v>20</v>
      </c>
      <c r="AC3" s="294" t="s">
        <v>21</v>
      </c>
      <c r="AD3" s="294" t="s">
        <v>22</v>
      </c>
      <c r="AE3" s="294" t="s">
        <v>23</v>
      </c>
      <c r="AF3" s="294" t="s">
        <v>24</v>
      </c>
      <c r="AG3" s="294" t="s">
        <v>25</v>
      </c>
      <c r="AH3" s="295" t="s">
        <v>26</v>
      </c>
      <c r="AI3" s="295" t="s">
        <v>27</v>
      </c>
    </row>
    <row r="4" ht="15.75" customHeight="1">
      <c r="A4" s="15"/>
      <c r="B4" s="15"/>
      <c r="C4" s="15"/>
      <c r="D4" s="296" t="s">
        <v>31</v>
      </c>
      <c r="E4" s="297" t="s">
        <v>32</v>
      </c>
      <c r="F4" s="296" t="s">
        <v>31</v>
      </c>
      <c r="G4" s="297" t="s">
        <v>33</v>
      </c>
      <c r="H4" s="297" t="s">
        <v>34</v>
      </c>
      <c r="I4" s="297" t="s">
        <v>32</v>
      </c>
      <c r="J4" s="297" t="s">
        <v>36</v>
      </c>
      <c r="K4" s="297" t="s">
        <v>38</v>
      </c>
      <c r="L4" s="297" t="s">
        <v>39</v>
      </c>
      <c r="M4" s="297" t="s">
        <v>33</v>
      </c>
      <c r="N4" s="297" t="s">
        <v>40</v>
      </c>
      <c r="O4" s="296" t="s">
        <v>34</v>
      </c>
      <c r="P4" s="296" t="s">
        <v>41</v>
      </c>
      <c r="Q4" s="297" t="s">
        <v>42</v>
      </c>
      <c r="R4" s="297" t="s">
        <v>43</v>
      </c>
      <c r="S4" s="297" t="s">
        <v>44</v>
      </c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</row>
    <row r="5" ht="15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</row>
    <row r="6">
      <c r="A6" s="298">
        <v>1.0</v>
      </c>
      <c r="B6" s="299">
        <v>2.0</v>
      </c>
      <c r="C6" s="300" t="s">
        <v>47</v>
      </c>
      <c r="D6" s="299">
        <v>7.0</v>
      </c>
      <c r="E6" s="299">
        <v>8.0</v>
      </c>
      <c r="F6" s="299">
        <v>10.0</v>
      </c>
      <c r="G6" s="299">
        <v>11.0</v>
      </c>
      <c r="H6" s="299">
        <v>12.0</v>
      </c>
      <c r="I6" s="299">
        <v>13.0</v>
      </c>
      <c r="J6" s="299">
        <v>15.0</v>
      </c>
      <c r="K6" s="299">
        <v>17.0</v>
      </c>
      <c r="L6" s="299">
        <v>18.0</v>
      </c>
      <c r="M6" s="299">
        <v>19.0</v>
      </c>
      <c r="N6" s="299">
        <v>20.0</v>
      </c>
      <c r="O6" s="299">
        <v>21.0</v>
      </c>
      <c r="P6" s="299">
        <v>22.0</v>
      </c>
      <c r="Q6" s="299">
        <v>23.0</v>
      </c>
      <c r="R6" s="299">
        <v>24.0</v>
      </c>
      <c r="S6" s="299">
        <v>25.0</v>
      </c>
      <c r="T6" s="301">
        <v>29.0</v>
      </c>
      <c r="U6" s="301">
        <v>30.0</v>
      </c>
      <c r="V6" s="301">
        <v>31.0</v>
      </c>
      <c r="W6" s="301">
        <v>32.0</v>
      </c>
      <c r="X6" s="301">
        <v>33.0</v>
      </c>
      <c r="Y6" s="301">
        <v>34.0</v>
      </c>
      <c r="Z6" s="301">
        <v>35.0</v>
      </c>
      <c r="AA6" s="301">
        <v>36.0</v>
      </c>
      <c r="AB6" s="301">
        <v>37.0</v>
      </c>
      <c r="AC6" s="301">
        <v>38.0</v>
      </c>
      <c r="AD6" s="301">
        <v>39.0</v>
      </c>
      <c r="AE6" s="301">
        <v>40.0</v>
      </c>
      <c r="AF6" s="301">
        <v>41.0</v>
      </c>
      <c r="AG6" s="301">
        <v>42.0</v>
      </c>
      <c r="AH6" s="301">
        <v>43.0</v>
      </c>
      <c r="AI6" s="301">
        <v>44.0</v>
      </c>
    </row>
    <row r="7">
      <c r="A7" s="109">
        <f t="shared" ref="A7:A20" si="1">ROW() - 6</f>
        <v>1</v>
      </c>
      <c r="B7" s="109" t="s">
        <v>5949</v>
      </c>
      <c r="C7" s="125" t="s">
        <v>516</v>
      </c>
      <c r="D7" s="108" t="s">
        <v>517</v>
      </c>
      <c r="E7" s="111">
        <v>45901.0</v>
      </c>
      <c r="F7" s="108" t="s">
        <v>517</v>
      </c>
      <c r="G7" s="109" t="s">
        <v>518</v>
      </c>
      <c r="H7" s="109" t="s">
        <v>88</v>
      </c>
      <c r="I7" s="111">
        <v>45901.0</v>
      </c>
      <c r="J7" s="109" t="s">
        <v>519</v>
      </c>
      <c r="K7" s="109" t="s">
        <v>86</v>
      </c>
      <c r="L7" s="111">
        <v>45901.0</v>
      </c>
      <c r="M7" s="109" t="s">
        <v>518</v>
      </c>
      <c r="N7" s="114">
        <v>45826.0</v>
      </c>
      <c r="O7" s="109" t="s">
        <v>144</v>
      </c>
      <c r="P7" s="108" t="s">
        <v>267</v>
      </c>
      <c r="Q7" s="109" t="s">
        <v>520</v>
      </c>
      <c r="R7" s="109" t="s">
        <v>521</v>
      </c>
      <c r="S7" s="302">
        <v>43379.0</v>
      </c>
      <c r="T7" s="303">
        <v>1.0</v>
      </c>
      <c r="U7" s="112" t="s">
        <v>522</v>
      </c>
      <c r="V7" s="114" t="s">
        <v>523</v>
      </c>
      <c r="W7" s="114" t="s">
        <v>92</v>
      </c>
      <c r="X7" s="114" t="s">
        <v>68</v>
      </c>
      <c r="Y7" s="304"/>
      <c r="Z7" s="114">
        <v>8.2163299562E10</v>
      </c>
      <c r="AA7" s="114" t="s">
        <v>524</v>
      </c>
      <c r="AB7" s="114" t="s">
        <v>525</v>
      </c>
      <c r="AC7" s="114" t="s">
        <v>526</v>
      </c>
      <c r="AD7" s="112" t="s">
        <v>96</v>
      </c>
      <c r="AE7" s="112" t="s">
        <v>514</v>
      </c>
      <c r="AF7" s="112" t="s">
        <v>236</v>
      </c>
      <c r="AG7" s="112" t="s">
        <v>527</v>
      </c>
      <c r="AH7" s="109" t="s">
        <v>528</v>
      </c>
      <c r="AI7" s="109" t="s">
        <v>528</v>
      </c>
    </row>
    <row r="8">
      <c r="A8" s="109">
        <f t="shared" si="1"/>
        <v>2</v>
      </c>
      <c r="B8" s="109" t="s">
        <v>529</v>
      </c>
      <c r="C8" s="125" t="s">
        <v>530</v>
      </c>
      <c r="D8" s="108" t="s">
        <v>531</v>
      </c>
      <c r="E8" s="111">
        <v>45901.0</v>
      </c>
      <c r="F8" s="108" t="s">
        <v>531</v>
      </c>
      <c r="G8" s="109" t="s">
        <v>518</v>
      </c>
      <c r="H8" s="109" t="s">
        <v>88</v>
      </c>
      <c r="I8" s="111">
        <v>45901.0</v>
      </c>
      <c r="J8" s="109" t="s">
        <v>532</v>
      </c>
      <c r="K8" s="109" t="s">
        <v>86</v>
      </c>
      <c r="L8" s="111">
        <v>45901.0</v>
      </c>
      <c r="M8" s="109" t="s">
        <v>518</v>
      </c>
      <c r="N8" s="114">
        <v>45826.0</v>
      </c>
      <c r="O8" s="109" t="s">
        <v>144</v>
      </c>
      <c r="P8" s="108" t="s">
        <v>285</v>
      </c>
      <c r="Q8" s="109" t="s">
        <v>533</v>
      </c>
      <c r="R8" s="109" t="s">
        <v>534</v>
      </c>
      <c r="S8" s="305">
        <v>39613.0</v>
      </c>
      <c r="T8" s="303">
        <v>2.0</v>
      </c>
      <c r="U8" s="108" t="s">
        <v>522</v>
      </c>
      <c r="V8" s="109" t="s">
        <v>67</v>
      </c>
      <c r="W8" s="109" t="s">
        <v>92</v>
      </c>
      <c r="X8" s="109" t="s">
        <v>68</v>
      </c>
      <c r="Y8" s="306"/>
      <c r="Z8" s="109">
        <v>8.11677303E8</v>
      </c>
      <c r="AA8" s="109" t="s">
        <v>535</v>
      </c>
      <c r="AB8" s="109" t="s">
        <v>536</v>
      </c>
      <c r="AC8" s="109" t="s">
        <v>537</v>
      </c>
      <c r="AD8" s="108" t="s">
        <v>96</v>
      </c>
      <c r="AE8" s="108" t="s">
        <v>514</v>
      </c>
      <c r="AF8" s="108" t="s">
        <v>379</v>
      </c>
      <c r="AG8" s="108" t="s">
        <v>538</v>
      </c>
      <c r="AH8" s="109">
        <v>0.0</v>
      </c>
      <c r="AI8" s="109">
        <v>0.0</v>
      </c>
    </row>
    <row r="9">
      <c r="A9" s="109">
        <f t="shared" si="1"/>
        <v>3</v>
      </c>
      <c r="B9" s="109" t="s">
        <v>539</v>
      </c>
      <c r="C9" s="125" t="s">
        <v>540</v>
      </c>
      <c r="D9" s="108" t="s">
        <v>531</v>
      </c>
      <c r="E9" s="111">
        <v>45901.0</v>
      </c>
      <c r="F9" s="108" t="s">
        <v>531</v>
      </c>
      <c r="G9" s="109" t="s">
        <v>518</v>
      </c>
      <c r="H9" s="109" t="s">
        <v>88</v>
      </c>
      <c r="I9" s="111">
        <v>45901.0</v>
      </c>
      <c r="J9" s="109" t="s">
        <v>532</v>
      </c>
      <c r="K9" s="109" t="s">
        <v>86</v>
      </c>
      <c r="L9" s="111">
        <v>45901.0</v>
      </c>
      <c r="M9" s="109" t="s">
        <v>518</v>
      </c>
      <c r="N9" s="114">
        <v>45826.0</v>
      </c>
      <c r="O9" s="109" t="s">
        <v>144</v>
      </c>
      <c r="P9" s="108" t="s">
        <v>285</v>
      </c>
      <c r="Q9" s="109" t="s">
        <v>541</v>
      </c>
      <c r="R9" s="109" t="s">
        <v>542</v>
      </c>
      <c r="S9" s="305">
        <v>33767.0</v>
      </c>
      <c r="T9" s="303">
        <v>3.0</v>
      </c>
      <c r="U9" s="108" t="s">
        <v>522</v>
      </c>
      <c r="V9" s="109" t="s">
        <v>67</v>
      </c>
      <c r="W9" s="307"/>
      <c r="X9" s="109" t="s">
        <v>68</v>
      </c>
      <c r="Y9" s="306"/>
      <c r="Z9" s="109">
        <v>8.2273790415E10</v>
      </c>
      <c r="AA9" s="109" t="s">
        <v>543</v>
      </c>
      <c r="AB9" s="109" t="s">
        <v>544</v>
      </c>
      <c r="AC9" s="109" t="s">
        <v>545</v>
      </c>
      <c r="AD9" s="108" t="s">
        <v>96</v>
      </c>
      <c r="AE9" s="108" t="s">
        <v>514</v>
      </c>
      <c r="AF9" s="108" t="s">
        <v>546</v>
      </c>
      <c r="AG9" s="108" t="s">
        <v>547</v>
      </c>
      <c r="AH9" s="109">
        <v>0.0</v>
      </c>
      <c r="AI9" s="109">
        <v>0.0</v>
      </c>
    </row>
    <row r="10">
      <c r="A10" s="109">
        <f t="shared" si="1"/>
        <v>4</v>
      </c>
      <c r="B10" s="109" t="s">
        <v>548</v>
      </c>
      <c r="C10" s="125" t="s">
        <v>549</v>
      </c>
      <c r="D10" s="108" t="s">
        <v>550</v>
      </c>
      <c r="E10" s="111">
        <v>45901.0</v>
      </c>
      <c r="F10" s="108" t="s">
        <v>551</v>
      </c>
      <c r="G10" s="109" t="s">
        <v>518</v>
      </c>
      <c r="H10" s="109" t="s">
        <v>88</v>
      </c>
      <c r="I10" s="111">
        <v>45901.0</v>
      </c>
      <c r="J10" s="109" t="s">
        <v>142</v>
      </c>
      <c r="K10" s="109" t="s">
        <v>86</v>
      </c>
      <c r="L10" s="111">
        <v>45901.0</v>
      </c>
      <c r="M10" s="109" t="s">
        <v>518</v>
      </c>
      <c r="N10" s="114">
        <v>45826.0</v>
      </c>
      <c r="O10" s="109" t="s">
        <v>144</v>
      </c>
      <c r="P10" s="108" t="s">
        <v>89</v>
      </c>
      <c r="Q10" s="109" t="s">
        <v>552</v>
      </c>
      <c r="R10" s="109" t="s">
        <v>244</v>
      </c>
      <c r="S10" s="305">
        <v>40938.0</v>
      </c>
      <c r="T10" s="303">
        <v>4.0</v>
      </c>
      <c r="U10" s="108" t="s">
        <v>522</v>
      </c>
      <c r="V10" s="109" t="s">
        <v>67</v>
      </c>
      <c r="W10" s="307"/>
      <c r="X10" s="109" t="s">
        <v>68</v>
      </c>
      <c r="Y10" s="306"/>
      <c r="Z10" s="109">
        <v>8.1271438033E10</v>
      </c>
      <c r="AA10" s="109" t="s">
        <v>553</v>
      </c>
      <c r="AB10" s="109" t="s">
        <v>554</v>
      </c>
      <c r="AC10" s="109" t="s">
        <v>555</v>
      </c>
      <c r="AD10" s="108" t="s">
        <v>96</v>
      </c>
      <c r="AE10" s="108" t="s">
        <v>556</v>
      </c>
      <c r="AF10" s="108" t="s">
        <v>557</v>
      </c>
      <c r="AG10" s="108" t="s">
        <v>558</v>
      </c>
      <c r="AH10" s="109">
        <v>0.0</v>
      </c>
      <c r="AI10" s="109">
        <v>0.0</v>
      </c>
    </row>
    <row r="11">
      <c r="A11" s="109">
        <f t="shared" si="1"/>
        <v>5</v>
      </c>
      <c r="B11" s="109" t="s">
        <v>559</v>
      </c>
      <c r="C11" s="125" t="s">
        <v>560</v>
      </c>
      <c r="D11" s="108" t="s">
        <v>550</v>
      </c>
      <c r="E11" s="111">
        <v>45901.0</v>
      </c>
      <c r="F11" s="108" t="s">
        <v>551</v>
      </c>
      <c r="G11" s="109" t="s">
        <v>518</v>
      </c>
      <c r="H11" s="109" t="s">
        <v>88</v>
      </c>
      <c r="I11" s="111">
        <v>45901.0</v>
      </c>
      <c r="J11" s="109" t="s">
        <v>142</v>
      </c>
      <c r="K11" s="109" t="s">
        <v>108</v>
      </c>
      <c r="L11" s="111">
        <v>45901.0</v>
      </c>
      <c r="M11" s="109" t="s">
        <v>518</v>
      </c>
      <c r="N11" s="114">
        <v>45826.0</v>
      </c>
      <c r="O11" s="109" t="s">
        <v>144</v>
      </c>
      <c r="P11" s="108" t="s">
        <v>89</v>
      </c>
      <c r="Q11" s="109" t="s">
        <v>561</v>
      </c>
      <c r="R11" s="109" t="s">
        <v>562</v>
      </c>
      <c r="S11" s="305">
        <v>43367.0</v>
      </c>
      <c r="T11" s="303">
        <v>5.0</v>
      </c>
      <c r="U11" s="108" t="s">
        <v>522</v>
      </c>
      <c r="V11" s="109" t="s">
        <v>523</v>
      </c>
      <c r="W11" s="307"/>
      <c r="X11" s="109" t="s">
        <v>130</v>
      </c>
      <c r="Y11" s="306"/>
      <c r="Z11" s="109">
        <v>8.12204738E10</v>
      </c>
      <c r="AA11" s="109" t="s">
        <v>563</v>
      </c>
      <c r="AB11" s="109" t="s">
        <v>564</v>
      </c>
      <c r="AC11" s="109" t="s">
        <v>565</v>
      </c>
      <c r="AD11" s="108" t="s">
        <v>96</v>
      </c>
      <c r="AE11" s="108" t="s">
        <v>514</v>
      </c>
      <c r="AF11" s="108" t="s">
        <v>360</v>
      </c>
      <c r="AG11" s="108" t="s">
        <v>566</v>
      </c>
      <c r="AH11" s="109">
        <v>0.0</v>
      </c>
      <c r="AI11" s="109">
        <v>0.0</v>
      </c>
    </row>
    <row r="12">
      <c r="A12" s="109">
        <f t="shared" si="1"/>
        <v>6</v>
      </c>
      <c r="B12" s="109" t="s">
        <v>567</v>
      </c>
      <c r="C12" s="125" t="s">
        <v>568</v>
      </c>
      <c r="D12" s="108" t="s">
        <v>517</v>
      </c>
      <c r="E12" s="111">
        <v>45901.0</v>
      </c>
      <c r="F12" s="108" t="s">
        <v>517</v>
      </c>
      <c r="G12" s="109" t="s">
        <v>518</v>
      </c>
      <c r="H12" s="109" t="s">
        <v>88</v>
      </c>
      <c r="I12" s="111">
        <v>45901.0</v>
      </c>
      <c r="J12" s="109" t="s">
        <v>519</v>
      </c>
      <c r="K12" s="109" t="s">
        <v>108</v>
      </c>
      <c r="L12" s="111">
        <v>45901.0</v>
      </c>
      <c r="M12" s="109" t="s">
        <v>518</v>
      </c>
      <c r="N12" s="114">
        <v>45826.0</v>
      </c>
      <c r="O12" s="109" t="s">
        <v>144</v>
      </c>
      <c r="P12" s="108" t="s">
        <v>267</v>
      </c>
      <c r="Q12" s="109" t="s">
        <v>569</v>
      </c>
      <c r="R12" s="109" t="s">
        <v>570</v>
      </c>
      <c r="S12" s="305">
        <v>43183.0</v>
      </c>
      <c r="T12" s="303">
        <v>6.0</v>
      </c>
      <c r="U12" s="108" t="s">
        <v>522</v>
      </c>
      <c r="V12" s="109" t="s">
        <v>571</v>
      </c>
      <c r="W12" s="109" t="s">
        <v>92</v>
      </c>
      <c r="X12" s="109" t="s">
        <v>68</v>
      </c>
      <c r="Y12" s="306"/>
      <c r="Z12" s="109">
        <v>8.2176814592E10</v>
      </c>
      <c r="AA12" s="109" t="s">
        <v>572</v>
      </c>
      <c r="AB12" s="109" t="s">
        <v>573</v>
      </c>
      <c r="AC12" s="109" t="s">
        <v>574</v>
      </c>
      <c r="AD12" s="108" t="s">
        <v>96</v>
      </c>
      <c r="AE12" s="108" t="s">
        <v>514</v>
      </c>
      <c r="AF12" s="108" t="s">
        <v>203</v>
      </c>
      <c r="AG12" s="108" t="s">
        <v>575</v>
      </c>
      <c r="AH12" s="109">
        <v>0.0</v>
      </c>
      <c r="AI12" s="109">
        <v>0.0</v>
      </c>
    </row>
    <row r="13">
      <c r="A13" s="109">
        <f t="shared" si="1"/>
        <v>7</v>
      </c>
      <c r="B13" s="109" t="s">
        <v>576</v>
      </c>
      <c r="C13" s="125" t="s">
        <v>577</v>
      </c>
      <c r="D13" s="108" t="s">
        <v>531</v>
      </c>
      <c r="E13" s="111">
        <v>45901.0</v>
      </c>
      <c r="F13" s="108" t="s">
        <v>531</v>
      </c>
      <c r="G13" s="109" t="s">
        <v>518</v>
      </c>
      <c r="H13" s="109" t="s">
        <v>88</v>
      </c>
      <c r="I13" s="111">
        <v>45901.0</v>
      </c>
      <c r="J13" s="109" t="s">
        <v>532</v>
      </c>
      <c r="K13" s="109" t="s">
        <v>108</v>
      </c>
      <c r="L13" s="111">
        <v>45901.0</v>
      </c>
      <c r="M13" s="109" t="s">
        <v>518</v>
      </c>
      <c r="N13" s="114">
        <v>45826.0</v>
      </c>
      <c r="O13" s="109" t="s">
        <v>144</v>
      </c>
      <c r="P13" s="108" t="s">
        <v>285</v>
      </c>
      <c r="Q13" s="109" t="s">
        <v>285</v>
      </c>
      <c r="R13" s="109" t="s">
        <v>578</v>
      </c>
      <c r="S13" s="305">
        <v>39977.0</v>
      </c>
      <c r="T13" s="303">
        <v>7.0</v>
      </c>
      <c r="U13" s="108" t="s">
        <v>522</v>
      </c>
      <c r="V13" s="109" t="s">
        <v>67</v>
      </c>
      <c r="W13" s="307"/>
      <c r="X13" s="109" t="s">
        <v>68</v>
      </c>
      <c r="Y13" s="306"/>
      <c r="Z13" s="109">
        <v>8.116041007E9</v>
      </c>
      <c r="AA13" s="109" t="s">
        <v>579</v>
      </c>
      <c r="AB13" s="109" t="s">
        <v>580</v>
      </c>
      <c r="AC13" s="109" t="s">
        <v>581</v>
      </c>
      <c r="AD13" s="108" t="s">
        <v>96</v>
      </c>
      <c r="AE13" s="108" t="s">
        <v>514</v>
      </c>
      <c r="AF13" s="108" t="s">
        <v>582</v>
      </c>
      <c r="AG13" s="108" t="s">
        <v>583</v>
      </c>
      <c r="AH13" s="307"/>
      <c r="AI13" s="307"/>
    </row>
    <row r="14">
      <c r="A14" s="109">
        <f t="shared" si="1"/>
        <v>8</v>
      </c>
      <c r="B14" s="109" t="s">
        <v>584</v>
      </c>
      <c r="C14" s="125" t="s">
        <v>585</v>
      </c>
      <c r="D14" s="108" t="s">
        <v>531</v>
      </c>
      <c r="E14" s="111">
        <v>45901.0</v>
      </c>
      <c r="F14" s="108" t="s">
        <v>531</v>
      </c>
      <c r="G14" s="109" t="s">
        <v>518</v>
      </c>
      <c r="H14" s="109" t="s">
        <v>88</v>
      </c>
      <c r="I14" s="111">
        <v>45901.0</v>
      </c>
      <c r="J14" s="109" t="s">
        <v>532</v>
      </c>
      <c r="K14" s="109" t="s">
        <v>108</v>
      </c>
      <c r="L14" s="111">
        <v>45901.0</v>
      </c>
      <c r="M14" s="109" t="s">
        <v>518</v>
      </c>
      <c r="N14" s="114">
        <v>45826.0</v>
      </c>
      <c r="O14" s="109" t="s">
        <v>144</v>
      </c>
      <c r="P14" s="108" t="s">
        <v>285</v>
      </c>
      <c r="Q14" s="109" t="s">
        <v>285</v>
      </c>
      <c r="R14" s="307"/>
      <c r="S14" s="308"/>
      <c r="T14" s="303">
        <v>8.0</v>
      </c>
      <c r="U14" s="108" t="s">
        <v>522</v>
      </c>
      <c r="V14" s="109" t="s">
        <v>571</v>
      </c>
      <c r="W14" s="307"/>
      <c r="X14" s="109" t="s">
        <v>130</v>
      </c>
      <c r="Y14" s="306"/>
      <c r="Z14" s="109">
        <v>8.1314129136E10</v>
      </c>
      <c r="AA14" s="109" t="s">
        <v>586</v>
      </c>
      <c r="AB14" s="109" t="s">
        <v>587</v>
      </c>
      <c r="AC14" s="109" t="s">
        <v>588</v>
      </c>
      <c r="AD14" s="108" t="s">
        <v>96</v>
      </c>
      <c r="AE14" s="108" t="s">
        <v>514</v>
      </c>
      <c r="AF14" s="108" t="s">
        <v>454</v>
      </c>
      <c r="AG14" s="108" t="s">
        <v>491</v>
      </c>
      <c r="AH14" s="307"/>
      <c r="AI14" s="307"/>
    </row>
    <row r="15">
      <c r="A15" s="109">
        <f t="shared" si="1"/>
        <v>9</v>
      </c>
      <c r="B15" s="109" t="s">
        <v>589</v>
      </c>
      <c r="C15" s="125" t="s">
        <v>590</v>
      </c>
      <c r="D15" s="108" t="s">
        <v>517</v>
      </c>
      <c r="E15" s="111">
        <v>45901.0</v>
      </c>
      <c r="F15" s="108" t="s">
        <v>517</v>
      </c>
      <c r="G15" s="109" t="s">
        <v>518</v>
      </c>
      <c r="H15" s="109" t="s">
        <v>88</v>
      </c>
      <c r="I15" s="111">
        <v>45901.0</v>
      </c>
      <c r="J15" s="109" t="s">
        <v>519</v>
      </c>
      <c r="K15" s="109" t="s">
        <v>108</v>
      </c>
      <c r="L15" s="111">
        <v>45901.0</v>
      </c>
      <c r="M15" s="109" t="s">
        <v>518</v>
      </c>
      <c r="N15" s="114">
        <v>45826.0</v>
      </c>
      <c r="O15" s="109" t="s">
        <v>144</v>
      </c>
      <c r="P15" s="108" t="s">
        <v>267</v>
      </c>
      <c r="Q15" s="109" t="s">
        <v>591</v>
      </c>
      <c r="R15" s="109" t="s">
        <v>592</v>
      </c>
      <c r="S15" s="305">
        <v>42990.0</v>
      </c>
      <c r="T15" s="303">
        <v>9.0</v>
      </c>
      <c r="U15" s="108" t="s">
        <v>522</v>
      </c>
      <c r="V15" s="109" t="s">
        <v>67</v>
      </c>
      <c r="W15" s="109" t="s">
        <v>92</v>
      </c>
      <c r="X15" s="109" t="s">
        <v>68</v>
      </c>
      <c r="Y15" s="306"/>
      <c r="Z15" s="109">
        <v>8.5270536053E10</v>
      </c>
      <c r="AA15" s="109" t="s">
        <v>593</v>
      </c>
      <c r="AB15" s="109" t="s">
        <v>594</v>
      </c>
      <c r="AC15" s="109" t="s">
        <v>595</v>
      </c>
      <c r="AD15" s="108" t="s">
        <v>96</v>
      </c>
      <c r="AE15" s="108" t="s">
        <v>166</v>
      </c>
      <c r="AF15" s="108" t="s">
        <v>596</v>
      </c>
      <c r="AG15" s="108" t="s">
        <v>597</v>
      </c>
      <c r="AH15" s="109" t="s">
        <v>77</v>
      </c>
      <c r="AI15" s="109" t="s">
        <v>77</v>
      </c>
    </row>
    <row r="16">
      <c r="A16" s="109">
        <f t="shared" si="1"/>
        <v>10</v>
      </c>
      <c r="B16" s="109" t="s">
        <v>598</v>
      </c>
      <c r="C16" s="125" t="s">
        <v>599</v>
      </c>
      <c r="D16" s="108" t="s">
        <v>531</v>
      </c>
      <c r="E16" s="111">
        <v>45901.0</v>
      </c>
      <c r="F16" s="108" t="s">
        <v>531</v>
      </c>
      <c r="G16" s="109" t="s">
        <v>518</v>
      </c>
      <c r="H16" s="109" t="s">
        <v>88</v>
      </c>
      <c r="I16" s="111">
        <v>45901.0</v>
      </c>
      <c r="J16" s="109" t="s">
        <v>532</v>
      </c>
      <c r="K16" s="109" t="s">
        <v>108</v>
      </c>
      <c r="L16" s="111">
        <v>45901.0</v>
      </c>
      <c r="M16" s="109" t="s">
        <v>518</v>
      </c>
      <c r="N16" s="114">
        <v>45826.0</v>
      </c>
      <c r="O16" s="109" t="s">
        <v>144</v>
      </c>
      <c r="P16" s="108" t="s">
        <v>600</v>
      </c>
      <c r="Q16" s="109" t="s">
        <v>600</v>
      </c>
      <c r="R16" s="109" t="s">
        <v>601</v>
      </c>
      <c r="S16" s="302">
        <v>34853.0</v>
      </c>
      <c r="T16" s="303">
        <v>10.0</v>
      </c>
      <c r="U16" s="108" t="s">
        <v>522</v>
      </c>
      <c r="V16" s="109" t="s">
        <v>67</v>
      </c>
      <c r="W16" s="109" t="s">
        <v>92</v>
      </c>
      <c r="X16" s="109" t="s">
        <v>68</v>
      </c>
      <c r="Y16" s="306"/>
      <c r="Z16" s="109">
        <v>8.1260510665E10</v>
      </c>
      <c r="AA16" s="109" t="s">
        <v>602</v>
      </c>
      <c r="AB16" s="109" t="s">
        <v>603</v>
      </c>
      <c r="AC16" s="109" t="s">
        <v>604</v>
      </c>
      <c r="AD16" s="108" t="s">
        <v>96</v>
      </c>
      <c r="AE16" s="108" t="s">
        <v>514</v>
      </c>
      <c r="AF16" s="108" t="s">
        <v>454</v>
      </c>
      <c r="AG16" s="108" t="s">
        <v>605</v>
      </c>
      <c r="AH16" s="109" t="s">
        <v>77</v>
      </c>
      <c r="AI16" s="109" t="s">
        <v>77</v>
      </c>
    </row>
    <row r="17">
      <c r="A17" s="109">
        <f t="shared" si="1"/>
        <v>11</v>
      </c>
      <c r="B17" s="109" t="s">
        <v>606</v>
      </c>
      <c r="C17" s="125" t="s">
        <v>607</v>
      </c>
      <c r="D17" s="108" t="s">
        <v>531</v>
      </c>
      <c r="E17" s="111">
        <v>45901.0</v>
      </c>
      <c r="F17" s="108" t="s">
        <v>531</v>
      </c>
      <c r="G17" s="109" t="s">
        <v>518</v>
      </c>
      <c r="H17" s="109" t="s">
        <v>88</v>
      </c>
      <c r="I17" s="111">
        <v>45901.0</v>
      </c>
      <c r="J17" s="109" t="s">
        <v>532</v>
      </c>
      <c r="K17" s="109" t="s">
        <v>108</v>
      </c>
      <c r="L17" s="111">
        <v>45901.0</v>
      </c>
      <c r="M17" s="109" t="s">
        <v>518</v>
      </c>
      <c r="N17" s="114">
        <v>45826.0</v>
      </c>
      <c r="O17" s="109" t="s">
        <v>144</v>
      </c>
      <c r="P17" s="108" t="s">
        <v>608</v>
      </c>
      <c r="Q17" s="109" t="s">
        <v>609</v>
      </c>
      <c r="R17" s="109" t="s">
        <v>610</v>
      </c>
      <c r="S17" s="305">
        <v>42139.0</v>
      </c>
      <c r="T17" s="303">
        <v>11.0</v>
      </c>
      <c r="U17" s="108" t="s">
        <v>522</v>
      </c>
      <c r="V17" s="109" t="s">
        <v>67</v>
      </c>
      <c r="W17" s="109" t="s">
        <v>92</v>
      </c>
      <c r="X17" s="109" t="s">
        <v>68</v>
      </c>
      <c r="Y17" s="306"/>
      <c r="Z17" s="109">
        <v>8.2273396536E10</v>
      </c>
      <c r="AA17" s="109" t="s">
        <v>611</v>
      </c>
      <c r="AB17" s="109" t="s">
        <v>612</v>
      </c>
      <c r="AC17" s="109" t="s">
        <v>613</v>
      </c>
      <c r="AD17" s="108" t="s">
        <v>96</v>
      </c>
      <c r="AE17" s="108" t="s">
        <v>514</v>
      </c>
      <c r="AF17" s="108" t="s">
        <v>272</v>
      </c>
      <c r="AG17" s="108" t="s">
        <v>273</v>
      </c>
      <c r="AH17" s="307"/>
      <c r="AI17" s="307"/>
    </row>
    <row r="18">
      <c r="A18" s="109">
        <f t="shared" si="1"/>
        <v>12</v>
      </c>
      <c r="B18" s="109" t="s">
        <v>614</v>
      </c>
      <c r="C18" s="125" t="s">
        <v>615</v>
      </c>
      <c r="D18" s="108" t="s">
        <v>517</v>
      </c>
      <c r="E18" s="111">
        <v>45901.0</v>
      </c>
      <c r="F18" s="108" t="s">
        <v>517</v>
      </c>
      <c r="G18" s="109" t="s">
        <v>518</v>
      </c>
      <c r="H18" s="109" t="s">
        <v>88</v>
      </c>
      <c r="I18" s="111">
        <v>45901.0</v>
      </c>
      <c r="J18" s="109" t="s">
        <v>519</v>
      </c>
      <c r="K18" s="109" t="s">
        <v>108</v>
      </c>
      <c r="L18" s="111">
        <v>45901.0</v>
      </c>
      <c r="M18" s="109" t="s">
        <v>518</v>
      </c>
      <c r="N18" s="114">
        <v>45826.0</v>
      </c>
      <c r="O18" s="109" t="s">
        <v>144</v>
      </c>
      <c r="P18" s="108" t="s">
        <v>267</v>
      </c>
      <c r="Q18" s="109" t="s">
        <v>520</v>
      </c>
      <c r="R18" s="109" t="s">
        <v>268</v>
      </c>
      <c r="S18" s="305">
        <v>40441.0</v>
      </c>
      <c r="T18" s="303">
        <v>12.0</v>
      </c>
      <c r="U18" s="108" t="s">
        <v>522</v>
      </c>
      <c r="V18" s="109" t="s">
        <v>67</v>
      </c>
      <c r="W18" s="109" t="s">
        <v>92</v>
      </c>
      <c r="X18" s="109" t="s">
        <v>68</v>
      </c>
      <c r="Y18" s="306"/>
      <c r="Z18" s="109">
        <v>8.1261678557E10</v>
      </c>
      <c r="AA18" s="109" t="s">
        <v>616</v>
      </c>
      <c r="AB18" s="109" t="s">
        <v>617</v>
      </c>
      <c r="AC18" s="109" t="s">
        <v>618</v>
      </c>
      <c r="AD18" s="108" t="s">
        <v>96</v>
      </c>
      <c r="AE18" s="108" t="s">
        <v>150</v>
      </c>
      <c r="AF18" s="108" t="s">
        <v>619</v>
      </c>
      <c r="AG18" s="108" t="s">
        <v>620</v>
      </c>
      <c r="AH18" s="307"/>
      <c r="AI18" s="307"/>
    </row>
    <row r="19">
      <c r="A19" s="109">
        <f t="shared" si="1"/>
        <v>13</v>
      </c>
      <c r="B19" s="109" t="s">
        <v>621</v>
      </c>
      <c r="C19" s="125" t="s">
        <v>622</v>
      </c>
      <c r="D19" s="108" t="s">
        <v>531</v>
      </c>
      <c r="E19" s="111">
        <v>45901.0</v>
      </c>
      <c r="F19" s="108" t="s">
        <v>531</v>
      </c>
      <c r="G19" s="109" t="s">
        <v>518</v>
      </c>
      <c r="H19" s="109" t="s">
        <v>88</v>
      </c>
      <c r="I19" s="111">
        <v>45901.0</v>
      </c>
      <c r="J19" s="109" t="s">
        <v>532</v>
      </c>
      <c r="K19" s="109" t="s">
        <v>108</v>
      </c>
      <c r="L19" s="111">
        <v>45901.0</v>
      </c>
      <c r="M19" s="109" t="s">
        <v>518</v>
      </c>
      <c r="N19" s="114">
        <v>45826.0</v>
      </c>
      <c r="O19" s="109" t="s">
        <v>144</v>
      </c>
      <c r="P19" s="108" t="s">
        <v>285</v>
      </c>
      <c r="Q19" s="109" t="s">
        <v>541</v>
      </c>
      <c r="R19" s="109" t="s">
        <v>623</v>
      </c>
      <c r="S19" s="305">
        <v>36599.0</v>
      </c>
      <c r="T19" s="303">
        <v>13.0</v>
      </c>
      <c r="U19" s="108" t="s">
        <v>522</v>
      </c>
      <c r="V19" s="109" t="s">
        <v>67</v>
      </c>
      <c r="W19" s="109" t="s">
        <v>92</v>
      </c>
      <c r="X19" s="109" t="s">
        <v>68</v>
      </c>
      <c r="Y19" s="306"/>
      <c r="Z19" s="109">
        <v>8.1362224066E10</v>
      </c>
      <c r="AA19" s="109" t="s">
        <v>624</v>
      </c>
      <c r="AB19" s="109" t="s">
        <v>625</v>
      </c>
      <c r="AC19" s="109" t="s">
        <v>626</v>
      </c>
      <c r="AD19" s="108" t="s">
        <v>96</v>
      </c>
      <c r="AE19" s="108" t="s">
        <v>150</v>
      </c>
      <c r="AF19" s="108" t="s">
        <v>627</v>
      </c>
      <c r="AG19" s="108" t="s">
        <v>628</v>
      </c>
      <c r="AH19" s="307"/>
      <c r="AI19" s="307"/>
    </row>
    <row r="20">
      <c r="A20" s="109">
        <f t="shared" si="1"/>
        <v>14</v>
      </c>
      <c r="B20" s="109" t="s">
        <v>629</v>
      </c>
      <c r="C20" s="125" t="s">
        <v>630</v>
      </c>
      <c r="D20" s="108" t="s">
        <v>531</v>
      </c>
      <c r="E20" s="111">
        <v>45901.0</v>
      </c>
      <c r="F20" s="108" t="s">
        <v>531</v>
      </c>
      <c r="G20" s="109" t="s">
        <v>518</v>
      </c>
      <c r="H20" s="109" t="s">
        <v>88</v>
      </c>
      <c r="I20" s="111">
        <v>45901.0</v>
      </c>
      <c r="J20" s="109" t="s">
        <v>532</v>
      </c>
      <c r="K20" s="109" t="s">
        <v>108</v>
      </c>
      <c r="L20" s="111">
        <v>45901.0</v>
      </c>
      <c r="M20" s="109" t="s">
        <v>518</v>
      </c>
      <c r="N20" s="114">
        <v>45826.0</v>
      </c>
      <c r="O20" s="109" t="s">
        <v>144</v>
      </c>
      <c r="P20" s="108" t="s">
        <v>285</v>
      </c>
      <c r="Q20" s="109" t="s">
        <v>285</v>
      </c>
      <c r="R20" s="109" t="s">
        <v>631</v>
      </c>
      <c r="S20" s="305">
        <v>40679.0</v>
      </c>
      <c r="T20" s="303">
        <v>14.0</v>
      </c>
      <c r="U20" s="108" t="s">
        <v>522</v>
      </c>
      <c r="V20" s="109" t="s">
        <v>571</v>
      </c>
      <c r="W20" s="307"/>
      <c r="X20" s="109" t="s">
        <v>130</v>
      </c>
      <c r="Y20" s="306"/>
      <c r="Z20" s="109">
        <v>8.2165201677E10</v>
      </c>
      <c r="AA20" s="109" t="s">
        <v>632</v>
      </c>
      <c r="AB20" s="109" t="s">
        <v>633</v>
      </c>
      <c r="AC20" s="109" t="s">
        <v>634</v>
      </c>
      <c r="AD20" s="108" t="s">
        <v>96</v>
      </c>
      <c r="AE20" s="108" t="s">
        <v>150</v>
      </c>
      <c r="AF20" s="108" t="s">
        <v>635</v>
      </c>
      <c r="AG20" s="108" t="s">
        <v>636</v>
      </c>
      <c r="AH20" s="307"/>
      <c r="AI20" s="307"/>
    </row>
    <row r="21">
      <c r="A21" s="309" t="s">
        <v>1292</v>
      </c>
      <c r="B21" s="307"/>
      <c r="C21" s="125"/>
      <c r="D21" s="306"/>
      <c r="E21" s="310"/>
      <c r="F21" s="306"/>
      <c r="G21" s="307"/>
      <c r="H21" s="307"/>
      <c r="I21" s="310"/>
      <c r="J21" s="307"/>
      <c r="K21" s="307"/>
      <c r="L21" s="310"/>
      <c r="M21" s="307"/>
      <c r="N21" s="311"/>
      <c r="O21" s="307"/>
      <c r="P21" s="306"/>
      <c r="Q21" s="307"/>
      <c r="R21" s="307"/>
      <c r="S21" s="308"/>
      <c r="T21" s="303">
        <v>15.0</v>
      </c>
      <c r="U21" s="304"/>
      <c r="V21" s="312"/>
      <c r="W21" s="312"/>
      <c r="X21" s="312"/>
      <c r="Y21" s="304"/>
      <c r="Z21" s="312"/>
      <c r="AA21" s="312"/>
      <c r="AB21" s="312"/>
      <c r="AC21" s="312"/>
      <c r="AD21" s="304"/>
      <c r="AE21" s="304"/>
      <c r="AF21" s="304"/>
      <c r="AG21" s="304"/>
      <c r="AH21" s="312"/>
      <c r="AI21" s="312"/>
    </row>
    <row r="22">
      <c r="A22" s="109">
        <v>51.0</v>
      </c>
      <c r="B22" s="109" t="s">
        <v>1680</v>
      </c>
      <c r="C22" s="125" t="s">
        <v>1681</v>
      </c>
      <c r="D22" s="108" t="s">
        <v>550</v>
      </c>
      <c r="E22" s="111">
        <v>45901.0</v>
      </c>
      <c r="F22" s="108" t="s">
        <v>550</v>
      </c>
      <c r="G22" s="109" t="s">
        <v>518</v>
      </c>
      <c r="H22" s="109" t="s">
        <v>105</v>
      </c>
      <c r="I22" s="111">
        <v>45901.0</v>
      </c>
      <c r="J22" s="109" t="s">
        <v>142</v>
      </c>
      <c r="K22" s="109" t="s">
        <v>1304</v>
      </c>
      <c r="L22" s="111">
        <v>45901.0</v>
      </c>
      <c r="M22" s="109" t="s">
        <v>518</v>
      </c>
      <c r="N22" s="114">
        <v>45826.0</v>
      </c>
      <c r="O22" s="109" t="s">
        <v>144</v>
      </c>
      <c r="P22" s="108" t="s">
        <v>89</v>
      </c>
      <c r="Q22" s="109" t="s">
        <v>1682</v>
      </c>
      <c r="R22" s="109" t="s">
        <v>231</v>
      </c>
      <c r="S22" s="302">
        <v>42530.0</v>
      </c>
      <c r="T22" s="303">
        <v>16.0</v>
      </c>
      <c r="U22" s="108" t="s">
        <v>522</v>
      </c>
      <c r="V22" s="109" t="s">
        <v>220</v>
      </c>
      <c r="W22" s="307"/>
      <c r="X22" s="109" t="s">
        <v>130</v>
      </c>
      <c r="Y22" s="306"/>
      <c r="Z22" s="114">
        <v>8.5275969337E10</v>
      </c>
      <c r="AA22" s="114" t="s">
        <v>1683</v>
      </c>
      <c r="AB22" s="109" t="s">
        <v>1684</v>
      </c>
      <c r="AC22" s="114" t="s">
        <v>1685</v>
      </c>
      <c r="AD22" s="112" t="s">
        <v>96</v>
      </c>
      <c r="AE22" s="108" t="s">
        <v>74</v>
      </c>
      <c r="AF22" s="112" t="s">
        <v>379</v>
      </c>
      <c r="AG22" s="112" t="s">
        <v>1517</v>
      </c>
      <c r="AH22" s="109" t="s">
        <v>77</v>
      </c>
      <c r="AI22" s="109" t="s">
        <v>77</v>
      </c>
    </row>
    <row r="23">
      <c r="A23" s="109">
        <v>52.0</v>
      </c>
      <c r="B23" s="109" t="s">
        <v>1686</v>
      </c>
      <c r="C23" s="125" t="s">
        <v>1687</v>
      </c>
      <c r="D23" s="108" t="s">
        <v>517</v>
      </c>
      <c r="E23" s="111">
        <v>45901.0</v>
      </c>
      <c r="F23" s="108" t="s">
        <v>517</v>
      </c>
      <c r="G23" s="109" t="s">
        <v>518</v>
      </c>
      <c r="H23" s="109" t="s">
        <v>105</v>
      </c>
      <c r="I23" s="111">
        <v>45901.0</v>
      </c>
      <c r="J23" s="109" t="s">
        <v>519</v>
      </c>
      <c r="K23" s="109" t="s">
        <v>1316</v>
      </c>
      <c r="L23" s="111">
        <v>45901.0</v>
      </c>
      <c r="M23" s="109" t="s">
        <v>518</v>
      </c>
      <c r="N23" s="114">
        <v>45826.0</v>
      </c>
      <c r="O23" s="109" t="s">
        <v>144</v>
      </c>
      <c r="P23" s="108" t="s">
        <v>267</v>
      </c>
      <c r="Q23" s="109" t="s">
        <v>1688</v>
      </c>
      <c r="R23" s="109" t="s">
        <v>231</v>
      </c>
      <c r="S23" s="305">
        <v>40541.0</v>
      </c>
      <c r="T23" s="303">
        <v>17.0</v>
      </c>
      <c r="U23" s="108" t="s">
        <v>522</v>
      </c>
      <c r="V23" s="114" t="s">
        <v>67</v>
      </c>
      <c r="W23" s="307"/>
      <c r="X23" s="109" t="s">
        <v>130</v>
      </c>
      <c r="Y23" s="306"/>
      <c r="Z23" s="114">
        <v>8.1163316E9</v>
      </c>
      <c r="AA23" s="114" t="s">
        <v>1689</v>
      </c>
      <c r="AB23" s="109" t="s">
        <v>1690</v>
      </c>
      <c r="AC23" s="114" t="s">
        <v>1691</v>
      </c>
      <c r="AD23" s="112" t="s">
        <v>96</v>
      </c>
      <c r="AE23" s="108" t="s">
        <v>74</v>
      </c>
      <c r="AF23" s="112" t="s">
        <v>213</v>
      </c>
      <c r="AG23" s="112" t="s">
        <v>214</v>
      </c>
      <c r="AH23" s="109" t="s">
        <v>77</v>
      </c>
      <c r="AI23" s="109" t="s">
        <v>77</v>
      </c>
    </row>
    <row r="24">
      <c r="A24" s="109">
        <v>53.0</v>
      </c>
      <c r="B24" s="109" t="s">
        <v>1692</v>
      </c>
      <c r="C24" s="125" t="s">
        <v>1693</v>
      </c>
      <c r="D24" s="108" t="s">
        <v>517</v>
      </c>
      <c r="E24" s="111">
        <v>45901.0</v>
      </c>
      <c r="F24" s="108" t="s">
        <v>517</v>
      </c>
      <c r="G24" s="109" t="s">
        <v>518</v>
      </c>
      <c r="H24" s="109" t="s">
        <v>105</v>
      </c>
      <c r="I24" s="111">
        <v>45901.0</v>
      </c>
      <c r="J24" s="109" t="s">
        <v>519</v>
      </c>
      <c r="K24" s="109" t="s">
        <v>1304</v>
      </c>
      <c r="L24" s="111">
        <v>45901.0</v>
      </c>
      <c r="M24" s="109" t="s">
        <v>518</v>
      </c>
      <c r="N24" s="114">
        <v>45826.0</v>
      </c>
      <c r="O24" s="109" t="s">
        <v>144</v>
      </c>
      <c r="P24" s="108" t="s">
        <v>267</v>
      </c>
      <c r="Q24" s="109" t="s">
        <v>1694</v>
      </c>
      <c r="R24" s="109" t="s">
        <v>1695</v>
      </c>
      <c r="S24" s="305">
        <v>37529.0</v>
      </c>
      <c r="T24" s="303">
        <v>18.0</v>
      </c>
      <c r="U24" s="108" t="s">
        <v>522</v>
      </c>
      <c r="V24" s="114" t="s">
        <v>67</v>
      </c>
      <c r="W24" s="109" t="s">
        <v>92</v>
      </c>
      <c r="X24" s="109" t="s">
        <v>68</v>
      </c>
      <c r="Y24" s="306"/>
      <c r="Z24" s="114">
        <v>8.5362168762E10</v>
      </c>
      <c r="AA24" s="114">
        <v>8.5362168762E10</v>
      </c>
      <c r="AB24" s="109" t="s">
        <v>1696</v>
      </c>
      <c r="AC24" s="114" t="s">
        <v>1697</v>
      </c>
      <c r="AD24" s="112" t="s">
        <v>96</v>
      </c>
      <c r="AE24" s="108" t="s">
        <v>74</v>
      </c>
      <c r="AF24" s="112" t="s">
        <v>1698</v>
      </c>
      <c r="AG24" s="112" t="s">
        <v>1699</v>
      </c>
      <c r="AH24" s="109" t="s">
        <v>77</v>
      </c>
      <c r="AI24" s="109" t="s">
        <v>77</v>
      </c>
    </row>
    <row r="25">
      <c r="A25" s="109">
        <v>54.0</v>
      </c>
      <c r="B25" s="109" t="s">
        <v>1700</v>
      </c>
      <c r="C25" s="125" t="s">
        <v>1701</v>
      </c>
      <c r="D25" s="108" t="s">
        <v>531</v>
      </c>
      <c r="E25" s="111">
        <v>45901.0</v>
      </c>
      <c r="F25" s="108" t="s">
        <v>531</v>
      </c>
      <c r="G25" s="109" t="s">
        <v>518</v>
      </c>
      <c r="H25" s="109" t="s">
        <v>105</v>
      </c>
      <c r="I25" s="111">
        <v>45901.0</v>
      </c>
      <c r="J25" s="109" t="s">
        <v>532</v>
      </c>
      <c r="K25" s="109" t="s">
        <v>1304</v>
      </c>
      <c r="L25" s="111">
        <v>45901.0</v>
      </c>
      <c r="M25" s="109" t="s">
        <v>518</v>
      </c>
      <c r="N25" s="114">
        <v>45826.0</v>
      </c>
      <c r="O25" s="109" t="s">
        <v>144</v>
      </c>
      <c r="P25" s="108" t="s">
        <v>285</v>
      </c>
      <c r="Q25" s="109" t="s">
        <v>285</v>
      </c>
      <c r="R25" s="307"/>
      <c r="S25" s="308"/>
      <c r="T25" s="303">
        <v>19.0</v>
      </c>
      <c r="U25" s="108" t="s">
        <v>522</v>
      </c>
      <c r="V25" s="114" t="s">
        <v>67</v>
      </c>
      <c r="W25" s="307"/>
      <c r="X25" s="109" t="s">
        <v>130</v>
      </c>
      <c r="Y25" s="306"/>
      <c r="Z25" s="114">
        <v>8.3196054666E10</v>
      </c>
      <c r="AA25" s="114" t="s">
        <v>1702</v>
      </c>
      <c r="AB25" s="109" t="s">
        <v>1703</v>
      </c>
      <c r="AC25" s="114" t="s">
        <v>1704</v>
      </c>
      <c r="AD25" s="112" t="s">
        <v>96</v>
      </c>
      <c r="AE25" s="108" t="s">
        <v>74</v>
      </c>
      <c r="AF25" s="112" t="s">
        <v>236</v>
      </c>
      <c r="AG25" s="112" t="s">
        <v>152</v>
      </c>
      <c r="AH25" s="109" t="s">
        <v>77</v>
      </c>
      <c r="AI25" s="109" t="s">
        <v>77</v>
      </c>
    </row>
    <row r="26">
      <c r="A26" s="309" t="s">
        <v>1918</v>
      </c>
      <c r="B26" s="307"/>
      <c r="C26" s="125"/>
      <c r="D26" s="306"/>
      <c r="E26" s="310"/>
      <c r="F26" s="306"/>
      <c r="G26" s="307"/>
      <c r="H26" s="307"/>
      <c r="I26" s="310"/>
      <c r="J26" s="307"/>
      <c r="K26" s="307"/>
      <c r="L26" s="310"/>
      <c r="M26" s="307"/>
      <c r="N26" s="312"/>
      <c r="O26" s="307"/>
      <c r="P26" s="306"/>
      <c r="Q26" s="307"/>
      <c r="R26" s="307"/>
      <c r="S26" s="308"/>
      <c r="T26" s="303">
        <v>20.0</v>
      </c>
      <c r="U26" s="304"/>
      <c r="V26" s="312"/>
      <c r="W26" s="312"/>
      <c r="X26" s="312"/>
      <c r="Y26" s="304"/>
      <c r="Z26" s="312"/>
      <c r="AA26" s="312"/>
      <c r="AB26" s="312"/>
      <c r="AC26" s="312"/>
      <c r="AD26" s="304"/>
      <c r="AE26" s="304"/>
      <c r="AF26" s="304"/>
      <c r="AG26" s="304"/>
      <c r="AH26" s="312"/>
      <c r="AI26" s="312"/>
    </row>
    <row r="27">
      <c r="A27" s="109">
        <v>42.0</v>
      </c>
      <c r="B27" s="109" t="s">
        <v>2237</v>
      </c>
      <c r="C27" s="125" t="s">
        <v>2238</v>
      </c>
      <c r="D27" s="108" t="s">
        <v>550</v>
      </c>
      <c r="E27" s="111">
        <v>45901.0</v>
      </c>
      <c r="F27" s="108" t="s">
        <v>550</v>
      </c>
      <c r="G27" s="109" t="s">
        <v>518</v>
      </c>
      <c r="H27" s="109" t="s">
        <v>1314</v>
      </c>
      <c r="I27" s="111">
        <v>45901.0</v>
      </c>
      <c r="J27" s="109" t="s">
        <v>142</v>
      </c>
      <c r="K27" s="109" t="s">
        <v>1937</v>
      </c>
      <c r="L27" s="111">
        <v>45901.0</v>
      </c>
      <c r="M27" s="109" t="s">
        <v>518</v>
      </c>
      <c r="N27" s="114">
        <v>45826.0</v>
      </c>
      <c r="O27" s="109" t="s">
        <v>144</v>
      </c>
      <c r="P27" s="108" t="s">
        <v>89</v>
      </c>
      <c r="Q27" s="109" t="s">
        <v>2239</v>
      </c>
      <c r="R27" s="109" t="s">
        <v>1231</v>
      </c>
      <c r="S27" s="305">
        <v>41195.0</v>
      </c>
      <c r="T27" s="303">
        <v>21.0</v>
      </c>
      <c r="U27" s="108" t="s">
        <v>522</v>
      </c>
      <c r="V27" s="114" t="s">
        <v>67</v>
      </c>
      <c r="W27" s="307"/>
      <c r="X27" s="109" t="s">
        <v>68</v>
      </c>
      <c r="Y27" s="306"/>
      <c r="Z27" s="114">
        <v>8.1396618001E10</v>
      </c>
      <c r="AA27" s="114" t="s">
        <v>2240</v>
      </c>
      <c r="AB27" s="109" t="s">
        <v>2241</v>
      </c>
      <c r="AC27" s="114" t="s">
        <v>2242</v>
      </c>
      <c r="AD27" s="108" t="s">
        <v>96</v>
      </c>
      <c r="AE27" s="108" t="s">
        <v>74</v>
      </c>
      <c r="AF27" s="112" t="s">
        <v>2243</v>
      </c>
      <c r="AG27" s="112" t="s">
        <v>2244</v>
      </c>
      <c r="AH27" s="307"/>
      <c r="AI27" s="307"/>
    </row>
    <row r="28">
      <c r="A28" s="109">
        <v>43.0</v>
      </c>
      <c r="B28" s="109" t="s">
        <v>2245</v>
      </c>
      <c r="C28" s="125" t="s">
        <v>2246</v>
      </c>
      <c r="D28" s="108" t="s">
        <v>517</v>
      </c>
      <c r="E28" s="111">
        <v>45901.0</v>
      </c>
      <c r="F28" s="108" t="s">
        <v>517</v>
      </c>
      <c r="G28" s="109" t="s">
        <v>518</v>
      </c>
      <c r="H28" s="109" t="s">
        <v>1314</v>
      </c>
      <c r="I28" s="111">
        <v>45901.0</v>
      </c>
      <c r="J28" s="109" t="s">
        <v>519</v>
      </c>
      <c r="K28" s="109" t="s">
        <v>1928</v>
      </c>
      <c r="L28" s="111">
        <v>45901.0</v>
      </c>
      <c r="M28" s="109" t="s">
        <v>518</v>
      </c>
      <c r="N28" s="114">
        <v>45826.0</v>
      </c>
      <c r="O28" s="109" t="s">
        <v>144</v>
      </c>
      <c r="P28" s="108" t="s">
        <v>267</v>
      </c>
      <c r="Q28" s="109" t="s">
        <v>267</v>
      </c>
      <c r="R28" s="307"/>
      <c r="S28" s="313"/>
      <c r="T28" s="303">
        <v>22.0</v>
      </c>
      <c r="U28" s="108" t="s">
        <v>522</v>
      </c>
      <c r="V28" s="114" t="s">
        <v>67</v>
      </c>
      <c r="W28" s="307"/>
      <c r="X28" s="109" t="s">
        <v>130</v>
      </c>
      <c r="Y28" s="306"/>
      <c r="Z28" s="114">
        <v>8.216490891E10</v>
      </c>
      <c r="AA28" s="114" t="s">
        <v>2247</v>
      </c>
      <c r="AB28" s="109" t="s">
        <v>2248</v>
      </c>
      <c r="AC28" s="114" t="s">
        <v>2249</v>
      </c>
      <c r="AD28" s="108" t="s">
        <v>96</v>
      </c>
      <c r="AE28" s="108" t="s">
        <v>74</v>
      </c>
      <c r="AF28" s="112" t="s">
        <v>932</v>
      </c>
      <c r="AG28" s="112" t="s">
        <v>2250</v>
      </c>
      <c r="AH28" s="307"/>
      <c r="AI28" s="307"/>
    </row>
    <row r="29">
      <c r="A29" s="109">
        <v>44.0</v>
      </c>
      <c r="B29" s="109" t="s">
        <v>2251</v>
      </c>
      <c r="C29" s="125" t="s">
        <v>2252</v>
      </c>
      <c r="D29" s="108" t="s">
        <v>517</v>
      </c>
      <c r="E29" s="111">
        <v>45901.0</v>
      </c>
      <c r="F29" s="108" t="s">
        <v>517</v>
      </c>
      <c r="G29" s="109" t="s">
        <v>518</v>
      </c>
      <c r="H29" s="109" t="s">
        <v>1314</v>
      </c>
      <c r="I29" s="111">
        <v>45901.0</v>
      </c>
      <c r="J29" s="109" t="s">
        <v>519</v>
      </c>
      <c r="K29" s="109" t="s">
        <v>1928</v>
      </c>
      <c r="L29" s="111">
        <v>45901.0</v>
      </c>
      <c r="M29" s="109" t="s">
        <v>518</v>
      </c>
      <c r="N29" s="114">
        <v>45826.0</v>
      </c>
      <c r="O29" s="109" t="s">
        <v>144</v>
      </c>
      <c r="P29" s="108" t="s">
        <v>267</v>
      </c>
      <c r="Q29" s="109" t="s">
        <v>2253</v>
      </c>
      <c r="R29" s="109" t="s">
        <v>2254</v>
      </c>
      <c r="S29" s="305">
        <v>38716.0</v>
      </c>
      <c r="T29" s="303">
        <v>23.0</v>
      </c>
      <c r="U29" s="108" t="s">
        <v>522</v>
      </c>
      <c r="V29" s="114" t="s">
        <v>220</v>
      </c>
      <c r="W29" s="307"/>
      <c r="X29" s="114" t="s">
        <v>130</v>
      </c>
      <c r="Y29" s="306"/>
      <c r="Z29" s="114">
        <v>8.2286306187E10</v>
      </c>
      <c r="AA29" s="114" t="s">
        <v>2255</v>
      </c>
      <c r="AB29" s="109" t="s">
        <v>2256</v>
      </c>
      <c r="AC29" s="114" t="s">
        <v>2257</v>
      </c>
      <c r="AD29" s="108" t="s">
        <v>96</v>
      </c>
      <c r="AE29" s="108" t="s">
        <v>74</v>
      </c>
      <c r="AF29" s="112" t="s">
        <v>1784</v>
      </c>
      <c r="AG29" s="112" t="s">
        <v>2258</v>
      </c>
      <c r="AH29" s="307"/>
      <c r="AI29" s="307"/>
    </row>
    <row r="30">
      <c r="A30" s="109">
        <v>45.0</v>
      </c>
      <c r="B30" s="109" t="s">
        <v>2259</v>
      </c>
      <c r="C30" s="125" t="s">
        <v>2260</v>
      </c>
      <c r="D30" s="108" t="s">
        <v>531</v>
      </c>
      <c r="E30" s="111">
        <v>45901.0</v>
      </c>
      <c r="F30" s="108" t="s">
        <v>531</v>
      </c>
      <c r="G30" s="109" t="s">
        <v>518</v>
      </c>
      <c r="H30" s="109" t="s">
        <v>1314</v>
      </c>
      <c r="I30" s="111">
        <v>45901.0</v>
      </c>
      <c r="J30" s="109" t="s">
        <v>532</v>
      </c>
      <c r="K30" s="109" t="s">
        <v>1937</v>
      </c>
      <c r="L30" s="111">
        <v>45901.0</v>
      </c>
      <c r="M30" s="109" t="s">
        <v>518</v>
      </c>
      <c r="N30" s="114">
        <v>45826.0</v>
      </c>
      <c r="O30" s="109" t="s">
        <v>144</v>
      </c>
      <c r="P30" s="108" t="s">
        <v>285</v>
      </c>
      <c r="Q30" s="109" t="s">
        <v>541</v>
      </c>
      <c r="R30" s="109" t="s">
        <v>2261</v>
      </c>
      <c r="S30" s="308"/>
      <c r="T30" s="303">
        <v>24.0</v>
      </c>
      <c r="U30" s="108" t="s">
        <v>522</v>
      </c>
      <c r="V30" s="114" t="s">
        <v>67</v>
      </c>
      <c r="W30" s="307"/>
      <c r="X30" s="109" t="s">
        <v>68</v>
      </c>
      <c r="Y30" s="306"/>
      <c r="Z30" s="114">
        <v>8.5126811125E10</v>
      </c>
      <c r="AA30" s="114" t="s">
        <v>2262</v>
      </c>
      <c r="AB30" s="109" t="s">
        <v>2263</v>
      </c>
      <c r="AC30" s="114" t="s">
        <v>2264</v>
      </c>
      <c r="AD30" s="112" t="s">
        <v>2265</v>
      </c>
      <c r="AE30" s="112" t="s">
        <v>2266</v>
      </c>
      <c r="AF30" s="112" t="s">
        <v>1941</v>
      </c>
      <c r="AG30" s="112" t="s">
        <v>2267</v>
      </c>
      <c r="AH30" s="307"/>
      <c r="AI30" s="307"/>
    </row>
    <row r="31">
      <c r="A31" s="109">
        <v>46.0</v>
      </c>
      <c r="B31" s="109" t="s">
        <v>2268</v>
      </c>
      <c r="C31" s="125" t="s">
        <v>2269</v>
      </c>
      <c r="D31" s="108" t="s">
        <v>531</v>
      </c>
      <c r="E31" s="111">
        <v>45901.0</v>
      </c>
      <c r="F31" s="108" t="s">
        <v>531</v>
      </c>
      <c r="G31" s="109" t="s">
        <v>518</v>
      </c>
      <c r="H31" s="109" t="s">
        <v>1314</v>
      </c>
      <c r="I31" s="111">
        <v>45901.0</v>
      </c>
      <c r="J31" s="109" t="s">
        <v>532</v>
      </c>
      <c r="K31" s="109" t="s">
        <v>1937</v>
      </c>
      <c r="L31" s="111">
        <v>45901.0</v>
      </c>
      <c r="M31" s="109" t="s">
        <v>518</v>
      </c>
      <c r="N31" s="114">
        <v>45826.0</v>
      </c>
      <c r="O31" s="109" t="s">
        <v>144</v>
      </c>
      <c r="P31" s="108" t="s">
        <v>285</v>
      </c>
      <c r="Q31" s="109" t="s">
        <v>2270</v>
      </c>
      <c r="R31" s="109" t="s">
        <v>2271</v>
      </c>
      <c r="S31" s="305">
        <v>39613.0</v>
      </c>
      <c r="T31" s="303">
        <v>25.0</v>
      </c>
      <c r="U31" s="108" t="s">
        <v>522</v>
      </c>
      <c r="V31" s="114" t="s">
        <v>67</v>
      </c>
      <c r="W31" s="312"/>
      <c r="X31" s="109" t="s">
        <v>68</v>
      </c>
      <c r="Y31" s="306"/>
      <c r="Z31" s="114">
        <v>8.2276886768E10</v>
      </c>
      <c r="AA31" s="114" t="s">
        <v>2272</v>
      </c>
      <c r="AB31" s="109" t="s">
        <v>2273</v>
      </c>
      <c r="AC31" s="114" t="s">
        <v>2274</v>
      </c>
      <c r="AD31" s="112" t="s">
        <v>2265</v>
      </c>
      <c r="AE31" s="108" t="s">
        <v>74</v>
      </c>
      <c r="AF31" s="112" t="s">
        <v>1511</v>
      </c>
      <c r="AG31" s="112" t="s">
        <v>2275</v>
      </c>
      <c r="AH31" s="307"/>
      <c r="AI31" s="307"/>
    </row>
    <row r="32">
      <c r="A32" s="309" t="s">
        <v>2558</v>
      </c>
      <c r="B32" s="307"/>
      <c r="C32" s="125"/>
      <c r="D32" s="306"/>
      <c r="E32" s="310"/>
      <c r="F32" s="306"/>
      <c r="G32" s="307"/>
      <c r="H32" s="307"/>
      <c r="I32" s="310"/>
      <c r="J32" s="307"/>
      <c r="K32" s="307"/>
      <c r="L32" s="310"/>
      <c r="M32" s="307"/>
      <c r="N32" s="312"/>
      <c r="O32" s="307"/>
      <c r="P32" s="306"/>
      <c r="Q32" s="307"/>
      <c r="R32" s="307"/>
      <c r="S32" s="308"/>
      <c r="T32" s="303">
        <v>26.0</v>
      </c>
      <c r="U32" s="304"/>
      <c r="V32" s="312"/>
      <c r="W32" s="312"/>
      <c r="X32" s="312"/>
      <c r="Y32" s="304"/>
      <c r="Z32" s="312"/>
      <c r="AA32" s="312"/>
      <c r="AB32" s="312"/>
      <c r="AC32" s="312"/>
      <c r="AD32" s="304"/>
      <c r="AE32" s="304"/>
      <c r="AF32" s="304"/>
      <c r="AG32" s="304"/>
      <c r="AH32" s="312"/>
      <c r="AI32" s="312"/>
    </row>
    <row r="33">
      <c r="A33" s="109">
        <v>53.0</v>
      </c>
      <c r="B33" s="109" t="s">
        <v>2912</v>
      </c>
      <c r="C33" s="125" t="s">
        <v>2913</v>
      </c>
      <c r="D33" s="108" t="s">
        <v>531</v>
      </c>
      <c r="E33" s="111">
        <v>45901.0</v>
      </c>
      <c r="F33" s="108" t="s">
        <v>531</v>
      </c>
      <c r="G33" s="109" t="s">
        <v>518</v>
      </c>
      <c r="H33" s="109" t="s">
        <v>105</v>
      </c>
      <c r="I33" s="111">
        <v>45901.0</v>
      </c>
      <c r="J33" s="314"/>
      <c r="K33" s="109" t="s">
        <v>2914</v>
      </c>
      <c r="L33" s="111">
        <v>45901.0</v>
      </c>
      <c r="M33" s="109" t="s">
        <v>518</v>
      </c>
      <c r="N33" s="114">
        <v>45826.0</v>
      </c>
      <c r="O33" s="109" t="s">
        <v>144</v>
      </c>
      <c r="P33" s="108" t="s">
        <v>285</v>
      </c>
      <c r="Q33" s="109" t="s">
        <v>285</v>
      </c>
      <c r="R33" s="307"/>
      <c r="S33" s="308"/>
      <c r="T33" s="303">
        <v>27.0</v>
      </c>
      <c r="U33" s="108" t="s">
        <v>522</v>
      </c>
      <c r="V33" s="114" t="s">
        <v>67</v>
      </c>
      <c r="W33" s="307"/>
      <c r="X33" s="109" t="s">
        <v>68</v>
      </c>
      <c r="Y33" s="306"/>
      <c r="Z33" s="307"/>
      <c r="AA33" s="307"/>
      <c r="AB33" s="307"/>
      <c r="AC33" s="307"/>
      <c r="AD33" s="306"/>
      <c r="AE33" s="306"/>
      <c r="AF33" s="306"/>
      <c r="AG33" s="306"/>
      <c r="AH33" s="307"/>
      <c r="AI33" s="307"/>
    </row>
    <row r="34">
      <c r="A34" s="109">
        <v>54.0</v>
      </c>
      <c r="B34" s="109" t="s">
        <v>2915</v>
      </c>
      <c r="C34" s="125" t="s">
        <v>2916</v>
      </c>
      <c r="D34" s="108" t="s">
        <v>531</v>
      </c>
      <c r="E34" s="111">
        <v>45901.0</v>
      </c>
      <c r="F34" s="108" t="s">
        <v>531</v>
      </c>
      <c r="G34" s="109" t="s">
        <v>518</v>
      </c>
      <c r="H34" s="109" t="s">
        <v>105</v>
      </c>
      <c r="I34" s="111">
        <v>45901.0</v>
      </c>
      <c r="J34" s="307"/>
      <c r="K34" s="109" t="s">
        <v>2914</v>
      </c>
      <c r="L34" s="111">
        <v>45901.0</v>
      </c>
      <c r="M34" s="109" t="s">
        <v>518</v>
      </c>
      <c r="N34" s="114">
        <v>45826.0</v>
      </c>
      <c r="O34" s="109" t="s">
        <v>144</v>
      </c>
      <c r="P34" s="108" t="s">
        <v>285</v>
      </c>
      <c r="Q34" s="109" t="s">
        <v>2917</v>
      </c>
      <c r="R34" s="109" t="s">
        <v>2918</v>
      </c>
      <c r="S34" s="305">
        <v>38152.0</v>
      </c>
      <c r="T34" s="303">
        <v>28.0</v>
      </c>
      <c r="U34" s="108" t="s">
        <v>522</v>
      </c>
      <c r="V34" s="114" t="s">
        <v>220</v>
      </c>
      <c r="W34" s="307"/>
      <c r="X34" s="109" t="s">
        <v>68</v>
      </c>
      <c r="Y34" s="306"/>
      <c r="Z34" s="114">
        <v>8.2167963679E10</v>
      </c>
      <c r="AA34" s="114" t="s">
        <v>2919</v>
      </c>
      <c r="AB34" s="109" t="s">
        <v>2920</v>
      </c>
      <c r="AC34" s="114" t="s">
        <v>2921</v>
      </c>
      <c r="AD34" s="108" t="s">
        <v>96</v>
      </c>
      <c r="AE34" s="108" t="s">
        <v>481</v>
      </c>
      <c r="AF34" s="112" t="s">
        <v>75</v>
      </c>
      <c r="AG34" s="112" t="s">
        <v>2922</v>
      </c>
      <c r="AH34" s="109">
        <v>0.0</v>
      </c>
      <c r="AI34" s="109">
        <v>0.0</v>
      </c>
    </row>
    <row r="35">
      <c r="A35" s="109">
        <v>55.0</v>
      </c>
      <c r="B35" s="109" t="s">
        <v>2923</v>
      </c>
      <c r="C35" s="125" t="s">
        <v>2924</v>
      </c>
      <c r="D35" s="108" t="s">
        <v>550</v>
      </c>
      <c r="E35" s="111">
        <v>45901.0</v>
      </c>
      <c r="F35" s="108" t="s">
        <v>550</v>
      </c>
      <c r="G35" s="109" t="s">
        <v>518</v>
      </c>
      <c r="H35" s="109" t="s">
        <v>105</v>
      </c>
      <c r="I35" s="111">
        <v>45901.0</v>
      </c>
      <c r="J35" s="307"/>
      <c r="K35" s="109" t="s">
        <v>2914</v>
      </c>
      <c r="L35" s="111">
        <v>45901.0</v>
      </c>
      <c r="M35" s="109" t="s">
        <v>518</v>
      </c>
      <c r="N35" s="114">
        <v>45826.0</v>
      </c>
      <c r="O35" s="109" t="s">
        <v>144</v>
      </c>
      <c r="P35" s="108" t="s">
        <v>89</v>
      </c>
      <c r="Q35" s="109" t="s">
        <v>2925</v>
      </c>
      <c r="R35" s="109" t="s">
        <v>641</v>
      </c>
      <c r="S35" s="302">
        <v>44537.0</v>
      </c>
      <c r="T35" s="303">
        <v>29.0</v>
      </c>
      <c r="U35" s="108" t="s">
        <v>522</v>
      </c>
      <c r="V35" s="114" t="s">
        <v>67</v>
      </c>
      <c r="W35" s="307"/>
      <c r="X35" s="109" t="s">
        <v>68</v>
      </c>
      <c r="Y35" s="306"/>
      <c r="Z35" s="114">
        <v>8.9514855464E10</v>
      </c>
      <c r="AA35" s="114" t="s">
        <v>2926</v>
      </c>
      <c r="AB35" s="109" t="s">
        <v>2927</v>
      </c>
      <c r="AC35" s="114" t="s">
        <v>2928</v>
      </c>
      <c r="AD35" s="108" t="s">
        <v>96</v>
      </c>
      <c r="AE35" s="108" t="s">
        <v>481</v>
      </c>
      <c r="AF35" s="112" t="s">
        <v>499</v>
      </c>
      <c r="AG35" s="112" t="s">
        <v>464</v>
      </c>
      <c r="AH35" s="307"/>
      <c r="AI35" s="307"/>
    </row>
    <row r="36">
      <c r="A36" s="109">
        <v>56.0</v>
      </c>
      <c r="B36" s="109" t="s">
        <v>2929</v>
      </c>
      <c r="C36" s="125" t="s">
        <v>2930</v>
      </c>
      <c r="D36" s="108" t="s">
        <v>517</v>
      </c>
      <c r="E36" s="111">
        <v>45901.0</v>
      </c>
      <c r="F36" s="108" t="s">
        <v>517</v>
      </c>
      <c r="G36" s="109" t="s">
        <v>518</v>
      </c>
      <c r="H36" s="109" t="s">
        <v>105</v>
      </c>
      <c r="I36" s="111">
        <v>45901.0</v>
      </c>
      <c r="J36" s="307"/>
      <c r="K36" s="109" t="s">
        <v>2914</v>
      </c>
      <c r="L36" s="111">
        <v>45901.0</v>
      </c>
      <c r="M36" s="109" t="s">
        <v>518</v>
      </c>
      <c r="N36" s="114">
        <v>45826.0</v>
      </c>
      <c r="O36" s="109" t="s">
        <v>144</v>
      </c>
      <c r="P36" s="108" t="s">
        <v>267</v>
      </c>
      <c r="Q36" s="109" t="s">
        <v>2931</v>
      </c>
      <c r="R36" s="109" t="s">
        <v>2932</v>
      </c>
      <c r="S36" s="302">
        <v>41891.0</v>
      </c>
      <c r="T36" s="303">
        <v>30.0</v>
      </c>
      <c r="U36" s="108" t="s">
        <v>522</v>
      </c>
      <c r="V36" s="114" t="s">
        <v>220</v>
      </c>
      <c r="W36" s="109" t="s">
        <v>92</v>
      </c>
      <c r="X36" s="109" t="s">
        <v>68</v>
      </c>
      <c r="Y36" s="306"/>
      <c r="Z36" s="114">
        <v>8.1220418707E10</v>
      </c>
      <c r="AA36" s="114" t="s">
        <v>2933</v>
      </c>
      <c r="AB36" s="109" t="s">
        <v>2934</v>
      </c>
      <c r="AC36" s="114" t="s">
        <v>2935</v>
      </c>
      <c r="AD36" s="108" t="s">
        <v>96</v>
      </c>
      <c r="AE36" s="108" t="s">
        <v>481</v>
      </c>
      <c r="AF36" s="112" t="s">
        <v>1511</v>
      </c>
      <c r="AG36" s="112" t="s">
        <v>1145</v>
      </c>
      <c r="AH36" s="307"/>
      <c r="AI36" s="307"/>
    </row>
    <row r="37">
      <c r="A37" s="109">
        <v>57.0</v>
      </c>
      <c r="B37" s="109" t="s">
        <v>2936</v>
      </c>
      <c r="C37" s="125" t="s">
        <v>2937</v>
      </c>
      <c r="D37" s="108" t="s">
        <v>517</v>
      </c>
      <c r="E37" s="111">
        <v>45901.0</v>
      </c>
      <c r="F37" s="108" t="s">
        <v>517</v>
      </c>
      <c r="G37" s="109" t="s">
        <v>518</v>
      </c>
      <c r="H37" s="109" t="s">
        <v>105</v>
      </c>
      <c r="I37" s="111">
        <v>45901.0</v>
      </c>
      <c r="J37" s="307"/>
      <c r="K37" s="109" t="s">
        <v>2914</v>
      </c>
      <c r="L37" s="111">
        <v>45901.0</v>
      </c>
      <c r="M37" s="109" t="s">
        <v>518</v>
      </c>
      <c r="N37" s="114">
        <v>45826.0</v>
      </c>
      <c r="O37" s="109" t="s">
        <v>144</v>
      </c>
      <c r="P37" s="108" t="s">
        <v>267</v>
      </c>
      <c r="Q37" s="109" t="s">
        <v>569</v>
      </c>
      <c r="R37" s="109" t="s">
        <v>2938</v>
      </c>
      <c r="S37" s="305">
        <v>41923.0</v>
      </c>
      <c r="T37" s="303">
        <v>31.0</v>
      </c>
      <c r="U37" s="108" t="s">
        <v>522</v>
      </c>
      <c r="V37" s="114" t="s">
        <v>311</v>
      </c>
      <c r="W37" s="109" t="s">
        <v>92</v>
      </c>
      <c r="X37" s="109" t="s">
        <v>130</v>
      </c>
      <c r="Y37" s="306"/>
      <c r="Z37" s="114">
        <v>8.1375825505E10</v>
      </c>
      <c r="AA37" s="114" t="s">
        <v>2939</v>
      </c>
      <c r="AB37" s="109" t="s">
        <v>2940</v>
      </c>
      <c r="AC37" s="114" t="s">
        <v>2941</v>
      </c>
      <c r="AD37" s="108" t="s">
        <v>96</v>
      </c>
      <c r="AE37" s="108" t="s">
        <v>481</v>
      </c>
      <c r="AF37" s="112" t="s">
        <v>1511</v>
      </c>
      <c r="AG37" s="112" t="s">
        <v>2942</v>
      </c>
      <c r="AH37" s="307"/>
      <c r="AI37" s="307"/>
    </row>
    <row r="38">
      <c r="A38" s="109">
        <v>58.0</v>
      </c>
      <c r="B38" s="109" t="s">
        <v>2943</v>
      </c>
      <c r="C38" s="125" t="s">
        <v>2944</v>
      </c>
      <c r="D38" s="108" t="s">
        <v>531</v>
      </c>
      <c r="E38" s="111">
        <v>45901.0</v>
      </c>
      <c r="F38" s="108" t="s">
        <v>531</v>
      </c>
      <c r="G38" s="109" t="s">
        <v>518</v>
      </c>
      <c r="H38" s="109" t="s">
        <v>105</v>
      </c>
      <c r="I38" s="111">
        <v>45901.0</v>
      </c>
      <c r="J38" s="307"/>
      <c r="K38" s="109" t="s">
        <v>2914</v>
      </c>
      <c r="L38" s="111">
        <v>45901.0</v>
      </c>
      <c r="M38" s="109" t="s">
        <v>518</v>
      </c>
      <c r="N38" s="114">
        <v>45826.0</v>
      </c>
      <c r="O38" s="109" t="s">
        <v>144</v>
      </c>
      <c r="P38" s="108" t="s">
        <v>285</v>
      </c>
      <c r="Q38" s="109" t="s">
        <v>541</v>
      </c>
      <c r="R38" s="109" t="s">
        <v>2907</v>
      </c>
      <c r="S38" s="305">
        <v>39249.0</v>
      </c>
      <c r="T38" s="303">
        <v>32.0</v>
      </c>
      <c r="U38" s="108" t="s">
        <v>522</v>
      </c>
      <c r="V38" s="114" t="s">
        <v>67</v>
      </c>
      <c r="W38" s="307"/>
      <c r="X38" s="109" t="s">
        <v>130</v>
      </c>
      <c r="Y38" s="306"/>
      <c r="Z38" s="114">
        <v>8.5270828133E10</v>
      </c>
      <c r="AA38" s="114" t="s">
        <v>2945</v>
      </c>
      <c r="AB38" s="109" t="s">
        <v>2946</v>
      </c>
      <c r="AC38" s="114" t="s">
        <v>2947</v>
      </c>
      <c r="AD38" s="108" t="s">
        <v>96</v>
      </c>
      <c r="AE38" s="108" t="s">
        <v>481</v>
      </c>
      <c r="AF38" s="112" t="s">
        <v>75</v>
      </c>
      <c r="AG38" s="112" t="s">
        <v>76</v>
      </c>
      <c r="AH38" s="307"/>
      <c r="AI38" s="307"/>
    </row>
    <row r="39">
      <c r="A39" s="309" t="s">
        <v>3341</v>
      </c>
      <c r="B39" s="307"/>
      <c r="C39" s="125"/>
      <c r="D39" s="306"/>
      <c r="E39" s="306"/>
      <c r="F39" s="306"/>
      <c r="G39" s="307"/>
      <c r="H39" s="307"/>
      <c r="I39" s="306"/>
      <c r="J39" s="307"/>
      <c r="K39" s="307"/>
      <c r="L39" s="306"/>
      <c r="M39" s="307"/>
      <c r="N39" s="307"/>
      <c r="O39" s="307"/>
      <c r="P39" s="306"/>
      <c r="Q39" s="307"/>
      <c r="R39" s="307"/>
      <c r="S39" s="306"/>
      <c r="T39" s="303">
        <v>33.0</v>
      </c>
      <c r="U39" s="304"/>
      <c r="V39" s="312"/>
      <c r="W39" s="312"/>
      <c r="X39" s="312"/>
      <c r="Y39" s="304"/>
      <c r="Z39" s="312"/>
      <c r="AA39" s="312"/>
      <c r="AB39" s="312"/>
      <c r="AC39" s="312"/>
      <c r="AD39" s="304"/>
      <c r="AE39" s="304"/>
      <c r="AF39" s="304"/>
      <c r="AG39" s="304"/>
      <c r="AH39" s="312"/>
      <c r="AI39" s="312"/>
    </row>
    <row r="40">
      <c r="A40" s="109">
        <v>21.0</v>
      </c>
      <c r="B40" s="109" t="s">
        <v>3497</v>
      </c>
      <c r="C40" s="125" t="s">
        <v>3498</v>
      </c>
      <c r="D40" s="108" t="s">
        <v>550</v>
      </c>
      <c r="E40" s="111">
        <v>45901.0</v>
      </c>
      <c r="F40" s="306"/>
      <c r="G40" s="109" t="s">
        <v>518</v>
      </c>
      <c r="H40" s="109" t="s">
        <v>105</v>
      </c>
      <c r="I40" s="111">
        <v>45901.0</v>
      </c>
      <c r="J40" s="109" t="s">
        <v>142</v>
      </c>
      <c r="K40" s="109" t="s">
        <v>59</v>
      </c>
      <c r="L40" s="111">
        <v>45901.0</v>
      </c>
      <c r="M40" s="109" t="s">
        <v>518</v>
      </c>
      <c r="N40" s="114">
        <v>45826.0</v>
      </c>
      <c r="O40" s="109" t="s">
        <v>144</v>
      </c>
      <c r="P40" s="108" t="s">
        <v>89</v>
      </c>
      <c r="Q40" s="109" t="s">
        <v>3499</v>
      </c>
      <c r="R40" s="109" t="s">
        <v>244</v>
      </c>
      <c r="S40" s="305">
        <v>38124.0</v>
      </c>
      <c r="T40" s="303">
        <v>34.0</v>
      </c>
      <c r="U40" s="108" t="s">
        <v>522</v>
      </c>
      <c r="V40" s="109" t="s">
        <v>67</v>
      </c>
      <c r="W40" s="109" t="s">
        <v>92</v>
      </c>
      <c r="X40" s="109" t="s">
        <v>130</v>
      </c>
      <c r="Y40" s="306"/>
      <c r="Z40" s="109">
        <v>8.126029122E9</v>
      </c>
      <c r="AA40" s="307"/>
      <c r="AB40" s="109" t="s">
        <v>3500</v>
      </c>
      <c r="AC40" s="109" t="s">
        <v>3501</v>
      </c>
      <c r="AD40" s="306"/>
      <c r="AE40" s="306"/>
      <c r="AF40" s="306"/>
      <c r="AG40" s="306"/>
      <c r="AH40" s="307"/>
      <c r="AI40" s="307"/>
    </row>
    <row r="41">
      <c r="A41" s="109">
        <v>22.0</v>
      </c>
      <c r="B41" s="109" t="s">
        <v>3502</v>
      </c>
      <c r="C41" s="125" t="s">
        <v>3503</v>
      </c>
      <c r="D41" s="108" t="s">
        <v>531</v>
      </c>
      <c r="E41" s="111">
        <v>45901.0</v>
      </c>
      <c r="F41" s="306"/>
      <c r="G41" s="109" t="s">
        <v>518</v>
      </c>
      <c r="H41" s="109" t="s">
        <v>105</v>
      </c>
      <c r="I41" s="111">
        <v>45901.0</v>
      </c>
      <c r="J41" s="109" t="s">
        <v>532</v>
      </c>
      <c r="K41" s="109" t="s">
        <v>59</v>
      </c>
      <c r="L41" s="111">
        <v>45901.0</v>
      </c>
      <c r="M41" s="109" t="s">
        <v>518</v>
      </c>
      <c r="N41" s="114">
        <v>45826.0</v>
      </c>
      <c r="O41" s="109" t="s">
        <v>144</v>
      </c>
      <c r="P41" s="108" t="s">
        <v>285</v>
      </c>
      <c r="Q41" s="109" t="s">
        <v>285</v>
      </c>
      <c r="R41" s="109" t="s">
        <v>3504</v>
      </c>
      <c r="S41" s="302">
        <v>42857.0</v>
      </c>
      <c r="T41" s="303">
        <v>35.0</v>
      </c>
      <c r="U41" s="108" t="s">
        <v>522</v>
      </c>
      <c r="V41" s="109" t="s">
        <v>220</v>
      </c>
      <c r="W41" s="109" t="s">
        <v>129</v>
      </c>
      <c r="X41" s="109" t="s">
        <v>68</v>
      </c>
      <c r="Y41" s="306"/>
      <c r="Z41" s="109">
        <v>8.7830730492E10</v>
      </c>
      <c r="AA41" s="114" t="s">
        <v>3505</v>
      </c>
      <c r="AB41" s="109" t="s">
        <v>3506</v>
      </c>
      <c r="AC41" s="109" t="s">
        <v>3507</v>
      </c>
      <c r="AD41" s="108" t="s">
        <v>96</v>
      </c>
      <c r="AE41" s="108" t="s">
        <v>135</v>
      </c>
      <c r="AF41" s="112" t="s">
        <v>203</v>
      </c>
      <c r="AG41" s="112" t="s">
        <v>575</v>
      </c>
      <c r="AH41" s="307"/>
      <c r="AI41" s="307"/>
    </row>
    <row r="42">
      <c r="A42" s="109">
        <v>23.0</v>
      </c>
      <c r="B42" s="109" t="s">
        <v>3508</v>
      </c>
      <c r="C42" s="125" t="s">
        <v>3509</v>
      </c>
      <c r="D42" s="108" t="s">
        <v>531</v>
      </c>
      <c r="E42" s="111">
        <v>45901.0</v>
      </c>
      <c r="F42" s="306"/>
      <c r="G42" s="109" t="s">
        <v>518</v>
      </c>
      <c r="H42" s="109" t="s">
        <v>105</v>
      </c>
      <c r="I42" s="111">
        <v>45901.0</v>
      </c>
      <c r="J42" s="109" t="s">
        <v>532</v>
      </c>
      <c r="K42" s="109" t="s">
        <v>59</v>
      </c>
      <c r="L42" s="111">
        <v>45901.0</v>
      </c>
      <c r="M42" s="109" t="s">
        <v>518</v>
      </c>
      <c r="N42" s="114">
        <v>45826.0</v>
      </c>
      <c r="O42" s="109" t="s">
        <v>144</v>
      </c>
      <c r="P42" s="108" t="s">
        <v>285</v>
      </c>
      <c r="Q42" s="109" t="s">
        <v>541</v>
      </c>
      <c r="R42" s="109" t="s">
        <v>3510</v>
      </c>
      <c r="S42" s="305">
        <v>39613.0</v>
      </c>
      <c r="T42" s="303">
        <v>36.0</v>
      </c>
      <c r="U42" s="108" t="s">
        <v>522</v>
      </c>
      <c r="V42" s="109" t="s">
        <v>311</v>
      </c>
      <c r="W42" s="109" t="s">
        <v>129</v>
      </c>
      <c r="X42" s="109" t="s">
        <v>68</v>
      </c>
      <c r="Y42" s="306"/>
      <c r="Z42" s="109">
        <v>8.95331233776E11</v>
      </c>
      <c r="AA42" s="114" t="s">
        <v>3511</v>
      </c>
      <c r="AB42" s="109" t="s">
        <v>3512</v>
      </c>
      <c r="AC42" s="109" t="s">
        <v>3513</v>
      </c>
      <c r="AD42" s="108" t="s">
        <v>96</v>
      </c>
      <c r="AE42" s="108" t="s">
        <v>135</v>
      </c>
      <c r="AF42" s="112" t="s">
        <v>3514</v>
      </c>
      <c r="AG42" s="112" t="s">
        <v>3515</v>
      </c>
      <c r="AH42" s="307"/>
      <c r="AI42" s="307"/>
    </row>
    <row r="43">
      <c r="A43" s="309" t="s">
        <v>3538</v>
      </c>
      <c r="B43" s="307"/>
      <c r="C43" s="125"/>
      <c r="D43" s="306"/>
      <c r="E43" s="310"/>
      <c r="F43" s="306"/>
      <c r="G43" s="307"/>
      <c r="H43" s="307"/>
      <c r="I43" s="310"/>
      <c r="J43" s="307"/>
      <c r="K43" s="307"/>
      <c r="L43" s="310"/>
      <c r="M43" s="307"/>
      <c r="N43" s="312"/>
      <c r="O43" s="307"/>
      <c r="P43" s="306"/>
      <c r="Q43" s="307"/>
      <c r="R43" s="307"/>
      <c r="S43" s="313"/>
      <c r="T43" s="303">
        <v>37.0</v>
      </c>
      <c r="U43" s="304"/>
      <c r="V43" s="312"/>
      <c r="W43" s="312"/>
      <c r="X43" s="312"/>
      <c r="Y43" s="304"/>
      <c r="Z43" s="312"/>
      <c r="AA43" s="312"/>
      <c r="AB43" s="312"/>
      <c r="AC43" s="312"/>
      <c r="AD43" s="304"/>
      <c r="AE43" s="304"/>
      <c r="AF43" s="304"/>
      <c r="AG43" s="304"/>
      <c r="AH43" s="312"/>
      <c r="AI43" s="312"/>
    </row>
    <row r="44">
      <c r="A44" s="109">
        <v>9.0</v>
      </c>
      <c r="B44" s="109" t="s">
        <v>3600</v>
      </c>
      <c r="C44" s="125" t="s">
        <v>3601</v>
      </c>
      <c r="D44" s="108" t="s">
        <v>517</v>
      </c>
      <c r="E44" s="111">
        <v>45901.0</v>
      </c>
      <c r="F44" s="306"/>
      <c r="G44" s="109" t="s">
        <v>518</v>
      </c>
      <c r="H44" s="109" t="s">
        <v>105</v>
      </c>
      <c r="I44" s="111">
        <v>45901.0</v>
      </c>
      <c r="J44" s="109" t="s">
        <v>519</v>
      </c>
      <c r="K44" s="109" t="s">
        <v>3542</v>
      </c>
      <c r="L44" s="111">
        <v>45901.0</v>
      </c>
      <c r="M44" s="109" t="s">
        <v>518</v>
      </c>
      <c r="N44" s="114">
        <v>45826.0</v>
      </c>
      <c r="O44" s="109" t="s">
        <v>144</v>
      </c>
      <c r="P44" s="108" t="s">
        <v>267</v>
      </c>
      <c r="Q44" s="109" t="s">
        <v>3602</v>
      </c>
      <c r="R44" s="109" t="s">
        <v>3603</v>
      </c>
      <c r="S44" s="305">
        <v>42699.0</v>
      </c>
      <c r="T44" s="303">
        <v>38.0</v>
      </c>
      <c r="U44" s="108" t="s">
        <v>522</v>
      </c>
      <c r="V44" s="109" t="s">
        <v>67</v>
      </c>
      <c r="W44" s="109" t="s">
        <v>92</v>
      </c>
      <c r="X44" s="109" t="s">
        <v>68</v>
      </c>
      <c r="Y44" s="306"/>
      <c r="Z44" s="109">
        <v>8.2284249194E10</v>
      </c>
      <c r="AA44" s="114" t="s">
        <v>3604</v>
      </c>
      <c r="AB44" s="109" t="s">
        <v>3605</v>
      </c>
      <c r="AC44" s="109" t="s">
        <v>3606</v>
      </c>
      <c r="AD44" s="112" t="s">
        <v>73</v>
      </c>
      <c r="AE44" s="112" t="s">
        <v>166</v>
      </c>
      <c r="AF44" s="112" t="s">
        <v>3607</v>
      </c>
      <c r="AG44" s="112" t="s">
        <v>3608</v>
      </c>
      <c r="AH44" s="109">
        <v>0.0</v>
      </c>
      <c r="AI44" s="109">
        <v>0.0</v>
      </c>
    </row>
    <row r="45">
      <c r="A45" s="109">
        <v>10.0</v>
      </c>
      <c r="B45" s="109" t="s">
        <v>3609</v>
      </c>
      <c r="C45" s="125" t="s">
        <v>3610</v>
      </c>
      <c r="D45" s="108" t="s">
        <v>531</v>
      </c>
      <c r="E45" s="111">
        <v>45901.0</v>
      </c>
      <c r="F45" s="306"/>
      <c r="G45" s="109" t="s">
        <v>518</v>
      </c>
      <c r="H45" s="109" t="s">
        <v>105</v>
      </c>
      <c r="I45" s="111">
        <v>45901.0</v>
      </c>
      <c r="J45" s="109" t="s">
        <v>532</v>
      </c>
      <c r="K45" s="109" t="s">
        <v>3542</v>
      </c>
      <c r="L45" s="111">
        <v>45901.0</v>
      </c>
      <c r="M45" s="109" t="s">
        <v>518</v>
      </c>
      <c r="N45" s="114">
        <v>45826.0</v>
      </c>
      <c r="O45" s="109" t="s">
        <v>144</v>
      </c>
      <c r="P45" s="108" t="s">
        <v>285</v>
      </c>
      <c r="Q45" s="109" t="s">
        <v>608</v>
      </c>
      <c r="R45" s="109" t="s">
        <v>3611</v>
      </c>
      <c r="S45" s="305">
        <v>37422.0</v>
      </c>
      <c r="T45" s="303">
        <v>39.0</v>
      </c>
      <c r="U45" s="108" t="s">
        <v>522</v>
      </c>
      <c r="V45" s="109" t="s">
        <v>67</v>
      </c>
      <c r="W45" s="109" t="s">
        <v>92</v>
      </c>
      <c r="X45" s="109" t="s">
        <v>68</v>
      </c>
      <c r="Y45" s="306"/>
      <c r="Z45" s="109">
        <v>8.1265008804E10</v>
      </c>
      <c r="AA45" s="114" t="s">
        <v>3612</v>
      </c>
      <c r="AB45" s="109" t="s">
        <v>3613</v>
      </c>
      <c r="AC45" s="109" t="s">
        <v>3614</v>
      </c>
      <c r="AD45" s="112" t="s">
        <v>732</v>
      </c>
      <c r="AE45" s="112" t="s">
        <v>3615</v>
      </c>
      <c r="AF45" s="112" t="s">
        <v>3616</v>
      </c>
      <c r="AG45" s="112" t="s">
        <v>3617</v>
      </c>
      <c r="AH45" s="312"/>
      <c r="AI45" s="312"/>
    </row>
    <row r="46">
      <c r="A46" s="309" t="s">
        <v>3849</v>
      </c>
      <c r="B46" s="307"/>
      <c r="C46" s="315"/>
      <c r="D46" s="306"/>
      <c r="E46" s="306"/>
      <c r="F46" s="306"/>
      <c r="G46" s="307"/>
      <c r="H46" s="307"/>
      <c r="I46" s="306"/>
      <c r="J46" s="307"/>
      <c r="K46" s="307"/>
      <c r="L46" s="306"/>
      <c r="M46" s="307"/>
      <c r="N46" s="307"/>
      <c r="O46" s="307"/>
      <c r="P46" s="306"/>
      <c r="Q46" s="307"/>
      <c r="R46" s="307"/>
      <c r="S46" s="306"/>
      <c r="T46" s="303">
        <v>40.0</v>
      </c>
      <c r="U46" s="304"/>
      <c r="V46" s="312"/>
      <c r="W46" s="312"/>
      <c r="X46" s="312"/>
      <c r="Y46" s="304"/>
      <c r="Z46" s="312"/>
      <c r="AA46" s="312"/>
      <c r="AB46" s="312"/>
      <c r="AC46" s="312"/>
      <c r="AD46" s="304"/>
      <c r="AE46" s="304"/>
      <c r="AF46" s="304"/>
      <c r="AG46" s="304"/>
      <c r="AH46" s="312"/>
      <c r="AI46" s="312"/>
    </row>
    <row r="47">
      <c r="A47" s="109">
        <v>10.0</v>
      </c>
      <c r="B47" s="109" t="s">
        <v>3923</v>
      </c>
      <c r="C47" s="125" t="s">
        <v>3924</v>
      </c>
      <c r="D47" s="108" t="s">
        <v>531</v>
      </c>
      <c r="E47" s="111">
        <v>45901.0</v>
      </c>
      <c r="F47" s="306"/>
      <c r="G47" s="109" t="s">
        <v>518</v>
      </c>
      <c r="H47" s="109" t="s">
        <v>105</v>
      </c>
      <c r="I47" s="111">
        <v>45901.0</v>
      </c>
      <c r="J47" s="109" t="s">
        <v>532</v>
      </c>
      <c r="K47" s="109" t="s">
        <v>3853</v>
      </c>
      <c r="L47" s="111">
        <v>45901.0</v>
      </c>
      <c r="M47" s="109" t="s">
        <v>518</v>
      </c>
      <c r="N47" s="114">
        <v>45826.0</v>
      </c>
      <c r="O47" s="109" t="s">
        <v>144</v>
      </c>
      <c r="P47" s="108" t="s">
        <v>285</v>
      </c>
      <c r="Q47" s="109" t="s">
        <v>3925</v>
      </c>
      <c r="R47" s="109" t="s">
        <v>3926</v>
      </c>
      <c r="S47" s="302">
        <v>35584.0</v>
      </c>
      <c r="T47" s="303">
        <v>41.0</v>
      </c>
      <c r="U47" s="108" t="s">
        <v>522</v>
      </c>
      <c r="V47" s="109" t="s">
        <v>67</v>
      </c>
      <c r="W47" s="109" t="s">
        <v>92</v>
      </c>
      <c r="X47" s="109" t="s">
        <v>68</v>
      </c>
      <c r="Y47" s="306"/>
      <c r="Z47" s="109">
        <v>8.21626371E10</v>
      </c>
      <c r="AA47" s="114" t="s">
        <v>3927</v>
      </c>
      <c r="AB47" s="109" t="s">
        <v>3928</v>
      </c>
      <c r="AC47" s="109" t="s">
        <v>3929</v>
      </c>
      <c r="AD47" s="108" t="s">
        <v>96</v>
      </c>
      <c r="AE47" s="108" t="s">
        <v>414</v>
      </c>
      <c r="AF47" s="112" t="s">
        <v>213</v>
      </c>
      <c r="AG47" s="112" t="s">
        <v>1366</v>
      </c>
      <c r="AH47" s="307"/>
      <c r="AI47" s="307"/>
    </row>
    <row r="48">
      <c r="A48" s="109">
        <v>11.0</v>
      </c>
      <c r="B48" s="109" t="s">
        <v>3930</v>
      </c>
      <c r="C48" s="125" t="s">
        <v>3931</v>
      </c>
      <c r="D48" s="108" t="s">
        <v>550</v>
      </c>
      <c r="E48" s="310"/>
      <c r="F48" s="306"/>
      <c r="G48" s="307"/>
      <c r="H48" s="307"/>
      <c r="I48" s="310"/>
      <c r="J48" s="109" t="s">
        <v>519</v>
      </c>
      <c r="K48" s="316" t="s">
        <v>3853</v>
      </c>
      <c r="L48" s="310"/>
      <c r="M48" s="307"/>
      <c r="N48" s="312"/>
      <c r="O48" s="307"/>
      <c r="P48" s="108" t="s">
        <v>267</v>
      </c>
      <c r="Q48" s="316" t="s">
        <v>2636</v>
      </c>
      <c r="R48" s="316" t="s">
        <v>3932</v>
      </c>
      <c r="S48" s="317">
        <v>36868.0</v>
      </c>
      <c r="T48" s="303">
        <v>42.0</v>
      </c>
      <c r="U48" s="108" t="s">
        <v>522</v>
      </c>
      <c r="V48" s="316" t="s">
        <v>220</v>
      </c>
      <c r="W48" s="316" t="s">
        <v>129</v>
      </c>
      <c r="X48" s="316" t="s">
        <v>130</v>
      </c>
      <c r="Y48" s="318" t="s">
        <v>246</v>
      </c>
      <c r="Z48" s="319">
        <v>8.2360387533E10</v>
      </c>
      <c r="AA48" s="316" t="s">
        <v>3933</v>
      </c>
      <c r="AB48" s="109" t="s">
        <v>3934</v>
      </c>
      <c r="AC48" s="316" t="s">
        <v>3935</v>
      </c>
      <c r="AD48" s="318" t="s">
        <v>73</v>
      </c>
      <c r="AE48" s="318" t="s">
        <v>74</v>
      </c>
      <c r="AF48" s="318" t="s">
        <v>1446</v>
      </c>
      <c r="AG48" s="318" t="s">
        <v>3555</v>
      </c>
      <c r="AH48" s="307"/>
      <c r="AI48" s="307"/>
    </row>
    <row r="49">
      <c r="A49" s="309" t="s">
        <v>4204</v>
      </c>
      <c r="B49" s="307"/>
      <c r="C49" s="315"/>
      <c r="D49" s="306"/>
      <c r="E49" s="306"/>
      <c r="F49" s="306"/>
      <c r="G49" s="307"/>
      <c r="H49" s="307"/>
      <c r="I49" s="306"/>
      <c r="J49" s="307"/>
      <c r="K49" s="307"/>
      <c r="L49" s="306"/>
      <c r="M49" s="307"/>
      <c r="N49" s="307"/>
      <c r="O49" s="307"/>
      <c r="P49" s="306"/>
      <c r="Q49" s="307"/>
      <c r="R49" s="307"/>
      <c r="S49" s="306"/>
      <c r="T49" s="303">
        <v>43.0</v>
      </c>
      <c r="U49" s="304"/>
      <c r="V49" s="312"/>
      <c r="W49" s="312"/>
      <c r="X49" s="312"/>
      <c r="Y49" s="304"/>
      <c r="Z49" s="312"/>
      <c r="AA49" s="312"/>
      <c r="AB49" s="312"/>
      <c r="AC49" s="312"/>
      <c r="AD49" s="304"/>
      <c r="AE49" s="304"/>
      <c r="AF49" s="304"/>
      <c r="AG49" s="304"/>
      <c r="AH49" s="312"/>
      <c r="AI49" s="312"/>
    </row>
    <row r="50">
      <c r="A50" s="109">
        <v>9.0</v>
      </c>
      <c r="B50" s="109" t="s">
        <v>4271</v>
      </c>
      <c r="C50" s="125" t="s">
        <v>4272</v>
      </c>
      <c r="D50" s="108" t="s">
        <v>550</v>
      </c>
      <c r="E50" s="306"/>
      <c r="F50" s="306"/>
      <c r="G50" s="307"/>
      <c r="H50" s="307"/>
      <c r="I50" s="306"/>
      <c r="J50" s="316" t="s">
        <v>519</v>
      </c>
      <c r="K50" s="316" t="s">
        <v>4208</v>
      </c>
      <c r="L50" s="306"/>
      <c r="M50" s="307"/>
      <c r="N50" s="307"/>
      <c r="O50" s="307"/>
      <c r="P50" s="108" t="s">
        <v>267</v>
      </c>
      <c r="Q50" s="316" t="s">
        <v>4273</v>
      </c>
      <c r="R50" s="316" t="s">
        <v>244</v>
      </c>
      <c r="S50" s="317">
        <v>44322.0</v>
      </c>
      <c r="T50" s="303">
        <v>44.0</v>
      </c>
      <c r="U50" s="108" t="s">
        <v>522</v>
      </c>
      <c r="V50" s="316" t="s">
        <v>67</v>
      </c>
      <c r="W50" s="316" t="s">
        <v>129</v>
      </c>
      <c r="X50" s="316" t="s">
        <v>68</v>
      </c>
      <c r="Y50" s="108" t="s">
        <v>69</v>
      </c>
      <c r="Z50" s="319">
        <v>8.2138046564E10</v>
      </c>
      <c r="AA50" s="316" t="s">
        <v>4274</v>
      </c>
      <c r="AB50" s="109" t="s">
        <v>4275</v>
      </c>
      <c r="AC50" s="316" t="s">
        <v>4276</v>
      </c>
      <c r="AD50" s="318" t="s">
        <v>732</v>
      </c>
      <c r="AE50" s="318" t="s">
        <v>97</v>
      </c>
      <c r="AF50" s="318" t="s">
        <v>4105</v>
      </c>
      <c r="AG50" s="318" t="s">
        <v>99</v>
      </c>
      <c r="AH50" s="307"/>
      <c r="AI50" s="307"/>
    </row>
    <row r="51">
      <c r="A51" s="109">
        <v>10.0</v>
      </c>
      <c r="B51" s="109" t="s">
        <v>4277</v>
      </c>
      <c r="C51" s="125" t="s">
        <v>4278</v>
      </c>
      <c r="D51" s="108" t="s">
        <v>531</v>
      </c>
      <c r="E51" s="111">
        <v>45901.0</v>
      </c>
      <c r="F51" s="306"/>
      <c r="G51" s="109" t="s">
        <v>518</v>
      </c>
      <c r="H51" s="109" t="s">
        <v>105</v>
      </c>
      <c r="I51" s="111">
        <v>45901.0</v>
      </c>
      <c r="J51" s="109" t="s">
        <v>532</v>
      </c>
      <c r="K51" s="109" t="s">
        <v>4208</v>
      </c>
      <c r="L51" s="111">
        <v>45901.0</v>
      </c>
      <c r="M51" s="109" t="s">
        <v>518</v>
      </c>
      <c r="N51" s="114">
        <v>45826.0</v>
      </c>
      <c r="O51" s="109" t="s">
        <v>144</v>
      </c>
      <c r="P51" s="108" t="s">
        <v>285</v>
      </c>
      <c r="Q51" s="109" t="s">
        <v>4279</v>
      </c>
      <c r="R51" s="109" t="s">
        <v>4280</v>
      </c>
      <c r="S51" s="305">
        <v>41418.0</v>
      </c>
      <c r="T51" s="303">
        <v>45.0</v>
      </c>
      <c r="U51" s="108" t="s">
        <v>522</v>
      </c>
      <c r="V51" s="109" t="s">
        <v>67</v>
      </c>
      <c r="W51" s="109" t="s">
        <v>92</v>
      </c>
      <c r="X51" s="109" t="s">
        <v>68</v>
      </c>
      <c r="Y51" s="306"/>
      <c r="Z51" s="109">
        <v>8.22324217E10</v>
      </c>
      <c r="AA51" s="114" t="s">
        <v>4281</v>
      </c>
      <c r="AB51" s="109" t="s">
        <v>4282</v>
      </c>
      <c r="AC51" s="109" t="s">
        <v>4283</v>
      </c>
      <c r="AD51" s="112" t="s">
        <v>96</v>
      </c>
      <c r="AE51" s="112" t="s">
        <v>1792</v>
      </c>
      <c r="AF51" s="112" t="s">
        <v>4284</v>
      </c>
      <c r="AG51" s="112" t="s">
        <v>4285</v>
      </c>
      <c r="AH51" s="312"/>
      <c r="AI51" s="307"/>
    </row>
    <row r="52">
      <c r="A52" s="309" t="s">
        <v>4532</v>
      </c>
      <c r="B52" s="307"/>
      <c r="C52" s="315"/>
      <c r="D52" s="306"/>
      <c r="E52" s="306"/>
      <c r="F52" s="306"/>
      <c r="G52" s="307"/>
      <c r="H52" s="307"/>
      <c r="I52" s="306"/>
      <c r="J52" s="307"/>
      <c r="K52" s="307"/>
      <c r="L52" s="306"/>
      <c r="M52" s="307"/>
      <c r="N52" s="307"/>
      <c r="O52" s="307"/>
      <c r="P52" s="306"/>
      <c r="Q52" s="307"/>
      <c r="R52" s="307"/>
      <c r="S52" s="306"/>
      <c r="T52" s="303">
        <v>46.0</v>
      </c>
      <c r="U52" s="304"/>
      <c r="V52" s="312"/>
      <c r="W52" s="312"/>
      <c r="X52" s="312"/>
      <c r="Y52" s="304"/>
      <c r="Z52" s="312"/>
      <c r="AA52" s="312"/>
      <c r="AB52" s="312"/>
      <c r="AC52" s="312"/>
      <c r="AD52" s="304"/>
      <c r="AE52" s="304"/>
      <c r="AF52" s="304"/>
      <c r="AG52" s="304"/>
      <c r="AH52" s="312"/>
      <c r="AI52" s="312"/>
    </row>
    <row r="53">
      <c r="A53" s="109">
        <v>8.0</v>
      </c>
      <c r="B53" s="109" t="s">
        <v>4585</v>
      </c>
      <c r="C53" s="125" t="s">
        <v>4586</v>
      </c>
      <c r="D53" s="108" t="s">
        <v>550</v>
      </c>
      <c r="E53" s="306"/>
      <c r="F53" s="306"/>
      <c r="G53" s="307"/>
      <c r="H53" s="307"/>
      <c r="I53" s="306"/>
      <c r="J53" s="316" t="s">
        <v>519</v>
      </c>
      <c r="K53" s="316" t="s">
        <v>4536</v>
      </c>
      <c r="L53" s="306"/>
      <c r="M53" s="307"/>
      <c r="N53" s="307"/>
      <c r="O53" s="307"/>
      <c r="P53" s="318" t="s">
        <v>267</v>
      </c>
      <c r="Q53" s="316" t="s">
        <v>591</v>
      </c>
      <c r="R53" s="316" t="s">
        <v>268</v>
      </c>
      <c r="S53" s="320">
        <v>44104.0</v>
      </c>
      <c r="T53" s="303">
        <v>47.0</v>
      </c>
      <c r="U53" s="108" t="s">
        <v>522</v>
      </c>
      <c r="V53" s="316" t="s">
        <v>67</v>
      </c>
      <c r="W53" s="316" t="s">
        <v>92</v>
      </c>
      <c r="X53" s="316" t="s">
        <v>130</v>
      </c>
      <c r="Y53" s="318" t="s">
        <v>131</v>
      </c>
      <c r="Z53" s="319">
        <v>8.1368515165E10</v>
      </c>
      <c r="AA53" s="316" t="s">
        <v>4587</v>
      </c>
      <c r="AB53" s="109" t="s">
        <v>4588</v>
      </c>
      <c r="AC53" s="316" t="s">
        <v>4589</v>
      </c>
      <c r="AD53" s="318" t="s">
        <v>96</v>
      </c>
      <c r="AE53" s="318" t="s">
        <v>97</v>
      </c>
      <c r="AF53" s="318" t="s">
        <v>98</v>
      </c>
      <c r="AG53" s="318" t="s">
        <v>1376</v>
      </c>
      <c r="AH53" s="307"/>
      <c r="AI53" s="307"/>
    </row>
    <row r="54">
      <c r="A54" s="321">
        <v>9.0</v>
      </c>
      <c r="B54" s="109" t="s">
        <v>4590</v>
      </c>
      <c r="C54" s="125" t="s">
        <v>4591</v>
      </c>
      <c r="D54" s="108" t="s">
        <v>531</v>
      </c>
      <c r="E54" s="111">
        <v>45901.0</v>
      </c>
      <c r="F54" s="306"/>
      <c r="G54" s="109" t="s">
        <v>518</v>
      </c>
      <c r="H54" s="109" t="s">
        <v>105</v>
      </c>
      <c r="I54" s="306"/>
      <c r="J54" s="109" t="s">
        <v>532</v>
      </c>
      <c r="K54" s="109" t="s">
        <v>4536</v>
      </c>
      <c r="L54" s="111">
        <v>45901.0</v>
      </c>
      <c r="M54" s="109" t="s">
        <v>518</v>
      </c>
      <c r="N54" s="114">
        <v>45826.0</v>
      </c>
      <c r="O54" s="109" t="s">
        <v>144</v>
      </c>
      <c r="P54" s="108" t="s">
        <v>285</v>
      </c>
      <c r="Q54" s="109" t="s">
        <v>541</v>
      </c>
      <c r="R54" s="109" t="s">
        <v>4592</v>
      </c>
      <c r="S54" s="305">
        <v>39613.0</v>
      </c>
      <c r="T54" s="303">
        <v>48.0</v>
      </c>
      <c r="U54" s="108" t="s">
        <v>522</v>
      </c>
      <c r="V54" s="109" t="s">
        <v>67</v>
      </c>
      <c r="W54" s="109" t="s">
        <v>92</v>
      </c>
      <c r="X54" s="109" t="s">
        <v>130</v>
      </c>
      <c r="Y54" s="306"/>
      <c r="Z54" s="109">
        <v>8.11950385E8</v>
      </c>
      <c r="AA54" s="114" t="s">
        <v>4593</v>
      </c>
      <c r="AB54" s="109" t="s">
        <v>4594</v>
      </c>
      <c r="AC54" s="109" t="s">
        <v>4301</v>
      </c>
      <c r="AD54" s="112" t="s">
        <v>96</v>
      </c>
      <c r="AE54" s="112" t="s">
        <v>97</v>
      </c>
      <c r="AF54" s="112" t="s">
        <v>236</v>
      </c>
      <c r="AG54" s="112" t="s">
        <v>1898</v>
      </c>
      <c r="AH54" s="307"/>
      <c r="AI54" s="307"/>
    </row>
    <row r="55">
      <c r="A55" s="309" t="s">
        <v>4878</v>
      </c>
      <c r="B55" s="307"/>
      <c r="C55" s="315"/>
      <c r="D55" s="306"/>
      <c r="E55" s="306"/>
      <c r="F55" s="306"/>
      <c r="G55" s="307"/>
      <c r="H55" s="307"/>
      <c r="I55" s="306"/>
      <c r="J55" s="307"/>
      <c r="K55" s="307"/>
      <c r="L55" s="306"/>
      <c r="M55" s="307"/>
      <c r="N55" s="307"/>
      <c r="O55" s="307"/>
      <c r="P55" s="306"/>
      <c r="Q55" s="307"/>
      <c r="R55" s="307"/>
      <c r="S55" s="306"/>
      <c r="T55" s="303">
        <v>49.0</v>
      </c>
      <c r="U55" s="304"/>
      <c r="V55" s="312"/>
      <c r="W55" s="312"/>
      <c r="X55" s="312"/>
      <c r="Y55" s="304"/>
      <c r="Z55" s="312"/>
      <c r="AA55" s="312"/>
      <c r="AB55" s="312"/>
      <c r="AC55" s="312"/>
      <c r="AD55" s="304"/>
      <c r="AE55" s="304"/>
      <c r="AF55" s="304"/>
      <c r="AG55" s="304"/>
      <c r="AH55" s="312"/>
      <c r="AI55" s="312"/>
    </row>
    <row r="56">
      <c r="A56" s="109">
        <v>7.0</v>
      </c>
      <c r="B56" s="109" t="s">
        <v>4922</v>
      </c>
      <c r="C56" s="125" t="s">
        <v>4923</v>
      </c>
      <c r="D56" s="108" t="s">
        <v>531</v>
      </c>
      <c r="E56" s="111">
        <v>45901.0</v>
      </c>
      <c r="F56" s="306"/>
      <c r="G56" s="109" t="s">
        <v>518</v>
      </c>
      <c r="H56" s="109" t="s">
        <v>105</v>
      </c>
      <c r="I56" s="111">
        <v>45901.0</v>
      </c>
      <c r="J56" s="109" t="s">
        <v>532</v>
      </c>
      <c r="K56" s="109" t="s">
        <v>4882</v>
      </c>
      <c r="L56" s="111">
        <v>45901.0</v>
      </c>
      <c r="M56" s="109" t="s">
        <v>518</v>
      </c>
      <c r="N56" s="114">
        <v>45826.0</v>
      </c>
      <c r="O56" s="109" t="s">
        <v>144</v>
      </c>
      <c r="P56" s="108" t="s">
        <v>285</v>
      </c>
      <c r="Q56" s="109" t="s">
        <v>541</v>
      </c>
      <c r="R56" s="109" t="s">
        <v>4924</v>
      </c>
      <c r="S56" s="305">
        <v>41418.0</v>
      </c>
      <c r="T56" s="303">
        <v>50.0</v>
      </c>
      <c r="U56" s="108" t="s">
        <v>522</v>
      </c>
      <c r="V56" s="109" t="s">
        <v>67</v>
      </c>
      <c r="W56" s="109" t="s">
        <v>92</v>
      </c>
      <c r="X56" s="109" t="s">
        <v>68</v>
      </c>
      <c r="Y56" s="306"/>
      <c r="Z56" s="109">
        <v>8.1350406066E10</v>
      </c>
      <c r="AA56" s="114" t="s">
        <v>4925</v>
      </c>
      <c r="AB56" s="109" t="s">
        <v>4926</v>
      </c>
      <c r="AC56" s="109" t="s">
        <v>4927</v>
      </c>
      <c r="AD56" s="112" t="s">
        <v>2265</v>
      </c>
      <c r="AE56" s="112" t="s">
        <v>97</v>
      </c>
      <c r="AF56" s="112" t="s">
        <v>4928</v>
      </c>
      <c r="AG56" s="112" t="s">
        <v>4929</v>
      </c>
      <c r="AH56" s="307"/>
      <c r="AI56" s="307"/>
    </row>
    <row r="57">
      <c r="A57" s="109">
        <v>8.0</v>
      </c>
      <c r="B57" s="109" t="s">
        <v>4930</v>
      </c>
      <c r="C57" s="125" t="s">
        <v>4931</v>
      </c>
      <c r="D57" s="108" t="s">
        <v>517</v>
      </c>
      <c r="E57" s="111">
        <v>45901.0</v>
      </c>
      <c r="F57" s="306"/>
      <c r="G57" s="109" t="s">
        <v>518</v>
      </c>
      <c r="H57" s="109" t="s">
        <v>105</v>
      </c>
      <c r="I57" s="111">
        <v>45901.0</v>
      </c>
      <c r="J57" s="109" t="s">
        <v>519</v>
      </c>
      <c r="K57" s="109" t="s">
        <v>4882</v>
      </c>
      <c r="L57" s="111">
        <v>45901.0</v>
      </c>
      <c r="M57" s="109" t="s">
        <v>518</v>
      </c>
      <c r="N57" s="114">
        <v>45826.0</v>
      </c>
      <c r="O57" s="109" t="s">
        <v>144</v>
      </c>
      <c r="P57" s="108" t="s">
        <v>267</v>
      </c>
      <c r="Q57" s="109" t="s">
        <v>4932</v>
      </c>
      <c r="R57" s="109" t="s">
        <v>244</v>
      </c>
      <c r="S57" s="302">
        <v>35646.0</v>
      </c>
      <c r="T57" s="303">
        <v>51.0</v>
      </c>
      <c r="U57" s="108" t="s">
        <v>522</v>
      </c>
      <c r="V57" s="109" t="s">
        <v>67</v>
      </c>
      <c r="W57" s="109" t="s">
        <v>92</v>
      </c>
      <c r="X57" s="109" t="s">
        <v>130</v>
      </c>
      <c r="Y57" s="306"/>
      <c r="Z57" s="109">
        <v>8.5767801942E10</v>
      </c>
      <c r="AA57" s="114" t="s">
        <v>4933</v>
      </c>
      <c r="AB57" s="109" t="s">
        <v>4934</v>
      </c>
      <c r="AC57" s="109" t="s">
        <v>4935</v>
      </c>
      <c r="AD57" s="112" t="s">
        <v>2265</v>
      </c>
      <c r="AE57" s="112" t="s">
        <v>97</v>
      </c>
      <c r="AF57" s="112" t="s">
        <v>1576</v>
      </c>
      <c r="AG57" s="112" t="s">
        <v>4936</v>
      </c>
      <c r="AH57" s="307"/>
      <c r="AI57" s="307"/>
    </row>
    <row r="58">
      <c r="A58" s="314"/>
      <c r="B58" s="314"/>
      <c r="C58" s="322"/>
      <c r="D58" s="323"/>
      <c r="E58" s="323"/>
      <c r="F58" s="323"/>
      <c r="G58" s="314"/>
      <c r="H58" s="314"/>
      <c r="I58" s="323"/>
      <c r="J58" s="314"/>
      <c r="K58" s="314"/>
      <c r="L58" s="323"/>
      <c r="M58" s="314"/>
      <c r="N58" s="314"/>
      <c r="O58" s="314"/>
      <c r="P58" s="323"/>
      <c r="Q58" s="314"/>
      <c r="R58" s="314"/>
      <c r="S58" s="323"/>
      <c r="T58" s="303">
        <v>52.0</v>
      </c>
      <c r="U58" s="323"/>
      <c r="V58" s="314"/>
      <c r="W58" s="314"/>
      <c r="X58" s="314"/>
      <c r="Y58" s="323"/>
      <c r="Z58" s="314"/>
      <c r="AA58" s="314"/>
      <c r="AB58" s="314"/>
      <c r="AC58" s="314"/>
      <c r="AD58" s="323"/>
      <c r="AE58" s="323"/>
      <c r="AF58" s="323"/>
      <c r="AG58" s="323"/>
      <c r="AH58" s="314"/>
      <c r="AI58" s="314"/>
    </row>
    <row r="59">
      <c r="A59" s="309" t="s">
        <v>5215</v>
      </c>
      <c r="B59" s="307"/>
      <c r="C59" s="315"/>
      <c r="D59" s="306"/>
      <c r="E59" s="306"/>
      <c r="F59" s="306"/>
      <c r="G59" s="307"/>
      <c r="H59" s="307"/>
      <c r="I59" s="306"/>
      <c r="J59" s="307"/>
      <c r="K59" s="307"/>
      <c r="L59" s="306"/>
      <c r="M59" s="307"/>
      <c r="N59" s="307"/>
      <c r="O59" s="307"/>
      <c r="P59" s="306"/>
      <c r="Q59" s="307"/>
      <c r="R59" s="307"/>
      <c r="S59" s="306"/>
      <c r="T59" s="303">
        <v>53.0</v>
      </c>
      <c r="U59" s="304"/>
      <c r="V59" s="312"/>
      <c r="W59" s="312"/>
      <c r="X59" s="312"/>
      <c r="Y59" s="304"/>
      <c r="Z59" s="312"/>
      <c r="AA59" s="312"/>
      <c r="AB59" s="312"/>
      <c r="AC59" s="312"/>
      <c r="AD59" s="304"/>
      <c r="AE59" s="304"/>
      <c r="AF59" s="304"/>
      <c r="AG59" s="304"/>
      <c r="AH59" s="312"/>
      <c r="AI59" s="312"/>
    </row>
    <row r="60">
      <c r="A60" s="109">
        <v>12.0</v>
      </c>
      <c r="B60" s="109" t="s">
        <v>5298</v>
      </c>
      <c r="C60" s="125" t="s">
        <v>5299</v>
      </c>
      <c r="D60" s="108" t="s">
        <v>517</v>
      </c>
      <c r="E60" s="111">
        <v>45901.0</v>
      </c>
      <c r="F60" s="306"/>
      <c r="G60" s="109" t="s">
        <v>518</v>
      </c>
      <c r="H60" s="109" t="s">
        <v>105</v>
      </c>
      <c r="I60" s="111">
        <v>45901.0</v>
      </c>
      <c r="J60" s="109" t="s">
        <v>519</v>
      </c>
      <c r="K60" s="109" t="s">
        <v>5219</v>
      </c>
      <c r="L60" s="111">
        <v>45901.0</v>
      </c>
      <c r="M60" s="109" t="s">
        <v>518</v>
      </c>
      <c r="N60" s="114">
        <v>45826.0</v>
      </c>
      <c r="O60" s="109" t="s">
        <v>144</v>
      </c>
      <c r="P60" s="108" t="s">
        <v>267</v>
      </c>
      <c r="Q60" s="109" t="s">
        <v>569</v>
      </c>
      <c r="R60" s="109" t="s">
        <v>5300</v>
      </c>
      <c r="S60" s="302">
        <v>37926.0</v>
      </c>
      <c r="T60" s="303">
        <v>54.0</v>
      </c>
      <c r="U60" s="108" t="s">
        <v>522</v>
      </c>
      <c r="V60" s="109" t="s">
        <v>67</v>
      </c>
      <c r="W60" s="109" t="s">
        <v>92</v>
      </c>
      <c r="X60" s="109" t="s">
        <v>68</v>
      </c>
      <c r="Y60" s="306"/>
      <c r="Z60" s="109">
        <v>8.5360022614E10</v>
      </c>
      <c r="AA60" s="114" t="s">
        <v>5301</v>
      </c>
      <c r="AB60" s="109" t="s">
        <v>5302</v>
      </c>
      <c r="AC60" s="109" t="s">
        <v>5303</v>
      </c>
      <c r="AD60" s="112" t="s">
        <v>96</v>
      </c>
      <c r="AE60" s="112" t="s">
        <v>97</v>
      </c>
      <c r="AF60" s="112" t="s">
        <v>1022</v>
      </c>
      <c r="AG60" s="112" t="s">
        <v>5304</v>
      </c>
      <c r="AH60" s="312"/>
      <c r="AI60" s="312"/>
    </row>
    <row r="61">
      <c r="A61" s="109">
        <v>13.0</v>
      </c>
      <c r="B61" s="109" t="s">
        <v>5305</v>
      </c>
      <c r="C61" s="125" t="s">
        <v>5306</v>
      </c>
      <c r="D61" s="108" t="s">
        <v>531</v>
      </c>
      <c r="E61" s="111">
        <v>45901.0</v>
      </c>
      <c r="F61" s="306"/>
      <c r="G61" s="109" t="s">
        <v>518</v>
      </c>
      <c r="H61" s="109" t="s">
        <v>105</v>
      </c>
      <c r="I61" s="111">
        <v>45901.0</v>
      </c>
      <c r="J61" s="109" t="s">
        <v>532</v>
      </c>
      <c r="K61" s="109" t="s">
        <v>5219</v>
      </c>
      <c r="L61" s="111">
        <v>45901.0</v>
      </c>
      <c r="M61" s="109" t="s">
        <v>518</v>
      </c>
      <c r="N61" s="114">
        <v>45826.0</v>
      </c>
      <c r="O61" s="109" t="s">
        <v>144</v>
      </c>
      <c r="P61" s="108" t="s">
        <v>285</v>
      </c>
      <c r="Q61" s="109" t="s">
        <v>5307</v>
      </c>
      <c r="R61" s="109" t="s">
        <v>5308</v>
      </c>
      <c r="S61" s="305">
        <v>39307.0</v>
      </c>
      <c r="T61" s="303">
        <v>55.0</v>
      </c>
      <c r="U61" s="108" t="s">
        <v>522</v>
      </c>
      <c r="V61" s="109" t="s">
        <v>67</v>
      </c>
      <c r="W61" s="109" t="s">
        <v>421</v>
      </c>
      <c r="X61" s="109" t="s">
        <v>130</v>
      </c>
      <c r="Y61" s="306"/>
      <c r="Z61" s="109">
        <v>8.1375135503E10</v>
      </c>
      <c r="AA61" s="114" t="s">
        <v>5309</v>
      </c>
      <c r="AB61" s="109" t="s">
        <v>5310</v>
      </c>
      <c r="AC61" s="109" t="s">
        <v>5311</v>
      </c>
      <c r="AD61" s="112" t="s">
        <v>73</v>
      </c>
      <c r="AE61" s="112" t="s">
        <v>166</v>
      </c>
      <c r="AF61" s="112" t="s">
        <v>167</v>
      </c>
      <c r="AG61" s="112" t="s">
        <v>204</v>
      </c>
      <c r="AH61" s="312"/>
      <c r="AI61" s="312"/>
    </row>
    <row r="62">
      <c r="A62" s="314"/>
      <c r="B62" s="314"/>
      <c r="C62" s="322"/>
      <c r="D62" s="323"/>
      <c r="E62" s="323"/>
      <c r="F62" s="323"/>
      <c r="G62" s="314"/>
      <c r="H62" s="314"/>
      <c r="I62" s="323"/>
      <c r="J62" s="314"/>
      <c r="K62" s="314"/>
      <c r="L62" s="323"/>
      <c r="M62" s="314"/>
      <c r="N62" s="314"/>
      <c r="O62" s="314"/>
      <c r="P62" s="323"/>
      <c r="Q62" s="314"/>
      <c r="R62" s="314"/>
      <c r="S62" s="323"/>
      <c r="T62" s="303">
        <v>56.0</v>
      </c>
      <c r="U62" s="323"/>
      <c r="V62" s="314"/>
      <c r="W62" s="314"/>
      <c r="X62" s="314"/>
      <c r="Y62" s="323"/>
      <c r="Z62" s="314"/>
      <c r="AA62" s="314"/>
      <c r="AB62" s="314"/>
      <c r="AC62" s="314"/>
      <c r="AD62" s="323"/>
      <c r="AE62" s="323"/>
      <c r="AF62" s="323"/>
      <c r="AG62" s="323"/>
      <c r="AH62" s="314"/>
      <c r="AI62" s="314"/>
    </row>
    <row r="63">
      <c r="A63" s="309" t="s">
        <v>5583</v>
      </c>
      <c r="B63" s="307"/>
      <c r="C63" s="315"/>
      <c r="D63" s="306"/>
      <c r="E63" s="306"/>
      <c r="F63" s="306"/>
      <c r="G63" s="307"/>
      <c r="H63" s="307"/>
      <c r="I63" s="306"/>
      <c r="J63" s="307"/>
      <c r="K63" s="307"/>
      <c r="L63" s="306"/>
      <c r="M63" s="307"/>
      <c r="N63" s="307"/>
      <c r="O63" s="307"/>
      <c r="P63" s="306"/>
      <c r="Q63" s="307"/>
      <c r="R63" s="307"/>
      <c r="S63" s="306"/>
      <c r="T63" s="303">
        <v>57.0</v>
      </c>
      <c r="U63" s="304"/>
      <c r="V63" s="312"/>
      <c r="W63" s="312"/>
      <c r="X63" s="312"/>
      <c r="Y63" s="304"/>
      <c r="Z63" s="312"/>
      <c r="AA63" s="312"/>
      <c r="AB63" s="312"/>
      <c r="AC63" s="312"/>
      <c r="AD63" s="304"/>
      <c r="AE63" s="304"/>
      <c r="AF63" s="304"/>
      <c r="AG63" s="304"/>
      <c r="AH63" s="312"/>
      <c r="AI63" s="312"/>
    </row>
    <row r="64">
      <c r="A64" s="109">
        <v>8.0</v>
      </c>
      <c r="B64" s="109" t="s">
        <v>5633</v>
      </c>
      <c r="C64" s="125" t="s">
        <v>5634</v>
      </c>
      <c r="D64" s="108" t="s">
        <v>517</v>
      </c>
      <c r="E64" s="111">
        <v>45901.0</v>
      </c>
      <c r="F64" s="306"/>
      <c r="G64" s="109" t="s">
        <v>518</v>
      </c>
      <c r="H64" s="109" t="s">
        <v>105</v>
      </c>
      <c r="I64" s="111">
        <v>45901.0</v>
      </c>
      <c r="J64" s="109" t="s">
        <v>519</v>
      </c>
      <c r="K64" s="109" t="s">
        <v>5587</v>
      </c>
      <c r="L64" s="111">
        <v>45901.0</v>
      </c>
      <c r="M64" s="109" t="s">
        <v>518</v>
      </c>
      <c r="N64" s="114">
        <v>45826.0</v>
      </c>
      <c r="O64" s="109" t="s">
        <v>144</v>
      </c>
      <c r="P64" s="108" t="s">
        <v>267</v>
      </c>
      <c r="Q64" s="109" t="s">
        <v>569</v>
      </c>
      <c r="R64" s="109" t="s">
        <v>5635</v>
      </c>
      <c r="S64" s="305">
        <v>41594.0</v>
      </c>
      <c r="T64" s="303">
        <v>58.0</v>
      </c>
      <c r="U64" s="108" t="s">
        <v>522</v>
      </c>
      <c r="V64" s="109" t="s">
        <v>67</v>
      </c>
      <c r="W64" s="109" t="s">
        <v>92</v>
      </c>
      <c r="X64" s="109" t="s">
        <v>68</v>
      </c>
      <c r="Y64" s="306"/>
      <c r="Z64" s="109">
        <v>8.2116336373E10</v>
      </c>
      <c r="AA64" s="109" t="s">
        <v>5636</v>
      </c>
      <c r="AB64" s="109" t="s">
        <v>5637</v>
      </c>
      <c r="AC64" s="109" t="s">
        <v>5638</v>
      </c>
      <c r="AD64" s="108" t="s">
        <v>96</v>
      </c>
      <c r="AE64" s="108" t="s">
        <v>150</v>
      </c>
      <c r="AF64" s="108" t="s">
        <v>281</v>
      </c>
      <c r="AG64" s="108" t="s">
        <v>657</v>
      </c>
      <c r="AH64" s="109">
        <v>7.0</v>
      </c>
      <c r="AI64" s="109">
        <v>2.0</v>
      </c>
    </row>
    <row r="65">
      <c r="A65" s="109">
        <v>9.0</v>
      </c>
      <c r="B65" s="109" t="s">
        <v>5639</v>
      </c>
      <c r="C65" s="125" t="s">
        <v>5640</v>
      </c>
      <c r="D65" s="108" t="s">
        <v>531</v>
      </c>
      <c r="E65" s="111">
        <v>45901.0</v>
      </c>
      <c r="F65" s="306"/>
      <c r="G65" s="109" t="s">
        <v>518</v>
      </c>
      <c r="H65" s="109" t="s">
        <v>105</v>
      </c>
      <c r="I65" s="111">
        <v>45901.0</v>
      </c>
      <c r="J65" s="109" t="s">
        <v>532</v>
      </c>
      <c r="K65" s="109" t="s">
        <v>5587</v>
      </c>
      <c r="L65" s="111">
        <v>45901.0</v>
      </c>
      <c r="M65" s="109" t="s">
        <v>518</v>
      </c>
      <c r="N65" s="114">
        <v>45826.0</v>
      </c>
      <c r="O65" s="109" t="s">
        <v>144</v>
      </c>
      <c r="P65" s="108" t="s">
        <v>285</v>
      </c>
      <c r="Q65" s="109" t="s">
        <v>285</v>
      </c>
      <c r="R65" s="109" t="s">
        <v>5641</v>
      </c>
      <c r="S65" s="305">
        <v>38152.0</v>
      </c>
      <c r="T65" s="303">
        <v>59.0</v>
      </c>
      <c r="U65" s="108" t="s">
        <v>522</v>
      </c>
      <c r="V65" s="109" t="s">
        <v>67</v>
      </c>
      <c r="W65" s="109" t="s">
        <v>92</v>
      </c>
      <c r="X65" s="109" t="s">
        <v>68</v>
      </c>
      <c r="Y65" s="306"/>
      <c r="Z65" s="109">
        <v>8.2165695257E10</v>
      </c>
      <c r="AA65" s="109" t="s">
        <v>5642</v>
      </c>
      <c r="AB65" s="109" t="s">
        <v>5643</v>
      </c>
      <c r="AC65" s="109" t="s">
        <v>5644</v>
      </c>
      <c r="AD65" s="108" t="s">
        <v>73</v>
      </c>
      <c r="AE65" s="108" t="s">
        <v>74</v>
      </c>
      <c r="AF65" s="108" t="s">
        <v>1047</v>
      </c>
      <c r="AG65" s="108" t="s">
        <v>4413</v>
      </c>
      <c r="AH65" s="307"/>
      <c r="AI65" s="307"/>
    </row>
  </sheetData>
  <autoFilter ref="$A$6:$AI$65">
    <sortState ref="A6:AI65">
      <sortCondition ref="B6:B65"/>
      <sortCondition ref="C6:C65"/>
      <sortCondition ref="T6:T65"/>
    </sortState>
  </autoFilter>
  <mergeCells count="39">
    <mergeCell ref="L4:L5"/>
    <mergeCell ref="M4:M5"/>
    <mergeCell ref="N4:N5"/>
    <mergeCell ref="O4:O5"/>
    <mergeCell ref="P4:P5"/>
    <mergeCell ref="Q4:Q5"/>
    <mergeCell ref="R4:R5"/>
    <mergeCell ref="S4:S5"/>
    <mergeCell ref="A3:A5"/>
    <mergeCell ref="B3:B5"/>
    <mergeCell ref="C3:C5"/>
    <mergeCell ref="D3:E3"/>
    <mergeCell ref="F3:I3"/>
    <mergeCell ref="J3:O3"/>
    <mergeCell ref="P3:S3"/>
    <mergeCell ref="T3:T5"/>
    <mergeCell ref="U3:U5"/>
    <mergeCell ref="V3:V5"/>
    <mergeCell ref="W3:W5"/>
    <mergeCell ref="X3:X5"/>
    <mergeCell ref="Y3:Y5"/>
    <mergeCell ref="Z3:Z5"/>
    <mergeCell ref="AH3:AH5"/>
    <mergeCell ref="AI3:AI5"/>
    <mergeCell ref="AA3:AA5"/>
    <mergeCell ref="AB3:AB5"/>
    <mergeCell ref="AC3:AC5"/>
    <mergeCell ref="AD3:AD5"/>
    <mergeCell ref="AE3:AE5"/>
    <mergeCell ref="AF3:AF5"/>
    <mergeCell ref="AG3:AG5"/>
    <mergeCell ref="D4:D5"/>
    <mergeCell ref="E4:E5"/>
    <mergeCell ref="F4:F5"/>
    <mergeCell ref="G4:G5"/>
    <mergeCell ref="H4:H5"/>
    <mergeCell ref="I4:I5"/>
    <mergeCell ref="J4:J5"/>
    <mergeCell ref="K4:K5"/>
  </mergeCells>
  <conditionalFormatting sqref="B1:B6 B48:B65">
    <cfRule type="cellIs" dxfId="0" priority="1" operator="equal">
      <formula>"formula"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0.63"/>
    <col customWidth="1" min="3" max="3" width="19.13"/>
    <col customWidth="1" min="5" max="5" width="16.13"/>
    <col customWidth="1" min="7" max="7" width="25.25"/>
    <col customWidth="1" min="8" max="8" width="28.38"/>
    <col customWidth="1" min="9" max="9" width="41.0"/>
    <col customWidth="1" min="10" max="10" width="11.13"/>
    <col customWidth="1" min="11" max="11" width="27.63"/>
    <col customWidth="1" min="12" max="12" width="49.75"/>
    <col customWidth="1" min="13" max="13" width="16.13"/>
    <col customWidth="1" min="14" max="15" width="9.5"/>
    <col customWidth="1" min="16" max="16" width="12.38"/>
    <col customWidth="1" min="17" max="17" width="10.13"/>
    <col customWidth="1" min="18" max="18" width="13.0"/>
    <col customWidth="1" min="19" max="19" width="26.0"/>
    <col customWidth="1" min="20" max="20" width="22.75"/>
    <col customWidth="1" min="21" max="21" width="47.5"/>
    <col customWidth="1" min="22" max="23" width="15.0"/>
    <col customWidth="1" min="24" max="24" width="18.0"/>
    <col customWidth="1" min="25" max="25" width="19.88"/>
    <col customWidth="1" min="26" max="26" width="6.88"/>
    <col customWidth="1" min="27" max="27" width="3.63"/>
  </cols>
  <sheetData>
    <row r="1">
      <c r="A1" s="1" t="s">
        <v>5950</v>
      </c>
      <c r="B1" s="3"/>
      <c r="C1" s="290"/>
      <c r="D1" s="2"/>
      <c r="E1" s="2"/>
      <c r="F1" s="2"/>
      <c r="G1" s="2"/>
      <c r="H1" s="3"/>
      <c r="I1" s="3"/>
      <c r="J1" s="3"/>
      <c r="K1" s="4"/>
      <c r="L1" s="3"/>
      <c r="M1" s="2"/>
      <c r="N1" s="2"/>
      <c r="O1" s="2"/>
      <c r="P1" s="4"/>
      <c r="Q1" s="2"/>
      <c r="R1" s="2"/>
      <c r="S1" s="4"/>
      <c r="T1" s="4"/>
      <c r="U1" s="4"/>
      <c r="V1" s="4"/>
      <c r="W1" s="4"/>
      <c r="X1" s="4"/>
      <c r="Y1" s="4"/>
      <c r="Z1" s="2"/>
      <c r="AA1" s="2"/>
    </row>
    <row r="2">
      <c r="A2" s="2"/>
      <c r="B2" s="3"/>
      <c r="C2" s="290"/>
      <c r="D2" s="2"/>
      <c r="E2" s="2"/>
      <c r="F2" s="2"/>
      <c r="G2" s="2"/>
      <c r="H2" s="3"/>
      <c r="I2" s="3"/>
      <c r="J2" s="3"/>
      <c r="K2" s="4"/>
      <c r="L2" s="3"/>
      <c r="M2" s="2"/>
      <c r="N2" s="2"/>
      <c r="O2" s="2"/>
      <c r="P2" s="4"/>
      <c r="Q2" s="2"/>
      <c r="R2" s="2"/>
      <c r="S2" s="4"/>
      <c r="T2" s="4"/>
      <c r="U2" s="4"/>
      <c r="V2" s="4"/>
      <c r="W2" s="4"/>
      <c r="X2" s="4"/>
      <c r="Y2" s="4"/>
      <c r="Z2" s="2"/>
      <c r="AA2" s="2"/>
    </row>
    <row r="3">
      <c r="A3" s="324" t="s">
        <v>1</v>
      </c>
      <c r="B3" s="324" t="s">
        <v>2</v>
      </c>
      <c r="C3" s="325" t="s">
        <v>3</v>
      </c>
      <c r="D3" s="326"/>
      <c r="E3" s="11"/>
      <c r="F3" s="10"/>
      <c r="G3" s="326" t="s">
        <v>7</v>
      </c>
      <c r="H3" s="11"/>
      <c r="I3" s="10"/>
      <c r="J3" s="326" t="s">
        <v>8</v>
      </c>
      <c r="K3" s="11"/>
      <c r="L3" s="11"/>
      <c r="M3" s="10"/>
      <c r="N3" s="327" t="s">
        <v>14</v>
      </c>
      <c r="O3" s="327" t="s">
        <v>15</v>
      </c>
      <c r="P3" s="327" t="s">
        <v>16</v>
      </c>
      <c r="Q3" s="327" t="s">
        <v>17</v>
      </c>
      <c r="R3" s="327" t="s">
        <v>18</v>
      </c>
      <c r="S3" s="327" t="s">
        <v>19</v>
      </c>
      <c r="T3" s="327" t="s">
        <v>20</v>
      </c>
      <c r="U3" s="327" t="s">
        <v>21</v>
      </c>
      <c r="V3" s="327" t="s">
        <v>22</v>
      </c>
      <c r="W3" s="327" t="s">
        <v>23</v>
      </c>
      <c r="X3" s="327" t="s">
        <v>24</v>
      </c>
      <c r="Y3" s="327" t="s">
        <v>25</v>
      </c>
      <c r="Z3" s="327" t="s">
        <v>26</v>
      </c>
      <c r="AA3" s="327" t="s">
        <v>27</v>
      </c>
    </row>
    <row r="4">
      <c r="A4" s="15"/>
      <c r="B4" s="15"/>
      <c r="C4" s="15"/>
      <c r="D4" s="324" t="s">
        <v>33</v>
      </c>
      <c r="E4" s="324" t="s">
        <v>34</v>
      </c>
      <c r="F4" s="324" t="s">
        <v>32</v>
      </c>
      <c r="G4" s="328" t="s">
        <v>5951</v>
      </c>
      <c r="H4" s="324" t="s">
        <v>36</v>
      </c>
      <c r="I4" s="324" t="s">
        <v>38</v>
      </c>
      <c r="J4" s="327" t="s">
        <v>41</v>
      </c>
      <c r="K4" s="324" t="s">
        <v>42</v>
      </c>
      <c r="L4" s="324" t="s">
        <v>43</v>
      </c>
      <c r="M4" s="324" t="s">
        <v>44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329">
        <v>1.0</v>
      </c>
      <c r="B6" s="330">
        <v>2.0</v>
      </c>
      <c r="C6" s="331" t="s">
        <v>47</v>
      </c>
      <c r="D6" s="330">
        <v>11.0</v>
      </c>
      <c r="E6" s="330">
        <v>12.0</v>
      </c>
      <c r="F6" s="330">
        <v>13.0</v>
      </c>
      <c r="G6" s="330">
        <v>14.0</v>
      </c>
      <c r="H6" s="330">
        <v>15.0</v>
      </c>
      <c r="I6" s="330">
        <v>17.0</v>
      </c>
      <c r="J6" s="330">
        <v>22.0</v>
      </c>
      <c r="K6" s="330">
        <v>23.0</v>
      </c>
      <c r="L6" s="330">
        <v>24.0</v>
      </c>
      <c r="M6" s="330">
        <v>25.0</v>
      </c>
      <c r="N6" s="330">
        <v>31.0</v>
      </c>
      <c r="O6" s="330">
        <v>32.0</v>
      </c>
      <c r="P6" s="330">
        <v>33.0</v>
      </c>
      <c r="Q6" s="330">
        <v>34.0</v>
      </c>
      <c r="R6" s="330">
        <v>35.0</v>
      </c>
      <c r="S6" s="330">
        <v>36.0</v>
      </c>
      <c r="T6" s="330">
        <v>37.0</v>
      </c>
      <c r="U6" s="330">
        <v>38.0</v>
      </c>
      <c r="V6" s="330">
        <v>39.0</v>
      </c>
      <c r="W6" s="330">
        <v>40.0</v>
      </c>
      <c r="X6" s="330">
        <v>41.0</v>
      </c>
      <c r="Y6" s="330">
        <v>42.0</v>
      </c>
      <c r="Z6" s="330">
        <v>43.0</v>
      </c>
      <c r="AA6" s="330">
        <v>44.0</v>
      </c>
    </row>
    <row r="7">
      <c r="A7" s="124">
        <f t="shared" ref="A7:A94" si="1">ROW() - 6</f>
        <v>1</v>
      </c>
      <c r="B7" s="135" t="s">
        <v>637</v>
      </c>
      <c r="C7" s="135" t="s">
        <v>638</v>
      </c>
      <c r="D7" s="332" t="s">
        <v>5952</v>
      </c>
      <c r="E7" s="124" t="s">
        <v>88</v>
      </c>
      <c r="F7" s="332" t="s">
        <v>5953</v>
      </c>
      <c r="G7" s="332" t="s">
        <v>5954</v>
      </c>
      <c r="H7" s="135" t="s">
        <v>142</v>
      </c>
      <c r="I7" s="141" t="s">
        <v>639</v>
      </c>
      <c r="J7" s="135" t="s">
        <v>89</v>
      </c>
      <c r="K7" s="135" t="s">
        <v>640</v>
      </c>
      <c r="L7" s="135" t="s">
        <v>641</v>
      </c>
      <c r="M7" s="333">
        <v>44089.0</v>
      </c>
      <c r="N7" s="138" t="s">
        <v>67</v>
      </c>
      <c r="O7" s="124"/>
      <c r="P7" s="135" t="s">
        <v>68</v>
      </c>
      <c r="Q7" s="138"/>
      <c r="R7" s="138">
        <v>8.7845240088E10</v>
      </c>
      <c r="S7" s="135" t="s">
        <v>642</v>
      </c>
      <c r="T7" s="135" t="s">
        <v>643</v>
      </c>
      <c r="U7" s="135" t="s">
        <v>644</v>
      </c>
      <c r="V7" s="135" t="s">
        <v>96</v>
      </c>
      <c r="W7" s="135" t="s">
        <v>150</v>
      </c>
      <c r="X7" s="135" t="s">
        <v>281</v>
      </c>
      <c r="Y7" s="135" t="s">
        <v>325</v>
      </c>
      <c r="Z7" s="138">
        <v>0.0</v>
      </c>
      <c r="AA7" s="138">
        <v>0.0</v>
      </c>
    </row>
    <row r="8">
      <c r="A8" s="124">
        <f t="shared" si="1"/>
        <v>2</v>
      </c>
      <c r="B8" s="135" t="s">
        <v>645</v>
      </c>
      <c r="C8" s="135" t="s">
        <v>646</v>
      </c>
      <c r="D8" s="332" t="s">
        <v>5952</v>
      </c>
      <c r="E8" s="124" t="s">
        <v>88</v>
      </c>
      <c r="F8" s="332" t="s">
        <v>5953</v>
      </c>
      <c r="G8" s="332" t="s">
        <v>5954</v>
      </c>
      <c r="H8" s="135" t="s">
        <v>142</v>
      </c>
      <c r="I8" s="141" t="s">
        <v>639</v>
      </c>
      <c r="J8" s="135" t="s">
        <v>89</v>
      </c>
      <c r="K8" s="135" t="s">
        <v>647</v>
      </c>
      <c r="L8" s="135" t="s">
        <v>648</v>
      </c>
      <c r="M8" s="333">
        <v>44524.0</v>
      </c>
      <c r="N8" s="138" t="s">
        <v>67</v>
      </c>
      <c r="O8" s="124"/>
      <c r="P8" s="135" t="s">
        <v>68</v>
      </c>
      <c r="Q8" s="138"/>
      <c r="R8" s="138">
        <v>8.1370922186E10</v>
      </c>
      <c r="S8" s="135" t="s">
        <v>649</v>
      </c>
      <c r="T8" s="135" t="s">
        <v>650</v>
      </c>
      <c r="U8" s="135" t="s">
        <v>651</v>
      </c>
      <c r="V8" s="135" t="s">
        <v>73</v>
      </c>
      <c r="W8" s="135" t="s">
        <v>74</v>
      </c>
      <c r="X8" s="135" t="s">
        <v>360</v>
      </c>
      <c r="Y8" s="135" t="s">
        <v>566</v>
      </c>
      <c r="Z8" s="138"/>
      <c r="AA8" s="138"/>
    </row>
    <row r="9">
      <c r="A9" s="124">
        <f t="shared" si="1"/>
        <v>3</v>
      </c>
      <c r="B9" s="135" t="s">
        <v>652</v>
      </c>
      <c r="C9" s="135" t="s">
        <v>653</v>
      </c>
      <c r="D9" s="332" t="s">
        <v>5952</v>
      </c>
      <c r="E9" s="124" t="s">
        <v>88</v>
      </c>
      <c r="F9" s="332" t="s">
        <v>5953</v>
      </c>
      <c r="G9" s="332" t="s">
        <v>5954</v>
      </c>
      <c r="H9" s="135" t="s">
        <v>142</v>
      </c>
      <c r="I9" s="141" t="s">
        <v>639</v>
      </c>
      <c r="J9" s="135" t="s">
        <v>89</v>
      </c>
      <c r="K9" s="135" t="s">
        <v>218</v>
      </c>
      <c r="L9" s="135" t="s">
        <v>641</v>
      </c>
      <c r="M9" s="333">
        <v>44302.0</v>
      </c>
      <c r="N9" s="138" t="s">
        <v>67</v>
      </c>
      <c r="O9" s="124"/>
      <c r="P9" s="135" t="s">
        <v>68</v>
      </c>
      <c r="Q9" s="138"/>
      <c r="R9" s="138">
        <v>8.1286143136E10</v>
      </c>
      <c r="S9" s="135" t="s">
        <v>654</v>
      </c>
      <c r="T9" s="135" t="s">
        <v>655</v>
      </c>
      <c r="U9" s="135" t="s">
        <v>656</v>
      </c>
      <c r="V9" s="135" t="s">
        <v>96</v>
      </c>
      <c r="W9" s="135" t="s">
        <v>97</v>
      </c>
      <c r="X9" s="135" t="s">
        <v>499</v>
      </c>
      <c r="Y9" s="135" t="s">
        <v>657</v>
      </c>
      <c r="Z9" s="138"/>
      <c r="AA9" s="138"/>
    </row>
    <row r="10">
      <c r="A10" s="124">
        <f t="shared" si="1"/>
        <v>4</v>
      </c>
      <c r="B10" s="135" t="s">
        <v>658</v>
      </c>
      <c r="C10" s="135" t="s">
        <v>659</v>
      </c>
      <c r="D10" s="332" t="s">
        <v>5952</v>
      </c>
      <c r="E10" s="124" t="s">
        <v>88</v>
      </c>
      <c r="F10" s="332" t="s">
        <v>5953</v>
      </c>
      <c r="G10" s="332" t="s">
        <v>5954</v>
      </c>
      <c r="H10" s="135" t="s">
        <v>660</v>
      </c>
      <c r="I10" s="141" t="s">
        <v>661</v>
      </c>
      <c r="J10" s="135" t="s">
        <v>600</v>
      </c>
      <c r="K10" s="135" t="s">
        <v>77</v>
      </c>
      <c r="L10" s="135" t="s">
        <v>662</v>
      </c>
      <c r="M10" s="333">
        <v>34499.0</v>
      </c>
      <c r="N10" s="138" t="s">
        <v>67</v>
      </c>
      <c r="O10" s="124"/>
      <c r="P10" s="135" t="s">
        <v>68</v>
      </c>
      <c r="Q10" s="138"/>
      <c r="R10" s="138">
        <v>8.5931009966E10</v>
      </c>
      <c r="S10" s="135" t="s">
        <v>663</v>
      </c>
      <c r="T10" s="135" t="s">
        <v>664</v>
      </c>
      <c r="U10" s="135" t="s">
        <v>665</v>
      </c>
      <c r="V10" s="135" t="s">
        <v>73</v>
      </c>
      <c r="W10" s="135" t="s">
        <v>481</v>
      </c>
      <c r="X10" s="135" t="s">
        <v>360</v>
      </c>
      <c r="Y10" s="135" t="s">
        <v>666</v>
      </c>
      <c r="Z10" s="138">
        <v>0.0</v>
      </c>
      <c r="AA10" s="138">
        <v>0.0</v>
      </c>
    </row>
    <row r="11">
      <c r="A11" s="124">
        <f t="shared" si="1"/>
        <v>5</v>
      </c>
      <c r="B11" s="135" t="s">
        <v>667</v>
      </c>
      <c r="C11" s="135" t="s">
        <v>668</v>
      </c>
      <c r="D11" s="332" t="s">
        <v>5952</v>
      </c>
      <c r="E11" s="124" t="s">
        <v>88</v>
      </c>
      <c r="F11" s="332" t="s">
        <v>5953</v>
      </c>
      <c r="G11" s="332" t="s">
        <v>5954</v>
      </c>
      <c r="H11" s="135" t="s">
        <v>142</v>
      </c>
      <c r="I11" s="334" t="s">
        <v>669</v>
      </c>
      <c r="J11" s="135" t="s">
        <v>89</v>
      </c>
      <c r="K11" s="135" t="s">
        <v>670</v>
      </c>
      <c r="L11" s="135" t="s">
        <v>671</v>
      </c>
      <c r="M11" s="335">
        <v>40819.0</v>
      </c>
      <c r="N11" s="138" t="s">
        <v>67</v>
      </c>
      <c r="O11" s="142"/>
      <c r="P11" s="135" t="s">
        <v>68</v>
      </c>
      <c r="Q11" s="138"/>
      <c r="R11" s="138">
        <v>8.9516131139E10</v>
      </c>
      <c r="S11" s="135" t="s">
        <v>672</v>
      </c>
      <c r="T11" s="135" t="s">
        <v>673</v>
      </c>
      <c r="U11" s="135" t="s">
        <v>674</v>
      </c>
      <c r="V11" s="135" t="s">
        <v>73</v>
      </c>
      <c r="W11" s="135" t="s">
        <v>166</v>
      </c>
      <c r="X11" s="135" t="s">
        <v>596</v>
      </c>
      <c r="Y11" s="135" t="s">
        <v>675</v>
      </c>
      <c r="Z11" s="138"/>
      <c r="AA11" s="138"/>
    </row>
    <row r="12">
      <c r="A12" s="124">
        <f t="shared" si="1"/>
        <v>6</v>
      </c>
      <c r="B12" s="135" t="s">
        <v>676</v>
      </c>
      <c r="C12" s="135" t="s">
        <v>677</v>
      </c>
      <c r="D12" s="332" t="s">
        <v>5952</v>
      </c>
      <c r="E12" s="124" t="s">
        <v>88</v>
      </c>
      <c r="F12" s="332" t="s">
        <v>5953</v>
      </c>
      <c r="G12" s="332" t="s">
        <v>5954</v>
      </c>
      <c r="H12" s="135" t="s">
        <v>142</v>
      </c>
      <c r="I12" s="141" t="s">
        <v>639</v>
      </c>
      <c r="J12" s="135" t="s">
        <v>89</v>
      </c>
      <c r="K12" s="135" t="s">
        <v>678</v>
      </c>
      <c r="L12" s="135" t="s">
        <v>679</v>
      </c>
      <c r="M12" s="335">
        <v>42133.0</v>
      </c>
      <c r="N12" s="138" t="s">
        <v>67</v>
      </c>
      <c r="O12" s="124"/>
      <c r="P12" s="135" t="s">
        <v>68</v>
      </c>
      <c r="Q12" s="138"/>
      <c r="R12" s="138">
        <v>8.116189993E9</v>
      </c>
      <c r="S12" s="135" t="s">
        <v>680</v>
      </c>
      <c r="T12" s="135" t="s">
        <v>681</v>
      </c>
      <c r="U12" s="135" t="s">
        <v>682</v>
      </c>
      <c r="V12" s="135" t="s">
        <v>96</v>
      </c>
      <c r="W12" s="135" t="s">
        <v>97</v>
      </c>
      <c r="X12" s="135" t="s">
        <v>292</v>
      </c>
      <c r="Y12" s="135" t="s">
        <v>683</v>
      </c>
      <c r="Z12" s="138">
        <v>0.0</v>
      </c>
      <c r="AA12" s="138">
        <v>0.0</v>
      </c>
    </row>
    <row r="13">
      <c r="A13" s="124">
        <f t="shared" si="1"/>
        <v>7</v>
      </c>
      <c r="B13" s="135" t="s">
        <v>684</v>
      </c>
      <c r="C13" s="135" t="s">
        <v>685</v>
      </c>
      <c r="D13" s="332" t="s">
        <v>5952</v>
      </c>
      <c r="E13" s="124" t="s">
        <v>88</v>
      </c>
      <c r="F13" s="332" t="s">
        <v>5953</v>
      </c>
      <c r="G13" s="332" t="s">
        <v>5954</v>
      </c>
      <c r="H13" s="135" t="s">
        <v>532</v>
      </c>
      <c r="I13" s="141" t="s">
        <v>686</v>
      </c>
      <c r="J13" s="135" t="s">
        <v>285</v>
      </c>
      <c r="K13" s="135" t="s">
        <v>687</v>
      </c>
      <c r="L13" s="135" t="s">
        <v>688</v>
      </c>
      <c r="M13" s="333">
        <v>41055.0</v>
      </c>
      <c r="N13" s="138" t="s">
        <v>67</v>
      </c>
      <c r="O13" s="124"/>
      <c r="P13" s="135" t="s">
        <v>68</v>
      </c>
      <c r="Q13" s="138"/>
      <c r="R13" s="138">
        <v>8.1397112473E10</v>
      </c>
      <c r="S13" s="135" t="s">
        <v>689</v>
      </c>
      <c r="T13" s="135" t="s">
        <v>690</v>
      </c>
      <c r="U13" s="135" t="s">
        <v>691</v>
      </c>
      <c r="V13" s="135" t="s">
        <v>692</v>
      </c>
      <c r="W13" s="135" t="s">
        <v>150</v>
      </c>
      <c r="X13" s="135" t="s">
        <v>628</v>
      </c>
      <c r="Y13" s="135" t="s">
        <v>693</v>
      </c>
      <c r="Z13" s="138"/>
      <c r="AA13" s="138"/>
    </row>
    <row r="14">
      <c r="A14" s="124">
        <f t="shared" si="1"/>
        <v>8</v>
      </c>
      <c r="B14" s="135" t="s">
        <v>698</v>
      </c>
      <c r="C14" s="135" t="s">
        <v>699</v>
      </c>
      <c r="D14" s="332" t="s">
        <v>5952</v>
      </c>
      <c r="E14" s="124" t="s">
        <v>88</v>
      </c>
      <c r="F14" s="332" t="s">
        <v>5953</v>
      </c>
      <c r="G14" s="332" t="s">
        <v>5954</v>
      </c>
      <c r="H14" s="135" t="s">
        <v>532</v>
      </c>
      <c r="I14" s="141" t="s">
        <v>661</v>
      </c>
      <c r="J14" s="135" t="s">
        <v>285</v>
      </c>
      <c r="K14" s="135"/>
      <c r="L14" s="135" t="s">
        <v>700</v>
      </c>
      <c r="M14" s="333">
        <v>39613.0</v>
      </c>
      <c r="N14" s="138" t="s">
        <v>67</v>
      </c>
      <c r="O14" s="124"/>
      <c r="P14" s="135" t="s">
        <v>130</v>
      </c>
      <c r="Q14" s="138"/>
      <c r="R14" s="138">
        <v>8.2240864647E10</v>
      </c>
      <c r="S14" s="135" t="s">
        <v>701</v>
      </c>
      <c r="T14" s="135" t="s">
        <v>702</v>
      </c>
      <c r="U14" s="135" t="s">
        <v>703</v>
      </c>
      <c r="V14" s="135" t="s">
        <v>73</v>
      </c>
      <c r="W14" s="135" t="s">
        <v>74</v>
      </c>
      <c r="X14" s="135" t="s">
        <v>360</v>
      </c>
      <c r="Y14" s="135" t="s">
        <v>666</v>
      </c>
      <c r="Z14" s="138">
        <v>0.0</v>
      </c>
      <c r="AA14" s="138">
        <v>0.0</v>
      </c>
    </row>
    <row r="15">
      <c r="A15" s="124">
        <f t="shared" si="1"/>
        <v>9</v>
      </c>
      <c r="B15" s="135" t="s">
        <v>704</v>
      </c>
      <c r="C15" s="135" t="s">
        <v>705</v>
      </c>
      <c r="D15" s="332" t="s">
        <v>5952</v>
      </c>
      <c r="E15" s="124" t="s">
        <v>88</v>
      </c>
      <c r="F15" s="332" t="s">
        <v>5953</v>
      </c>
      <c r="G15" s="332" t="s">
        <v>5954</v>
      </c>
      <c r="H15" s="135" t="s">
        <v>532</v>
      </c>
      <c r="I15" s="141" t="s">
        <v>706</v>
      </c>
      <c r="J15" s="135" t="s">
        <v>285</v>
      </c>
      <c r="K15" s="135" t="s">
        <v>707</v>
      </c>
      <c r="L15" s="135" t="s">
        <v>708</v>
      </c>
      <c r="M15" s="333">
        <v>39613.0</v>
      </c>
      <c r="N15" s="138" t="s">
        <v>67</v>
      </c>
      <c r="O15" s="124"/>
      <c r="P15" s="135" t="s">
        <v>68</v>
      </c>
      <c r="Q15" s="138"/>
      <c r="R15" s="138">
        <v>8.1362442352E10</v>
      </c>
      <c r="S15" s="135" t="s">
        <v>709</v>
      </c>
      <c r="T15" s="135" t="s">
        <v>710</v>
      </c>
      <c r="U15" s="135" t="s">
        <v>711</v>
      </c>
      <c r="V15" s="135" t="s">
        <v>96</v>
      </c>
      <c r="W15" s="135" t="s">
        <v>97</v>
      </c>
      <c r="X15" s="135" t="s">
        <v>236</v>
      </c>
      <c r="Y15" s="135" t="s">
        <v>712</v>
      </c>
      <c r="Z15" s="138"/>
      <c r="AA15" s="138"/>
    </row>
    <row r="16">
      <c r="A16" s="124">
        <f t="shared" si="1"/>
        <v>10</v>
      </c>
      <c r="B16" s="135" t="s">
        <v>713</v>
      </c>
      <c r="C16" s="135" t="s">
        <v>714</v>
      </c>
      <c r="D16" s="332" t="s">
        <v>5952</v>
      </c>
      <c r="E16" s="124" t="s">
        <v>88</v>
      </c>
      <c r="F16" s="332" t="s">
        <v>5953</v>
      </c>
      <c r="G16" s="332" t="s">
        <v>5954</v>
      </c>
      <c r="H16" s="135" t="s">
        <v>532</v>
      </c>
      <c r="I16" s="141" t="s">
        <v>639</v>
      </c>
      <c r="J16" s="135" t="s">
        <v>285</v>
      </c>
      <c r="K16" s="135"/>
      <c r="L16" s="135" t="s">
        <v>715</v>
      </c>
      <c r="M16" s="333">
        <v>43598.0</v>
      </c>
      <c r="N16" s="138" t="s">
        <v>67</v>
      </c>
      <c r="O16" s="124"/>
      <c r="P16" s="135" t="s">
        <v>68</v>
      </c>
      <c r="Q16" s="138"/>
      <c r="R16" s="138">
        <v>8.1367662965E10</v>
      </c>
      <c r="S16" s="135" t="s">
        <v>716</v>
      </c>
      <c r="T16" s="135" t="s">
        <v>717</v>
      </c>
      <c r="U16" s="135" t="s">
        <v>651</v>
      </c>
      <c r="V16" s="135" t="s">
        <v>73</v>
      </c>
      <c r="W16" s="135" t="s">
        <v>74</v>
      </c>
      <c r="X16" s="135" t="s">
        <v>360</v>
      </c>
      <c r="Y16" s="135" t="s">
        <v>566</v>
      </c>
      <c r="Z16" s="138"/>
      <c r="AA16" s="138"/>
    </row>
    <row r="17">
      <c r="A17" s="124">
        <f t="shared" si="1"/>
        <v>11</v>
      </c>
      <c r="B17" s="135" t="s">
        <v>718</v>
      </c>
      <c r="C17" s="135" t="s">
        <v>719</v>
      </c>
      <c r="D17" s="332" t="s">
        <v>5952</v>
      </c>
      <c r="E17" s="124" t="s">
        <v>88</v>
      </c>
      <c r="F17" s="332" t="s">
        <v>5953</v>
      </c>
      <c r="G17" s="332" t="s">
        <v>5954</v>
      </c>
      <c r="H17" s="135" t="s">
        <v>532</v>
      </c>
      <c r="I17" s="141" t="s">
        <v>720</v>
      </c>
      <c r="J17" s="135" t="s">
        <v>285</v>
      </c>
      <c r="K17" s="135"/>
      <c r="L17" s="135" t="s">
        <v>721</v>
      </c>
      <c r="M17" s="333">
        <v>38152.0</v>
      </c>
      <c r="N17" s="138" t="s">
        <v>67</v>
      </c>
      <c r="O17" s="124"/>
      <c r="P17" s="135" t="s">
        <v>68</v>
      </c>
      <c r="Q17" s="138"/>
      <c r="R17" s="138">
        <v>8.2161678067E10</v>
      </c>
      <c r="S17" s="135" t="s">
        <v>722</v>
      </c>
      <c r="T17" s="135" t="s">
        <v>723</v>
      </c>
      <c r="U17" s="135" t="s">
        <v>724</v>
      </c>
      <c r="V17" s="135" t="s">
        <v>73</v>
      </c>
      <c r="W17" s="135" t="s">
        <v>74</v>
      </c>
      <c r="X17" s="135" t="s">
        <v>454</v>
      </c>
      <c r="Y17" s="135" t="s">
        <v>725</v>
      </c>
      <c r="Z17" s="138">
        <v>0.0</v>
      </c>
      <c r="AA17" s="138">
        <v>0.0</v>
      </c>
    </row>
    <row r="18">
      <c r="A18" s="124">
        <f t="shared" si="1"/>
        <v>12</v>
      </c>
      <c r="B18" s="135" t="s">
        <v>726</v>
      </c>
      <c r="C18" s="135" t="s">
        <v>727</v>
      </c>
      <c r="D18" s="332" t="s">
        <v>5952</v>
      </c>
      <c r="E18" s="124" t="s">
        <v>88</v>
      </c>
      <c r="F18" s="332" t="s">
        <v>5953</v>
      </c>
      <c r="G18" s="332" t="s">
        <v>5954</v>
      </c>
      <c r="H18" s="135" t="s">
        <v>532</v>
      </c>
      <c r="I18" s="141" t="s">
        <v>639</v>
      </c>
      <c r="J18" s="135" t="s">
        <v>285</v>
      </c>
      <c r="K18" s="135" t="s">
        <v>687</v>
      </c>
      <c r="L18" s="135" t="s">
        <v>728</v>
      </c>
      <c r="M18" s="335">
        <v>42497.0</v>
      </c>
      <c r="N18" s="138" t="s">
        <v>67</v>
      </c>
      <c r="O18" s="124"/>
      <c r="P18" s="135" t="s">
        <v>68</v>
      </c>
      <c r="Q18" s="138"/>
      <c r="R18" s="138">
        <v>8.2173881919E10</v>
      </c>
      <c r="S18" s="135" t="s">
        <v>729</v>
      </c>
      <c r="T18" s="135" t="s">
        <v>730</v>
      </c>
      <c r="U18" s="135" t="s">
        <v>731</v>
      </c>
      <c r="V18" s="135" t="s">
        <v>732</v>
      </c>
      <c r="W18" s="135" t="s">
        <v>414</v>
      </c>
      <c r="X18" s="135" t="s">
        <v>733</v>
      </c>
      <c r="Y18" s="135" t="s">
        <v>734</v>
      </c>
      <c r="Z18" s="138"/>
      <c r="AA18" s="138"/>
    </row>
    <row r="19">
      <c r="A19" s="124">
        <f t="shared" si="1"/>
        <v>13</v>
      </c>
      <c r="B19" s="135" t="s">
        <v>735</v>
      </c>
      <c r="C19" s="135" t="s">
        <v>736</v>
      </c>
      <c r="D19" s="332" t="s">
        <v>5952</v>
      </c>
      <c r="E19" s="124" t="s">
        <v>88</v>
      </c>
      <c r="F19" s="332" t="s">
        <v>5953</v>
      </c>
      <c r="G19" s="332" t="s">
        <v>5954</v>
      </c>
      <c r="H19" s="135" t="s">
        <v>532</v>
      </c>
      <c r="I19" s="141" t="s">
        <v>706</v>
      </c>
      <c r="J19" s="135" t="s">
        <v>285</v>
      </c>
      <c r="K19" s="135"/>
      <c r="L19" s="135" t="s">
        <v>737</v>
      </c>
      <c r="M19" s="333">
        <v>35212.0</v>
      </c>
      <c r="N19" s="138" t="s">
        <v>67</v>
      </c>
      <c r="O19" s="124"/>
      <c r="P19" s="135" t="s">
        <v>68</v>
      </c>
      <c r="Q19" s="138"/>
      <c r="R19" s="138">
        <v>8.5360782966E10</v>
      </c>
      <c r="S19" s="135" t="s">
        <v>738</v>
      </c>
      <c r="T19" s="135" t="s">
        <v>739</v>
      </c>
      <c r="U19" s="135" t="s">
        <v>740</v>
      </c>
      <c r="V19" s="135" t="s">
        <v>73</v>
      </c>
      <c r="W19" s="135" t="s">
        <v>74</v>
      </c>
      <c r="X19" s="135" t="s">
        <v>741</v>
      </c>
      <c r="Y19" s="135" t="s">
        <v>742</v>
      </c>
      <c r="Z19" s="138"/>
      <c r="AA19" s="138"/>
    </row>
    <row r="20">
      <c r="A20" s="124">
        <f t="shared" si="1"/>
        <v>14</v>
      </c>
      <c r="B20" s="135" t="s">
        <v>743</v>
      </c>
      <c r="C20" s="135" t="s">
        <v>744</v>
      </c>
      <c r="D20" s="332" t="s">
        <v>5952</v>
      </c>
      <c r="E20" s="124" t="s">
        <v>88</v>
      </c>
      <c r="F20" s="332" t="s">
        <v>5953</v>
      </c>
      <c r="G20" s="332" t="s">
        <v>5954</v>
      </c>
      <c r="H20" s="135" t="s">
        <v>142</v>
      </c>
      <c r="I20" s="141" t="s">
        <v>706</v>
      </c>
      <c r="J20" s="135" t="s">
        <v>89</v>
      </c>
      <c r="K20" s="135" t="s">
        <v>207</v>
      </c>
      <c r="L20" s="135" t="s">
        <v>745</v>
      </c>
      <c r="M20" s="333">
        <v>36032.0</v>
      </c>
      <c r="N20" s="138" t="s">
        <v>67</v>
      </c>
      <c r="O20" s="124"/>
      <c r="P20" s="135" t="s">
        <v>68</v>
      </c>
      <c r="Q20" s="138"/>
      <c r="R20" s="138">
        <v>8.1260449362E10</v>
      </c>
      <c r="S20" s="135" t="s">
        <v>746</v>
      </c>
      <c r="T20" s="135" t="s">
        <v>747</v>
      </c>
      <c r="U20" s="135" t="s">
        <v>748</v>
      </c>
      <c r="V20" s="135" t="s">
        <v>96</v>
      </c>
      <c r="W20" s="135" t="s">
        <v>97</v>
      </c>
      <c r="X20" s="135" t="s">
        <v>213</v>
      </c>
      <c r="Y20" s="135" t="s">
        <v>214</v>
      </c>
      <c r="Z20" s="138">
        <v>0.0</v>
      </c>
      <c r="AA20" s="138">
        <v>0.0</v>
      </c>
    </row>
    <row r="21">
      <c r="A21" s="124">
        <f t="shared" si="1"/>
        <v>15</v>
      </c>
      <c r="B21" s="135" t="s">
        <v>749</v>
      </c>
      <c r="C21" s="135" t="s">
        <v>750</v>
      </c>
      <c r="D21" s="332" t="s">
        <v>5952</v>
      </c>
      <c r="E21" s="124" t="s">
        <v>88</v>
      </c>
      <c r="F21" s="332" t="s">
        <v>5953</v>
      </c>
      <c r="G21" s="332" t="s">
        <v>5954</v>
      </c>
      <c r="H21" s="135" t="s">
        <v>519</v>
      </c>
      <c r="I21" s="141" t="s">
        <v>751</v>
      </c>
      <c r="J21" s="135" t="s">
        <v>267</v>
      </c>
      <c r="K21" s="135" t="s">
        <v>752</v>
      </c>
      <c r="L21" s="135" t="s">
        <v>753</v>
      </c>
      <c r="M21" s="333">
        <v>41195.0</v>
      </c>
      <c r="N21" s="138" t="s">
        <v>67</v>
      </c>
      <c r="O21" s="124"/>
      <c r="P21" s="135" t="s">
        <v>68</v>
      </c>
      <c r="Q21" s="138"/>
      <c r="R21" s="138">
        <v>8.2297564323E10</v>
      </c>
      <c r="S21" s="135" t="s">
        <v>754</v>
      </c>
      <c r="T21" s="135" t="s">
        <v>755</v>
      </c>
      <c r="U21" s="135" t="s">
        <v>756</v>
      </c>
      <c r="V21" s="135" t="s">
        <v>96</v>
      </c>
      <c r="W21" s="135" t="s">
        <v>150</v>
      </c>
      <c r="X21" s="135" t="s">
        <v>757</v>
      </c>
      <c r="Y21" s="135" t="s">
        <v>758</v>
      </c>
      <c r="Z21" s="138"/>
      <c r="AA21" s="138"/>
    </row>
    <row r="22">
      <c r="A22" s="124">
        <f t="shared" si="1"/>
        <v>16</v>
      </c>
      <c r="B22" s="135" t="s">
        <v>759</v>
      </c>
      <c r="C22" s="135" t="s">
        <v>760</v>
      </c>
      <c r="D22" s="332" t="s">
        <v>5952</v>
      </c>
      <c r="E22" s="124" t="s">
        <v>88</v>
      </c>
      <c r="F22" s="332" t="s">
        <v>5953</v>
      </c>
      <c r="G22" s="332" t="s">
        <v>5954</v>
      </c>
      <c r="H22" s="135" t="s">
        <v>142</v>
      </c>
      <c r="I22" s="141" t="s">
        <v>639</v>
      </c>
      <c r="J22" s="135" t="s">
        <v>89</v>
      </c>
      <c r="K22" s="135" t="s">
        <v>90</v>
      </c>
      <c r="L22" s="135" t="s">
        <v>761</v>
      </c>
      <c r="M22" s="333">
        <v>37973.0</v>
      </c>
      <c r="N22" s="138" t="s">
        <v>67</v>
      </c>
      <c r="O22" s="124"/>
      <c r="P22" s="135" t="s">
        <v>130</v>
      </c>
      <c r="Q22" s="138"/>
      <c r="R22" s="138">
        <v>8.2167661112E10</v>
      </c>
      <c r="S22" s="135" t="s">
        <v>762</v>
      </c>
      <c r="T22" s="135" t="s">
        <v>763</v>
      </c>
      <c r="U22" s="135" t="s">
        <v>764</v>
      </c>
      <c r="V22" s="135" t="s">
        <v>73</v>
      </c>
      <c r="W22" s="135" t="s">
        <v>74</v>
      </c>
      <c r="X22" s="135" t="s">
        <v>360</v>
      </c>
      <c r="Y22" s="135" t="s">
        <v>566</v>
      </c>
      <c r="Z22" s="138"/>
      <c r="AA22" s="138"/>
    </row>
    <row r="23">
      <c r="A23" s="124">
        <f t="shared" si="1"/>
        <v>17</v>
      </c>
      <c r="B23" s="135" t="s">
        <v>765</v>
      </c>
      <c r="C23" s="135" t="s">
        <v>766</v>
      </c>
      <c r="D23" s="332" t="s">
        <v>5952</v>
      </c>
      <c r="E23" s="124" t="s">
        <v>88</v>
      </c>
      <c r="F23" s="332" t="s">
        <v>5953</v>
      </c>
      <c r="G23" s="332" t="s">
        <v>5954</v>
      </c>
      <c r="H23" s="135" t="s">
        <v>532</v>
      </c>
      <c r="I23" s="141" t="s">
        <v>767</v>
      </c>
      <c r="J23" s="135" t="s">
        <v>285</v>
      </c>
      <c r="K23" s="135" t="s">
        <v>768</v>
      </c>
      <c r="L23" s="135" t="s">
        <v>769</v>
      </c>
      <c r="M23" s="333">
        <v>40679.0</v>
      </c>
      <c r="N23" s="138" t="s">
        <v>67</v>
      </c>
      <c r="O23" s="124"/>
      <c r="P23" s="135" t="s">
        <v>130</v>
      </c>
      <c r="Q23" s="138"/>
      <c r="R23" s="138" t="s">
        <v>770</v>
      </c>
      <c r="S23" s="135" t="s">
        <v>771</v>
      </c>
      <c r="T23" s="135" t="s">
        <v>772</v>
      </c>
      <c r="U23" s="135" t="s">
        <v>773</v>
      </c>
      <c r="V23" s="135" t="s">
        <v>73</v>
      </c>
      <c r="W23" s="135" t="s">
        <v>74</v>
      </c>
      <c r="X23" s="135" t="s">
        <v>774</v>
      </c>
      <c r="Y23" s="135" t="s">
        <v>775</v>
      </c>
      <c r="Z23" s="138">
        <v>0.0</v>
      </c>
      <c r="AA23" s="138">
        <v>0.0</v>
      </c>
    </row>
    <row r="24">
      <c r="A24" s="124">
        <f t="shared" si="1"/>
        <v>18</v>
      </c>
      <c r="B24" s="135" t="s">
        <v>776</v>
      </c>
      <c r="C24" s="135" t="s">
        <v>777</v>
      </c>
      <c r="D24" s="332" t="s">
        <v>5952</v>
      </c>
      <c r="E24" s="124" t="s">
        <v>88</v>
      </c>
      <c r="F24" s="332" t="s">
        <v>5953</v>
      </c>
      <c r="G24" s="332" t="s">
        <v>5954</v>
      </c>
      <c r="H24" s="135" t="s">
        <v>532</v>
      </c>
      <c r="I24" s="141" t="s">
        <v>639</v>
      </c>
      <c r="J24" s="135" t="s">
        <v>285</v>
      </c>
      <c r="K24" s="135" t="s">
        <v>399</v>
      </c>
      <c r="L24" s="135" t="s">
        <v>778</v>
      </c>
      <c r="M24" s="333">
        <v>39613.0</v>
      </c>
      <c r="N24" s="138" t="s">
        <v>220</v>
      </c>
      <c r="O24" s="124"/>
      <c r="P24" s="135" t="s">
        <v>130</v>
      </c>
      <c r="Q24" s="138"/>
      <c r="R24" s="138">
        <v>8.1265402011E10</v>
      </c>
      <c r="S24" s="135" t="s">
        <v>779</v>
      </c>
      <c r="T24" s="135" t="s">
        <v>780</v>
      </c>
      <c r="U24" s="135" t="s">
        <v>781</v>
      </c>
      <c r="V24" s="135" t="s">
        <v>96</v>
      </c>
      <c r="W24" s="135" t="s">
        <v>150</v>
      </c>
      <c r="X24" s="135" t="s">
        <v>151</v>
      </c>
      <c r="Y24" s="135" t="s">
        <v>782</v>
      </c>
      <c r="Z24" s="138"/>
      <c r="AA24" s="138"/>
    </row>
    <row r="25">
      <c r="A25" s="124">
        <f t="shared" si="1"/>
        <v>19</v>
      </c>
      <c r="B25" s="135" t="s">
        <v>783</v>
      </c>
      <c r="C25" s="135" t="s">
        <v>784</v>
      </c>
      <c r="D25" s="332" t="s">
        <v>5952</v>
      </c>
      <c r="E25" s="124" t="s">
        <v>88</v>
      </c>
      <c r="F25" s="332" t="s">
        <v>5953</v>
      </c>
      <c r="G25" s="332" t="s">
        <v>5954</v>
      </c>
      <c r="H25" s="336" t="s">
        <v>519</v>
      </c>
      <c r="I25" s="141" t="s">
        <v>639</v>
      </c>
      <c r="J25" s="135" t="s">
        <v>267</v>
      </c>
      <c r="K25" s="135" t="s">
        <v>418</v>
      </c>
      <c r="L25" s="135" t="s">
        <v>231</v>
      </c>
      <c r="M25" s="333">
        <v>42580.0</v>
      </c>
      <c r="N25" s="138" t="s">
        <v>67</v>
      </c>
      <c r="O25" s="124"/>
      <c r="P25" s="135" t="s">
        <v>68</v>
      </c>
      <c r="Q25" s="138"/>
      <c r="R25" s="138">
        <v>8.21688881234E11</v>
      </c>
      <c r="S25" s="135" t="s">
        <v>785</v>
      </c>
      <c r="T25" s="135" t="s">
        <v>786</v>
      </c>
      <c r="U25" s="135" t="s">
        <v>787</v>
      </c>
      <c r="V25" s="135" t="s">
        <v>96</v>
      </c>
      <c r="W25" s="135" t="s">
        <v>97</v>
      </c>
      <c r="X25" s="135" t="s">
        <v>136</v>
      </c>
      <c r="Y25" s="135" t="s">
        <v>151</v>
      </c>
      <c r="Z25" s="138"/>
      <c r="AA25" s="138"/>
    </row>
    <row r="26">
      <c r="A26" s="124">
        <f t="shared" si="1"/>
        <v>20</v>
      </c>
      <c r="B26" s="135" t="s">
        <v>788</v>
      </c>
      <c r="C26" s="135" t="s">
        <v>789</v>
      </c>
      <c r="D26" s="332" t="s">
        <v>5952</v>
      </c>
      <c r="E26" s="124" t="s">
        <v>88</v>
      </c>
      <c r="F26" s="332" t="s">
        <v>5953</v>
      </c>
      <c r="G26" s="332" t="s">
        <v>5954</v>
      </c>
      <c r="H26" s="135" t="s">
        <v>142</v>
      </c>
      <c r="I26" s="141" t="s">
        <v>639</v>
      </c>
      <c r="J26" s="135" t="s">
        <v>89</v>
      </c>
      <c r="K26" s="135" t="s">
        <v>243</v>
      </c>
      <c r="L26" s="135" t="s">
        <v>231</v>
      </c>
      <c r="M26" s="333">
        <v>42481.0</v>
      </c>
      <c r="N26" s="138" t="s">
        <v>67</v>
      </c>
      <c r="O26" s="124"/>
      <c r="P26" s="135" t="s">
        <v>130</v>
      </c>
      <c r="Q26" s="138"/>
      <c r="R26" s="138">
        <v>8.527549937E10</v>
      </c>
      <c r="S26" s="135" t="s">
        <v>790</v>
      </c>
      <c r="T26" s="135" t="s">
        <v>791</v>
      </c>
      <c r="U26" s="135" t="s">
        <v>792</v>
      </c>
      <c r="V26" s="135" t="s">
        <v>96</v>
      </c>
      <c r="W26" s="135" t="s">
        <v>97</v>
      </c>
      <c r="X26" s="135" t="s">
        <v>272</v>
      </c>
      <c r="Y26" s="135" t="s">
        <v>334</v>
      </c>
      <c r="Z26" s="138">
        <v>0.0</v>
      </c>
      <c r="AA26" s="138">
        <v>0.0</v>
      </c>
    </row>
    <row r="27">
      <c r="A27" s="124">
        <f t="shared" si="1"/>
        <v>21</v>
      </c>
      <c r="B27" s="135" t="s">
        <v>793</v>
      </c>
      <c r="C27" s="135" t="s">
        <v>794</v>
      </c>
      <c r="D27" s="332" t="s">
        <v>5952</v>
      </c>
      <c r="E27" s="124" t="s">
        <v>88</v>
      </c>
      <c r="F27" s="332" t="s">
        <v>5953</v>
      </c>
      <c r="G27" s="332" t="s">
        <v>5954</v>
      </c>
      <c r="H27" s="135" t="s">
        <v>142</v>
      </c>
      <c r="I27" s="141" t="s">
        <v>639</v>
      </c>
      <c r="J27" s="135" t="s">
        <v>89</v>
      </c>
      <c r="K27" s="135" t="s">
        <v>795</v>
      </c>
      <c r="L27" s="135" t="s">
        <v>648</v>
      </c>
      <c r="M27" s="333">
        <v>43302.0</v>
      </c>
      <c r="N27" s="138" t="s">
        <v>67</v>
      </c>
      <c r="O27" s="124"/>
      <c r="P27" s="135" t="s">
        <v>68</v>
      </c>
      <c r="Q27" s="138"/>
      <c r="R27" s="138">
        <v>8.3801595263E10</v>
      </c>
      <c r="S27" s="135" t="s">
        <v>796</v>
      </c>
      <c r="T27" s="135" t="s">
        <v>797</v>
      </c>
      <c r="U27" s="135" t="s">
        <v>798</v>
      </c>
      <c r="V27" s="135" t="s">
        <v>73</v>
      </c>
      <c r="W27" s="135" t="s">
        <v>74</v>
      </c>
      <c r="X27" s="135" t="s">
        <v>774</v>
      </c>
      <c r="Y27" s="135" t="s">
        <v>799</v>
      </c>
      <c r="Z27" s="138"/>
      <c r="AA27" s="138"/>
    </row>
    <row r="28">
      <c r="A28" s="124">
        <f t="shared" si="1"/>
        <v>22</v>
      </c>
      <c r="B28" s="135" t="s">
        <v>800</v>
      </c>
      <c r="C28" s="135" t="s">
        <v>801</v>
      </c>
      <c r="D28" s="332" t="s">
        <v>5952</v>
      </c>
      <c r="E28" s="124" t="s">
        <v>88</v>
      </c>
      <c r="F28" s="332" t="s">
        <v>5953</v>
      </c>
      <c r="G28" s="332" t="s">
        <v>5954</v>
      </c>
      <c r="H28" s="135" t="s">
        <v>532</v>
      </c>
      <c r="I28" s="141" t="s">
        <v>661</v>
      </c>
      <c r="J28" s="135" t="s">
        <v>285</v>
      </c>
      <c r="K28" s="135"/>
      <c r="L28" s="135" t="s">
        <v>802</v>
      </c>
      <c r="M28" s="333">
        <v>36309.0</v>
      </c>
      <c r="N28" s="138" t="s">
        <v>67</v>
      </c>
      <c r="O28" s="124"/>
      <c r="P28" s="135" t="s">
        <v>130</v>
      </c>
      <c r="Q28" s="138"/>
      <c r="R28" s="138">
        <v>8.5297216782E10</v>
      </c>
      <c r="S28" s="135" t="s">
        <v>803</v>
      </c>
      <c r="T28" s="135" t="s">
        <v>804</v>
      </c>
      <c r="U28" s="135" t="s">
        <v>740</v>
      </c>
      <c r="V28" s="135" t="s">
        <v>73</v>
      </c>
      <c r="W28" s="135" t="s">
        <v>74</v>
      </c>
      <c r="X28" s="135" t="s">
        <v>741</v>
      </c>
      <c r="Y28" s="135" t="s">
        <v>742</v>
      </c>
      <c r="Z28" s="138"/>
      <c r="AA28" s="138"/>
    </row>
    <row r="29">
      <c r="A29" s="124">
        <f t="shared" si="1"/>
        <v>23</v>
      </c>
      <c r="B29" s="135" t="s">
        <v>805</v>
      </c>
      <c r="C29" s="135" t="s">
        <v>806</v>
      </c>
      <c r="D29" s="332" t="s">
        <v>5952</v>
      </c>
      <c r="E29" s="124" t="s">
        <v>88</v>
      </c>
      <c r="F29" s="332" t="s">
        <v>5953</v>
      </c>
      <c r="G29" s="332" t="s">
        <v>5954</v>
      </c>
      <c r="H29" s="135" t="s">
        <v>532</v>
      </c>
      <c r="I29" s="141" t="s">
        <v>706</v>
      </c>
      <c r="J29" s="135" t="s">
        <v>285</v>
      </c>
      <c r="K29" s="135" t="s">
        <v>807</v>
      </c>
      <c r="L29" s="135" t="s">
        <v>808</v>
      </c>
      <c r="M29" s="333">
        <v>36694.0</v>
      </c>
      <c r="N29" s="138" t="s">
        <v>67</v>
      </c>
      <c r="O29" s="124"/>
      <c r="P29" s="135" t="s">
        <v>68</v>
      </c>
      <c r="Q29" s="138"/>
      <c r="R29" s="138">
        <v>8.2319344062E10</v>
      </c>
      <c r="S29" s="135" t="s">
        <v>809</v>
      </c>
      <c r="T29" s="135" t="s">
        <v>810</v>
      </c>
      <c r="U29" s="135" t="s">
        <v>811</v>
      </c>
      <c r="V29" s="135" t="s">
        <v>96</v>
      </c>
      <c r="W29" s="135" t="s">
        <v>135</v>
      </c>
      <c r="X29" s="135" t="s">
        <v>213</v>
      </c>
      <c r="Y29" s="135" t="s">
        <v>214</v>
      </c>
      <c r="Z29" s="138"/>
      <c r="AA29" s="138"/>
    </row>
    <row r="30">
      <c r="A30" s="124">
        <f t="shared" si="1"/>
        <v>24</v>
      </c>
      <c r="B30" s="135" t="s">
        <v>812</v>
      </c>
      <c r="C30" s="135" t="s">
        <v>813</v>
      </c>
      <c r="D30" s="332" t="s">
        <v>5952</v>
      </c>
      <c r="E30" s="124" t="s">
        <v>88</v>
      </c>
      <c r="F30" s="332" t="s">
        <v>5953</v>
      </c>
      <c r="G30" s="332" t="s">
        <v>5954</v>
      </c>
      <c r="H30" s="135" t="s">
        <v>519</v>
      </c>
      <c r="I30" s="141" t="s">
        <v>661</v>
      </c>
      <c r="J30" s="135" t="s">
        <v>267</v>
      </c>
      <c r="K30" s="135" t="s">
        <v>814</v>
      </c>
      <c r="L30" s="135" t="s">
        <v>815</v>
      </c>
      <c r="M30" s="333">
        <v>39319.0</v>
      </c>
      <c r="N30" s="138" t="s">
        <v>67</v>
      </c>
      <c r="O30" s="124"/>
      <c r="P30" s="135" t="s">
        <v>68</v>
      </c>
      <c r="Q30" s="138"/>
      <c r="R30" s="138">
        <v>8.1396725996E10</v>
      </c>
      <c r="S30" s="135" t="s">
        <v>816</v>
      </c>
      <c r="T30" s="135" t="s">
        <v>817</v>
      </c>
      <c r="U30" s="135" t="s">
        <v>818</v>
      </c>
      <c r="V30" s="135" t="s">
        <v>73</v>
      </c>
      <c r="W30" s="135" t="s">
        <v>481</v>
      </c>
      <c r="X30" s="135" t="s">
        <v>741</v>
      </c>
      <c r="Y30" s="135" t="s">
        <v>819</v>
      </c>
      <c r="Z30" s="138">
        <v>0.0</v>
      </c>
      <c r="AA30" s="138">
        <v>0.0</v>
      </c>
    </row>
    <row r="31">
      <c r="A31" s="124">
        <f t="shared" si="1"/>
        <v>25</v>
      </c>
      <c r="B31" s="135" t="s">
        <v>820</v>
      </c>
      <c r="C31" s="135" t="s">
        <v>821</v>
      </c>
      <c r="D31" s="332" t="s">
        <v>5952</v>
      </c>
      <c r="E31" s="124" t="s">
        <v>88</v>
      </c>
      <c r="F31" s="332" t="s">
        <v>5953</v>
      </c>
      <c r="G31" s="332" t="s">
        <v>5954</v>
      </c>
      <c r="H31" s="135" t="s">
        <v>532</v>
      </c>
      <c r="I31" s="141" t="s">
        <v>706</v>
      </c>
      <c r="J31" s="135" t="s">
        <v>285</v>
      </c>
      <c r="K31" s="135" t="s">
        <v>399</v>
      </c>
      <c r="L31" s="135" t="s">
        <v>822</v>
      </c>
      <c r="M31" s="333">
        <v>37422.0</v>
      </c>
      <c r="N31" s="138" t="s">
        <v>67</v>
      </c>
      <c r="O31" s="124"/>
      <c r="P31" s="135" t="s">
        <v>68</v>
      </c>
      <c r="Q31" s="138"/>
      <c r="R31" s="138" t="s">
        <v>823</v>
      </c>
      <c r="S31" s="135" t="s">
        <v>824</v>
      </c>
      <c r="T31" s="135" t="s">
        <v>825</v>
      </c>
      <c r="U31" s="135" t="s">
        <v>826</v>
      </c>
      <c r="V31" s="135" t="s">
        <v>73</v>
      </c>
      <c r="W31" s="135" t="s">
        <v>74</v>
      </c>
      <c r="X31" s="135" t="s">
        <v>360</v>
      </c>
      <c r="Y31" s="135" t="s">
        <v>827</v>
      </c>
      <c r="Z31" s="138" t="s">
        <v>77</v>
      </c>
      <c r="AA31" s="138" t="s">
        <v>77</v>
      </c>
    </row>
    <row r="32">
      <c r="A32" s="124">
        <f t="shared" si="1"/>
        <v>26</v>
      </c>
      <c r="B32" s="135" t="s">
        <v>828</v>
      </c>
      <c r="C32" s="135" t="s">
        <v>829</v>
      </c>
      <c r="D32" s="332" t="s">
        <v>5952</v>
      </c>
      <c r="E32" s="124" t="s">
        <v>88</v>
      </c>
      <c r="F32" s="332" t="s">
        <v>5953</v>
      </c>
      <c r="G32" s="332" t="s">
        <v>5954</v>
      </c>
      <c r="H32" s="135" t="s">
        <v>532</v>
      </c>
      <c r="I32" s="141" t="s">
        <v>830</v>
      </c>
      <c r="J32" s="135" t="s">
        <v>285</v>
      </c>
      <c r="K32" s="135"/>
      <c r="L32" s="135" t="s">
        <v>831</v>
      </c>
      <c r="M32" s="335">
        <v>43257.0</v>
      </c>
      <c r="N32" s="138" t="s">
        <v>67</v>
      </c>
      <c r="O32" s="124"/>
      <c r="P32" s="135" t="s">
        <v>68</v>
      </c>
      <c r="Q32" s="138"/>
      <c r="R32" s="138">
        <v>8.2276493863E10</v>
      </c>
      <c r="S32" s="135" t="s">
        <v>832</v>
      </c>
      <c r="T32" s="135" t="s">
        <v>833</v>
      </c>
      <c r="U32" s="135" t="s">
        <v>834</v>
      </c>
      <c r="V32" s="135" t="s">
        <v>73</v>
      </c>
      <c r="W32" s="135" t="s">
        <v>835</v>
      </c>
      <c r="X32" s="135" t="s">
        <v>191</v>
      </c>
      <c r="Y32" s="135" t="s">
        <v>836</v>
      </c>
      <c r="Z32" s="138"/>
      <c r="AA32" s="138"/>
    </row>
    <row r="33">
      <c r="A33" s="124">
        <f t="shared" si="1"/>
        <v>27</v>
      </c>
      <c r="B33" s="135" t="s">
        <v>837</v>
      </c>
      <c r="C33" s="135" t="s">
        <v>838</v>
      </c>
      <c r="D33" s="332" t="s">
        <v>5952</v>
      </c>
      <c r="E33" s="124" t="s">
        <v>88</v>
      </c>
      <c r="F33" s="332" t="s">
        <v>5953</v>
      </c>
      <c r="G33" s="332" t="s">
        <v>5954</v>
      </c>
      <c r="H33" s="135" t="s">
        <v>532</v>
      </c>
      <c r="I33" s="141" t="s">
        <v>839</v>
      </c>
      <c r="J33" s="135" t="s">
        <v>285</v>
      </c>
      <c r="K33" s="135"/>
      <c r="L33" s="135" t="s">
        <v>840</v>
      </c>
      <c r="M33" s="333">
        <v>35212.0</v>
      </c>
      <c r="N33" s="138" t="s">
        <v>67</v>
      </c>
      <c r="O33" s="124"/>
      <c r="P33" s="135" t="s">
        <v>68</v>
      </c>
      <c r="Q33" s="138"/>
      <c r="R33" s="138">
        <v>8.2288109335E10</v>
      </c>
      <c r="S33" s="135" t="s">
        <v>841</v>
      </c>
      <c r="T33" s="135" t="s">
        <v>842</v>
      </c>
      <c r="U33" s="135" t="s">
        <v>843</v>
      </c>
      <c r="V33" s="135" t="s">
        <v>73</v>
      </c>
      <c r="W33" s="135" t="s">
        <v>166</v>
      </c>
      <c r="X33" s="135" t="s">
        <v>251</v>
      </c>
      <c r="Y33" s="135" t="s">
        <v>844</v>
      </c>
      <c r="Z33" s="138"/>
      <c r="AA33" s="138"/>
    </row>
    <row r="34">
      <c r="A34" s="124">
        <f t="shared" si="1"/>
        <v>28</v>
      </c>
      <c r="B34" s="135" t="s">
        <v>845</v>
      </c>
      <c r="C34" s="135" t="s">
        <v>846</v>
      </c>
      <c r="D34" s="332" t="s">
        <v>5952</v>
      </c>
      <c r="E34" s="124" t="s">
        <v>88</v>
      </c>
      <c r="F34" s="332" t="s">
        <v>5953</v>
      </c>
      <c r="G34" s="332" t="s">
        <v>5954</v>
      </c>
      <c r="H34" s="135" t="s">
        <v>660</v>
      </c>
      <c r="I34" s="141" t="s">
        <v>669</v>
      </c>
      <c r="J34" s="135" t="s">
        <v>847</v>
      </c>
      <c r="K34" s="135"/>
      <c r="L34" s="135" t="s">
        <v>848</v>
      </c>
      <c r="M34" s="333">
        <v>40386.0</v>
      </c>
      <c r="N34" s="138" t="s">
        <v>67</v>
      </c>
      <c r="O34" s="124"/>
      <c r="P34" s="135" t="s">
        <v>68</v>
      </c>
      <c r="Q34" s="138"/>
      <c r="R34" s="138">
        <v>8.1234488016E10</v>
      </c>
      <c r="S34" s="135" t="s">
        <v>849</v>
      </c>
      <c r="T34" s="135" t="s">
        <v>850</v>
      </c>
      <c r="U34" s="135" t="s">
        <v>851</v>
      </c>
      <c r="V34" s="135" t="s">
        <v>96</v>
      </c>
      <c r="W34" s="135" t="s">
        <v>97</v>
      </c>
      <c r="X34" s="135" t="s">
        <v>236</v>
      </c>
      <c r="Y34" s="135" t="s">
        <v>852</v>
      </c>
      <c r="Z34" s="138" t="s">
        <v>77</v>
      </c>
      <c r="AA34" s="138" t="s">
        <v>77</v>
      </c>
    </row>
    <row r="35">
      <c r="A35" s="124">
        <f t="shared" si="1"/>
        <v>29</v>
      </c>
      <c r="B35" s="135" t="s">
        <v>853</v>
      </c>
      <c r="C35" s="135" t="s">
        <v>854</v>
      </c>
      <c r="D35" s="332" t="s">
        <v>5952</v>
      </c>
      <c r="E35" s="124" t="s">
        <v>88</v>
      </c>
      <c r="F35" s="332" t="s">
        <v>5953</v>
      </c>
      <c r="G35" s="332" t="s">
        <v>5954</v>
      </c>
      <c r="H35" s="135" t="s">
        <v>519</v>
      </c>
      <c r="I35" s="141" t="s">
        <v>639</v>
      </c>
      <c r="J35" s="135" t="s">
        <v>267</v>
      </c>
      <c r="K35" s="135" t="s">
        <v>855</v>
      </c>
      <c r="L35" s="135" t="s">
        <v>856</v>
      </c>
      <c r="M35" s="333">
        <v>38610.0</v>
      </c>
      <c r="N35" s="138" t="s">
        <v>67</v>
      </c>
      <c r="O35" s="124"/>
      <c r="P35" s="135" t="s">
        <v>68</v>
      </c>
      <c r="Q35" s="138"/>
      <c r="R35" s="138">
        <v>8.1260664382E10</v>
      </c>
      <c r="S35" s="135" t="s">
        <v>857</v>
      </c>
      <c r="T35" s="135" t="s">
        <v>858</v>
      </c>
      <c r="U35" s="135" t="s">
        <v>859</v>
      </c>
      <c r="V35" s="135" t="s">
        <v>73</v>
      </c>
      <c r="W35" s="135" t="s">
        <v>74</v>
      </c>
      <c r="X35" s="135" t="s">
        <v>860</v>
      </c>
      <c r="Y35" s="135" t="s">
        <v>861</v>
      </c>
      <c r="Z35" s="138"/>
      <c r="AA35" s="138"/>
    </row>
    <row r="36">
      <c r="A36" s="124">
        <f t="shared" si="1"/>
        <v>30</v>
      </c>
      <c r="B36" s="135" t="s">
        <v>862</v>
      </c>
      <c r="C36" s="135" t="s">
        <v>863</v>
      </c>
      <c r="D36" s="332" t="s">
        <v>5952</v>
      </c>
      <c r="E36" s="124" t="s">
        <v>88</v>
      </c>
      <c r="F36" s="332" t="s">
        <v>5953</v>
      </c>
      <c r="G36" s="332" t="s">
        <v>5954</v>
      </c>
      <c r="H36" s="135" t="s">
        <v>519</v>
      </c>
      <c r="I36" s="141" t="s">
        <v>639</v>
      </c>
      <c r="J36" s="135" t="s">
        <v>267</v>
      </c>
      <c r="K36" s="135" t="s">
        <v>864</v>
      </c>
      <c r="L36" s="135" t="s">
        <v>865</v>
      </c>
      <c r="M36" s="335">
        <v>40851.0</v>
      </c>
      <c r="N36" s="138" t="s">
        <v>67</v>
      </c>
      <c r="O36" s="124"/>
      <c r="P36" s="135" t="s">
        <v>130</v>
      </c>
      <c r="Q36" s="138"/>
      <c r="R36" s="138" t="s">
        <v>866</v>
      </c>
      <c r="S36" s="135" t="s">
        <v>867</v>
      </c>
      <c r="T36" s="135" t="s">
        <v>868</v>
      </c>
      <c r="U36" s="135" t="s">
        <v>869</v>
      </c>
      <c r="V36" s="135" t="s">
        <v>73</v>
      </c>
      <c r="W36" s="135" t="s">
        <v>166</v>
      </c>
      <c r="X36" s="135" t="s">
        <v>224</v>
      </c>
      <c r="Y36" s="135" t="s">
        <v>870</v>
      </c>
      <c r="Z36" s="138" t="s">
        <v>77</v>
      </c>
      <c r="AA36" s="138" t="s">
        <v>77</v>
      </c>
    </row>
    <row r="37">
      <c r="A37" s="124">
        <f t="shared" si="1"/>
        <v>31</v>
      </c>
      <c r="B37" s="135" t="s">
        <v>871</v>
      </c>
      <c r="C37" s="135" t="s">
        <v>872</v>
      </c>
      <c r="D37" s="332" t="s">
        <v>5952</v>
      </c>
      <c r="E37" s="124" t="s">
        <v>88</v>
      </c>
      <c r="F37" s="332" t="s">
        <v>5953</v>
      </c>
      <c r="G37" s="332" t="s">
        <v>5954</v>
      </c>
      <c r="H37" s="135" t="s">
        <v>142</v>
      </c>
      <c r="I37" s="141" t="s">
        <v>639</v>
      </c>
      <c r="J37" s="135" t="s">
        <v>89</v>
      </c>
      <c r="K37" s="135" t="s">
        <v>873</v>
      </c>
      <c r="L37" s="135" t="s">
        <v>648</v>
      </c>
      <c r="M37" s="333">
        <v>42245.0</v>
      </c>
      <c r="N37" s="138" t="s">
        <v>67</v>
      </c>
      <c r="O37" s="124"/>
      <c r="P37" s="135" t="s">
        <v>130</v>
      </c>
      <c r="Q37" s="138"/>
      <c r="R37" s="138">
        <v>8.5270522827E10</v>
      </c>
      <c r="S37" s="135" t="s">
        <v>874</v>
      </c>
      <c r="T37" s="135" t="s">
        <v>875</v>
      </c>
      <c r="U37" s="135" t="s">
        <v>876</v>
      </c>
      <c r="V37" s="135" t="s">
        <v>96</v>
      </c>
      <c r="W37" s="135" t="s">
        <v>150</v>
      </c>
      <c r="X37" s="135" t="s">
        <v>877</v>
      </c>
      <c r="Y37" s="135" t="s">
        <v>878</v>
      </c>
      <c r="Z37" s="138" t="s">
        <v>77</v>
      </c>
      <c r="AA37" s="138" t="s">
        <v>77</v>
      </c>
    </row>
    <row r="38">
      <c r="A38" s="124">
        <f t="shared" si="1"/>
        <v>32</v>
      </c>
      <c r="B38" s="135" t="s">
        <v>879</v>
      </c>
      <c r="C38" s="135" t="s">
        <v>880</v>
      </c>
      <c r="D38" s="332" t="s">
        <v>5952</v>
      </c>
      <c r="E38" s="124" t="s">
        <v>88</v>
      </c>
      <c r="F38" s="332" t="s">
        <v>5953</v>
      </c>
      <c r="G38" s="332" t="s">
        <v>5954</v>
      </c>
      <c r="H38" s="135" t="s">
        <v>532</v>
      </c>
      <c r="I38" s="141" t="s">
        <v>706</v>
      </c>
      <c r="J38" s="135" t="s">
        <v>285</v>
      </c>
      <c r="K38" s="135"/>
      <c r="L38" s="135" t="s">
        <v>881</v>
      </c>
      <c r="M38" s="333">
        <v>34485.0</v>
      </c>
      <c r="N38" s="138" t="s">
        <v>67</v>
      </c>
      <c r="O38" s="124"/>
      <c r="P38" s="135" t="s">
        <v>68</v>
      </c>
      <c r="Q38" s="138"/>
      <c r="R38" s="138">
        <v>8.5182932795E10</v>
      </c>
      <c r="S38" s="135" t="s">
        <v>882</v>
      </c>
      <c r="T38" s="135" t="s">
        <v>883</v>
      </c>
      <c r="U38" s="135" t="s">
        <v>884</v>
      </c>
      <c r="V38" s="135" t="s">
        <v>96</v>
      </c>
      <c r="W38" s="135" t="s">
        <v>97</v>
      </c>
      <c r="X38" s="135" t="s">
        <v>213</v>
      </c>
      <c r="Y38" s="135" t="s">
        <v>885</v>
      </c>
      <c r="Z38" s="138">
        <v>0.0</v>
      </c>
      <c r="AA38" s="138">
        <v>0.0</v>
      </c>
    </row>
    <row r="39">
      <c r="A39" s="124">
        <f t="shared" si="1"/>
        <v>33</v>
      </c>
      <c r="B39" s="135" t="s">
        <v>886</v>
      </c>
      <c r="C39" s="135" t="s">
        <v>887</v>
      </c>
      <c r="D39" s="332" t="s">
        <v>5952</v>
      </c>
      <c r="E39" s="124" t="s">
        <v>88</v>
      </c>
      <c r="F39" s="332" t="s">
        <v>5953</v>
      </c>
      <c r="G39" s="332" t="s">
        <v>5954</v>
      </c>
      <c r="H39" s="135" t="s">
        <v>532</v>
      </c>
      <c r="I39" s="141" t="s">
        <v>696</v>
      </c>
      <c r="J39" s="135" t="s">
        <v>285</v>
      </c>
      <c r="K39" s="135" t="s">
        <v>807</v>
      </c>
      <c r="L39" s="135" t="s">
        <v>888</v>
      </c>
      <c r="M39" s="333">
        <v>40294.0</v>
      </c>
      <c r="N39" s="138" t="s">
        <v>67</v>
      </c>
      <c r="O39" s="124"/>
      <c r="P39" s="135" t="s">
        <v>68</v>
      </c>
      <c r="Q39" s="138"/>
      <c r="R39" s="138" t="s">
        <v>889</v>
      </c>
      <c r="S39" s="135" t="s">
        <v>890</v>
      </c>
      <c r="T39" s="135" t="s">
        <v>891</v>
      </c>
      <c r="U39" s="135" t="s">
        <v>892</v>
      </c>
      <c r="V39" s="135" t="s">
        <v>73</v>
      </c>
      <c r="W39" s="135" t="s">
        <v>166</v>
      </c>
      <c r="X39" s="135" t="s">
        <v>167</v>
      </c>
      <c r="Y39" s="135" t="s">
        <v>893</v>
      </c>
      <c r="Z39" s="138" t="s">
        <v>77</v>
      </c>
      <c r="AA39" s="138">
        <v>15.0</v>
      </c>
    </row>
    <row r="40">
      <c r="A40" s="124">
        <f t="shared" si="1"/>
        <v>34</v>
      </c>
      <c r="B40" s="135" t="s">
        <v>894</v>
      </c>
      <c r="C40" s="135" t="s">
        <v>895</v>
      </c>
      <c r="D40" s="332" t="s">
        <v>5952</v>
      </c>
      <c r="E40" s="124" t="s">
        <v>88</v>
      </c>
      <c r="F40" s="332" t="s">
        <v>5953</v>
      </c>
      <c r="G40" s="332" t="s">
        <v>5954</v>
      </c>
      <c r="H40" s="135" t="s">
        <v>519</v>
      </c>
      <c r="I40" s="141" t="s">
        <v>661</v>
      </c>
      <c r="J40" s="135" t="s">
        <v>267</v>
      </c>
      <c r="K40" s="135" t="s">
        <v>346</v>
      </c>
      <c r="L40" s="135" t="s">
        <v>896</v>
      </c>
      <c r="M40" s="333">
        <v>42294.0</v>
      </c>
      <c r="N40" s="138" t="s">
        <v>67</v>
      </c>
      <c r="O40" s="124"/>
      <c r="P40" s="135" t="s">
        <v>68</v>
      </c>
      <c r="Q40" s="138"/>
      <c r="R40" s="138">
        <v>8.5762660672E10</v>
      </c>
      <c r="S40" s="135" t="s">
        <v>897</v>
      </c>
      <c r="T40" s="135" t="s">
        <v>898</v>
      </c>
      <c r="U40" s="135" t="s">
        <v>899</v>
      </c>
      <c r="V40" s="135" t="s">
        <v>73</v>
      </c>
      <c r="W40" s="135" t="s">
        <v>481</v>
      </c>
      <c r="X40" s="135" t="s">
        <v>582</v>
      </c>
      <c r="Y40" s="135" t="s">
        <v>900</v>
      </c>
      <c r="Z40" s="138">
        <v>0.0</v>
      </c>
      <c r="AA40" s="138">
        <v>0.0</v>
      </c>
    </row>
    <row r="41">
      <c r="A41" s="124">
        <f t="shared" si="1"/>
        <v>35</v>
      </c>
      <c r="B41" s="135" t="s">
        <v>901</v>
      </c>
      <c r="C41" s="135" t="s">
        <v>902</v>
      </c>
      <c r="D41" s="332" t="s">
        <v>5952</v>
      </c>
      <c r="E41" s="124" t="s">
        <v>88</v>
      </c>
      <c r="F41" s="332" t="s">
        <v>5953</v>
      </c>
      <c r="G41" s="332" t="s">
        <v>5954</v>
      </c>
      <c r="H41" s="135" t="s">
        <v>142</v>
      </c>
      <c r="I41" s="141" t="s">
        <v>639</v>
      </c>
      <c r="J41" s="135" t="s">
        <v>89</v>
      </c>
      <c r="K41" s="135" t="s">
        <v>903</v>
      </c>
      <c r="L41" s="135" t="s">
        <v>904</v>
      </c>
      <c r="M41" s="333">
        <v>42853.0</v>
      </c>
      <c r="N41" s="138" t="s">
        <v>67</v>
      </c>
      <c r="O41" s="124"/>
      <c r="P41" s="135" t="s">
        <v>68</v>
      </c>
      <c r="Q41" s="124"/>
      <c r="R41" s="138">
        <v>8.12653646E9</v>
      </c>
      <c r="S41" s="135" t="s">
        <v>905</v>
      </c>
      <c r="T41" s="135" t="s">
        <v>906</v>
      </c>
      <c r="U41" s="135" t="s">
        <v>907</v>
      </c>
      <c r="V41" s="135" t="s">
        <v>73</v>
      </c>
      <c r="W41" s="135" t="s">
        <v>74</v>
      </c>
      <c r="X41" s="135" t="s">
        <v>774</v>
      </c>
      <c r="Y41" s="135" t="s">
        <v>775</v>
      </c>
      <c r="Z41" s="138"/>
      <c r="AA41" s="138"/>
    </row>
    <row r="42">
      <c r="A42" s="124">
        <f t="shared" si="1"/>
        <v>36</v>
      </c>
      <c r="B42" s="135" t="s">
        <v>908</v>
      </c>
      <c r="C42" s="135" t="s">
        <v>909</v>
      </c>
      <c r="D42" s="332" t="s">
        <v>5952</v>
      </c>
      <c r="E42" s="124" t="s">
        <v>88</v>
      </c>
      <c r="F42" s="332" t="s">
        <v>5953</v>
      </c>
      <c r="G42" s="332" t="s">
        <v>5954</v>
      </c>
      <c r="H42" s="135" t="s">
        <v>532</v>
      </c>
      <c r="I42" s="141" t="s">
        <v>720</v>
      </c>
      <c r="J42" s="135" t="s">
        <v>285</v>
      </c>
      <c r="K42" s="135" t="s">
        <v>910</v>
      </c>
      <c r="L42" s="135" t="s">
        <v>911</v>
      </c>
      <c r="M42" s="333">
        <v>34118.0</v>
      </c>
      <c r="N42" s="138" t="s">
        <v>67</v>
      </c>
      <c r="O42" s="124"/>
      <c r="P42" s="135" t="s">
        <v>68</v>
      </c>
      <c r="Q42" s="124"/>
      <c r="R42" s="138">
        <v>8.1263264727E10</v>
      </c>
      <c r="S42" s="135" t="s">
        <v>912</v>
      </c>
      <c r="T42" s="135" t="s">
        <v>913</v>
      </c>
      <c r="U42" s="135" t="s">
        <v>914</v>
      </c>
      <c r="V42" s="135" t="s">
        <v>73</v>
      </c>
      <c r="W42" s="135" t="s">
        <v>166</v>
      </c>
      <c r="X42" s="135" t="s">
        <v>915</v>
      </c>
      <c r="Y42" s="135" t="s">
        <v>916</v>
      </c>
      <c r="Z42" s="138">
        <v>15.0</v>
      </c>
      <c r="AA42" s="138">
        <v>8.0</v>
      </c>
    </row>
    <row r="43">
      <c r="A43" s="124">
        <f t="shared" si="1"/>
        <v>37</v>
      </c>
      <c r="B43" s="135" t="s">
        <v>917</v>
      </c>
      <c r="C43" s="135" t="s">
        <v>918</v>
      </c>
      <c r="D43" s="332" t="s">
        <v>5952</v>
      </c>
      <c r="E43" s="124" t="s">
        <v>88</v>
      </c>
      <c r="F43" s="332" t="s">
        <v>5953</v>
      </c>
      <c r="G43" s="332" t="s">
        <v>5954</v>
      </c>
      <c r="H43" s="135" t="s">
        <v>532</v>
      </c>
      <c r="I43" s="141" t="s">
        <v>706</v>
      </c>
      <c r="J43" s="135" t="s">
        <v>285</v>
      </c>
      <c r="K43" s="135" t="s">
        <v>919</v>
      </c>
      <c r="L43" s="135" t="s">
        <v>920</v>
      </c>
      <c r="M43" s="335">
        <v>35584.0</v>
      </c>
      <c r="N43" s="138" t="s">
        <v>67</v>
      </c>
      <c r="O43" s="124"/>
      <c r="P43" s="135" t="s">
        <v>68</v>
      </c>
      <c r="Q43" s="124"/>
      <c r="R43" s="138" t="s">
        <v>921</v>
      </c>
      <c r="S43" s="135" t="s">
        <v>922</v>
      </c>
      <c r="T43" s="135" t="s">
        <v>923</v>
      </c>
      <c r="U43" s="135" t="s">
        <v>924</v>
      </c>
      <c r="V43" s="135" t="s">
        <v>73</v>
      </c>
      <c r="W43" s="135" t="s">
        <v>74</v>
      </c>
      <c r="X43" s="135" t="s">
        <v>925</v>
      </c>
      <c r="Y43" s="135" t="s">
        <v>926</v>
      </c>
      <c r="Z43" s="138" t="s">
        <v>77</v>
      </c>
      <c r="AA43" s="138" t="s">
        <v>77</v>
      </c>
    </row>
    <row r="44">
      <c r="A44" s="124">
        <f t="shared" si="1"/>
        <v>38</v>
      </c>
      <c r="B44" s="135" t="s">
        <v>927</v>
      </c>
      <c r="C44" s="135" t="s">
        <v>928</v>
      </c>
      <c r="D44" s="332" t="s">
        <v>5952</v>
      </c>
      <c r="E44" s="124" t="s">
        <v>88</v>
      </c>
      <c r="F44" s="332" t="s">
        <v>5953</v>
      </c>
      <c r="G44" s="332" t="s">
        <v>5954</v>
      </c>
      <c r="H44" s="135" t="s">
        <v>142</v>
      </c>
      <c r="I44" s="141" t="s">
        <v>706</v>
      </c>
      <c r="J44" s="135" t="s">
        <v>89</v>
      </c>
      <c r="K44" s="135" t="s">
        <v>218</v>
      </c>
      <c r="L44" s="135" t="s">
        <v>219</v>
      </c>
      <c r="M44" s="333">
        <v>44028.0</v>
      </c>
      <c r="N44" s="138" t="s">
        <v>67</v>
      </c>
      <c r="O44" s="124"/>
      <c r="P44" s="135" t="s">
        <v>68</v>
      </c>
      <c r="Q44" s="124"/>
      <c r="R44" s="138">
        <v>8.2289442622E10</v>
      </c>
      <c r="S44" s="135" t="s">
        <v>929</v>
      </c>
      <c r="T44" s="135" t="s">
        <v>930</v>
      </c>
      <c r="U44" s="135" t="s">
        <v>931</v>
      </c>
      <c r="V44" s="135" t="s">
        <v>96</v>
      </c>
      <c r="W44" s="135" t="s">
        <v>74</v>
      </c>
      <c r="X44" s="135" t="s">
        <v>932</v>
      </c>
      <c r="Y44" s="135" t="s">
        <v>933</v>
      </c>
      <c r="Z44" s="138" t="s">
        <v>934</v>
      </c>
      <c r="AA44" s="138" t="s">
        <v>934</v>
      </c>
    </row>
    <row r="45">
      <c r="A45" s="124">
        <f t="shared" si="1"/>
        <v>39</v>
      </c>
      <c r="B45" s="135" t="s">
        <v>935</v>
      </c>
      <c r="C45" s="135" t="s">
        <v>936</v>
      </c>
      <c r="D45" s="332" t="s">
        <v>5952</v>
      </c>
      <c r="E45" s="124" t="s">
        <v>88</v>
      </c>
      <c r="F45" s="332" t="s">
        <v>5953</v>
      </c>
      <c r="G45" s="332" t="s">
        <v>5954</v>
      </c>
      <c r="H45" s="135" t="s">
        <v>142</v>
      </c>
      <c r="I45" s="141" t="s">
        <v>639</v>
      </c>
      <c r="J45" s="135" t="s">
        <v>89</v>
      </c>
      <c r="K45" s="135" t="s">
        <v>937</v>
      </c>
      <c r="L45" s="135" t="s">
        <v>938</v>
      </c>
      <c r="M45" s="335">
        <v>42315.0</v>
      </c>
      <c r="N45" s="138" t="s">
        <v>67</v>
      </c>
      <c r="O45" s="124"/>
      <c r="P45" s="135" t="s">
        <v>68</v>
      </c>
      <c r="Q45" s="124"/>
      <c r="R45" s="138">
        <v>8.12603389E10</v>
      </c>
      <c r="S45" s="135" t="s">
        <v>939</v>
      </c>
      <c r="T45" s="135" t="s">
        <v>940</v>
      </c>
      <c r="U45" s="135" t="s">
        <v>941</v>
      </c>
      <c r="V45" s="135" t="s">
        <v>73</v>
      </c>
      <c r="W45" s="135" t="s">
        <v>481</v>
      </c>
      <c r="X45" s="135" t="s">
        <v>774</v>
      </c>
      <c r="Y45" s="135" t="s">
        <v>942</v>
      </c>
      <c r="Z45" s="138">
        <v>0.0</v>
      </c>
      <c r="AA45" s="138">
        <v>0.0</v>
      </c>
    </row>
    <row r="46">
      <c r="A46" s="124">
        <f t="shared" si="1"/>
        <v>40</v>
      </c>
      <c r="B46" s="135" t="s">
        <v>943</v>
      </c>
      <c r="C46" s="135" t="s">
        <v>944</v>
      </c>
      <c r="D46" s="332" t="s">
        <v>5952</v>
      </c>
      <c r="E46" s="124" t="s">
        <v>88</v>
      </c>
      <c r="F46" s="332" t="s">
        <v>5953</v>
      </c>
      <c r="G46" s="332" t="s">
        <v>5954</v>
      </c>
      <c r="H46" s="135" t="s">
        <v>532</v>
      </c>
      <c r="I46" s="141" t="s">
        <v>945</v>
      </c>
      <c r="J46" s="135" t="s">
        <v>285</v>
      </c>
      <c r="K46" s="135" t="s">
        <v>946</v>
      </c>
      <c r="L46" s="135" t="s">
        <v>947</v>
      </c>
      <c r="M46" s="333">
        <v>41055.0</v>
      </c>
      <c r="N46" s="138" t="s">
        <v>67</v>
      </c>
      <c r="O46" s="124"/>
      <c r="P46" s="135" t="s">
        <v>68</v>
      </c>
      <c r="Q46" s="124"/>
      <c r="R46" s="138">
        <v>8.2247825048E10</v>
      </c>
      <c r="S46" s="135" t="s">
        <v>948</v>
      </c>
      <c r="T46" s="135" t="s">
        <v>949</v>
      </c>
      <c r="U46" s="135" t="s">
        <v>950</v>
      </c>
      <c r="V46" s="135" t="s">
        <v>73</v>
      </c>
      <c r="W46" s="135" t="s">
        <v>166</v>
      </c>
      <c r="X46" s="135" t="s">
        <v>596</v>
      </c>
      <c r="Y46" s="135" t="s">
        <v>951</v>
      </c>
      <c r="Z46" s="138"/>
      <c r="AA46" s="138"/>
    </row>
    <row r="47">
      <c r="A47" s="124">
        <f t="shared" si="1"/>
        <v>41</v>
      </c>
      <c r="B47" s="135" t="s">
        <v>952</v>
      </c>
      <c r="C47" s="135" t="s">
        <v>953</v>
      </c>
      <c r="D47" s="332" t="s">
        <v>5952</v>
      </c>
      <c r="E47" s="124" t="s">
        <v>88</v>
      </c>
      <c r="F47" s="332" t="s">
        <v>5953</v>
      </c>
      <c r="G47" s="332" t="s">
        <v>5954</v>
      </c>
      <c r="H47" s="135" t="s">
        <v>532</v>
      </c>
      <c r="I47" s="141" t="s">
        <v>954</v>
      </c>
      <c r="J47" s="135"/>
      <c r="K47" s="135"/>
      <c r="L47" s="135"/>
      <c r="M47" s="138"/>
      <c r="N47" s="138"/>
      <c r="O47" s="124"/>
      <c r="P47" s="135" t="s">
        <v>68</v>
      </c>
      <c r="Q47" s="124"/>
      <c r="R47" s="138"/>
      <c r="S47" s="135"/>
      <c r="T47" s="135" t="s">
        <v>955</v>
      </c>
      <c r="U47" s="135"/>
      <c r="V47" s="135"/>
      <c r="W47" s="135"/>
      <c r="X47" s="135"/>
      <c r="Y47" s="135"/>
      <c r="Z47" s="138"/>
      <c r="AA47" s="138"/>
    </row>
    <row r="48">
      <c r="A48" s="124">
        <f t="shared" si="1"/>
        <v>42</v>
      </c>
      <c r="B48" s="135" t="s">
        <v>956</v>
      </c>
      <c r="C48" s="135" t="s">
        <v>957</v>
      </c>
      <c r="D48" s="332" t="s">
        <v>5952</v>
      </c>
      <c r="E48" s="124" t="s">
        <v>88</v>
      </c>
      <c r="F48" s="332" t="s">
        <v>5953</v>
      </c>
      <c r="G48" s="332" t="s">
        <v>5954</v>
      </c>
      <c r="H48" s="135" t="s">
        <v>142</v>
      </c>
      <c r="I48" s="141" t="s">
        <v>639</v>
      </c>
      <c r="J48" s="135" t="s">
        <v>89</v>
      </c>
      <c r="K48" s="135" t="s">
        <v>218</v>
      </c>
      <c r="L48" s="135" t="s">
        <v>219</v>
      </c>
      <c r="M48" s="333">
        <v>43708.0</v>
      </c>
      <c r="N48" s="138" t="s">
        <v>67</v>
      </c>
      <c r="O48" s="124"/>
      <c r="P48" s="135" t="s">
        <v>130</v>
      </c>
      <c r="Q48" s="124"/>
      <c r="R48" s="138">
        <v>8.1361181456E10</v>
      </c>
      <c r="S48" s="135" t="s">
        <v>958</v>
      </c>
      <c r="T48" s="135" t="s">
        <v>959</v>
      </c>
      <c r="U48" s="135" t="s">
        <v>656</v>
      </c>
      <c r="V48" s="135" t="s">
        <v>96</v>
      </c>
      <c r="W48" s="135" t="s">
        <v>97</v>
      </c>
      <c r="X48" s="135" t="s">
        <v>499</v>
      </c>
      <c r="Y48" s="135" t="s">
        <v>657</v>
      </c>
      <c r="Z48" s="138"/>
      <c r="AA48" s="138"/>
    </row>
    <row r="49">
      <c r="A49" s="124">
        <f t="shared" si="1"/>
        <v>43</v>
      </c>
      <c r="B49" s="135" t="s">
        <v>960</v>
      </c>
      <c r="C49" s="135" t="s">
        <v>961</v>
      </c>
      <c r="D49" s="332" t="s">
        <v>5952</v>
      </c>
      <c r="E49" s="124" t="s">
        <v>88</v>
      </c>
      <c r="F49" s="332" t="s">
        <v>5953</v>
      </c>
      <c r="G49" s="332" t="s">
        <v>5954</v>
      </c>
      <c r="H49" s="135" t="s">
        <v>532</v>
      </c>
      <c r="I49" s="141" t="s">
        <v>661</v>
      </c>
      <c r="J49" s="135" t="s">
        <v>285</v>
      </c>
      <c r="K49" s="135" t="s">
        <v>962</v>
      </c>
      <c r="L49" s="135" t="s">
        <v>963</v>
      </c>
      <c r="M49" s="333">
        <v>40294.0</v>
      </c>
      <c r="N49" s="138" t="s">
        <v>67</v>
      </c>
      <c r="O49" s="124"/>
      <c r="P49" s="135" t="s">
        <v>68</v>
      </c>
      <c r="Q49" s="124"/>
      <c r="R49" s="138">
        <v>8.5206034799E10</v>
      </c>
      <c r="S49" s="135" t="s">
        <v>964</v>
      </c>
      <c r="T49" s="135" t="s">
        <v>965</v>
      </c>
      <c r="U49" s="135" t="s">
        <v>966</v>
      </c>
      <c r="V49" s="135" t="s">
        <v>73</v>
      </c>
      <c r="W49" s="135" t="s">
        <v>74</v>
      </c>
      <c r="X49" s="135" t="s">
        <v>191</v>
      </c>
      <c r="Y49" s="135" t="s">
        <v>967</v>
      </c>
      <c r="Z49" s="138">
        <v>0.0</v>
      </c>
      <c r="AA49" s="138">
        <v>0.0</v>
      </c>
    </row>
    <row r="50">
      <c r="A50" s="124">
        <f t="shared" si="1"/>
        <v>44</v>
      </c>
      <c r="B50" s="135" t="s">
        <v>968</v>
      </c>
      <c r="C50" s="135" t="s">
        <v>969</v>
      </c>
      <c r="D50" s="332" t="s">
        <v>5952</v>
      </c>
      <c r="E50" s="124" t="s">
        <v>88</v>
      </c>
      <c r="F50" s="332" t="s">
        <v>5953</v>
      </c>
      <c r="G50" s="332" t="s">
        <v>5954</v>
      </c>
      <c r="H50" s="135" t="s">
        <v>532</v>
      </c>
      <c r="I50" s="141" t="s">
        <v>706</v>
      </c>
      <c r="J50" s="135" t="s">
        <v>285</v>
      </c>
      <c r="K50" s="135" t="s">
        <v>946</v>
      </c>
      <c r="L50" s="135" t="s">
        <v>970</v>
      </c>
      <c r="M50" s="333">
        <v>42139.0</v>
      </c>
      <c r="N50" s="138" t="s">
        <v>67</v>
      </c>
      <c r="O50" s="124"/>
      <c r="P50" s="135" t="s">
        <v>68</v>
      </c>
      <c r="Q50" s="124"/>
      <c r="R50" s="138">
        <v>8.887709434E9</v>
      </c>
      <c r="S50" s="135" t="s">
        <v>971</v>
      </c>
      <c r="T50" s="135" t="s">
        <v>972</v>
      </c>
      <c r="U50" s="135" t="s">
        <v>973</v>
      </c>
      <c r="V50" s="135" t="s">
        <v>73</v>
      </c>
      <c r="W50" s="135" t="s">
        <v>166</v>
      </c>
      <c r="X50" s="135" t="s">
        <v>915</v>
      </c>
      <c r="Y50" s="135" t="s">
        <v>974</v>
      </c>
      <c r="Z50" s="138">
        <v>4.0</v>
      </c>
      <c r="AA50" s="138">
        <v>2.0</v>
      </c>
    </row>
    <row r="51">
      <c r="A51" s="124">
        <f t="shared" si="1"/>
        <v>45</v>
      </c>
      <c r="B51" s="135" t="s">
        <v>975</v>
      </c>
      <c r="C51" s="135" t="s">
        <v>976</v>
      </c>
      <c r="D51" s="332" t="s">
        <v>5952</v>
      </c>
      <c r="E51" s="124" t="s">
        <v>88</v>
      </c>
      <c r="F51" s="332" t="s">
        <v>5953</v>
      </c>
      <c r="G51" s="332" t="s">
        <v>5954</v>
      </c>
      <c r="H51" s="135" t="s">
        <v>660</v>
      </c>
      <c r="I51" s="141" t="s">
        <v>661</v>
      </c>
      <c r="J51" s="135" t="s">
        <v>847</v>
      </c>
      <c r="K51" s="135" t="s">
        <v>77</v>
      </c>
      <c r="L51" s="135" t="s">
        <v>977</v>
      </c>
      <c r="M51" s="335">
        <v>35220.0</v>
      </c>
      <c r="N51" s="138" t="s">
        <v>67</v>
      </c>
      <c r="O51" s="124"/>
      <c r="P51" s="135" t="s">
        <v>68</v>
      </c>
      <c r="Q51" s="124"/>
      <c r="R51" s="138">
        <v>8.5358080909E10</v>
      </c>
      <c r="S51" s="135" t="s">
        <v>978</v>
      </c>
      <c r="T51" s="135" t="s">
        <v>979</v>
      </c>
      <c r="U51" s="135" t="s">
        <v>980</v>
      </c>
      <c r="V51" s="135" t="s">
        <v>73</v>
      </c>
      <c r="W51" s="135" t="s">
        <v>481</v>
      </c>
      <c r="X51" s="135" t="s">
        <v>981</v>
      </c>
      <c r="Y51" s="135" t="s">
        <v>982</v>
      </c>
      <c r="Z51" s="138">
        <v>0.0</v>
      </c>
      <c r="AA51" s="138">
        <v>0.0</v>
      </c>
    </row>
    <row r="52">
      <c r="A52" s="124">
        <f t="shared" si="1"/>
        <v>46</v>
      </c>
      <c r="B52" s="135" t="s">
        <v>983</v>
      </c>
      <c r="C52" s="135" t="s">
        <v>984</v>
      </c>
      <c r="D52" s="332" t="s">
        <v>5952</v>
      </c>
      <c r="E52" s="124" t="s">
        <v>88</v>
      </c>
      <c r="F52" s="332" t="s">
        <v>5953</v>
      </c>
      <c r="G52" s="332" t="s">
        <v>5954</v>
      </c>
      <c r="H52" s="135" t="s">
        <v>532</v>
      </c>
      <c r="I52" s="141" t="s">
        <v>639</v>
      </c>
      <c r="J52" s="135" t="s">
        <v>285</v>
      </c>
      <c r="K52" s="135"/>
      <c r="L52" s="135" t="s">
        <v>985</v>
      </c>
      <c r="M52" s="335">
        <v>42857.0</v>
      </c>
      <c r="N52" s="138" t="s">
        <v>67</v>
      </c>
      <c r="O52" s="124"/>
      <c r="P52" s="135" t="s">
        <v>68</v>
      </c>
      <c r="Q52" s="124"/>
      <c r="R52" s="138">
        <v>8.2289265706E10</v>
      </c>
      <c r="S52" s="135" t="s">
        <v>986</v>
      </c>
      <c r="T52" s="135" t="s">
        <v>987</v>
      </c>
      <c r="U52" s="135" t="s">
        <v>988</v>
      </c>
      <c r="V52" s="135" t="s">
        <v>73</v>
      </c>
      <c r="W52" s="135" t="s">
        <v>74</v>
      </c>
      <c r="X52" s="135" t="s">
        <v>989</v>
      </c>
      <c r="Y52" s="135" t="s">
        <v>990</v>
      </c>
      <c r="Z52" s="138"/>
      <c r="AA52" s="138"/>
    </row>
    <row r="53">
      <c r="A53" s="124">
        <f t="shared" si="1"/>
        <v>47</v>
      </c>
      <c r="B53" s="135" t="s">
        <v>991</v>
      </c>
      <c r="C53" s="135" t="s">
        <v>992</v>
      </c>
      <c r="D53" s="332" t="s">
        <v>5952</v>
      </c>
      <c r="E53" s="124" t="s">
        <v>88</v>
      </c>
      <c r="F53" s="332" t="s">
        <v>5953</v>
      </c>
      <c r="G53" s="332" t="s">
        <v>5954</v>
      </c>
      <c r="H53" s="135" t="s">
        <v>532</v>
      </c>
      <c r="I53" s="141" t="s">
        <v>945</v>
      </c>
      <c r="J53" s="135" t="s">
        <v>285</v>
      </c>
      <c r="K53" s="135" t="s">
        <v>993</v>
      </c>
      <c r="L53" s="135" t="s">
        <v>994</v>
      </c>
      <c r="M53" s="333">
        <v>40679.0</v>
      </c>
      <c r="N53" s="138" t="s">
        <v>67</v>
      </c>
      <c r="O53" s="124"/>
      <c r="P53" s="135" t="s">
        <v>68</v>
      </c>
      <c r="Q53" s="124"/>
      <c r="R53" s="138">
        <v>8.1284282243E10</v>
      </c>
      <c r="S53" s="135" t="s">
        <v>995</v>
      </c>
      <c r="T53" s="135" t="s">
        <v>996</v>
      </c>
      <c r="U53" s="135" t="s">
        <v>997</v>
      </c>
      <c r="V53" s="135" t="s">
        <v>73</v>
      </c>
      <c r="W53" s="135" t="s">
        <v>74</v>
      </c>
      <c r="X53" s="135" t="s">
        <v>178</v>
      </c>
      <c r="Y53" s="135" t="s">
        <v>998</v>
      </c>
      <c r="Z53" s="138"/>
      <c r="AA53" s="138"/>
    </row>
    <row r="54">
      <c r="A54" s="124">
        <f t="shared" si="1"/>
        <v>48</v>
      </c>
      <c r="B54" s="135" t="s">
        <v>999</v>
      </c>
      <c r="C54" s="135" t="s">
        <v>1000</v>
      </c>
      <c r="D54" s="332" t="s">
        <v>5952</v>
      </c>
      <c r="E54" s="124" t="s">
        <v>88</v>
      </c>
      <c r="F54" s="332" t="s">
        <v>5953</v>
      </c>
      <c r="G54" s="332" t="s">
        <v>5954</v>
      </c>
      <c r="H54" s="135" t="s">
        <v>532</v>
      </c>
      <c r="I54" s="141" t="s">
        <v>639</v>
      </c>
      <c r="J54" s="135" t="s">
        <v>285</v>
      </c>
      <c r="K54" s="135" t="s">
        <v>1001</v>
      </c>
      <c r="L54" s="135" t="s">
        <v>1002</v>
      </c>
      <c r="M54" s="333">
        <v>43598.0</v>
      </c>
      <c r="N54" s="138" t="s">
        <v>67</v>
      </c>
      <c r="O54" s="124"/>
      <c r="P54" s="135" t="s">
        <v>68</v>
      </c>
      <c r="Q54" s="124"/>
      <c r="R54" s="138">
        <v>8.7875109184E10</v>
      </c>
      <c r="S54" s="135" t="s">
        <v>1003</v>
      </c>
      <c r="T54" s="135" t="s">
        <v>1004</v>
      </c>
      <c r="U54" s="135" t="s">
        <v>1005</v>
      </c>
      <c r="V54" s="135" t="s">
        <v>96</v>
      </c>
      <c r="W54" s="135" t="s">
        <v>135</v>
      </c>
      <c r="X54" s="135" t="s">
        <v>1006</v>
      </c>
      <c r="Y54" s="135" t="s">
        <v>1007</v>
      </c>
      <c r="Z54" s="138">
        <v>0.0</v>
      </c>
      <c r="AA54" s="138">
        <v>0.0</v>
      </c>
    </row>
    <row r="55">
      <c r="A55" s="124">
        <f t="shared" si="1"/>
        <v>49</v>
      </c>
      <c r="B55" s="135" t="s">
        <v>1008</v>
      </c>
      <c r="C55" s="135" t="s">
        <v>1009</v>
      </c>
      <c r="D55" s="332" t="s">
        <v>5952</v>
      </c>
      <c r="E55" s="124" t="s">
        <v>88</v>
      </c>
      <c r="F55" s="332" t="s">
        <v>5953</v>
      </c>
      <c r="G55" s="332" t="s">
        <v>5954</v>
      </c>
      <c r="H55" s="135" t="s">
        <v>142</v>
      </c>
      <c r="I55" s="141" t="s">
        <v>639</v>
      </c>
      <c r="J55" s="135" t="s">
        <v>89</v>
      </c>
      <c r="K55" s="135" t="s">
        <v>160</v>
      </c>
      <c r="L55" s="135" t="s">
        <v>1010</v>
      </c>
      <c r="M55" s="335">
        <v>40154.0</v>
      </c>
      <c r="N55" s="138" t="s">
        <v>67</v>
      </c>
      <c r="O55" s="124"/>
      <c r="P55" s="135" t="s">
        <v>68</v>
      </c>
      <c r="Q55" s="124"/>
      <c r="R55" s="138">
        <v>8.1260004343E10</v>
      </c>
      <c r="S55" s="135" t="s">
        <v>1011</v>
      </c>
      <c r="T55" s="135" t="s">
        <v>1012</v>
      </c>
      <c r="U55" s="135" t="s">
        <v>1013</v>
      </c>
      <c r="V55" s="135" t="s">
        <v>96</v>
      </c>
      <c r="W55" s="135" t="s">
        <v>97</v>
      </c>
      <c r="X55" s="135" t="s">
        <v>425</v>
      </c>
      <c r="Y55" s="135" t="s">
        <v>1014</v>
      </c>
      <c r="Z55" s="138" t="s">
        <v>77</v>
      </c>
      <c r="AA55" s="138" t="s">
        <v>77</v>
      </c>
    </row>
    <row r="56">
      <c r="A56" s="124">
        <f t="shared" si="1"/>
        <v>50</v>
      </c>
      <c r="B56" s="135" t="s">
        <v>1015</v>
      </c>
      <c r="C56" s="135" t="s">
        <v>1016</v>
      </c>
      <c r="D56" s="332" t="s">
        <v>5952</v>
      </c>
      <c r="E56" s="124" t="s">
        <v>88</v>
      </c>
      <c r="F56" s="332" t="s">
        <v>5953</v>
      </c>
      <c r="G56" s="332" t="s">
        <v>5954</v>
      </c>
      <c r="H56" s="135" t="s">
        <v>532</v>
      </c>
      <c r="I56" s="141" t="s">
        <v>751</v>
      </c>
      <c r="J56" s="135" t="s">
        <v>285</v>
      </c>
      <c r="K56" s="135" t="s">
        <v>1017</v>
      </c>
      <c r="L56" s="135" t="s">
        <v>1018</v>
      </c>
      <c r="M56" s="333">
        <v>39977.0</v>
      </c>
      <c r="N56" s="138" t="s">
        <v>67</v>
      </c>
      <c r="O56" s="124"/>
      <c r="P56" s="135" t="s">
        <v>68</v>
      </c>
      <c r="Q56" s="124"/>
      <c r="R56" s="138">
        <v>8.1360619561E10</v>
      </c>
      <c r="S56" s="135" t="s">
        <v>1019</v>
      </c>
      <c r="T56" s="135" t="s">
        <v>1020</v>
      </c>
      <c r="U56" s="135" t="s">
        <v>1021</v>
      </c>
      <c r="V56" s="135" t="s">
        <v>96</v>
      </c>
      <c r="W56" s="135" t="s">
        <v>97</v>
      </c>
      <c r="X56" s="135" t="s">
        <v>1022</v>
      </c>
      <c r="Y56" s="135" t="s">
        <v>1023</v>
      </c>
      <c r="Z56" s="138"/>
      <c r="AA56" s="138"/>
    </row>
    <row r="57">
      <c r="A57" s="124">
        <f t="shared" si="1"/>
        <v>51</v>
      </c>
      <c r="B57" s="135" t="s">
        <v>1024</v>
      </c>
      <c r="C57" s="135" t="s">
        <v>1025</v>
      </c>
      <c r="D57" s="332" t="s">
        <v>5952</v>
      </c>
      <c r="E57" s="124" t="s">
        <v>88</v>
      </c>
      <c r="F57" s="332" t="s">
        <v>5953</v>
      </c>
      <c r="G57" s="332" t="s">
        <v>5954</v>
      </c>
      <c r="H57" s="135" t="s">
        <v>142</v>
      </c>
      <c r="I57" s="141" t="s">
        <v>639</v>
      </c>
      <c r="J57" s="135" t="s">
        <v>89</v>
      </c>
      <c r="K57" s="135" t="s">
        <v>647</v>
      </c>
      <c r="L57" s="135" t="s">
        <v>1026</v>
      </c>
      <c r="M57" s="333">
        <v>44466.0</v>
      </c>
      <c r="N57" s="138" t="s">
        <v>67</v>
      </c>
      <c r="O57" s="124"/>
      <c r="P57" s="135" t="s">
        <v>68</v>
      </c>
      <c r="Q57" s="124"/>
      <c r="R57" s="138">
        <v>8.1359947934E10</v>
      </c>
      <c r="S57" s="135"/>
      <c r="T57" s="135" t="s">
        <v>1027</v>
      </c>
      <c r="U57" s="135" t="s">
        <v>1028</v>
      </c>
      <c r="V57" s="135" t="s">
        <v>1029</v>
      </c>
      <c r="W57" s="135" t="s">
        <v>514</v>
      </c>
      <c r="X57" s="135" t="s">
        <v>1030</v>
      </c>
      <c r="Y57" s="135" t="s">
        <v>1031</v>
      </c>
      <c r="Z57" s="138">
        <v>0.0</v>
      </c>
      <c r="AA57" s="138">
        <v>0.0</v>
      </c>
    </row>
    <row r="58">
      <c r="A58" s="124">
        <f t="shared" si="1"/>
        <v>52</v>
      </c>
      <c r="B58" s="135" t="s">
        <v>1032</v>
      </c>
      <c r="C58" s="135" t="s">
        <v>1033</v>
      </c>
      <c r="D58" s="332" t="s">
        <v>5952</v>
      </c>
      <c r="E58" s="124" t="s">
        <v>88</v>
      </c>
      <c r="F58" s="332" t="s">
        <v>5953</v>
      </c>
      <c r="G58" s="332" t="s">
        <v>5954</v>
      </c>
      <c r="H58" s="135" t="s">
        <v>532</v>
      </c>
      <c r="I58" s="141" t="s">
        <v>1034</v>
      </c>
      <c r="J58" s="135" t="s">
        <v>285</v>
      </c>
      <c r="K58" s="135" t="s">
        <v>1035</v>
      </c>
      <c r="L58" s="135" t="s">
        <v>1036</v>
      </c>
      <c r="M58" s="333">
        <v>40294.0</v>
      </c>
      <c r="N58" s="138" t="s">
        <v>67</v>
      </c>
      <c r="O58" s="124"/>
      <c r="P58" s="135" t="s">
        <v>68</v>
      </c>
      <c r="Q58" s="124"/>
      <c r="R58" s="138">
        <v>8.1265703307E10</v>
      </c>
      <c r="S58" s="135" t="s">
        <v>1037</v>
      </c>
      <c r="T58" s="135" t="s">
        <v>1038</v>
      </c>
      <c r="U58" s="135" t="s">
        <v>1039</v>
      </c>
      <c r="V58" s="135" t="s">
        <v>73</v>
      </c>
      <c r="W58" s="135" t="s">
        <v>74</v>
      </c>
      <c r="X58" s="135" t="s">
        <v>178</v>
      </c>
      <c r="Y58" s="135" t="s">
        <v>179</v>
      </c>
      <c r="Z58" s="138" t="s">
        <v>77</v>
      </c>
      <c r="AA58" s="138" t="s">
        <v>77</v>
      </c>
    </row>
    <row r="59">
      <c r="A59" s="124">
        <f t="shared" si="1"/>
        <v>53</v>
      </c>
      <c r="B59" s="135" t="s">
        <v>1040</v>
      </c>
      <c r="C59" s="135" t="s">
        <v>1041</v>
      </c>
      <c r="D59" s="332" t="s">
        <v>5952</v>
      </c>
      <c r="E59" s="124" t="s">
        <v>88</v>
      </c>
      <c r="F59" s="332" t="s">
        <v>5953</v>
      </c>
      <c r="G59" s="332" t="s">
        <v>5954</v>
      </c>
      <c r="H59" s="135" t="s">
        <v>660</v>
      </c>
      <c r="I59" s="141" t="s">
        <v>1042</v>
      </c>
      <c r="J59" s="135" t="s">
        <v>600</v>
      </c>
      <c r="K59" s="135" t="s">
        <v>77</v>
      </c>
      <c r="L59" s="135" t="s">
        <v>1043</v>
      </c>
      <c r="M59" s="333">
        <v>44739.0</v>
      </c>
      <c r="N59" s="138" t="s">
        <v>67</v>
      </c>
      <c r="O59" s="124"/>
      <c r="P59" s="135" t="s">
        <v>68</v>
      </c>
      <c r="Q59" s="124"/>
      <c r="R59" s="138">
        <v>8.5834000686E10</v>
      </c>
      <c r="S59" s="135" t="s">
        <v>1044</v>
      </c>
      <c r="T59" s="135" t="s">
        <v>1045</v>
      </c>
      <c r="U59" s="135" t="s">
        <v>1046</v>
      </c>
      <c r="V59" s="135" t="s">
        <v>73</v>
      </c>
      <c r="W59" s="135" t="s">
        <v>74</v>
      </c>
      <c r="X59" s="135" t="s">
        <v>1047</v>
      </c>
      <c r="Y59" s="135" t="s">
        <v>1048</v>
      </c>
      <c r="Z59" s="138">
        <v>0.0</v>
      </c>
      <c r="AA59" s="138">
        <v>0.0</v>
      </c>
    </row>
    <row r="60">
      <c r="A60" s="124">
        <f t="shared" si="1"/>
        <v>54</v>
      </c>
      <c r="B60" s="135" t="s">
        <v>1049</v>
      </c>
      <c r="C60" s="135" t="s">
        <v>1050</v>
      </c>
      <c r="D60" s="332" t="s">
        <v>5952</v>
      </c>
      <c r="E60" s="124" t="s">
        <v>88</v>
      </c>
      <c r="F60" s="332" t="s">
        <v>5953</v>
      </c>
      <c r="G60" s="332" t="s">
        <v>5954</v>
      </c>
      <c r="H60" s="135" t="s">
        <v>142</v>
      </c>
      <c r="I60" s="141" t="s">
        <v>639</v>
      </c>
      <c r="J60" s="135" t="s">
        <v>89</v>
      </c>
      <c r="K60" s="135" t="s">
        <v>1051</v>
      </c>
      <c r="L60" s="135" t="s">
        <v>745</v>
      </c>
      <c r="M60" s="333">
        <v>44469.0</v>
      </c>
      <c r="N60" s="138" t="s">
        <v>67</v>
      </c>
      <c r="O60" s="124"/>
      <c r="P60" s="135" t="s">
        <v>130</v>
      </c>
      <c r="Q60" s="124"/>
      <c r="R60" s="138">
        <v>8.116393444E9</v>
      </c>
      <c r="S60" s="135"/>
      <c r="T60" s="135" t="s">
        <v>1052</v>
      </c>
      <c r="U60" s="135" t="s">
        <v>1053</v>
      </c>
      <c r="V60" s="135" t="s">
        <v>73</v>
      </c>
      <c r="W60" s="135" t="s">
        <v>74</v>
      </c>
      <c r="X60" s="135" t="s">
        <v>360</v>
      </c>
      <c r="Y60" s="135" t="s">
        <v>666</v>
      </c>
      <c r="Z60" s="138">
        <v>0.0</v>
      </c>
      <c r="AA60" s="138">
        <v>0.0</v>
      </c>
    </row>
    <row r="61">
      <c r="A61" s="124">
        <f t="shared" si="1"/>
        <v>55</v>
      </c>
      <c r="B61" s="135" t="s">
        <v>1054</v>
      </c>
      <c r="C61" s="135" t="s">
        <v>1055</v>
      </c>
      <c r="D61" s="332" t="s">
        <v>5952</v>
      </c>
      <c r="E61" s="124" t="s">
        <v>88</v>
      </c>
      <c r="F61" s="332" t="s">
        <v>5953</v>
      </c>
      <c r="G61" s="332" t="s">
        <v>5954</v>
      </c>
      <c r="H61" s="135" t="s">
        <v>142</v>
      </c>
      <c r="I61" s="141" t="s">
        <v>639</v>
      </c>
      <c r="J61" s="135" t="s">
        <v>89</v>
      </c>
      <c r="K61" s="135" t="s">
        <v>160</v>
      </c>
      <c r="L61" s="135" t="s">
        <v>1026</v>
      </c>
      <c r="M61" s="333">
        <v>41897.0</v>
      </c>
      <c r="N61" s="138" t="s">
        <v>67</v>
      </c>
      <c r="O61" s="124"/>
      <c r="P61" s="135" t="s">
        <v>68</v>
      </c>
      <c r="Q61" s="124"/>
      <c r="R61" s="138">
        <v>8.2277441221E10</v>
      </c>
      <c r="S61" s="135" t="s">
        <v>1056</v>
      </c>
      <c r="T61" s="135" t="s">
        <v>1057</v>
      </c>
      <c r="U61" s="135" t="s">
        <v>1058</v>
      </c>
      <c r="V61" s="135" t="s">
        <v>96</v>
      </c>
      <c r="W61" s="135" t="s">
        <v>1059</v>
      </c>
      <c r="X61" s="135" t="s">
        <v>1060</v>
      </c>
      <c r="Y61" s="135" t="s">
        <v>1061</v>
      </c>
      <c r="Z61" s="138">
        <v>0.0</v>
      </c>
      <c r="AA61" s="138">
        <v>0.0</v>
      </c>
    </row>
    <row r="62">
      <c r="A62" s="124">
        <f t="shared" si="1"/>
        <v>56</v>
      </c>
      <c r="B62" s="135" t="s">
        <v>1062</v>
      </c>
      <c r="C62" s="135" t="s">
        <v>1063</v>
      </c>
      <c r="D62" s="332" t="s">
        <v>5952</v>
      </c>
      <c r="E62" s="124" t="s">
        <v>88</v>
      </c>
      <c r="F62" s="332" t="s">
        <v>5953</v>
      </c>
      <c r="G62" s="332" t="s">
        <v>5954</v>
      </c>
      <c r="H62" s="135" t="s">
        <v>532</v>
      </c>
      <c r="I62" s="141" t="s">
        <v>661</v>
      </c>
      <c r="J62" s="135" t="s">
        <v>285</v>
      </c>
      <c r="K62" s="135" t="s">
        <v>1064</v>
      </c>
      <c r="L62" s="135" t="s">
        <v>1065</v>
      </c>
      <c r="M62" s="333">
        <v>35938.0</v>
      </c>
      <c r="N62" s="138" t="s">
        <v>67</v>
      </c>
      <c r="O62" s="124"/>
      <c r="P62" s="135" t="s">
        <v>130</v>
      </c>
      <c r="Q62" s="124"/>
      <c r="R62" s="138">
        <v>8.126079066E10</v>
      </c>
      <c r="S62" s="135" t="s">
        <v>1066</v>
      </c>
      <c r="T62" s="135" t="s">
        <v>1067</v>
      </c>
      <c r="U62" s="135" t="s">
        <v>1068</v>
      </c>
      <c r="V62" s="135" t="s">
        <v>96</v>
      </c>
      <c r="W62" s="135" t="s">
        <v>74</v>
      </c>
      <c r="X62" s="135" t="s">
        <v>1047</v>
      </c>
      <c r="Y62" s="135" t="s">
        <v>1048</v>
      </c>
      <c r="Z62" s="138">
        <v>0.0</v>
      </c>
      <c r="AA62" s="138">
        <v>0.0</v>
      </c>
    </row>
    <row r="63">
      <c r="A63" s="124">
        <f t="shared" si="1"/>
        <v>57</v>
      </c>
      <c r="B63" s="135" t="s">
        <v>1069</v>
      </c>
      <c r="C63" s="135" t="s">
        <v>1070</v>
      </c>
      <c r="D63" s="332" t="s">
        <v>5952</v>
      </c>
      <c r="E63" s="124" t="s">
        <v>88</v>
      </c>
      <c r="F63" s="332" t="s">
        <v>5953</v>
      </c>
      <c r="G63" s="332" t="s">
        <v>5954</v>
      </c>
      <c r="H63" s="135" t="s">
        <v>519</v>
      </c>
      <c r="I63" s="141" t="s">
        <v>639</v>
      </c>
      <c r="J63" s="135" t="s">
        <v>267</v>
      </c>
      <c r="K63" s="135" t="s">
        <v>1071</v>
      </c>
      <c r="L63" s="135" t="s">
        <v>244</v>
      </c>
      <c r="M63" s="333">
        <v>41207.0</v>
      </c>
      <c r="N63" s="138" t="s">
        <v>67</v>
      </c>
      <c r="O63" s="124"/>
      <c r="P63" s="135" t="s">
        <v>130</v>
      </c>
      <c r="Q63" s="124"/>
      <c r="R63" s="138">
        <v>8.5275894063E10</v>
      </c>
      <c r="S63" s="135" t="s">
        <v>1072</v>
      </c>
      <c r="T63" s="135" t="s">
        <v>1073</v>
      </c>
      <c r="U63" s="135"/>
      <c r="V63" s="135" t="s">
        <v>73</v>
      </c>
      <c r="W63" s="135" t="s">
        <v>74</v>
      </c>
      <c r="X63" s="135" t="s">
        <v>932</v>
      </c>
      <c r="Y63" s="135" t="s">
        <v>1074</v>
      </c>
      <c r="Z63" s="138"/>
      <c r="AA63" s="138"/>
    </row>
    <row r="64">
      <c r="A64" s="124">
        <f t="shared" si="1"/>
        <v>58</v>
      </c>
      <c r="B64" s="135" t="s">
        <v>1075</v>
      </c>
      <c r="C64" s="135" t="s">
        <v>1076</v>
      </c>
      <c r="D64" s="332" t="s">
        <v>5952</v>
      </c>
      <c r="E64" s="124" t="s">
        <v>88</v>
      </c>
      <c r="F64" s="332" t="s">
        <v>5953</v>
      </c>
      <c r="G64" s="332" t="s">
        <v>5954</v>
      </c>
      <c r="H64" s="135" t="s">
        <v>532</v>
      </c>
      <c r="I64" s="141" t="s">
        <v>839</v>
      </c>
      <c r="J64" s="135" t="s">
        <v>285</v>
      </c>
      <c r="K64" s="135" t="s">
        <v>1077</v>
      </c>
      <c r="L64" s="135" t="s">
        <v>1078</v>
      </c>
      <c r="M64" s="333">
        <v>42139.0</v>
      </c>
      <c r="N64" s="138" t="s">
        <v>67</v>
      </c>
      <c r="O64" s="124"/>
      <c r="P64" s="135" t="s">
        <v>130</v>
      </c>
      <c r="Q64" s="124"/>
      <c r="R64" s="138">
        <v>8.1269101409E10</v>
      </c>
      <c r="S64" s="135" t="s">
        <v>1079</v>
      </c>
      <c r="T64" s="135" t="s">
        <v>1080</v>
      </c>
      <c r="U64" s="135" t="s">
        <v>1081</v>
      </c>
      <c r="V64" s="135" t="s">
        <v>73</v>
      </c>
      <c r="W64" s="135" t="s">
        <v>74</v>
      </c>
      <c r="X64" s="135" t="s">
        <v>1082</v>
      </c>
      <c r="Y64" s="135" t="s">
        <v>1083</v>
      </c>
      <c r="Z64" s="138"/>
      <c r="AA64" s="138"/>
    </row>
    <row r="65">
      <c r="A65" s="124">
        <f t="shared" si="1"/>
        <v>59</v>
      </c>
      <c r="B65" s="135" t="s">
        <v>1084</v>
      </c>
      <c r="C65" s="135" t="s">
        <v>1085</v>
      </c>
      <c r="D65" s="332" t="s">
        <v>5952</v>
      </c>
      <c r="E65" s="124" t="s">
        <v>88</v>
      </c>
      <c r="F65" s="332" t="s">
        <v>5953</v>
      </c>
      <c r="G65" s="332" t="s">
        <v>5954</v>
      </c>
      <c r="H65" s="135" t="s">
        <v>532</v>
      </c>
      <c r="I65" s="141" t="s">
        <v>1034</v>
      </c>
      <c r="J65" s="135" t="s">
        <v>285</v>
      </c>
      <c r="K65" s="135" t="s">
        <v>1086</v>
      </c>
      <c r="L65" s="135" t="s">
        <v>1087</v>
      </c>
      <c r="M65" s="333">
        <v>45621.0</v>
      </c>
      <c r="N65" s="138" t="s">
        <v>67</v>
      </c>
      <c r="O65" s="124"/>
      <c r="P65" s="135" t="s">
        <v>130</v>
      </c>
      <c r="Q65" s="124"/>
      <c r="R65" s="138">
        <v>8.1385773949E10</v>
      </c>
      <c r="S65" s="135" t="s">
        <v>1088</v>
      </c>
      <c r="T65" s="135" t="s">
        <v>1089</v>
      </c>
      <c r="U65" s="135" t="s">
        <v>1090</v>
      </c>
      <c r="V65" s="135" t="s">
        <v>73</v>
      </c>
      <c r="W65" s="135" t="s">
        <v>1091</v>
      </c>
      <c r="X65" s="135" t="s">
        <v>1092</v>
      </c>
      <c r="Y65" s="135" t="s">
        <v>1090</v>
      </c>
      <c r="Z65" s="138">
        <v>0.0</v>
      </c>
      <c r="AA65" s="138">
        <v>0.0</v>
      </c>
    </row>
    <row r="66">
      <c r="A66" s="124">
        <f t="shared" si="1"/>
        <v>60</v>
      </c>
      <c r="B66" s="135" t="s">
        <v>1093</v>
      </c>
      <c r="C66" s="135" t="s">
        <v>1094</v>
      </c>
      <c r="D66" s="332" t="s">
        <v>5952</v>
      </c>
      <c r="E66" s="124" t="s">
        <v>88</v>
      </c>
      <c r="F66" s="332" t="s">
        <v>5953</v>
      </c>
      <c r="G66" s="332" t="s">
        <v>5954</v>
      </c>
      <c r="H66" s="135" t="s">
        <v>532</v>
      </c>
      <c r="I66" s="141" t="s">
        <v>661</v>
      </c>
      <c r="J66" s="135" t="s">
        <v>285</v>
      </c>
      <c r="K66" s="135" t="s">
        <v>374</v>
      </c>
      <c r="L66" s="135" t="s">
        <v>1095</v>
      </c>
      <c r="M66" s="333">
        <v>37063.0</v>
      </c>
      <c r="N66" s="138" t="s">
        <v>67</v>
      </c>
      <c r="O66" s="124"/>
      <c r="P66" s="135" t="s">
        <v>130</v>
      </c>
      <c r="Q66" s="124"/>
      <c r="R66" s="138" t="s">
        <v>1096</v>
      </c>
      <c r="S66" s="135" t="s">
        <v>1097</v>
      </c>
      <c r="T66" s="135" t="s">
        <v>1098</v>
      </c>
      <c r="U66" s="135" t="s">
        <v>1099</v>
      </c>
      <c r="V66" s="135" t="s">
        <v>73</v>
      </c>
      <c r="W66" s="135" t="s">
        <v>74</v>
      </c>
      <c r="X66" s="135" t="s">
        <v>989</v>
      </c>
      <c r="Y66" s="135" t="s">
        <v>1100</v>
      </c>
      <c r="Z66" s="138" t="s">
        <v>77</v>
      </c>
      <c r="AA66" s="138" t="s">
        <v>77</v>
      </c>
    </row>
    <row r="67">
      <c r="A67" s="124">
        <f t="shared" si="1"/>
        <v>61</v>
      </c>
      <c r="B67" s="135" t="s">
        <v>1101</v>
      </c>
      <c r="C67" s="135" t="s">
        <v>1102</v>
      </c>
      <c r="D67" s="332" t="s">
        <v>5952</v>
      </c>
      <c r="E67" s="124" t="s">
        <v>88</v>
      </c>
      <c r="F67" s="332" t="s">
        <v>5953</v>
      </c>
      <c r="G67" s="332" t="s">
        <v>5954</v>
      </c>
      <c r="H67" s="135" t="s">
        <v>142</v>
      </c>
      <c r="I67" s="141" t="s">
        <v>639</v>
      </c>
      <c r="J67" s="135" t="s">
        <v>89</v>
      </c>
      <c r="K67" s="135"/>
      <c r="L67" s="135" t="s">
        <v>1103</v>
      </c>
      <c r="M67" s="138" t="s">
        <v>1104</v>
      </c>
      <c r="N67" s="138" t="s">
        <v>67</v>
      </c>
      <c r="O67" s="124"/>
      <c r="P67" s="135" t="s">
        <v>130</v>
      </c>
      <c r="Q67" s="124"/>
      <c r="R67" s="138">
        <v>8.116220237E9</v>
      </c>
      <c r="S67" s="135" t="s">
        <v>1105</v>
      </c>
      <c r="T67" s="135" t="s">
        <v>1106</v>
      </c>
      <c r="U67" s="135" t="s">
        <v>1107</v>
      </c>
      <c r="V67" s="135" t="s">
        <v>96</v>
      </c>
      <c r="W67" s="135" t="s">
        <v>97</v>
      </c>
      <c r="X67" s="135" t="s">
        <v>236</v>
      </c>
      <c r="Y67" s="135" t="s">
        <v>852</v>
      </c>
      <c r="Z67" s="138"/>
      <c r="AA67" s="138"/>
    </row>
    <row r="68">
      <c r="A68" s="124">
        <f t="shared" si="1"/>
        <v>62</v>
      </c>
      <c r="B68" s="135" t="s">
        <v>1108</v>
      </c>
      <c r="C68" s="135" t="s">
        <v>1109</v>
      </c>
      <c r="D68" s="332" t="s">
        <v>5952</v>
      </c>
      <c r="E68" s="124" t="s">
        <v>88</v>
      </c>
      <c r="F68" s="332" t="s">
        <v>5953</v>
      </c>
      <c r="G68" s="332" t="s">
        <v>5954</v>
      </c>
      <c r="H68" s="135" t="s">
        <v>532</v>
      </c>
      <c r="I68" s="141" t="s">
        <v>661</v>
      </c>
      <c r="J68" s="135" t="s">
        <v>285</v>
      </c>
      <c r="K68" s="135" t="s">
        <v>1110</v>
      </c>
      <c r="L68" s="135" t="s">
        <v>1111</v>
      </c>
      <c r="M68" s="333">
        <v>34118.0</v>
      </c>
      <c r="N68" s="138" t="s">
        <v>67</v>
      </c>
      <c r="O68" s="124"/>
      <c r="P68" s="135" t="s">
        <v>68</v>
      </c>
      <c r="Q68" s="124"/>
      <c r="R68" s="138">
        <v>8.1370224572E10</v>
      </c>
      <c r="S68" s="135" t="s">
        <v>1112</v>
      </c>
      <c r="T68" s="135" t="s">
        <v>1113</v>
      </c>
      <c r="U68" s="135" t="s">
        <v>1114</v>
      </c>
      <c r="V68" s="135" t="s">
        <v>96</v>
      </c>
      <c r="W68" s="135" t="s">
        <v>150</v>
      </c>
      <c r="X68" s="135" t="s">
        <v>1115</v>
      </c>
      <c r="Y68" s="135" t="s">
        <v>1116</v>
      </c>
      <c r="Z68" s="138"/>
      <c r="AA68" s="138"/>
    </row>
    <row r="69">
      <c r="A69" s="124">
        <f t="shared" si="1"/>
        <v>63</v>
      </c>
      <c r="B69" s="135" t="s">
        <v>1117</v>
      </c>
      <c r="C69" s="135" t="s">
        <v>1118</v>
      </c>
      <c r="D69" s="332" t="s">
        <v>5952</v>
      </c>
      <c r="E69" s="124" t="s">
        <v>88</v>
      </c>
      <c r="F69" s="332" t="s">
        <v>5953</v>
      </c>
      <c r="G69" s="332" t="s">
        <v>5954</v>
      </c>
      <c r="H69" s="135" t="s">
        <v>142</v>
      </c>
      <c r="I69" s="141" t="s">
        <v>639</v>
      </c>
      <c r="J69" s="135" t="s">
        <v>89</v>
      </c>
      <c r="K69" s="135" t="s">
        <v>218</v>
      </c>
      <c r="L69" s="135" t="s">
        <v>1119</v>
      </c>
      <c r="M69" s="335">
        <v>44205.0</v>
      </c>
      <c r="N69" s="138" t="s">
        <v>67</v>
      </c>
      <c r="O69" s="124"/>
      <c r="P69" s="135" t="s">
        <v>68</v>
      </c>
      <c r="Q69" s="124"/>
      <c r="R69" s="138">
        <v>8.2165045306E10</v>
      </c>
      <c r="S69" s="135" t="s">
        <v>1120</v>
      </c>
      <c r="T69" s="135" t="s">
        <v>1121</v>
      </c>
      <c r="U69" s="135" t="s">
        <v>1122</v>
      </c>
      <c r="V69" s="135" t="s">
        <v>96</v>
      </c>
      <c r="W69" s="135" t="s">
        <v>74</v>
      </c>
      <c r="X69" s="135" t="s">
        <v>178</v>
      </c>
      <c r="Y69" s="135" t="s">
        <v>179</v>
      </c>
      <c r="Z69" s="138">
        <v>0.0</v>
      </c>
      <c r="AA69" s="138">
        <v>0.0</v>
      </c>
    </row>
    <row r="70">
      <c r="A70" s="124">
        <f t="shared" si="1"/>
        <v>64</v>
      </c>
      <c r="B70" s="135" t="s">
        <v>1123</v>
      </c>
      <c r="C70" s="135" t="s">
        <v>1124</v>
      </c>
      <c r="D70" s="332" t="s">
        <v>5952</v>
      </c>
      <c r="E70" s="124" t="s">
        <v>88</v>
      </c>
      <c r="F70" s="332" t="s">
        <v>5953</v>
      </c>
      <c r="G70" s="332" t="s">
        <v>5954</v>
      </c>
      <c r="H70" s="135" t="s">
        <v>532</v>
      </c>
      <c r="I70" s="141" t="s">
        <v>696</v>
      </c>
      <c r="J70" s="135" t="s">
        <v>285</v>
      </c>
      <c r="K70" s="135" t="s">
        <v>1125</v>
      </c>
      <c r="L70" s="135" t="s">
        <v>1126</v>
      </c>
      <c r="M70" s="333">
        <v>39613.0</v>
      </c>
      <c r="N70" s="138" t="s">
        <v>67</v>
      </c>
      <c r="O70" s="124"/>
      <c r="P70" s="135" t="s">
        <v>68</v>
      </c>
      <c r="Q70" s="124"/>
      <c r="R70" s="138">
        <v>8.2169588647E10</v>
      </c>
      <c r="S70" s="135" t="s">
        <v>1127</v>
      </c>
      <c r="T70" s="135" t="s">
        <v>1128</v>
      </c>
      <c r="U70" s="135" t="s">
        <v>1129</v>
      </c>
      <c r="V70" s="135" t="s">
        <v>73</v>
      </c>
      <c r="W70" s="135" t="s">
        <v>481</v>
      </c>
      <c r="X70" s="135" t="s">
        <v>360</v>
      </c>
      <c r="Y70" s="135" t="s">
        <v>666</v>
      </c>
      <c r="Z70" s="138"/>
      <c r="AA70" s="138"/>
    </row>
    <row r="71">
      <c r="A71" s="124">
        <f t="shared" si="1"/>
        <v>65</v>
      </c>
      <c r="B71" s="135" t="s">
        <v>1130</v>
      </c>
      <c r="C71" s="135" t="s">
        <v>1131</v>
      </c>
      <c r="D71" s="332" t="s">
        <v>5952</v>
      </c>
      <c r="E71" s="124" t="s">
        <v>88</v>
      </c>
      <c r="F71" s="332" t="s">
        <v>5953</v>
      </c>
      <c r="G71" s="332" t="s">
        <v>5954</v>
      </c>
      <c r="H71" s="135" t="s">
        <v>532</v>
      </c>
      <c r="I71" s="141" t="s">
        <v>661</v>
      </c>
      <c r="J71" s="135" t="s">
        <v>285</v>
      </c>
      <c r="K71" s="135"/>
      <c r="L71" s="135" t="s">
        <v>1132</v>
      </c>
      <c r="M71" s="335">
        <v>38508.0</v>
      </c>
      <c r="N71" s="138" t="s">
        <v>67</v>
      </c>
      <c r="O71" s="124"/>
      <c r="P71" s="135" t="s">
        <v>130</v>
      </c>
      <c r="Q71" s="124"/>
      <c r="R71" s="138">
        <v>8.139745699E10</v>
      </c>
      <c r="S71" s="135" t="s">
        <v>1133</v>
      </c>
      <c r="T71" s="135" t="s">
        <v>1134</v>
      </c>
      <c r="U71" s="135" t="s">
        <v>1135</v>
      </c>
      <c r="V71" s="135" t="s">
        <v>96</v>
      </c>
      <c r="W71" s="135" t="s">
        <v>97</v>
      </c>
      <c r="X71" s="135" t="s">
        <v>1136</v>
      </c>
      <c r="Y71" s="135" t="s">
        <v>1137</v>
      </c>
      <c r="Z71" s="138">
        <v>0.0</v>
      </c>
      <c r="AA71" s="138">
        <v>0.0</v>
      </c>
    </row>
    <row r="72">
      <c r="A72" s="124">
        <f t="shared" si="1"/>
        <v>66</v>
      </c>
      <c r="B72" s="135" t="s">
        <v>1138</v>
      </c>
      <c r="C72" s="135" t="s">
        <v>1139</v>
      </c>
      <c r="D72" s="332" t="s">
        <v>5952</v>
      </c>
      <c r="E72" s="124" t="s">
        <v>88</v>
      </c>
      <c r="F72" s="332" t="s">
        <v>5953</v>
      </c>
      <c r="G72" s="332" t="s">
        <v>5954</v>
      </c>
      <c r="H72" s="135" t="s">
        <v>532</v>
      </c>
      <c r="I72" s="141" t="s">
        <v>661</v>
      </c>
      <c r="J72" s="135" t="s">
        <v>285</v>
      </c>
      <c r="K72" s="135" t="s">
        <v>1140</v>
      </c>
      <c r="L72" s="135" t="s">
        <v>1141</v>
      </c>
      <c r="M72" s="333">
        <v>35212.0</v>
      </c>
      <c r="N72" s="138" t="s">
        <v>67</v>
      </c>
      <c r="O72" s="124"/>
      <c r="P72" s="135" t="s">
        <v>130</v>
      </c>
      <c r="Q72" s="124"/>
      <c r="R72" s="138">
        <v>8.1397301099E10</v>
      </c>
      <c r="S72" s="135" t="s">
        <v>1142</v>
      </c>
      <c r="T72" s="135" t="s">
        <v>1143</v>
      </c>
      <c r="U72" s="135" t="s">
        <v>1144</v>
      </c>
      <c r="V72" s="135" t="s">
        <v>96</v>
      </c>
      <c r="W72" s="135" t="s">
        <v>150</v>
      </c>
      <c r="X72" s="135" t="s">
        <v>151</v>
      </c>
      <c r="Y72" s="135" t="s">
        <v>1145</v>
      </c>
      <c r="Z72" s="138">
        <v>0.0</v>
      </c>
      <c r="AA72" s="138">
        <v>0.0</v>
      </c>
    </row>
    <row r="73">
      <c r="A73" s="124">
        <f t="shared" si="1"/>
        <v>67</v>
      </c>
      <c r="B73" s="135" t="s">
        <v>1146</v>
      </c>
      <c r="C73" s="135" t="s">
        <v>1147</v>
      </c>
      <c r="D73" s="332" t="s">
        <v>5952</v>
      </c>
      <c r="E73" s="124" t="s">
        <v>88</v>
      </c>
      <c r="F73" s="332" t="s">
        <v>5953</v>
      </c>
      <c r="G73" s="332" t="s">
        <v>5954</v>
      </c>
      <c r="H73" s="135" t="s">
        <v>532</v>
      </c>
      <c r="I73" s="141" t="s">
        <v>639</v>
      </c>
      <c r="J73" s="135" t="s">
        <v>285</v>
      </c>
      <c r="K73" s="135" t="s">
        <v>687</v>
      </c>
      <c r="L73" s="135" t="s">
        <v>1148</v>
      </c>
      <c r="M73" s="333">
        <v>36694.0</v>
      </c>
      <c r="N73" s="138" t="s">
        <v>67</v>
      </c>
      <c r="O73" s="124"/>
      <c r="P73" s="135" t="s">
        <v>68</v>
      </c>
      <c r="Q73" s="124"/>
      <c r="R73" s="138">
        <v>8.1376391272E10</v>
      </c>
      <c r="S73" s="135" t="s">
        <v>1149</v>
      </c>
      <c r="T73" s="135" t="s">
        <v>1150</v>
      </c>
      <c r="U73" s="135" t="s">
        <v>1151</v>
      </c>
      <c r="V73" s="135" t="s">
        <v>96</v>
      </c>
      <c r="W73" s="135" t="s">
        <v>97</v>
      </c>
      <c r="X73" s="135" t="s">
        <v>499</v>
      </c>
      <c r="Y73" s="135" t="s">
        <v>657</v>
      </c>
      <c r="Z73" s="138">
        <v>0.0</v>
      </c>
      <c r="AA73" s="138">
        <v>0.0</v>
      </c>
    </row>
    <row r="74">
      <c r="A74" s="124">
        <f t="shared" si="1"/>
        <v>68</v>
      </c>
      <c r="B74" s="135" t="s">
        <v>1152</v>
      </c>
      <c r="C74" s="135" t="s">
        <v>1153</v>
      </c>
      <c r="D74" s="332" t="s">
        <v>5952</v>
      </c>
      <c r="E74" s="124" t="s">
        <v>88</v>
      </c>
      <c r="F74" s="332" t="s">
        <v>5953</v>
      </c>
      <c r="G74" s="332" t="s">
        <v>5954</v>
      </c>
      <c r="H74" s="135" t="s">
        <v>532</v>
      </c>
      <c r="I74" s="141" t="s">
        <v>830</v>
      </c>
      <c r="J74" s="135" t="s">
        <v>285</v>
      </c>
      <c r="K74" s="135" t="s">
        <v>1154</v>
      </c>
      <c r="L74" s="135" t="s">
        <v>920</v>
      </c>
      <c r="M74" s="333">
        <v>36309.0</v>
      </c>
      <c r="N74" s="138" t="s">
        <v>67</v>
      </c>
      <c r="O74" s="124"/>
      <c r="P74" s="135" t="s">
        <v>68</v>
      </c>
      <c r="Q74" s="124"/>
      <c r="R74" s="138">
        <v>8.2167949594E10</v>
      </c>
      <c r="S74" s="135" t="s">
        <v>1155</v>
      </c>
      <c r="T74" s="135" t="s">
        <v>1156</v>
      </c>
      <c r="U74" s="135" t="s">
        <v>1157</v>
      </c>
      <c r="V74" s="135" t="s">
        <v>73</v>
      </c>
      <c r="W74" s="135" t="s">
        <v>74</v>
      </c>
      <c r="X74" s="135" t="s">
        <v>191</v>
      </c>
      <c r="Y74" s="135" t="s">
        <v>1158</v>
      </c>
      <c r="Z74" s="138">
        <v>0.0</v>
      </c>
      <c r="AA74" s="138">
        <v>0.0</v>
      </c>
    </row>
    <row r="75">
      <c r="A75" s="124">
        <f t="shared" si="1"/>
        <v>69</v>
      </c>
      <c r="B75" s="135" t="s">
        <v>1159</v>
      </c>
      <c r="C75" s="135" t="s">
        <v>1160</v>
      </c>
      <c r="D75" s="332" t="s">
        <v>5952</v>
      </c>
      <c r="E75" s="124" t="s">
        <v>88</v>
      </c>
      <c r="F75" s="332" t="s">
        <v>5953</v>
      </c>
      <c r="G75" s="332" t="s">
        <v>5954</v>
      </c>
      <c r="H75" s="135" t="s">
        <v>532</v>
      </c>
      <c r="I75" s="141" t="s">
        <v>706</v>
      </c>
      <c r="J75" s="135" t="s">
        <v>285</v>
      </c>
      <c r="K75" s="135" t="s">
        <v>1017</v>
      </c>
      <c r="L75" s="135" t="s">
        <v>1161</v>
      </c>
      <c r="M75" s="333">
        <v>38887.0</v>
      </c>
      <c r="N75" s="138" t="s">
        <v>67</v>
      </c>
      <c r="O75" s="124"/>
      <c r="P75" s="135" t="s">
        <v>68</v>
      </c>
      <c r="Q75" s="124"/>
      <c r="R75" s="138">
        <v>8.2364938652E10</v>
      </c>
      <c r="S75" s="135" t="s">
        <v>1162</v>
      </c>
      <c r="T75" s="135" t="s">
        <v>1163</v>
      </c>
      <c r="U75" s="135" t="s">
        <v>1164</v>
      </c>
      <c r="V75" s="135" t="s">
        <v>96</v>
      </c>
      <c r="W75" s="135" t="s">
        <v>166</v>
      </c>
      <c r="X75" s="135" t="s">
        <v>596</v>
      </c>
      <c r="Y75" s="135" t="s">
        <v>1165</v>
      </c>
      <c r="Z75" s="138" t="s">
        <v>934</v>
      </c>
      <c r="AA75" s="138" t="s">
        <v>934</v>
      </c>
    </row>
    <row r="76">
      <c r="A76" s="124">
        <f t="shared" si="1"/>
        <v>70</v>
      </c>
      <c r="B76" s="135" t="s">
        <v>1166</v>
      </c>
      <c r="C76" s="135" t="s">
        <v>1167</v>
      </c>
      <c r="D76" s="332" t="s">
        <v>5952</v>
      </c>
      <c r="E76" s="124" t="s">
        <v>88</v>
      </c>
      <c r="F76" s="332" t="s">
        <v>5953</v>
      </c>
      <c r="G76" s="332" t="s">
        <v>5954</v>
      </c>
      <c r="H76" s="135" t="s">
        <v>142</v>
      </c>
      <c r="I76" s="141" t="s">
        <v>639</v>
      </c>
      <c r="J76" s="135" t="s">
        <v>89</v>
      </c>
      <c r="K76" s="135" t="s">
        <v>1168</v>
      </c>
      <c r="L76" s="135" t="s">
        <v>419</v>
      </c>
      <c r="M76" s="333">
        <v>42977.0</v>
      </c>
      <c r="N76" s="138" t="s">
        <v>67</v>
      </c>
      <c r="O76" s="124"/>
      <c r="P76" s="135" t="s">
        <v>68</v>
      </c>
      <c r="Q76" s="124"/>
      <c r="R76" s="138">
        <v>8.2167749521E10</v>
      </c>
      <c r="S76" s="135" t="s">
        <v>1169</v>
      </c>
      <c r="T76" s="135" t="s">
        <v>1170</v>
      </c>
      <c r="U76" s="135" t="s">
        <v>1171</v>
      </c>
      <c r="V76" s="135" t="s">
        <v>96</v>
      </c>
      <c r="W76" s="135" t="s">
        <v>74</v>
      </c>
      <c r="X76" s="135" t="s">
        <v>136</v>
      </c>
      <c r="Y76" s="135" t="s">
        <v>1172</v>
      </c>
      <c r="Z76" s="138"/>
      <c r="AA76" s="138"/>
    </row>
    <row r="77">
      <c r="A77" s="124">
        <f t="shared" si="1"/>
        <v>71</v>
      </c>
      <c r="B77" s="135" t="s">
        <v>1173</v>
      </c>
      <c r="C77" s="135" t="s">
        <v>1174</v>
      </c>
      <c r="D77" s="332" t="s">
        <v>5952</v>
      </c>
      <c r="E77" s="124" t="s">
        <v>88</v>
      </c>
      <c r="F77" s="332" t="s">
        <v>5953</v>
      </c>
      <c r="G77" s="332" t="s">
        <v>5954</v>
      </c>
      <c r="H77" s="135" t="s">
        <v>532</v>
      </c>
      <c r="I77" s="141" t="s">
        <v>639</v>
      </c>
      <c r="J77" s="135" t="s">
        <v>285</v>
      </c>
      <c r="K77" s="135" t="s">
        <v>1077</v>
      </c>
      <c r="L77" s="135" t="s">
        <v>1175</v>
      </c>
      <c r="M77" s="333">
        <v>39613.0</v>
      </c>
      <c r="N77" s="138" t="s">
        <v>67</v>
      </c>
      <c r="O77" s="124"/>
      <c r="P77" s="135" t="s">
        <v>68</v>
      </c>
      <c r="Q77" s="124"/>
      <c r="R77" s="138">
        <v>8.5262470283E10</v>
      </c>
      <c r="S77" s="135" t="s">
        <v>1176</v>
      </c>
      <c r="T77" s="135" t="s">
        <v>1177</v>
      </c>
      <c r="U77" s="135" t="s">
        <v>1178</v>
      </c>
      <c r="V77" s="135" t="s">
        <v>96</v>
      </c>
      <c r="W77" s="135" t="s">
        <v>97</v>
      </c>
      <c r="X77" s="135" t="s">
        <v>136</v>
      </c>
      <c r="Y77" s="135" t="s">
        <v>151</v>
      </c>
      <c r="Z77" s="138"/>
      <c r="AA77" s="138"/>
    </row>
    <row r="78">
      <c r="A78" s="124">
        <f t="shared" si="1"/>
        <v>72</v>
      </c>
      <c r="B78" s="135" t="s">
        <v>1179</v>
      </c>
      <c r="C78" s="135" t="s">
        <v>1180</v>
      </c>
      <c r="D78" s="332" t="s">
        <v>5952</v>
      </c>
      <c r="E78" s="124" t="s">
        <v>88</v>
      </c>
      <c r="F78" s="332" t="s">
        <v>5953</v>
      </c>
      <c r="G78" s="332" t="s">
        <v>5954</v>
      </c>
      <c r="H78" s="135" t="s">
        <v>532</v>
      </c>
      <c r="I78" s="141" t="s">
        <v>706</v>
      </c>
      <c r="J78" s="135" t="s">
        <v>285</v>
      </c>
      <c r="K78" s="135" t="s">
        <v>1017</v>
      </c>
      <c r="L78" s="135" t="s">
        <v>1181</v>
      </c>
      <c r="M78" s="335">
        <v>37777.0</v>
      </c>
      <c r="N78" s="138" t="s">
        <v>67</v>
      </c>
      <c r="O78" s="124"/>
      <c r="P78" s="135" t="s">
        <v>68</v>
      </c>
      <c r="Q78" s="124"/>
      <c r="R78" s="138">
        <v>8.1263655552E10</v>
      </c>
      <c r="S78" s="135"/>
      <c r="T78" s="135" t="s">
        <v>1182</v>
      </c>
      <c r="U78" s="135" t="s">
        <v>1183</v>
      </c>
      <c r="V78" s="135" t="s">
        <v>96</v>
      </c>
      <c r="W78" s="135" t="s">
        <v>166</v>
      </c>
      <c r="X78" s="135" t="s">
        <v>167</v>
      </c>
      <c r="Y78" s="135" t="s">
        <v>982</v>
      </c>
      <c r="Z78" s="138" t="s">
        <v>934</v>
      </c>
      <c r="AA78" s="138" t="s">
        <v>934</v>
      </c>
    </row>
    <row r="79">
      <c r="A79" s="124">
        <f t="shared" si="1"/>
        <v>73</v>
      </c>
      <c r="B79" s="135" t="s">
        <v>1184</v>
      </c>
      <c r="C79" s="135" t="s">
        <v>1185</v>
      </c>
      <c r="D79" s="332" t="s">
        <v>5952</v>
      </c>
      <c r="E79" s="124" t="s">
        <v>88</v>
      </c>
      <c r="F79" s="332" t="s">
        <v>5953</v>
      </c>
      <c r="G79" s="332" t="s">
        <v>5954</v>
      </c>
      <c r="H79" s="135" t="s">
        <v>532</v>
      </c>
      <c r="I79" s="141" t="s">
        <v>661</v>
      </c>
      <c r="J79" s="135" t="s">
        <v>285</v>
      </c>
      <c r="K79" s="135" t="s">
        <v>1186</v>
      </c>
      <c r="L79" s="135" t="s">
        <v>1187</v>
      </c>
      <c r="M79" s="333">
        <v>34485.0</v>
      </c>
      <c r="N79" s="138" t="s">
        <v>67</v>
      </c>
      <c r="O79" s="124"/>
      <c r="P79" s="135" t="s">
        <v>68</v>
      </c>
      <c r="Q79" s="124"/>
      <c r="R79" s="138">
        <v>8.1262155621E10</v>
      </c>
      <c r="S79" s="135" t="s">
        <v>1188</v>
      </c>
      <c r="T79" s="135" t="s">
        <v>1189</v>
      </c>
      <c r="U79" s="135" t="s">
        <v>1190</v>
      </c>
      <c r="V79" s="135" t="s">
        <v>96</v>
      </c>
      <c r="W79" s="135" t="s">
        <v>97</v>
      </c>
      <c r="X79" s="135" t="s">
        <v>272</v>
      </c>
      <c r="Y79" s="135" t="s">
        <v>273</v>
      </c>
      <c r="Z79" s="138"/>
      <c r="AA79" s="138"/>
    </row>
    <row r="80">
      <c r="A80" s="124">
        <f t="shared" si="1"/>
        <v>74</v>
      </c>
      <c r="B80" s="135" t="s">
        <v>1191</v>
      </c>
      <c r="C80" s="135" t="s">
        <v>1192</v>
      </c>
      <c r="D80" s="332" t="s">
        <v>5952</v>
      </c>
      <c r="E80" s="124" t="s">
        <v>88</v>
      </c>
      <c r="F80" s="332" t="s">
        <v>5953</v>
      </c>
      <c r="G80" s="332" t="s">
        <v>5954</v>
      </c>
      <c r="H80" s="135" t="s">
        <v>142</v>
      </c>
      <c r="I80" s="141" t="s">
        <v>639</v>
      </c>
      <c r="J80" s="135" t="s">
        <v>89</v>
      </c>
      <c r="K80" s="135" t="s">
        <v>1193</v>
      </c>
      <c r="L80" s="135" t="s">
        <v>1194</v>
      </c>
      <c r="M80" s="333">
        <v>42213.0</v>
      </c>
      <c r="N80" s="138" t="s">
        <v>220</v>
      </c>
      <c r="O80" s="124"/>
      <c r="P80" s="135" t="s">
        <v>130</v>
      </c>
      <c r="Q80" s="124"/>
      <c r="R80" s="138">
        <v>8.5359996989E10</v>
      </c>
      <c r="S80" s="135" t="s">
        <v>1195</v>
      </c>
      <c r="T80" s="135" t="s">
        <v>1196</v>
      </c>
      <c r="U80" s="135" t="s">
        <v>1197</v>
      </c>
      <c r="V80" s="135" t="s">
        <v>73</v>
      </c>
      <c r="W80" s="135" t="s">
        <v>74</v>
      </c>
      <c r="X80" s="135" t="s">
        <v>75</v>
      </c>
      <c r="Y80" s="135" t="s">
        <v>1198</v>
      </c>
      <c r="Z80" s="138"/>
      <c r="AA80" s="138"/>
    </row>
    <row r="81">
      <c r="A81" s="124">
        <f t="shared" si="1"/>
        <v>75</v>
      </c>
      <c r="B81" s="135" t="s">
        <v>1199</v>
      </c>
      <c r="C81" s="135" t="s">
        <v>1200</v>
      </c>
      <c r="D81" s="332" t="s">
        <v>5952</v>
      </c>
      <c r="E81" s="124" t="s">
        <v>88</v>
      </c>
      <c r="F81" s="332" t="s">
        <v>5953</v>
      </c>
      <c r="G81" s="332" t="s">
        <v>5954</v>
      </c>
      <c r="H81" s="135" t="s">
        <v>532</v>
      </c>
      <c r="I81" s="141" t="s">
        <v>706</v>
      </c>
      <c r="J81" s="135" t="s">
        <v>285</v>
      </c>
      <c r="K81" s="135"/>
      <c r="L81" s="135" t="s">
        <v>1201</v>
      </c>
      <c r="M81" s="333">
        <v>35938.0</v>
      </c>
      <c r="N81" s="138" t="s">
        <v>67</v>
      </c>
      <c r="O81" s="124"/>
      <c r="P81" s="135" t="s">
        <v>68</v>
      </c>
      <c r="Q81" s="124"/>
      <c r="R81" s="138">
        <v>8.1396124137E10</v>
      </c>
      <c r="S81" s="135" t="s">
        <v>1202</v>
      </c>
      <c r="T81" s="135" t="s">
        <v>1203</v>
      </c>
      <c r="U81" s="135" t="s">
        <v>1204</v>
      </c>
      <c r="V81" s="135" t="s">
        <v>96</v>
      </c>
      <c r="W81" s="135" t="s">
        <v>97</v>
      </c>
      <c r="X81" s="135" t="s">
        <v>1136</v>
      </c>
      <c r="Y81" s="135" t="s">
        <v>1137</v>
      </c>
      <c r="Z81" s="138">
        <v>0.0</v>
      </c>
      <c r="AA81" s="138">
        <v>0.0</v>
      </c>
    </row>
    <row r="82">
      <c r="A82" s="124">
        <f t="shared" si="1"/>
        <v>76</v>
      </c>
      <c r="B82" s="135" t="s">
        <v>1205</v>
      </c>
      <c r="C82" s="135" t="s">
        <v>1206</v>
      </c>
      <c r="D82" s="332" t="s">
        <v>5952</v>
      </c>
      <c r="E82" s="124" t="s">
        <v>88</v>
      </c>
      <c r="F82" s="332" t="s">
        <v>5953</v>
      </c>
      <c r="G82" s="332" t="s">
        <v>5954</v>
      </c>
      <c r="H82" s="135" t="s">
        <v>532</v>
      </c>
      <c r="I82" s="141" t="s">
        <v>661</v>
      </c>
      <c r="J82" s="135" t="s">
        <v>285</v>
      </c>
      <c r="K82" s="135" t="s">
        <v>1207</v>
      </c>
      <c r="L82" s="135" t="s">
        <v>1208</v>
      </c>
      <c r="M82" s="335">
        <v>37777.0</v>
      </c>
      <c r="N82" s="138" t="s">
        <v>67</v>
      </c>
      <c r="O82" s="124"/>
      <c r="P82" s="135" t="s">
        <v>68</v>
      </c>
      <c r="Q82" s="124"/>
      <c r="R82" s="138">
        <v>8.5278126514E10</v>
      </c>
      <c r="S82" s="135" t="s">
        <v>1209</v>
      </c>
      <c r="T82" s="135" t="s">
        <v>1210</v>
      </c>
      <c r="U82" s="135" t="s">
        <v>1211</v>
      </c>
      <c r="V82" s="135" t="s">
        <v>73</v>
      </c>
      <c r="W82" s="135" t="s">
        <v>481</v>
      </c>
      <c r="X82" s="135" t="s">
        <v>360</v>
      </c>
      <c r="Y82" s="135" t="s">
        <v>666</v>
      </c>
      <c r="Z82" s="138">
        <v>0.0</v>
      </c>
      <c r="AA82" s="138">
        <v>0.0</v>
      </c>
    </row>
    <row r="83">
      <c r="A83" s="124">
        <f t="shared" si="1"/>
        <v>77</v>
      </c>
      <c r="B83" s="135" t="s">
        <v>1212</v>
      </c>
      <c r="C83" s="135" t="s">
        <v>1213</v>
      </c>
      <c r="D83" s="332" t="s">
        <v>5952</v>
      </c>
      <c r="E83" s="124" t="s">
        <v>88</v>
      </c>
      <c r="F83" s="332" t="s">
        <v>5953</v>
      </c>
      <c r="G83" s="332" t="s">
        <v>5954</v>
      </c>
      <c r="H83" s="135" t="s">
        <v>142</v>
      </c>
      <c r="I83" s="141" t="s">
        <v>639</v>
      </c>
      <c r="J83" s="135" t="s">
        <v>89</v>
      </c>
      <c r="K83" s="135" t="s">
        <v>1214</v>
      </c>
      <c r="L83" s="135" t="s">
        <v>1215</v>
      </c>
      <c r="M83" s="333">
        <v>40984.0</v>
      </c>
      <c r="N83" s="138" t="s">
        <v>67</v>
      </c>
      <c r="O83" s="124"/>
      <c r="P83" s="135" t="s">
        <v>130</v>
      </c>
      <c r="Q83" s="124"/>
      <c r="R83" s="138" t="s">
        <v>1216</v>
      </c>
      <c r="S83" s="135" t="s">
        <v>1217</v>
      </c>
      <c r="T83" s="135" t="s">
        <v>1218</v>
      </c>
      <c r="U83" s="135" t="s">
        <v>1219</v>
      </c>
      <c r="V83" s="135" t="s">
        <v>73</v>
      </c>
      <c r="W83" s="135" t="s">
        <v>74</v>
      </c>
      <c r="X83" s="135" t="s">
        <v>1220</v>
      </c>
      <c r="Y83" s="135" t="s">
        <v>1221</v>
      </c>
      <c r="Z83" s="138" t="s">
        <v>77</v>
      </c>
      <c r="AA83" s="138" t="s">
        <v>77</v>
      </c>
    </row>
    <row r="84">
      <c r="A84" s="124">
        <f t="shared" si="1"/>
        <v>78</v>
      </c>
      <c r="B84" s="135" t="s">
        <v>1222</v>
      </c>
      <c r="C84" s="135" t="s">
        <v>1223</v>
      </c>
      <c r="D84" s="332" t="s">
        <v>5952</v>
      </c>
      <c r="E84" s="124" t="s">
        <v>88</v>
      </c>
      <c r="F84" s="332" t="s">
        <v>5953</v>
      </c>
      <c r="G84" s="332" t="s">
        <v>5954</v>
      </c>
      <c r="H84" s="135" t="s">
        <v>142</v>
      </c>
      <c r="I84" s="141" t="s">
        <v>1224</v>
      </c>
      <c r="J84" s="135" t="s">
        <v>89</v>
      </c>
      <c r="K84" s="135" t="s">
        <v>1225</v>
      </c>
      <c r="L84" s="135" t="s">
        <v>1215</v>
      </c>
      <c r="M84" s="335">
        <v>37536.0</v>
      </c>
      <c r="N84" s="138" t="s">
        <v>67</v>
      </c>
      <c r="O84" s="124"/>
      <c r="P84" s="135" t="s">
        <v>130</v>
      </c>
      <c r="Q84" s="124"/>
      <c r="R84" s="138" t="s">
        <v>1226</v>
      </c>
      <c r="S84" s="135" t="s">
        <v>1227</v>
      </c>
      <c r="T84" s="135" t="s">
        <v>1228</v>
      </c>
      <c r="U84" s="135" t="s">
        <v>1219</v>
      </c>
      <c r="V84" s="135" t="s">
        <v>73</v>
      </c>
      <c r="W84" s="135" t="s">
        <v>74</v>
      </c>
      <c r="X84" s="135" t="s">
        <v>1220</v>
      </c>
      <c r="Y84" s="135" t="s">
        <v>1221</v>
      </c>
      <c r="Z84" s="138" t="s">
        <v>77</v>
      </c>
      <c r="AA84" s="138" t="s">
        <v>77</v>
      </c>
    </row>
    <row r="85">
      <c r="A85" s="124">
        <f t="shared" si="1"/>
        <v>79</v>
      </c>
      <c r="B85" s="135" t="s">
        <v>1229</v>
      </c>
      <c r="C85" s="135" t="s">
        <v>1230</v>
      </c>
      <c r="D85" s="332" t="s">
        <v>5952</v>
      </c>
      <c r="E85" s="124" t="s">
        <v>88</v>
      </c>
      <c r="F85" s="332" t="s">
        <v>5953</v>
      </c>
      <c r="G85" s="332" t="s">
        <v>5954</v>
      </c>
      <c r="H85" s="135" t="s">
        <v>142</v>
      </c>
      <c r="I85" s="141" t="s">
        <v>639</v>
      </c>
      <c r="J85" s="135" t="s">
        <v>89</v>
      </c>
      <c r="K85" s="135" t="s">
        <v>374</v>
      </c>
      <c r="L85" s="135" t="s">
        <v>1231</v>
      </c>
      <c r="M85" s="333">
        <v>42459.0</v>
      </c>
      <c r="N85" s="138" t="s">
        <v>67</v>
      </c>
      <c r="O85" s="124"/>
      <c r="P85" s="135" t="s">
        <v>130</v>
      </c>
      <c r="Q85" s="124"/>
      <c r="R85" s="138" t="s">
        <v>1232</v>
      </c>
      <c r="S85" s="135" t="s">
        <v>1233</v>
      </c>
      <c r="T85" s="135" t="s">
        <v>1234</v>
      </c>
      <c r="U85" s="135" t="s">
        <v>1235</v>
      </c>
      <c r="V85" s="135" t="s">
        <v>73</v>
      </c>
      <c r="W85" s="135" t="s">
        <v>74</v>
      </c>
      <c r="X85" s="135" t="s">
        <v>75</v>
      </c>
      <c r="Y85" s="135" t="s">
        <v>1236</v>
      </c>
      <c r="Z85" s="138" t="s">
        <v>77</v>
      </c>
      <c r="AA85" s="138" t="s">
        <v>77</v>
      </c>
    </row>
    <row r="86">
      <c r="A86" s="124">
        <f t="shared" si="1"/>
        <v>80</v>
      </c>
      <c r="B86" s="135" t="s">
        <v>1237</v>
      </c>
      <c r="C86" s="135" t="s">
        <v>1238</v>
      </c>
      <c r="D86" s="332" t="s">
        <v>5952</v>
      </c>
      <c r="E86" s="124" t="s">
        <v>88</v>
      </c>
      <c r="F86" s="332" t="s">
        <v>5953</v>
      </c>
      <c r="G86" s="332" t="s">
        <v>5954</v>
      </c>
      <c r="H86" s="135" t="s">
        <v>142</v>
      </c>
      <c r="I86" s="141" t="s">
        <v>639</v>
      </c>
      <c r="J86" s="135" t="s">
        <v>89</v>
      </c>
      <c r="K86" s="135" t="s">
        <v>1239</v>
      </c>
      <c r="L86" s="135" t="s">
        <v>244</v>
      </c>
      <c r="M86" s="333">
        <v>44938.0</v>
      </c>
      <c r="N86" s="138" t="s">
        <v>67</v>
      </c>
      <c r="O86" s="124"/>
      <c r="P86" s="135" t="s">
        <v>130</v>
      </c>
      <c r="Q86" s="124"/>
      <c r="R86" s="138">
        <v>8.1361905556E10</v>
      </c>
      <c r="S86" s="135" t="s">
        <v>1240</v>
      </c>
      <c r="T86" s="135" t="s">
        <v>1241</v>
      </c>
      <c r="U86" s="135" t="s">
        <v>1242</v>
      </c>
      <c r="V86" s="135" t="s">
        <v>1029</v>
      </c>
      <c r="W86" s="135" t="s">
        <v>514</v>
      </c>
      <c r="X86" s="135" t="s">
        <v>1243</v>
      </c>
      <c r="Y86" s="135" t="s">
        <v>1244</v>
      </c>
      <c r="Z86" s="138">
        <v>0.0</v>
      </c>
      <c r="AA86" s="138">
        <v>0.0</v>
      </c>
    </row>
    <row r="87">
      <c r="A87" s="124">
        <f t="shared" si="1"/>
        <v>81</v>
      </c>
      <c r="B87" s="135" t="s">
        <v>1876</v>
      </c>
      <c r="C87" s="135" t="s">
        <v>1877</v>
      </c>
      <c r="D87" s="332" t="s">
        <v>5952</v>
      </c>
      <c r="E87" s="124" t="s">
        <v>88</v>
      </c>
      <c r="F87" s="332" t="s">
        <v>5953</v>
      </c>
      <c r="G87" s="332" t="s">
        <v>5954</v>
      </c>
      <c r="H87" s="135" t="s">
        <v>142</v>
      </c>
      <c r="I87" s="141" t="s">
        <v>1878</v>
      </c>
      <c r="J87" s="135" t="s">
        <v>89</v>
      </c>
      <c r="K87" s="135"/>
      <c r="L87" s="135" t="s">
        <v>648</v>
      </c>
      <c r="M87" s="333">
        <v>45985.0</v>
      </c>
      <c r="N87" s="138" t="s">
        <v>67</v>
      </c>
      <c r="O87" s="124"/>
      <c r="P87" s="135" t="s">
        <v>130</v>
      </c>
      <c r="Q87" s="124"/>
      <c r="R87" s="138" t="s">
        <v>1879</v>
      </c>
      <c r="S87" s="135" t="s">
        <v>1880</v>
      </c>
      <c r="T87" s="135" t="s">
        <v>1881</v>
      </c>
      <c r="U87" s="135" t="s">
        <v>1882</v>
      </c>
      <c r="V87" s="135" t="s">
        <v>96</v>
      </c>
      <c r="W87" s="135" t="s">
        <v>150</v>
      </c>
      <c r="X87" s="135" t="s">
        <v>281</v>
      </c>
      <c r="Y87" s="135" t="s">
        <v>1883</v>
      </c>
      <c r="Z87" s="138"/>
      <c r="AA87" s="138"/>
    </row>
    <row r="88">
      <c r="A88" s="124">
        <f t="shared" si="1"/>
        <v>82</v>
      </c>
      <c r="B88" s="135" t="s">
        <v>1245</v>
      </c>
      <c r="C88" s="135" t="s">
        <v>1246</v>
      </c>
      <c r="D88" s="332" t="s">
        <v>5952</v>
      </c>
      <c r="E88" s="124" t="s">
        <v>88</v>
      </c>
      <c r="F88" s="332" t="s">
        <v>5953</v>
      </c>
      <c r="G88" s="332" t="s">
        <v>5954</v>
      </c>
      <c r="H88" s="135" t="s">
        <v>532</v>
      </c>
      <c r="I88" s="141" t="s">
        <v>1247</v>
      </c>
      <c r="J88" s="135" t="s">
        <v>285</v>
      </c>
      <c r="K88" s="135" t="s">
        <v>1035</v>
      </c>
      <c r="L88" s="135" t="s">
        <v>1248</v>
      </c>
      <c r="M88" s="335">
        <v>37777.0</v>
      </c>
      <c r="N88" s="138" t="s">
        <v>67</v>
      </c>
      <c r="O88" s="124"/>
      <c r="P88" s="135" t="s">
        <v>130</v>
      </c>
      <c r="Q88" s="124"/>
      <c r="R88" s="138">
        <v>8.1361278799E10</v>
      </c>
      <c r="S88" s="135" t="s">
        <v>1249</v>
      </c>
      <c r="T88" s="135" t="s">
        <v>1250</v>
      </c>
      <c r="U88" s="135" t="s">
        <v>1251</v>
      </c>
      <c r="V88" s="135" t="s">
        <v>73</v>
      </c>
      <c r="W88" s="135" t="s">
        <v>835</v>
      </c>
      <c r="X88" s="135" t="s">
        <v>932</v>
      </c>
      <c r="Y88" s="135" t="s">
        <v>1074</v>
      </c>
      <c r="Z88" s="138"/>
      <c r="AA88" s="138"/>
    </row>
    <row r="89">
      <c r="A89" s="124">
        <f t="shared" si="1"/>
        <v>83</v>
      </c>
      <c r="B89" s="135" t="s">
        <v>1252</v>
      </c>
      <c r="C89" s="135" t="s">
        <v>1253</v>
      </c>
      <c r="D89" s="332" t="s">
        <v>5952</v>
      </c>
      <c r="E89" s="124" t="s">
        <v>88</v>
      </c>
      <c r="F89" s="332" t="s">
        <v>5953</v>
      </c>
      <c r="G89" s="332" t="s">
        <v>5954</v>
      </c>
      <c r="H89" s="135" t="s">
        <v>532</v>
      </c>
      <c r="I89" s="141" t="s">
        <v>706</v>
      </c>
      <c r="J89" s="135" t="s">
        <v>285</v>
      </c>
      <c r="K89" s="135" t="s">
        <v>1077</v>
      </c>
      <c r="L89" s="135" t="s">
        <v>1254</v>
      </c>
      <c r="M89" s="333">
        <v>36694.0</v>
      </c>
      <c r="N89" s="138" t="s">
        <v>67</v>
      </c>
      <c r="O89" s="124"/>
      <c r="P89" s="135" t="s">
        <v>68</v>
      </c>
      <c r="Q89" s="124"/>
      <c r="R89" s="138">
        <v>8.1278527773E10</v>
      </c>
      <c r="S89" s="135" t="s">
        <v>1255</v>
      </c>
      <c r="T89" s="135" t="s">
        <v>1256</v>
      </c>
      <c r="U89" s="135" t="s">
        <v>1257</v>
      </c>
      <c r="V89" s="135" t="s">
        <v>73</v>
      </c>
      <c r="W89" s="135" t="s">
        <v>74</v>
      </c>
      <c r="X89" s="135" t="s">
        <v>360</v>
      </c>
      <c r="Y89" s="135" t="s">
        <v>566</v>
      </c>
      <c r="Z89" s="138" t="s">
        <v>934</v>
      </c>
      <c r="AA89" s="138" t="s">
        <v>934</v>
      </c>
    </row>
    <row r="90">
      <c r="A90" s="124">
        <f t="shared" si="1"/>
        <v>84</v>
      </c>
      <c r="B90" s="135" t="s">
        <v>1258</v>
      </c>
      <c r="C90" s="135" t="s">
        <v>1259</v>
      </c>
      <c r="D90" s="332" t="s">
        <v>5952</v>
      </c>
      <c r="E90" s="124" t="s">
        <v>88</v>
      </c>
      <c r="F90" s="332" t="s">
        <v>5953</v>
      </c>
      <c r="G90" s="332" t="s">
        <v>5954</v>
      </c>
      <c r="H90" s="135" t="s">
        <v>532</v>
      </c>
      <c r="I90" s="141" t="s">
        <v>706</v>
      </c>
      <c r="J90" s="135" t="s">
        <v>285</v>
      </c>
      <c r="K90" s="135" t="s">
        <v>374</v>
      </c>
      <c r="L90" s="135" t="s">
        <v>1260</v>
      </c>
      <c r="M90" s="335">
        <v>33390.0</v>
      </c>
      <c r="N90" s="138" t="s">
        <v>67</v>
      </c>
      <c r="O90" s="124"/>
      <c r="P90" s="135" t="s">
        <v>68</v>
      </c>
      <c r="Q90" s="124"/>
      <c r="R90" s="138" t="s">
        <v>1261</v>
      </c>
      <c r="S90" s="135" t="s">
        <v>1262</v>
      </c>
      <c r="T90" s="135" t="s">
        <v>1263</v>
      </c>
      <c r="U90" s="135" t="s">
        <v>1264</v>
      </c>
      <c r="V90" s="135" t="s">
        <v>73</v>
      </c>
      <c r="W90" s="135" t="s">
        <v>166</v>
      </c>
      <c r="X90" s="135" t="s">
        <v>167</v>
      </c>
      <c r="Y90" s="135" t="s">
        <v>1265</v>
      </c>
      <c r="Z90" s="138" t="s">
        <v>77</v>
      </c>
      <c r="AA90" s="138" t="s">
        <v>77</v>
      </c>
    </row>
    <row r="91">
      <c r="A91" s="124">
        <f t="shared" si="1"/>
        <v>85</v>
      </c>
      <c r="B91" s="135" t="s">
        <v>1266</v>
      </c>
      <c r="C91" s="135" t="s">
        <v>1267</v>
      </c>
      <c r="D91" s="332" t="s">
        <v>5952</v>
      </c>
      <c r="E91" s="124" t="s">
        <v>88</v>
      </c>
      <c r="F91" s="332" t="s">
        <v>5953</v>
      </c>
      <c r="G91" s="332" t="s">
        <v>5954</v>
      </c>
      <c r="H91" s="135" t="s">
        <v>532</v>
      </c>
      <c r="I91" s="141" t="s">
        <v>639</v>
      </c>
      <c r="J91" s="135"/>
      <c r="K91" s="135"/>
      <c r="L91" s="135"/>
      <c r="M91" s="138"/>
      <c r="N91" s="138" t="s">
        <v>67</v>
      </c>
      <c r="O91" s="124"/>
      <c r="P91" s="135" t="s">
        <v>68</v>
      </c>
      <c r="Q91" s="124"/>
      <c r="R91" s="138">
        <v>8.1263953119E10</v>
      </c>
      <c r="S91" s="135" t="s">
        <v>1268</v>
      </c>
      <c r="T91" s="135" t="s">
        <v>1269</v>
      </c>
      <c r="U91" s="135" t="s">
        <v>1270</v>
      </c>
      <c r="V91" s="135" t="s">
        <v>96</v>
      </c>
      <c r="W91" s="135" t="s">
        <v>97</v>
      </c>
      <c r="X91" s="135" t="s">
        <v>213</v>
      </c>
      <c r="Y91" s="135" t="s">
        <v>885</v>
      </c>
      <c r="Z91" s="138" t="s">
        <v>77</v>
      </c>
      <c r="AA91" s="138" t="s">
        <v>77</v>
      </c>
    </row>
    <row r="92">
      <c r="A92" s="124">
        <f t="shared" si="1"/>
        <v>86</v>
      </c>
      <c r="B92" s="135" t="s">
        <v>1271</v>
      </c>
      <c r="C92" s="135" t="s">
        <v>1272</v>
      </c>
      <c r="D92" s="332" t="s">
        <v>5952</v>
      </c>
      <c r="E92" s="124" t="s">
        <v>88</v>
      </c>
      <c r="F92" s="332" t="s">
        <v>5953</v>
      </c>
      <c r="G92" s="332" t="s">
        <v>5954</v>
      </c>
      <c r="H92" s="135" t="s">
        <v>532</v>
      </c>
      <c r="I92" s="141" t="s">
        <v>839</v>
      </c>
      <c r="J92" s="135" t="s">
        <v>285</v>
      </c>
      <c r="K92" s="135"/>
      <c r="L92" s="135" t="s">
        <v>1273</v>
      </c>
      <c r="M92" s="333">
        <v>37704.0</v>
      </c>
      <c r="N92" s="138" t="s">
        <v>67</v>
      </c>
      <c r="O92" s="124"/>
      <c r="P92" s="135" t="s">
        <v>68</v>
      </c>
      <c r="Q92" s="124"/>
      <c r="R92" s="138">
        <v>8.1263974582E10</v>
      </c>
      <c r="S92" s="135" t="s">
        <v>1274</v>
      </c>
      <c r="T92" s="135" t="s">
        <v>1275</v>
      </c>
      <c r="U92" s="135" t="s">
        <v>1276</v>
      </c>
      <c r="V92" s="135" t="s">
        <v>73</v>
      </c>
      <c r="W92" s="135" t="s">
        <v>74</v>
      </c>
      <c r="X92" s="135" t="s">
        <v>1220</v>
      </c>
      <c r="Y92" s="135" t="s">
        <v>1277</v>
      </c>
      <c r="Z92" s="138"/>
      <c r="AA92" s="138"/>
    </row>
    <row r="93">
      <c r="A93" s="124">
        <f t="shared" si="1"/>
        <v>87</v>
      </c>
      <c r="B93" s="135" t="s">
        <v>1278</v>
      </c>
      <c r="C93" s="135" t="s">
        <v>1279</v>
      </c>
      <c r="D93" s="332" t="s">
        <v>5952</v>
      </c>
      <c r="E93" s="124" t="s">
        <v>88</v>
      </c>
      <c r="F93" s="332" t="s">
        <v>5953</v>
      </c>
      <c r="G93" s="332" t="s">
        <v>5954</v>
      </c>
      <c r="H93" s="135" t="s">
        <v>532</v>
      </c>
      <c r="I93" s="141" t="s">
        <v>661</v>
      </c>
      <c r="J93" s="135" t="s">
        <v>285</v>
      </c>
      <c r="K93" s="135" t="s">
        <v>218</v>
      </c>
      <c r="L93" s="135" t="s">
        <v>1280</v>
      </c>
      <c r="M93" s="333">
        <v>33019.0</v>
      </c>
      <c r="N93" s="138" t="s">
        <v>67</v>
      </c>
      <c r="O93" s="124"/>
      <c r="P93" s="135" t="s">
        <v>130</v>
      </c>
      <c r="Q93" s="124"/>
      <c r="R93" s="138">
        <v>8.5276768556E10</v>
      </c>
      <c r="S93" s="135" t="s">
        <v>1281</v>
      </c>
      <c r="T93" s="135" t="s">
        <v>1282</v>
      </c>
      <c r="U93" s="135" t="s">
        <v>1283</v>
      </c>
      <c r="V93" s="135" t="s">
        <v>73</v>
      </c>
      <c r="W93" s="135" t="s">
        <v>74</v>
      </c>
      <c r="X93" s="135" t="s">
        <v>582</v>
      </c>
      <c r="Y93" s="135" t="s">
        <v>1284</v>
      </c>
      <c r="Z93" s="138">
        <v>3.0</v>
      </c>
      <c r="AA93" s="138">
        <v>2.0</v>
      </c>
    </row>
    <row r="94">
      <c r="A94" s="124">
        <f t="shared" si="1"/>
        <v>88</v>
      </c>
      <c r="B94" s="135" t="s">
        <v>1285</v>
      </c>
      <c r="C94" s="135" t="s">
        <v>1286</v>
      </c>
      <c r="D94" s="332" t="s">
        <v>5952</v>
      </c>
      <c r="E94" s="124" t="s">
        <v>88</v>
      </c>
      <c r="F94" s="332" t="s">
        <v>5953</v>
      </c>
      <c r="G94" s="332" t="s">
        <v>5954</v>
      </c>
      <c r="H94" s="135" t="s">
        <v>142</v>
      </c>
      <c r="I94" s="141" t="s">
        <v>639</v>
      </c>
      <c r="J94" s="135" t="s">
        <v>89</v>
      </c>
      <c r="K94" s="135" t="s">
        <v>1287</v>
      </c>
      <c r="L94" s="135" t="s">
        <v>1215</v>
      </c>
      <c r="M94" s="333">
        <v>44918.0</v>
      </c>
      <c r="N94" s="138" t="s">
        <v>67</v>
      </c>
      <c r="O94" s="124"/>
      <c r="P94" s="135" t="s">
        <v>130</v>
      </c>
      <c r="Q94" s="124"/>
      <c r="R94" s="138">
        <v>8.5260579005E10</v>
      </c>
      <c r="S94" s="135" t="s">
        <v>1288</v>
      </c>
      <c r="T94" s="135" t="s">
        <v>1289</v>
      </c>
      <c r="U94" s="135" t="s">
        <v>1290</v>
      </c>
      <c r="V94" s="135" t="s">
        <v>73</v>
      </c>
      <c r="W94" s="135" t="s">
        <v>74</v>
      </c>
      <c r="X94" s="135" t="s">
        <v>1291</v>
      </c>
      <c r="Y94" s="135" t="s">
        <v>167</v>
      </c>
      <c r="Z94" s="138" t="s">
        <v>77</v>
      </c>
      <c r="AA94" s="138" t="s">
        <v>77</v>
      </c>
    </row>
    <row r="95">
      <c r="A95" s="337" t="s">
        <v>1292</v>
      </c>
      <c r="B95" s="338"/>
      <c r="C95" s="338"/>
      <c r="D95" s="337"/>
      <c r="E95" s="337"/>
      <c r="F95" s="337"/>
      <c r="G95" s="337"/>
      <c r="H95" s="338"/>
      <c r="I95" s="338"/>
      <c r="J95" s="338"/>
      <c r="K95" s="338"/>
      <c r="L95" s="338"/>
      <c r="M95" s="337"/>
      <c r="N95" s="339"/>
      <c r="O95" s="339"/>
      <c r="P95" s="340"/>
      <c r="Q95" s="339"/>
      <c r="R95" s="339"/>
      <c r="S95" s="340"/>
      <c r="T95" s="340"/>
      <c r="U95" s="340"/>
      <c r="V95" s="340"/>
      <c r="W95" s="340"/>
      <c r="X95" s="340"/>
      <c r="Y95" s="340"/>
      <c r="Z95" s="339"/>
      <c r="AA95" s="339"/>
    </row>
    <row r="96">
      <c r="A96" s="332">
        <v>1.0</v>
      </c>
      <c r="B96" s="135" t="s">
        <v>1705</v>
      </c>
      <c r="C96" s="135" t="s">
        <v>1706</v>
      </c>
      <c r="D96" s="332" t="s">
        <v>5952</v>
      </c>
      <c r="E96" s="124" t="s">
        <v>88</v>
      </c>
      <c r="F96" s="332" t="s">
        <v>5953</v>
      </c>
      <c r="G96" s="332" t="s">
        <v>5954</v>
      </c>
      <c r="H96" s="135" t="s">
        <v>142</v>
      </c>
      <c r="I96" s="139" t="s">
        <v>1707</v>
      </c>
      <c r="J96" s="135" t="s">
        <v>89</v>
      </c>
      <c r="K96" s="135" t="s">
        <v>230</v>
      </c>
      <c r="L96" s="135" t="s">
        <v>1010</v>
      </c>
      <c r="M96" s="333">
        <v>41629.0</v>
      </c>
      <c r="N96" s="138" t="s">
        <v>311</v>
      </c>
      <c r="O96" s="124"/>
      <c r="P96" s="135" t="s">
        <v>68</v>
      </c>
      <c r="Q96" s="138"/>
      <c r="R96" s="138">
        <v>8.5277494302E10</v>
      </c>
      <c r="S96" s="135" t="s">
        <v>1708</v>
      </c>
      <c r="T96" s="135" t="s">
        <v>1709</v>
      </c>
      <c r="U96" s="135" t="s">
        <v>1710</v>
      </c>
      <c r="V96" s="135" t="s">
        <v>96</v>
      </c>
      <c r="W96" s="135" t="s">
        <v>97</v>
      </c>
      <c r="X96" s="135" t="s">
        <v>292</v>
      </c>
      <c r="Y96" s="135" t="s">
        <v>1711</v>
      </c>
      <c r="Z96" s="138">
        <v>0.0</v>
      </c>
      <c r="AA96" s="138">
        <v>0.0</v>
      </c>
    </row>
    <row r="97">
      <c r="A97" s="332">
        <v>2.0</v>
      </c>
      <c r="B97" s="135" t="s">
        <v>1712</v>
      </c>
      <c r="C97" s="135" t="s">
        <v>1713</v>
      </c>
      <c r="D97" s="332" t="s">
        <v>5952</v>
      </c>
      <c r="E97" s="124" t="s">
        <v>88</v>
      </c>
      <c r="F97" s="332" t="s">
        <v>5953</v>
      </c>
      <c r="G97" s="332" t="s">
        <v>5954</v>
      </c>
      <c r="H97" s="135" t="s">
        <v>142</v>
      </c>
      <c r="I97" s="139" t="s">
        <v>1707</v>
      </c>
      <c r="J97" s="135" t="s">
        <v>89</v>
      </c>
      <c r="K97" s="135" t="s">
        <v>218</v>
      </c>
      <c r="L97" s="135" t="s">
        <v>641</v>
      </c>
      <c r="M97" s="333">
        <v>44177.0</v>
      </c>
      <c r="N97" s="138" t="s">
        <v>67</v>
      </c>
      <c r="O97" s="124"/>
      <c r="P97" s="135" t="s">
        <v>68</v>
      </c>
      <c r="Q97" s="138"/>
      <c r="R97" s="138">
        <v>8.1370270064E10</v>
      </c>
      <c r="S97" s="135" t="s">
        <v>1714</v>
      </c>
      <c r="T97" s="135" t="s">
        <v>1715</v>
      </c>
      <c r="U97" s="135" t="s">
        <v>1716</v>
      </c>
      <c r="V97" s="135" t="s">
        <v>96</v>
      </c>
      <c r="W97" s="135" t="s">
        <v>97</v>
      </c>
      <c r="X97" s="135" t="s">
        <v>213</v>
      </c>
      <c r="Y97" s="135" t="s">
        <v>556</v>
      </c>
      <c r="Z97" s="138">
        <v>0.0</v>
      </c>
      <c r="AA97" s="138"/>
    </row>
    <row r="98">
      <c r="A98" s="332">
        <v>3.0</v>
      </c>
      <c r="B98" s="135" t="s">
        <v>1717</v>
      </c>
      <c r="C98" s="135" t="s">
        <v>1718</v>
      </c>
      <c r="D98" s="332" t="s">
        <v>5952</v>
      </c>
      <c r="E98" s="124" t="s">
        <v>88</v>
      </c>
      <c r="F98" s="332" t="s">
        <v>5953</v>
      </c>
      <c r="G98" s="332" t="s">
        <v>5954</v>
      </c>
      <c r="H98" s="135" t="s">
        <v>519</v>
      </c>
      <c r="I98" s="139" t="s">
        <v>1707</v>
      </c>
      <c r="J98" s="135" t="s">
        <v>267</v>
      </c>
      <c r="K98" s="135"/>
      <c r="L98" s="135" t="s">
        <v>268</v>
      </c>
      <c r="M98" s="333">
        <v>39711.0</v>
      </c>
      <c r="N98" s="138" t="s">
        <v>311</v>
      </c>
      <c r="O98" s="124"/>
      <c r="P98" s="135" t="s">
        <v>68</v>
      </c>
      <c r="Q98" s="138"/>
      <c r="R98" s="138">
        <v>8.527701334E10</v>
      </c>
      <c r="S98" s="135" t="s">
        <v>1719</v>
      </c>
      <c r="T98" s="135" t="s">
        <v>1720</v>
      </c>
      <c r="U98" s="135" t="s">
        <v>1721</v>
      </c>
      <c r="V98" s="135" t="s">
        <v>692</v>
      </c>
      <c r="W98" s="135" t="s">
        <v>97</v>
      </c>
      <c r="X98" s="135" t="s">
        <v>1722</v>
      </c>
      <c r="Y98" s="135" t="s">
        <v>1723</v>
      </c>
      <c r="Z98" s="138">
        <v>0.0</v>
      </c>
      <c r="AA98" s="138">
        <v>0.0</v>
      </c>
    </row>
    <row r="99">
      <c r="A99" s="332">
        <v>4.0</v>
      </c>
      <c r="B99" s="135" t="s">
        <v>1724</v>
      </c>
      <c r="C99" s="135" t="s">
        <v>1725</v>
      </c>
      <c r="D99" s="332" t="s">
        <v>5952</v>
      </c>
      <c r="E99" s="124" t="s">
        <v>88</v>
      </c>
      <c r="F99" s="332" t="s">
        <v>5953</v>
      </c>
      <c r="G99" s="332" t="s">
        <v>5954</v>
      </c>
      <c r="H99" s="135" t="s">
        <v>142</v>
      </c>
      <c r="I99" s="139" t="s">
        <v>1707</v>
      </c>
      <c r="J99" s="135" t="s">
        <v>89</v>
      </c>
      <c r="K99" s="135" t="s">
        <v>1214</v>
      </c>
      <c r="L99" s="135" t="s">
        <v>1528</v>
      </c>
      <c r="M99" s="333">
        <v>40841.0</v>
      </c>
      <c r="N99" s="138" t="s">
        <v>67</v>
      </c>
      <c r="O99" s="124"/>
      <c r="P99" s="135" t="s">
        <v>68</v>
      </c>
      <c r="Q99" s="138"/>
      <c r="R99" s="138">
        <v>8.116319888E9</v>
      </c>
      <c r="S99" s="135" t="s">
        <v>1726</v>
      </c>
      <c r="T99" s="135" t="s">
        <v>1727</v>
      </c>
      <c r="U99" s="135" t="s">
        <v>1728</v>
      </c>
      <c r="V99" s="135" t="s">
        <v>96</v>
      </c>
      <c r="W99" s="135" t="s">
        <v>150</v>
      </c>
      <c r="X99" s="135" t="s">
        <v>1729</v>
      </c>
      <c r="Y99" s="135" t="s">
        <v>1533</v>
      </c>
      <c r="Z99" s="138">
        <v>0.0</v>
      </c>
      <c r="AA99" s="138">
        <v>0.0</v>
      </c>
    </row>
    <row r="100">
      <c r="A100" s="332">
        <v>5.0</v>
      </c>
      <c r="B100" s="135" t="s">
        <v>1730</v>
      </c>
      <c r="C100" s="135" t="s">
        <v>1731</v>
      </c>
      <c r="D100" s="332" t="s">
        <v>5952</v>
      </c>
      <c r="E100" s="124" t="s">
        <v>88</v>
      </c>
      <c r="F100" s="332" t="s">
        <v>5953</v>
      </c>
      <c r="G100" s="332" t="s">
        <v>5954</v>
      </c>
      <c r="H100" s="135" t="s">
        <v>142</v>
      </c>
      <c r="I100" s="139" t="s">
        <v>1707</v>
      </c>
      <c r="J100" s="135" t="s">
        <v>89</v>
      </c>
      <c r="K100" s="135" t="s">
        <v>218</v>
      </c>
      <c r="L100" s="135" t="s">
        <v>745</v>
      </c>
      <c r="M100" s="333">
        <v>39674.0</v>
      </c>
      <c r="N100" s="138" t="s">
        <v>67</v>
      </c>
      <c r="O100" s="124"/>
      <c r="P100" s="135" t="s">
        <v>68</v>
      </c>
      <c r="Q100" s="138"/>
      <c r="R100" s="138">
        <v>8.5383385612E10</v>
      </c>
      <c r="S100" s="135" t="s">
        <v>1732</v>
      </c>
      <c r="T100" s="135" t="s">
        <v>1733</v>
      </c>
      <c r="U100" s="135" t="s">
        <v>1734</v>
      </c>
      <c r="V100" s="135" t="s">
        <v>96</v>
      </c>
      <c r="W100" s="135" t="s">
        <v>97</v>
      </c>
      <c r="X100" s="135" t="s">
        <v>292</v>
      </c>
      <c r="Y100" s="135" t="s">
        <v>1735</v>
      </c>
      <c r="Z100" s="138">
        <v>0.0</v>
      </c>
      <c r="AA100" s="138">
        <v>0.0</v>
      </c>
    </row>
    <row r="101">
      <c r="A101" s="332">
        <v>6.0</v>
      </c>
      <c r="B101" s="135" t="s">
        <v>1736</v>
      </c>
      <c r="C101" s="135" t="s">
        <v>1737</v>
      </c>
      <c r="D101" s="332" t="s">
        <v>5952</v>
      </c>
      <c r="E101" s="124" t="s">
        <v>88</v>
      </c>
      <c r="F101" s="332" t="s">
        <v>5953</v>
      </c>
      <c r="G101" s="332" t="s">
        <v>5954</v>
      </c>
      <c r="H101" s="135" t="s">
        <v>142</v>
      </c>
      <c r="I101" s="139" t="s">
        <v>1707</v>
      </c>
      <c r="J101" s="135" t="s">
        <v>89</v>
      </c>
      <c r="K101" s="135" t="s">
        <v>418</v>
      </c>
      <c r="L101" s="135" t="s">
        <v>1738</v>
      </c>
      <c r="M101" s="333">
        <v>42350.0</v>
      </c>
      <c r="N101" s="138" t="s">
        <v>67</v>
      </c>
      <c r="O101" s="124"/>
      <c r="P101" s="135" t="s">
        <v>68</v>
      </c>
      <c r="Q101" s="138"/>
      <c r="R101" s="138">
        <v>8.2272848035E10</v>
      </c>
      <c r="S101" s="135" t="s">
        <v>1739</v>
      </c>
      <c r="T101" s="135" t="s">
        <v>1740</v>
      </c>
      <c r="U101" s="135" t="s">
        <v>1741</v>
      </c>
      <c r="V101" s="135" t="s">
        <v>73</v>
      </c>
      <c r="W101" s="135" t="s">
        <v>481</v>
      </c>
      <c r="X101" s="135" t="s">
        <v>932</v>
      </c>
      <c r="Y101" s="135" t="s">
        <v>933</v>
      </c>
      <c r="Z101" s="138">
        <v>0.0</v>
      </c>
      <c r="AA101" s="138">
        <v>0.0</v>
      </c>
    </row>
    <row r="102">
      <c r="A102" s="332">
        <v>7.0</v>
      </c>
      <c r="B102" s="135" t="s">
        <v>1742</v>
      </c>
      <c r="C102" s="135" t="s">
        <v>1743</v>
      </c>
      <c r="D102" s="332" t="s">
        <v>5952</v>
      </c>
      <c r="E102" s="124" t="s">
        <v>88</v>
      </c>
      <c r="F102" s="332" t="s">
        <v>5953</v>
      </c>
      <c r="G102" s="332" t="s">
        <v>5954</v>
      </c>
      <c r="H102" s="135" t="s">
        <v>142</v>
      </c>
      <c r="I102" s="139" t="s">
        <v>1744</v>
      </c>
      <c r="J102" s="135" t="s">
        <v>89</v>
      </c>
      <c r="K102" s="135" t="s">
        <v>374</v>
      </c>
      <c r="L102" s="135" t="s">
        <v>1231</v>
      </c>
      <c r="M102" s="333">
        <v>41024.0</v>
      </c>
      <c r="N102" s="138" t="s">
        <v>67</v>
      </c>
      <c r="O102" s="124"/>
      <c r="P102" s="135" t="s">
        <v>130</v>
      </c>
      <c r="Q102" s="138"/>
      <c r="R102" s="138">
        <v>8.116094049E9</v>
      </c>
      <c r="S102" s="135" t="s">
        <v>1745</v>
      </c>
      <c r="T102" s="135" t="s">
        <v>1746</v>
      </c>
      <c r="U102" s="135" t="s">
        <v>1747</v>
      </c>
      <c r="V102" s="135" t="s">
        <v>96</v>
      </c>
      <c r="W102" s="135" t="s">
        <v>135</v>
      </c>
      <c r="X102" s="135" t="s">
        <v>213</v>
      </c>
      <c r="Y102" s="135" t="s">
        <v>556</v>
      </c>
      <c r="Z102" s="138">
        <v>0.0</v>
      </c>
      <c r="AA102" s="138">
        <v>0.0</v>
      </c>
    </row>
    <row r="103">
      <c r="A103" s="332">
        <v>8.0</v>
      </c>
      <c r="B103" s="135" t="s">
        <v>1748</v>
      </c>
      <c r="C103" s="135" t="s">
        <v>1749</v>
      </c>
      <c r="D103" s="332" t="s">
        <v>5952</v>
      </c>
      <c r="E103" s="124" t="s">
        <v>88</v>
      </c>
      <c r="F103" s="332" t="s">
        <v>5953</v>
      </c>
      <c r="G103" s="332" t="s">
        <v>5954</v>
      </c>
      <c r="H103" s="135" t="s">
        <v>142</v>
      </c>
      <c r="I103" s="139" t="s">
        <v>1744</v>
      </c>
      <c r="J103" s="135" t="s">
        <v>89</v>
      </c>
      <c r="K103" s="135" t="s">
        <v>160</v>
      </c>
      <c r="L103" s="135" t="s">
        <v>1231</v>
      </c>
      <c r="M103" s="333">
        <v>42088.0</v>
      </c>
      <c r="N103" s="138" t="s">
        <v>67</v>
      </c>
      <c r="O103" s="124"/>
      <c r="P103" s="135" t="s">
        <v>130</v>
      </c>
      <c r="Q103" s="138"/>
      <c r="R103" s="138">
        <v>8.1263027298E10</v>
      </c>
      <c r="S103" s="135" t="s">
        <v>1750</v>
      </c>
      <c r="T103" s="135" t="s">
        <v>1751</v>
      </c>
      <c r="U103" s="135" t="s">
        <v>1752</v>
      </c>
      <c r="V103" s="135" t="s">
        <v>73</v>
      </c>
      <c r="W103" s="135" t="s">
        <v>74</v>
      </c>
      <c r="X103" s="135" t="s">
        <v>454</v>
      </c>
      <c r="Y103" s="135" t="s">
        <v>1753</v>
      </c>
      <c r="Z103" s="138" t="s">
        <v>77</v>
      </c>
      <c r="AA103" s="138" t="s">
        <v>77</v>
      </c>
    </row>
    <row r="104">
      <c r="A104" s="332">
        <v>9.0</v>
      </c>
      <c r="B104" s="135" t="s">
        <v>1754</v>
      </c>
      <c r="C104" s="135" t="s">
        <v>1755</v>
      </c>
      <c r="D104" s="332" t="s">
        <v>5952</v>
      </c>
      <c r="E104" s="124" t="s">
        <v>88</v>
      </c>
      <c r="F104" s="332" t="s">
        <v>5953</v>
      </c>
      <c r="G104" s="332" t="s">
        <v>5954</v>
      </c>
      <c r="H104" s="135" t="s">
        <v>142</v>
      </c>
      <c r="I104" s="139" t="s">
        <v>1707</v>
      </c>
      <c r="J104" s="135" t="s">
        <v>89</v>
      </c>
      <c r="K104" s="135" t="s">
        <v>218</v>
      </c>
      <c r="L104" s="135" t="s">
        <v>641</v>
      </c>
      <c r="M104" s="333">
        <v>44177.0</v>
      </c>
      <c r="N104" s="138" t="s">
        <v>67</v>
      </c>
      <c r="O104" s="124"/>
      <c r="P104" s="135" t="s">
        <v>68</v>
      </c>
      <c r="Q104" s="138"/>
      <c r="R104" s="138">
        <v>8.1260345353E10</v>
      </c>
      <c r="S104" s="135" t="s">
        <v>1756</v>
      </c>
      <c r="T104" s="135" t="s">
        <v>1757</v>
      </c>
      <c r="U104" s="135" t="s">
        <v>1758</v>
      </c>
      <c r="V104" s="135" t="s">
        <v>73</v>
      </c>
      <c r="W104" s="135" t="s">
        <v>835</v>
      </c>
      <c r="X104" s="135" t="s">
        <v>360</v>
      </c>
      <c r="Y104" s="135" t="s">
        <v>566</v>
      </c>
      <c r="Z104" s="138">
        <v>0.0</v>
      </c>
      <c r="AA104" s="138">
        <v>0.0</v>
      </c>
    </row>
    <row r="105">
      <c r="A105" s="332">
        <v>10.0</v>
      </c>
      <c r="B105" s="135" t="s">
        <v>1759</v>
      </c>
      <c r="C105" s="135" t="s">
        <v>1760</v>
      </c>
      <c r="D105" s="332" t="s">
        <v>5952</v>
      </c>
      <c r="E105" s="124" t="s">
        <v>88</v>
      </c>
      <c r="F105" s="332" t="s">
        <v>5953</v>
      </c>
      <c r="G105" s="332" t="s">
        <v>5954</v>
      </c>
      <c r="H105" s="135" t="s">
        <v>142</v>
      </c>
      <c r="I105" s="139" t="s">
        <v>1707</v>
      </c>
      <c r="J105" s="135" t="s">
        <v>89</v>
      </c>
      <c r="K105" s="135" t="s">
        <v>230</v>
      </c>
      <c r="L105" s="135" t="s">
        <v>509</v>
      </c>
      <c r="M105" s="335">
        <v>42285.0</v>
      </c>
      <c r="N105" s="138" t="s">
        <v>67</v>
      </c>
      <c r="O105" s="124"/>
      <c r="P105" s="135" t="s">
        <v>68</v>
      </c>
      <c r="Q105" s="138"/>
      <c r="R105" s="138">
        <v>8.211550931E10</v>
      </c>
      <c r="S105" s="135" t="s">
        <v>1761</v>
      </c>
      <c r="T105" s="135" t="s">
        <v>1762</v>
      </c>
      <c r="U105" s="135" t="s">
        <v>1763</v>
      </c>
      <c r="V105" s="135" t="s">
        <v>96</v>
      </c>
      <c r="W105" s="135" t="s">
        <v>150</v>
      </c>
      <c r="X105" s="135" t="s">
        <v>628</v>
      </c>
      <c r="Y105" s="135" t="s">
        <v>1764</v>
      </c>
      <c r="Z105" s="138">
        <v>14.0</v>
      </c>
      <c r="AA105" s="138">
        <v>7.0</v>
      </c>
    </row>
    <row r="106">
      <c r="A106" s="332">
        <v>11.0</v>
      </c>
      <c r="B106" s="135" t="s">
        <v>1765</v>
      </c>
      <c r="C106" s="135" t="s">
        <v>1766</v>
      </c>
      <c r="D106" s="332" t="s">
        <v>5952</v>
      </c>
      <c r="E106" s="124" t="s">
        <v>88</v>
      </c>
      <c r="F106" s="332" t="s">
        <v>5953</v>
      </c>
      <c r="G106" s="332" t="s">
        <v>5954</v>
      </c>
      <c r="H106" s="135" t="s">
        <v>142</v>
      </c>
      <c r="I106" s="139" t="s">
        <v>1744</v>
      </c>
      <c r="J106" s="135" t="s">
        <v>89</v>
      </c>
      <c r="K106" s="135" t="s">
        <v>1214</v>
      </c>
      <c r="L106" s="135" t="s">
        <v>244</v>
      </c>
      <c r="M106" s="333">
        <v>42306.0</v>
      </c>
      <c r="N106" s="138" t="s">
        <v>67</v>
      </c>
      <c r="O106" s="124"/>
      <c r="P106" s="135" t="s">
        <v>130</v>
      </c>
      <c r="Q106" s="138"/>
      <c r="R106" s="138">
        <v>8.1376018925E10</v>
      </c>
      <c r="S106" s="135" t="s">
        <v>1767</v>
      </c>
      <c r="T106" s="135" t="s">
        <v>1768</v>
      </c>
      <c r="U106" s="135" t="s">
        <v>1769</v>
      </c>
      <c r="V106" s="135" t="s">
        <v>96</v>
      </c>
      <c r="W106" s="135" t="s">
        <v>97</v>
      </c>
      <c r="X106" s="135" t="s">
        <v>292</v>
      </c>
      <c r="Y106" s="135" t="s">
        <v>1770</v>
      </c>
      <c r="Z106" s="138" t="s">
        <v>77</v>
      </c>
      <c r="AA106" s="138" t="s">
        <v>77</v>
      </c>
    </row>
    <row r="107">
      <c r="A107" s="332">
        <v>12.0</v>
      </c>
      <c r="B107" s="135" t="s">
        <v>1771</v>
      </c>
      <c r="C107" s="135" t="s">
        <v>1772</v>
      </c>
      <c r="D107" s="332" t="s">
        <v>5952</v>
      </c>
      <c r="E107" s="124" t="s">
        <v>88</v>
      </c>
      <c r="F107" s="332" t="s">
        <v>5953</v>
      </c>
      <c r="G107" s="332" t="s">
        <v>5954</v>
      </c>
      <c r="H107" s="135" t="s">
        <v>519</v>
      </c>
      <c r="I107" s="139" t="s">
        <v>1744</v>
      </c>
      <c r="J107" s="135" t="s">
        <v>267</v>
      </c>
      <c r="K107" s="135" t="s">
        <v>1773</v>
      </c>
      <c r="L107" s="135" t="s">
        <v>592</v>
      </c>
      <c r="M107" s="333">
        <v>38609.0</v>
      </c>
      <c r="N107" s="138" t="s">
        <v>67</v>
      </c>
      <c r="O107" s="124"/>
      <c r="P107" s="135" t="s">
        <v>130</v>
      </c>
      <c r="Q107" s="138"/>
      <c r="R107" s="138">
        <v>8.136226163E10</v>
      </c>
      <c r="S107" s="135" t="s">
        <v>1774</v>
      </c>
      <c r="T107" s="135" t="s">
        <v>1775</v>
      </c>
      <c r="U107" s="135" t="s">
        <v>1776</v>
      </c>
      <c r="V107" s="135" t="s">
        <v>96</v>
      </c>
      <c r="W107" s="135" t="s">
        <v>97</v>
      </c>
      <c r="X107" s="135" t="s">
        <v>499</v>
      </c>
      <c r="Y107" s="135" t="s">
        <v>1479</v>
      </c>
      <c r="Z107" s="138"/>
      <c r="AA107" s="138"/>
    </row>
    <row r="108">
      <c r="A108" s="332">
        <v>13.0</v>
      </c>
      <c r="B108" s="135" t="s">
        <v>1777</v>
      </c>
      <c r="C108" s="135" t="s">
        <v>1778</v>
      </c>
      <c r="D108" s="332" t="s">
        <v>5952</v>
      </c>
      <c r="E108" s="124" t="s">
        <v>88</v>
      </c>
      <c r="F108" s="332" t="s">
        <v>5953</v>
      </c>
      <c r="G108" s="332" t="s">
        <v>5954</v>
      </c>
      <c r="H108" s="135" t="s">
        <v>142</v>
      </c>
      <c r="I108" s="139" t="s">
        <v>1707</v>
      </c>
      <c r="J108" s="135" t="s">
        <v>89</v>
      </c>
      <c r="K108" s="135" t="s">
        <v>1779</v>
      </c>
      <c r="L108" s="135" t="s">
        <v>1780</v>
      </c>
      <c r="M108" s="333">
        <v>38523.0</v>
      </c>
      <c r="N108" s="138" t="s">
        <v>67</v>
      </c>
      <c r="O108" s="124"/>
      <c r="P108" s="135" t="s">
        <v>68</v>
      </c>
      <c r="Q108" s="138"/>
      <c r="R108" s="138">
        <v>8.2165959502E10</v>
      </c>
      <c r="S108" s="135" t="s">
        <v>1781</v>
      </c>
      <c r="T108" s="135" t="s">
        <v>1782</v>
      </c>
      <c r="U108" s="135" t="s">
        <v>1783</v>
      </c>
      <c r="V108" s="135" t="s">
        <v>96</v>
      </c>
      <c r="W108" s="135" t="s">
        <v>97</v>
      </c>
      <c r="X108" s="135" t="s">
        <v>1784</v>
      </c>
      <c r="Y108" s="135" t="s">
        <v>1785</v>
      </c>
      <c r="Z108" s="138">
        <v>0.0</v>
      </c>
      <c r="AA108" s="138">
        <v>0.0</v>
      </c>
    </row>
    <row r="109">
      <c r="A109" s="332">
        <v>14.0</v>
      </c>
      <c r="B109" s="135" t="s">
        <v>1786</v>
      </c>
      <c r="C109" s="135" t="s">
        <v>1787</v>
      </c>
      <c r="D109" s="332" t="s">
        <v>5952</v>
      </c>
      <c r="E109" s="124" t="s">
        <v>88</v>
      </c>
      <c r="F109" s="332" t="s">
        <v>5953</v>
      </c>
      <c r="G109" s="332" t="s">
        <v>5954</v>
      </c>
      <c r="H109" s="135" t="s">
        <v>142</v>
      </c>
      <c r="I109" s="139" t="s">
        <v>1744</v>
      </c>
      <c r="J109" s="135" t="s">
        <v>89</v>
      </c>
      <c r="K109" s="135"/>
      <c r="L109" s="135" t="s">
        <v>1788</v>
      </c>
      <c r="M109" s="333">
        <v>41925.0</v>
      </c>
      <c r="N109" s="138" t="s">
        <v>220</v>
      </c>
      <c r="O109" s="124"/>
      <c r="P109" s="135" t="s">
        <v>130</v>
      </c>
      <c r="Q109" s="124"/>
      <c r="R109" s="138">
        <v>8.2364307151E10</v>
      </c>
      <c r="S109" s="135" t="s">
        <v>1789</v>
      </c>
      <c r="T109" s="135" t="s">
        <v>1790</v>
      </c>
      <c r="U109" s="135" t="s">
        <v>1791</v>
      </c>
      <c r="V109" s="135" t="s">
        <v>96</v>
      </c>
      <c r="W109" s="135" t="s">
        <v>1792</v>
      </c>
      <c r="X109" s="135" t="s">
        <v>1793</v>
      </c>
      <c r="Y109" s="135" t="s">
        <v>1794</v>
      </c>
      <c r="Z109" s="138"/>
      <c r="AA109" s="138"/>
    </row>
    <row r="110">
      <c r="A110" s="332">
        <v>15.0</v>
      </c>
      <c r="B110" s="135" t="s">
        <v>1795</v>
      </c>
      <c r="C110" s="135" t="s">
        <v>1796</v>
      </c>
      <c r="D110" s="332" t="s">
        <v>5952</v>
      </c>
      <c r="E110" s="124" t="s">
        <v>88</v>
      </c>
      <c r="F110" s="332" t="s">
        <v>5953</v>
      </c>
      <c r="G110" s="332" t="s">
        <v>5954</v>
      </c>
      <c r="H110" s="135" t="s">
        <v>142</v>
      </c>
      <c r="I110" s="139" t="s">
        <v>1797</v>
      </c>
      <c r="J110" s="135" t="s">
        <v>89</v>
      </c>
      <c r="K110" s="135" t="s">
        <v>197</v>
      </c>
      <c r="L110" s="135" t="s">
        <v>1798</v>
      </c>
      <c r="M110" s="333">
        <v>43357.0</v>
      </c>
      <c r="N110" s="138" t="s">
        <v>67</v>
      </c>
      <c r="O110" s="124"/>
      <c r="P110" s="135" t="s">
        <v>68</v>
      </c>
      <c r="Q110" s="124"/>
      <c r="R110" s="138">
        <v>8.1396227994E10</v>
      </c>
      <c r="S110" s="135" t="s">
        <v>1799</v>
      </c>
      <c r="T110" s="135" t="s">
        <v>1800</v>
      </c>
      <c r="U110" s="135" t="s">
        <v>1801</v>
      </c>
      <c r="V110" s="135" t="s">
        <v>96</v>
      </c>
      <c r="W110" s="135" t="s">
        <v>97</v>
      </c>
      <c r="X110" s="135" t="s">
        <v>1802</v>
      </c>
      <c r="Y110" s="135" t="s">
        <v>1803</v>
      </c>
      <c r="Z110" s="138">
        <v>0.0</v>
      </c>
      <c r="AA110" s="138">
        <v>0.0</v>
      </c>
    </row>
    <row r="111">
      <c r="A111" s="332">
        <v>16.0</v>
      </c>
      <c r="B111" s="135" t="s">
        <v>1804</v>
      </c>
      <c r="C111" s="135" t="s">
        <v>1805</v>
      </c>
      <c r="D111" s="332" t="s">
        <v>5952</v>
      </c>
      <c r="E111" s="124" t="s">
        <v>88</v>
      </c>
      <c r="F111" s="332" t="s">
        <v>5953</v>
      </c>
      <c r="G111" s="332" t="s">
        <v>5954</v>
      </c>
      <c r="H111" s="135" t="s">
        <v>142</v>
      </c>
      <c r="I111" s="139" t="s">
        <v>1744</v>
      </c>
      <c r="J111" s="135" t="s">
        <v>89</v>
      </c>
      <c r="K111" s="135" t="s">
        <v>1214</v>
      </c>
      <c r="L111" s="135" t="s">
        <v>1231</v>
      </c>
      <c r="M111" s="335">
        <v>42282.0</v>
      </c>
      <c r="N111" s="138" t="s">
        <v>67</v>
      </c>
      <c r="O111" s="124"/>
      <c r="P111" s="135" t="s">
        <v>130</v>
      </c>
      <c r="Q111" s="124"/>
      <c r="R111" s="138">
        <v>8.1260363024E10</v>
      </c>
      <c r="S111" s="135" t="s">
        <v>1806</v>
      </c>
      <c r="T111" s="135" t="s">
        <v>1807</v>
      </c>
      <c r="U111" s="135" t="s">
        <v>1808</v>
      </c>
      <c r="V111" s="135" t="s">
        <v>73</v>
      </c>
      <c r="W111" s="135" t="s">
        <v>74</v>
      </c>
      <c r="X111" s="135" t="s">
        <v>178</v>
      </c>
      <c r="Y111" s="135" t="s">
        <v>998</v>
      </c>
      <c r="Z111" s="138">
        <v>0.0</v>
      </c>
      <c r="AA111" s="138">
        <v>0.0</v>
      </c>
    </row>
    <row r="112">
      <c r="A112" s="332">
        <v>17.0</v>
      </c>
      <c r="B112" s="135" t="s">
        <v>1809</v>
      </c>
      <c r="C112" s="135" t="s">
        <v>1810</v>
      </c>
      <c r="D112" s="332" t="s">
        <v>5952</v>
      </c>
      <c r="E112" s="124" t="s">
        <v>88</v>
      </c>
      <c r="F112" s="332" t="s">
        <v>5953</v>
      </c>
      <c r="G112" s="332" t="s">
        <v>5954</v>
      </c>
      <c r="H112" s="135" t="s">
        <v>142</v>
      </c>
      <c r="I112" s="139" t="s">
        <v>1744</v>
      </c>
      <c r="J112" s="135" t="s">
        <v>89</v>
      </c>
      <c r="K112" s="135" t="s">
        <v>1811</v>
      </c>
      <c r="L112" s="135" t="s">
        <v>1812</v>
      </c>
      <c r="M112" s="333">
        <v>38273.0</v>
      </c>
      <c r="N112" s="138" t="s">
        <v>67</v>
      </c>
      <c r="O112" s="124"/>
      <c r="P112" s="135" t="s">
        <v>130</v>
      </c>
      <c r="Q112" s="124"/>
      <c r="R112" s="138">
        <v>8.5261410004E10</v>
      </c>
      <c r="S112" s="135" t="s">
        <v>1813</v>
      </c>
      <c r="T112" s="135" t="s">
        <v>1814</v>
      </c>
      <c r="U112" s="135" t="s">
        <v>1815</v>
      </c>
      <c r="V112" s="135" t="s">
        <v>96</v>
      </c>
      <c r="W112" s="135" t="s">
        <v>835</v>
      </c>
      <c r="X112" s="135" t="s">
        <v>98</v>
      </c>
      <c r="Y112" s="135" t="s">
        <v>1816</v>
      </c>
      <c r="Z112" s="138">
        <v>1.0</v>
      </c>
      <c r="AA112" s="138">
        <v>3.0</v>
      </c>
    </row>
    <row r="113">
      <c r="A113" s="332">
        <v>18.0</v>
      </c>
      <c r="B113" s="135" t="s">
        <v>1817</v>
      </c>
      <c r="C113" s="135" t="s">
        <v>1818</v>
      </c>
      <c r="D113" s="332" t="s">
        <v>5952</v>
      </c>
      <c r="E113" s="124" t="s">
        <v>88</v>
      </c>
      <c r="F113" s="332" t="s">
        <v>5953</v>
      </c>
      <c r="G113" s="332" t="s">
        <v>5954</v>
      </c>
      <c r="H113" s="135" t="s">
        <v>142</v>
      </c>
      <c r="I113" s="139" t="s">
        <v>1744</v>
      </c>
      <c r="J113" s="135" t="s">
        <v>89</v>
      </c>
      <c r="K113" s="135" t="s">
        <v>1520</v>
      </c>
      <c r="L113" s="135" t="s">
        <v>1819</v>
      </c>
      <c r="M113" s="335">
        <v>41981.0</v>
      </c>
      <c r="N113" s="138" t="s">
        <v>67</v>
      </c>
      <c r="O113" s="124"/>
      <c r="P113" s="135" t="s">
        <v>130</v>
      </c>
      <c r="Q113" s="124"/>
      <c r="R113" s="138">
        <v>8.1277030181E10</v>
      </c>
      <c r="S113" s="135" t="s">
        <v>1820</v>
      </c>
      <c r="T113" s="135" t="s">
        <v>1821</v>
      </c>
      <c r="U113" s="135" t="s">
        <v>1822</v>
      </c>
      <c r="V113" s="135" t="s">
        <v>96</v>
      </c>
      <c r="W113" s="135" t="s">
        <v>835</v>
      </c>
      <c r="X113" s="135" t="s">
        <v>191</v>
      </c>
      <c r="Y113" s="135" t="s">
        <v>1823</v>
      </c>
      <c r="Z113" s="138">
        <v>0.0</v>
      </c>
      <c r="AA113" s="138">
        <v>0.0</v>
      </c>
    </row>
    <row r="114">
      <c r="A114" s="332">
        <v>19.0</v>
      </c>
      <c r="B114" s="135" t="s">
        <v>1824</v>
      </c>
      <c r="C114" s="135" t="s">
        <v>1825</v>
      </c>
      <c r="D114" s="332" t="s">
        <v>5952</v>
      </c>
      <c r="E114" s="124" t="s">
        <v>88</v>
      </c>
      <c r="F114" s="332" t="s">
        <v>5953</v>
      </c>
      <c r="G114" s="332" t="s">
        <v>5954</v>
      </c>
      <c r="H114" s="135" t="s">
        <v>142</v>
      </c>
      <c r="I114" s="139" t="s">
        <v>1797</v>
      </c>
      <c r="J114" s="135" t="s">
        <v>89</v>
      </c>
      <c r="K114" s="135" t="s">
        <v>1826</v>
      </c>
      <c r="L114" s="135" t="s">
        <v>1827</v>
      </c>
      <c r="M114" s="333">
        <v>41200.0</v>
      </c>
      <c r="N114" s="138" t="s">
        <v>67</v>
      </c>
      <c r="O114" s="124"/>
      <c r="P114" s="135" t="s">
        <v>68</v>
      </c>
      <c r="Q114" s="124"/>
      <c r="R114" s="138">
        <v>8.5372252615E10</v>
      </c>
      <c r="S114" s="135" t="s">
        <v>1828</v>
      </c>
      <c r="T114" s="135" t="s">
        <v>1829</v>
      </c>
      <c r="U114" s="135" t="s">
        <v>1830</v>
      </c>
      <c r="V114" s="135" t="s">
        <v>73</v>
      </c>
      <c r="W114" s="135" t="s">
        <v>835</v>
      </c>
      <c r="X114" s="135" t="s">
        <v>989</v>
      </c>
      <c r="Y114" s="135" t="s">
        <v>1585</v>
      </c>
      <c r="Z114" s="138">
        <v>0.0</v>
      </c>
      <c r="AA114" s="138">
        <v>0.0</v>
      </c>
    </row>
    <row r="115">
      <c r="A115" s="332">
        <v>20.0</v>
      </c>
      <c r="B115" s="135" t="s">
        <v>1831</v>
      </c>
      <c r="C115" s="135" t="s">
        <v>1832</v>
      </c>
      <c r="D115" s="332" t="s">
        <v>5952</v>
      </c>
      <c r="E115" s="124" t="s">
        <v>88</v>
      </c>
      <c r="F115" s="332" t="s">
        <v>5953</v>
      </c>
      <c r="G115" s="332" t="s">
        <v>5954</v>
      </c>
      <c r="H115" s="135" t="s">
        <v>142</v>
      </c>
      <c r="I115" s="139" t="s">
        <v>1797</v>
      </c>
      <c r="J115" s="135" t="s">
        <v>89</v>
      </c>
      <c r="K115" s="135" t="s">
        <v>1833</v>
      </c>
      <c r="L115" s="135" t="s">
        <v>509</v>
      </c>
      <c r="M115" s="333">
        <v>41750.0</v>
      </c>
      <c r="N115" s="138" t="s">
        <v>67</v>
      </c>
      <c r="O115" s="124"/>
      <c r="P115" s="135" t="s">
        <v>68</v>
      </c>
      <c r="Q115" s="124"/>
      <c r="R115" s="138">
        <v>8.5231856665E10</v>
      </c>
      <c r="S115" s="135" t="s">
        <v>1834</v>
      </c>
      <c r="T115" s="135" t="s">
        <v>1835</v>
      </c>
      <c r="U115" s="135" t="s">
        <v>1836</v>
      </c>
      <c r="V115" s="135" t="s">
        <v>96</v>
      </c>
      <c r="W115" s="135" t="s">
        <v>97</v>
      </c>
      <c r="X115" s="135" t="s">
        <v>1429</v>
      </c>
      <c r="Y115" s="135" t="s">
        <v>1430</v>
      </c>
      <c r="Z115" s="138">
        <v>0.0</v>
      </c>
      <c r="AA115" s="138">
        <v>0.0</v>
      </c>
    </row>
    <row r="116">
      <c r="A116" s="332">
        <v>21.0</v>
      </c>
      <c r="B116" s="135" t="s">
        <v>1837</v>
      </c>
      <c r="C116" s="135" t="s">
        <v>1838</v>
      </c>
      <c r="D116" s="332" t="s">
        <v>5952</v>
      </c>
      <c r="E116" s="124" t="s">
        <v>88</v>
      </c>
      <c r="F116" s="332" t="s">
        <v>5953</v>
      </c>
      <c r="G116" s="332" t="s">
        <v>5954</v>
      </c>
      <c r="H116" s="135" t="s">
        <v>142</v>
      </c>
      <c r="I116" s="139" t="s">
        <v>1707</v>
      </c>
      <c r="J116" s="135" t="s">
        <v>89</v>
      </c>
      <c r="K116" s="135" t="s">
        <v>90</v>
      </c>
      <c r="L116" s="135" t="s">
        <v>648</v>
      </c>
      <c r="M116" s="333">
        <v>44737.0</v>
      </c>
      <c r="N116" s="138" t="s">
        <v>67</v>
      </c>
      <c r="O116" s="124"/>
      <c r="P116" s="135" t="s">
        <v>68</v>
      </c>
      <c r="Q116" s="124"/>
      <c r="R116" s="138">
        <v>8.2275956171E10</v>
      </c>
      <c r="S116" s="135" t="s">
        <v>1839</v>
      </c>
      <c r="T116" s="135" t="s">
        <v>1840</v>
      </c>
      <c r="U116" s="135" t="s">
        <v>1841</v>
      </c>
      <c r="V116" s="135" t="s">
        <v>73</v>
      </c>
      <c r="W116" s="135" t="s">
        <v>166</v>
      </c>
      <c r="X116" s="135" t="s">
        <v>596</v>
      </c>
      <c r="Y116" s="135" t="s">
        <v>1842</v>
      </c>
      <c r="Z116" s="138" t="s">
        <v>77</v>
      </c>
      <c r="AA116" s="138" t="s">
        <v>77</v>
      </c>
    </row>
    <row r="117">
      <c r="A117" s="332">
        <v>22.0</v>
      </c>
      <c r="B117" s="135" t="s">
        <v>1843</v>
      </c>
      <c r="C117" s="135" t="s">
        <v>1844</v>
      </c>
      <c r="D117" s="332" t="s">
        <v>5952</v>
      </c>
      <c r="E117" s="124" t="s">
        <v>88</v>
      </c>
      <c r="F117" s="332" t="s">
        <v>5953</v>
      </c>
      <c r="G117" s="332" t="s">
        <v>5954</v>
      </c>
      <c r="H117" s="135" t="s">
        <v>142</v>
      </c>
      <c r="I117" s="139" t="s">
        <v>1797</v>
      </c>
      <c r="J117" s="135" t="s">
        <v>89</v>
      </c>
      <c r="K117" s="135" t="s">
        <v>90</v>
      </c>
      <c r="L117" s="135" t="s">
        <v>1231</v>
      </c>
      <c r="M117" s="335">
        <v>42279.0</v>
      </c>
      <c r="N117" s="138" t="s">
        <v>67</v>
      </c>
      <c r="O117" s="124"/>
      <c r="P117" s="135" t="s">
        <v>68</v>
      </c>
      <c r="Q117" s="124"/>
      <c r="R117" s="138">
        <v>8.1314052276E10</v>
      </c>
      <c r="S117" s="135" t="s">
        <v>1845</v>
      </c>
      <c r="T117" s="135" t="s">
        <v>1846</v>
      </c>
      <c r="U117" s="135" t="s">
        <v>1847</v>
      </c>
      <c r="V117" s="135" t="s">
        <v>73</v>
      </c>
      <c r="W117" s="135" t="s">
        <v>74</v>
      </c>
      <c r="X117" s="135" t="s">
        <v>118</v>
      </c>
      <c r="Y117" s="135" t="s">
        <v>1848</v>
      </c>
      <c r="Z117" s="138">
        <v>0.0</v>
      </c>
      <c r="AA117" s="138">
        <v>0.0</v>
      </c>
    </row>
    <row r="118">
      <c r="A118" s="332">
        <v>23.0</v>
      </c>
      <c r="B118" s="135" t="s">
        <v>1849</v>
      </c>
      <c r="C118" s="135" t="s">
        <v>1850</v>
      </c>
      <c r="D118" s="332" t="s">
        <v>5952</v>
      </c>
      <c r="E118" s="124" t="s">
        <v>88</v>
      </c>
      <c r="F118" s="332" t="s">
        <v>5953</v>
      </c>
      <c r="G118" s="332" t="s">
        <v>5954</v>
      </c>
      <c r="H118" s="135" t="s">
        <v>142</v>
      </c>
      <c r="I118" s="139" t="s">
        <v>1707</v>
      </c>
      <c r="J118" s="135" t="s">
        <v>89</v>
      </c>
      <c r="K118" s="135" t="s">
        <v>1851</v>
      </c>
      <c r="L118" s="135" t="s">
        <v>231</v>
      </c>
      <c r="M118" s="333">
        <v>43213.0</v>
      </c>
      <c r="N118" s="138" t="s">
        <v>67</v>
      </c>
      <c r="O118" s="124"/>
      <c r="P118" s="135" t="s">
        <v>130</v>
      </c>
      <c r="Q118" s="124"/>
      <c r="R118" s="138">
        <v>8.1222692134E10</v>
      </c>
      <c r="S118" s="135" t="s">
        <v>1852</v>
      </c>
      <c r="T118" s="135" t="s">
        <v>1853</v>
      </c>
      <c r="U118" s="135" t="s">
        <v>1854</v>
      </c>
      <c r="V118" s="135" t="s">
        <v>732</v>
      </c>
      <c r="W118" s="135" t="s">
        <v>97</v>
      </c>
      <c r="X118" s="135" t="s">
        <v>445</v>
      </c>
      <c r="Y118" s="135" t="s">
        <v>446</v>
      </c>
      <c r="Z118" s="138"/>
      <c r="AA118" s="138"/>
    </row>
    <row r="119">
      <c r="A119" s="332">
        <v>24.0</v>
      </c>
      <c r="B119" s="135" t="s">
        <v>1855</v>
      </c>
      <c r="C119" s="135" t="s">
        <v>1856</v>
      </c>
      <c r="D119" s="332" t="s">
        <v>5952</v>
      </c>
      <c r="E119" s="124" t="s">
        <v>88</v>
      </c>
      <c r="F119" s="332" t="s">
        <v>5953</v>
      </c>
      <c r="G119" s="332" t="s">
        <v>5954</v>
      </c>
      <c r="H119" s="135" t="s">
        <v>142</v>
      </c>
      <c r="I119" s="139" t="s">
        <v>1707</v>
      </c>
      <c r="J119" s="135" t="s">
        <v>89</v>
      </c>
      <c r="K119" s="135" t="s">
        <v>1857</v>
      </c>
      <c r="L119" s="135" t="s">
        <v>219</v>
      </c>
      <c r="M119" s="333">
        <v>41176.0</v>
      </c>
      <c r="N119" s="138" t="s">
        <v>67</v>
      </c>
      <c r="O119" s="124"/>
      <c r="P119" s="135" t="s">
        <v>130</v>
      </c>
      <c r="Q119" s="124"/>
      <c r="R119" s="138">
        <v>8.1370569637E10</v>
      </c>
      <c r="S119" s="135" t="s">
        <v>1858</v>
      </c>
      <c r="T119" s="135" t="s">
        <v>1859</v>
      </c>
      <c r="U119" s="135" t="s">
        <v>1860</v>
      </c>
      <c r="V119" s="135" t="s">
        <v>96</v>
      </c>
      <c r="W119" s="135" t="s">
        <v>97</v>
      </c>
      <c r="X119" s="135" t="s">
        <v>1429</v>
      </c>
      <c r="Y119" s="135" t="s">
        <v>1861</v>
      </c>
      <c r="Z119" s="138">
        <v>0.0</v>
      </c>
      <c r="AA119" s="138">
        <v>0.0</v>
      </c>
    </row>
    <row r="120">
      <c r="A120" s="332">
        <v>25.0</v>
      </c>
      <c r="B120" s="135" t="s">
        <v>1862</v>
      </c>
      <c r="C120" s="135" t="s">
        <v>1863</v>
      </c>
      <c r="D120" s="332" t="s">
        <v>5952</v>
      </c>
      <c r="E120" s="124" t="s">
        <v>88</v>
      </c>
      <c r="F120" s="332" t="s">
        <v>5953</v>
      </c>
      <c r="G120" s="332" t="s">
        <v>5954</v>
      </c>
      <c r="H120" s="135" t="s">
        <v>142</v>
      </c>
      <c r="I120" s="139" t="s">
        <v>1707</v>
      </c>
      <c r="J120" s="135" t="s">
        <v>89</v>
      </c>
      <c r="K120" s="135" t="s">
        <v>218</v>
      </c>
      <c r="L120" s="135" t="s">
        <v>1864</v>
      </c>
      <c r="M120" s="333">
        <v>40567.0</v>
      </c>
      <c r="N120" s="138" t="s">
        <v>67</v>
      </c>
      <c r="O120" s="124"/>
      <c r="P120" s="135" t="s">
        <v>68</v>
      </c>
      <c r="Q120" s="124"/>
      <c r="R120" s="138">
        <v>8.1264800606E10</v>
      </c>
      <c r="S120" s="135" t="s">
        <v>1865</v>
      </c>
      <c r="T120" s="135" t="s">
        <v>1866</v>
      </c>
      <c r="U120" s="135" t="s">
        <v>1867</v>
      </c>
      <c r="V120" s="135" t="s">
        <v>96</v>
      </c>
      <c r="W120" s="135" t="s">
        <v>97</v>
      </c>
      <c r="X120" s="135" t="s">
        <v>236</v>
      </c>
      <c r="Y120" s="135" t="s">
        <v>1868</v>
      </c>
      <c r="Z120" s="138">
        <v>0.0</v>
      </c>
      <c r="AA120" s="138">
        <v>0.0</v>
      </c>
    </row>
    <row r="121">
      <c r="A121" s="332">
        <v>26.0</v>
      </c>
      <c r="B121" s="135" t="s">
        <v>1869</v>
      </c>
      <c r="C121" s="135" t="s">
        <v>1870</v>
      </c>
      <c r="D121" s="332" t="s">
        <v>5952</v>
      </c>
      <c r="E121" s="124" t="s">
        <v>88</v>
      </c>
      <c r="F121" s="332" t="s">
        <v>5953</v>
      </c>
      <c r="G121" s="332" t="s">
        <v>5954</v>
      </c>
      <c r="H121" s="135" t="s">
        <v>142</v>
      </c>
      <c r="I121" s="139" t="s">
        <v>1744</v>
      </c>
      <c r="J121" s="135" t="s">
        <v>89</v>
      </c>
      <c r="K121" s="135" t="s">
        <v>1214</v>
      </c>
      <c r="L121" s="135" t="s">
        <v>1871</v>
      </c>
      <c r="M121" s="333">
        <v>41440.0</v>
      </c>
      <c r="N121" s="138" t="s">
        <v>67</v>
      </c>
      <c r="O121" s="124"/>
      <c r="P121" s="135" t="s">
        <v>68</v>
      </c>
      <c r="Q121" s="124"/>
      <c r="R121" s="138" t="s">
        <v>1872</v>
      </c>
      <c r="S121" s="135" t="s">
        <v>1873</v>
      </c>
      <c r="T121" s="135" t="s">
        <v>1874</v>
      </c>
      <c r="U121" s="135" t="s">
        <v>1875</v>
      </c>
      <c r="V121" s="135" t="s">
        <v>73</v>
      </c>
      <c r="W121" s="135" t="s">
        <v>74</v>
      </c>
      <c r="X121" s="135" t="s">
        <v>360</v>
      </c>
      <c r="Y121" s="135" t="s">
        <v>566</v>
      </c>
      <c r="Z121" s="138" t="s">
        <v>77</v>
      </c>
      <c r="AA121" s="138" t="s">
        <v>77</v>
      </c>
    </row>
    <row r="122">
      <c r="A122" s="332">
        <v>27.0</v>
      </c>
      <c r="B122" s="135" t="s">
        <v>1884</v>
      </c>
      <c r="C122" s="135" t="s">
        <v>1885</v>
      </c>
      <c r="D122" s="332" t="s">
        <v>5952</v>
      </c>
      <c r="E122" s="124" t="s">
        <v>88</v>
      </c>
      <c r="F122" s="332" t="s">
        <v>5953</v>
      </c>
      <c r="G122" s="332" t="s">
        <v>5954</v>
      </c>
      <c r="H122" s="135" t="s">
        <v>142</v>
      </c>
      <c r="I122" s="139" t="s">
        <v>1886</v>
      </c>
      <c r="J122" s="135" t="s">
        <v>89</v>
      </c>
      <c r="K122" s="135" t="s">
        <v>1887</v>
      </c>
      <c r="L122" s="135" t="s">
        <v>1888</v>
      </c>
      <c r="M122" s="333">
        <v>41881.0</v>
      </c>
      <c r="N122" s="138" t="s">
        <v>67</v>
      </c>
      <c r="O122" s="124"/>
      <c r="P122" s="135" t="s">
        <v>130</v>
      </c>
      <c r="Q122" s="124"/>
      <c r="R122" s="138">
        <v>8.1265070778E10</v>
      </c>
      <c r="S122" s="135" t="s">
        <v>1889</v>
      </c>
      <c r="T122" s="135" t="s">
        <v>1890</v>
      </c>
      <c r="U122" s="135" t="s">
        <v>1891</v>
      </c>
      <c r="V122" s="135" t="s">
        <v>96</v>
      </c>
      <c r="W122" s="135" t="s">
        <v>97</v>
      </c>
      <c r="X122" s="135" t="s">
        <v>1429</v>
      </c>
      <c r="Y122" s="135" t="s">
        <v>1892</v>
      </c>
      <c r="Z122" s="138">
        <v>0.0</v>
      </c>
      <c r="AA122" s="138">
        <v>0.0</v>
      </c>
    </row>
    <row r="123">
      <c r="A123" s="332">
        <v>28.0</v>
      </c>
      <c r="B123" s="135" t="s">
        <v>1893</v>
      </c>
      <c r="C123" s="135" t="s">
        <v>1894</v>
      </c>
      <c r="D123" s="332" t="s">
        <v>5952</v>
      </c>
      <c r="E123" s="124" t="s">
        <v>88</v>
      </c>
      <c r="F123" s="332" t="s">
        <v>5953</v>
      </c>
      <c r="G123" s="332" t="s">
        <v>5954</v>
      </c>
      <c r="H123" s="135" t="s">
        <v>142</v>
      </c>
      <c r="I123" s="139" t="s">
        <v>1707</v>
      </c>
      <c r="J123" s="135" t="s">
        <v>89</v>
      </c>
      <c r="K123" s="135" t="s">
        <v>90</v>
      </c>
      <c r="L123" s="135" t="s">
        <v>1119</v>
      </c>
      <c r="M123" s="335">
        <v>44169.0</v>
      </c>
      <c r="N123" s="138" t="s">
        <v>67</v>
      </c>
      <c r="O123" s="124"/>
      <c r="P123" s="135" t="s">
        <v>68</v>
      </c>
      <c r="Q123" s="124"/>
      <c r="R123" s="138">
        <v>8.1319573648E10</v>
      </c>
      <c r="S123" s="135" t="s">
        <v>1895</v>
      </c>
      <c r="T123" s="135" t="s">
        <v>1896</v>
      </c>
      <c r="U123" s="135" t="s">
        <v>1897</v>
      </c>
      <c r="V123" s="135" t="s">
        <v>96</v>
      </c>
      <c r="W123" s="135" t="s">
        <v>97</v>
      </c>
      <c r="X123" s="135" t="s">
        <v>236</v>
      </c>
      <c r="Y123" s="135" t="s">
        <v>1898</v>
      </c>
      <c r="Z123" s="138">
        <v>0.0</v>
      </c>
      <c r="AA123" s="138">
        <v>0.0</v>
      </c>
    </row>
    <row r="124">
      <c r="A124" s="332">
        <v>29.0</v>
      </c>
      <c r="B124" s="135" t="s">
        <v>1899</v>
      </c>
      <c r="C124" s="135" t="s">
        <v>1900</v>
      </c>
      <c r="D124" s="332" t="s">
        <v>5952</v>
      </c>
      <c r="E124" s="124" t="s">
        <v>88</v>
      </c>
      <c r="F124" s="332" t="s">
        <v>5953</v>
      </c>
      <c r="G124" s="332" t="s">
        <v>5954</v>
      </c>
      <c r="H124" s="135" t="s">
        <v>142</v>
      </c>
      <c r="I124" s="139" t="s">
        <v>1744</v>
      </c>
      <c r="J124" s="135" t="s">
        <v>89</v>
      </c>
      <c r="K124" s="135"/>
      <c r="L124" s="135" t="s">
        <v>641</v>
      </c>
      <c r="M124" s="335">
        <v>44537.0</v>
      </c>
      <c r="N124" s="138" t="s">
        <v>67</v>
      </c>
      <c r="O124" s="124"/>
      <c r="P124" s="135" t="s">
        <v>130</v>
      </c>
      <c r="Q124" s="124"/>
      <c r="R124" s="138">
        <v>8.1362182666E10</v>
      </c>
      <c r="S124" s="135" t="s">
        <v>1901</v>
      </c>
      <c r="T124" s="135" t="s">
        <v>1902</v>
      </c>
      <c r="U124" s="135" t="s">
        <v>1903</v>
      </c>
      <c r="V124" s="135" t="s">
        <v>96</v>
      </c>
      <c r="W124" s="135" t="s">
        <v>835</v>
      </c>
      <c r="X124" s="135" t="s">
        <v>499</v>
      </c>
      <c r="Y124" s="135" t="s">
        <v>1358</v>
      </c>
      <c r="Z124" s="138">
        <v>0.0</v>
      </c>
      <c r="AA124" s="138">
        <v>0.0</v>
      </c>
    </row>
    <row r="125">
      <c r="A125" s="332">
        <v>30.0</v>
      </c>
      <c r="B125" s="135" t="s">
        <v>1904</v>
      </c>
      <c r="C125" s="135" t="s">
        <v>1905</v>
      </c>
      <c r="D125" s="332" t="s">
        <v>5952</v>
      </c>
      <c r="E125" s="124" t="s">
        <v>88</v>
      </c>
      <c r="F125" s="332" t="s">
        <v>5953</v>
      </c>
      <c r="G125" s="332" t="s">
        <v>5954</v>
      </c>
      <c r="H125" s="135" t="s">
        <v>142</v>
      </c>
      <c r="I125" s="139" t="s">
        <v>1886</v>
      </c>
      <c r="J125" s="135" t="s">
        <v>89</v>
      </c>
      <c r="K125" s="135" t="s">
        <v>1906</v>
      </c>
      <c r="L125" s="135" t="s">
        <v>1907</v>
      </c>
      <c r="M125" s="335">
        <v>39387.0</v>
      </c>
      <c r="N125" s="138" t="s">
        <v>220</v>
      </c>
      <c r="O125" s="124"/>
      <c r="P125" s="135" t="s">
        <v>130</v>
      </c>
      <c r="Q125" s="124"/>
      <c r="R125" s="138">
        <v>8.5358808879E10</v>
      </c>
      <c r="S125" s="135" t="s">
        <v>1908</v>
      </c>
      <c r="T125" s="135" t="s">
        <v>1909</v>
      </c>
      <c r="U125" s="135" t="s">
        <v>1910</v>
      </c>
      <c r="V125" s="135" t="s">
        <v>73</v>
      </c>
      <c r="W125" s="135" t="s">
        <v>74</v>
      </c>
      <c r="X125" s="135" t="s">
        <v>989</v>
      </c>
      <c r="Y125" s="135" t="s">
        <v>1585</v>
      </c>
      <c r="Z125" s="138"/>
      <c r="AA125" s="138"/>
    </row>
    <row r="126">
      <c r="A126" s="332">
        <v>31.0</v>
      </c>
      <c r="B126" s="135" t="s">
        <v>1911</v>
      </c>
      <c r="C126" s="135" t="s">
        <v>1912</v>
      </c>
      <c r="D126" s="332" t="s">
        <v>5952</v>
      </c>
      <c r="E126" s="124" t="s">
        <v>88</v>
      </c>
      <c r="F126" s="332" t="s">
        <v>5953</v>
      </c>
      <c r="G126" s="332" t="s">
        <v>5954</v>
      </c>
      <c r="H126" s="135" t="s">
        <v>142</v>
      </c>
      <c r="I126" s="139" t="s">
        <v>1744</v>
      </c>
      <c r="J126" s="135" t="s">
        <v>89</v>
      </c>
      <c r="K126" s="135" t="s">
        <v>1913</v>
      </c>
      <c r="L126" s="135" t="s">
        <v>1914</v>
      </c>
      <c r="M126" s="333">
        <v>43400.0</v>
      </c>
      <c r="N126" s="138" t="s">
        <v>67</v>
      </c>
      <c r="O126" s="124"/>
      <c r="P126" s="135" t="s">
        <v>130</v>
      </c>
      <c r="Q126" s="124"/>
      <c r="R126" s="138">
        <v>8.2168606309E10</v>
      </c>
      <c r="S126" s="135" t="s">
        <v>1915</v>
      </c>
      <c r="T126" s="135" t="s">
        <v>1916</v>
      </c>
      <c r="U126" s="135" t="s">
        <v>1917</v>
      </c>
      <c r="V126" s="135" t="s">
        <v>96</v>
      </c>
      <c r="W126" s="135" t="s">
        <v>97</v>
      </c>
      <c r="X126" s="135" t="s">
        <v>272</v>
      </c>
      <c r="Y126" s="135" t="s">
        <v>334</v>
      </c>
      <c r="Z126" s="138">
        <v>0.0</v>
      </c>
      <c r="AA126" s="138">
        <v>0.0</v>
      </c>
    </row>
    <row r="127">
      <c r="A127" s="337" t="s">
        <v>1918</v>
      </c>
      <c r="B127" s="341"/>
      <c r="C127" s="342"/>
      <c r="D127" s="343"/>
      <c r="E127" s="343"/>
      <c r="F127" s="343"/>
      <c r="G127" s="343"/>
      <c r="H127" s="341"/>
      <c r="I127" s="341"/>
      <c r="J127" s="341"/>
      <c r="K127" s="341"/>
      <c r="L127" s="341"/>
      <c r="M127" s="343"/>
      <c r="N127" s="339"/>
      <c r="O127" s="339"/>
      <c r="P127" s="340"/>
      <c r="Q127" s="339"/>
      <c r="R127" s="339"/>
      <c r="S127" s="340"/>
      <c r="T127" s="340"/>
      <c r="U127" s="340"/>
      <c r="V127" s="340"/>
      <c r="W127" s="340"/>
      <c r="X127" s="340"/>
      <c r="Y127" s="340"/>
      <c r="Z127" s="339"/>
      <c r="AA127" s="339"/>
    </row>
    <row r="128">
      <c r="A128" s="332">
        <v>1.0</v>
      </c>
      <c r="B128" s="135" t="s">
        <v>2276</v>
      </c>
      <c r="C128" s="135" t="s">
        <v>2277</v>
      </c>
      <c r="D128" s="332" t="s">
        <v>5952</v>
      </c>
      <c r="E128" s="124" t="s">
        <v>88</v>
      </c>
      <c r="F128" s="332" t="s">
        <v>5953</v>
      </c>
      <c r="G128" s="332" t="s">
        <v>5954</v>
      </c>
      <c r="H128" s="135" t="s">
        <v>142</v>
      </c>
      <c r="I128" s="139" t="s">
        <v>2278</v>
      </c>
      <c r="J128" s="135" t="s">
        <v>89</v>
      </c>
      <c r="K128" s="135"/>
      <c r="L128" s="135" t="s">
        <v>260</v>
      </c>
      <c r="M128" s="335">
        <v>36222.0</v>
      </c>
      <c r="N128" s="138" t="s">
        <v>67</v>
      </c>
      <c r="O128" s="124"/>
      <c r="P128" s="135" t="s">
        <v>130</v>
      </c>
      <c r="Q128" s="138"/>
      <c r="R128" s="138">
        <v>8.116142112E9</v>
      </c>
      <c r="S128" s="135" t="s">
        <v>2279</v>
      </c>
      <c r="T128" s="135" t="s">
        <v>2280</v>
      </c>
      <c r="U128" s="135" t="s">
        <v>2281</v>
      </c>
      <c r="V128" s="135" t="s">
        <v>73</v>
      </c>
      <c r="W128" s="135" t="s">
        <v>481</v>
      </c>
      <c r="X128" s="135" t="s">
        <v>191</v>
      </c>
      <c r="Y128" s="135" t="s">
        <v>836</v>
      </c>
      <c r="Z128" s="138">
        <v>0.0</v>
      </c>
      <c r="AA128" s="138">
        <v>0.0</v>
      </c>
    </row>
    <row r="129">
      <c r="A129" s="332">
        <v>2.0</v>
      </c>
      <c r="B129" s="135" t="s">
        <v>2282</v>
      </c>
      <c r="C129" s="135" t="s">
        <v>2283</v>
      </c>
      <c r="D129" s="332" t="s">
        <v>5952</v>
      </c>
      <c r="E129" s="124" t="s">
        <v>88</v>
      </c>
      <c r="F129" s="332" t="s">
        <v>5953</v>
      </c>
      <c r="G129" s="332" t="s">
        <v>5954</v>
      </c>
      <c r="H129" s="135" t="s">
        <v>142</v>
      </c>
      <c r="I129" s="139" t="s">
        <v>2278</v>
      </c>
      <c r="J129" s="135" t="s">
        <v>89</v>
      </c>
      <c r="K129" s="135"/>
      <c r="L129" s="135" t="s">
        <v>648</v>
      </c>
      <c r="M129" s="333">
        <v>42028.0</v>
      </c>
      <c r="N129" s="138" t="s">
        <v>67</v>
      </c>
      <c r="O129" s="124"/>
      <c r="P129" s="135" t="s">
        <v>130</v>
      </c>
      <c r="Q129" s="138"/>
      <c r="R129" s="138">
        <v>8.1240007317E10</v>
      </c>
      <c r="S129" s="135" t="s">
        <v>2284</v>
      </c>
      <c r="T129" s="135" t="s">
        <v>2285</v>
      </c>
      <c r="U129" s="135" t="s">
        <v>2286</v>
      </c>
      <c r="V129" s="135" t="s">
        <v>1029</v>
      </c>
      <c r="W129" s="135" t="s">
        <v>2287</v>
      </c>
      <c r="X129" s="135" t="s">
        <v>2288</v>
      </c>
      <c r="Y129" s="135" t="s">
        <v>2289</v>
      </c>
      <c r="Z129" s="138"/>
      <c r="AA129" s="138"/>
    </row>
    <row r="130">
      <c r="A130" s="332">
        <v>3.0</v>
      </c>
      <c r="B130" s="135" t="s">
        <v>2290</v>
      </c>
      <c r="C130" s="135" t="s">
        <v>2291</v>
      </c>
      <c r="D130" s="332" t="s">
        <v>5952</v>
      </c>
      <c r="E130" s="124" t="s">
        <v>88</v>
      </c>
      <c r="F130" s="332" t="s">
        <v>5953</v>
      </c>
      <c r="G130" s="332" t="s">
        <v>5954</v>
      </c>
      <c r="H130" s="135" t="s">
        <v>142</v>
      </c>
      <c r="I130" s="139" t="s">
        <v>2278</v>
      </c>
      <c r="J130" s="135" t="s">
        <v>89</v>
      </c>
      <c r="K130" s="135" t="s">
        <v>207</v>
      </c>
      <c r="L130" s="135" t="s">
        <v>745</v>
      </c>
      <c r="M130" s="333">
        <v>39247.0</v>
      </c>
      <c r="N130" s="138" t="s">
        <v>67</v>
      </c>
      <c r="O130" s="142"/>
      <c r="P130" s="135" t="s">
        <v>68</v>
      </c>
      <c r="Q130" s="138"/>
      <c r="R130" s="138">
        <v>8.1264857985E10</v>
      </c>
      <c r="S130" s="135" t="s">
        <v>2292</v>
      </c>
      <c r="T130" s="135" t="s">
        <v>2293</v>
      </c>
      <c r="U130" s="135" t="s">
        <v>2294</v>
      </c>
      <c r="V130" s="135" t="s">
        <v>96</v>
      </c>
      <c r="W130" s="135" t="s">
        <v>97</v>
      </c>
      <c r="X130" s="135" t="s">
        <v>236</v>
      </c>
      <c r="Y130" s="135" t="s">
        <v>237</v>
      </c>
      <c r="Z130" s="138" t="s">
        <v>77</v>
      </c>
      <c r="AA130" s="138" t="s">
        <v>77</v>
      </c>
    </row>
    <row r="131">
      <c r="A131" s="332">
        <v>4.0</v>
      </c>
      <c r="B131" s="135" t="s">
        <v>2295</v>
      </c>
      <c r="C131" s="135" t="s">
        <v>2296</v>
      </c>
      <c r="D131" s="332" t="s">
        <v>5952</v>
      </c>
      <c r="E131" s="124" t="s">
        <v>88</v>
      </c>
      <c r="F131" s="332" t="s">
        <v>5953</v>
      </c>
      <c r="G131" s="332" t="s">
        <v>5954</v>
      </c>
      <c r="H131" s="135" t="s">
        <v>142</v>
      </c>
      <c r="I131" s="139" t="s">
        <v>2278</v>
      </c>
      <c r="J131" s="135" t="s">
        <v>89</v>
      </c>
      <c r="K131" s="135" t="s">
        <v>218</v>
      </c>
      <c r="L131" s="135" t="s">
        <v>2297</v>
      </c>
      <c r="M131" s="333">
        <v>44499.0</v>
      </c>
      <c r="N131" s="138" t="s">
        <v>67</v>
      </c>
      <c r="O131" s="124"/>
      <c r="P131" s="135" t="s">
        <v>68</v>
      </c>
      <c r="Q131" s="138"/>
      <c r="R131" s="138">
        <v>8.2385868017E10</v>
      </c>
      <c r="S131" s="135" t="s">
        <v>2298</v>
      </c>
      <c r="T131" s="135" t="s">
        <v>2299</v>
      </c>
      <c r="U131" s="135" t="s">
        <v>2300</v>
      </c>
      <c r="V131" s="135" t="s">
        <v>732</v>
      </c>
      <c r="W131" s="135" t="s">
        <v>97</v>
      </c>
      <c r="X131" s="135" t="s">
        <v>2043</v>
      </c>
      <c r="Y131" s="135" t="s">
        <v>2301</v>
      </c>
      <c r="Z131" s="138">
        <v>0.0</v>
      </c>
      <c r="AA131" s="138">
        <v>0.0</v>
      </c>
    </row>
    <row r="132">
      <c r="A132" s="332">
        <v>5.0</v>
      </c>
      <c r="B132" s="135" t="s">
        <v>2302</v>
      </c>
      <c r="C132" s="135" t="s">
        <v>2303</v>
      </c>
      <c r="D132" s="332" t="s">
        <v>5952</v>
      </c>
      <c r="E132" s="124" t="s">
        <v>88</v>
      </c>
      <c r="F132" s="332" t="s">
        <v>5953</v>
      </c>
      <c r="G132" s="332" t="s">
        <v>5954</v>
      </c>
      <c r="H132" s="135" t="s">
        <v>142</v>
      </c>
      <c r="I132" s="139" t="s">
        <v>2278</v>
      </c>
      <c r="J132" s="135" t="s">
        <v>89</v>
      </c>
      <c r="K132" s="135" t="s">
        <v>2304</v>
      </c>
      <c r="L132" s="135" t="s">
        <v>2305</v>
      </c>
      <c r="M132" s="333">
        <v>39373.0</v>
      </c>
      <c r="N132" s="138" t="s">
        <v>67</v>
      </c>
      <c r="O132" s="124"/>
      <c r="P132" s="135" t="s">
        <v>68</v>
      </c>
      <c r="Q132" s="138"/>
      <c r="R132" s="138">
        <v>8.1260270122E10</v>
      </c>
      <c r="S132" s="135" t="s">
        <v>2306</v>
      </c>
      <c r="T132" s="135" t="s">
        <v>2307</v>
      </c>
      <c r="U132" s="135" t="s">
        <v>2308</v>
      </c>
      <c r="V132" s="135" t="s">
        <v>1029</v>
      </c>
      <c r="W132" s="135" t="s">
        <v>514</v>
      </c>
      <c r="X132" s="135" t="s">
        <v>1243</v>
      </c>
      <c r="Y132" s="135" t="s">
        <v>1244</v>
      </c>
      <c r="Z132" s="138">
        <v>0.0</v>
      </c>
      <c r="AA132" s="138">
        <v>0.0</v>
      </c>
    </row>
    <row r="133">
      <c r="A133" s="332">
        <v>6.0</v>
      </c>
      <c r="B133" s="135" t="s">
        <v>2309</v>
      </c>
      <c r="C133" s="135" t="s">
        <v>2310</v>
      </c>
      <c r="D133" s="332" t="s">
        <v>5952</v>
      </c>
      <c r="E133" s="124" t="s">
        <v>88</v>
      </c>
      <c r="F133" s="332" t="s">
        <v>5953</v>
      </c>
      <c r="G133" s="332" t="s">
        <v>5954</v>
      </c>
      <c r="H133" s="135" t="s">
        <v>142</v>
      </c>
      <c r="I133" s="139" t="s">
        <v>2311</v>
      </c>
      <c r="J133" s="135" t="s">
        <v>89</v>
      </c>
      <c r="K133" s="135"/>
      <c r="L133" s="135" t="s">
        <v>1819</v>
      </c>
      <c r="M133" s="333">
        <v>44130.0</v>
      </c>
      <c r="N133" s="138" t="s">
        <v>67</v>
      </c>
      <c r="O133" s="124"/>
      <c r="P133" s="135" t="s">
        <v>130</v>
      </c>
      <c r="Q133" s="138"/>
      <c r="R133" s="138">
        <v>8.1998444446E10</v>
      </c>
      <c r="S133" s="135" t="s">
        <v>2312</v>
      </c>
      <c r="T133" s="135" t="s">
        <v>2313</v>
      </c>
      <c r="U133" s="135" t="s">
        <v>2314</v>
      </c>
      <c r="V133" s="135" t="s">
        <v>96</v>
      </c>
      <c r="W133" s="135" t="s">
        <v>135</v>
      </c>
      <c r="X133" s="135" t="s">
        <v>1576</v>
      </c>
      <c r="Y133" s="135" t="s">
        <v>2315</v>
      </c>
      <c r="Z133" s="138"/>
      <c r="AA133" s="138"/>
    </row>
    <row r="134">
      <c r="A134" s="332">
        <v>7.0</v>
      </c>
      <c r="B134" s="135" t="s">
        <v>2316</v>
      </c>
      <c r="C134" s="135" t="s">
        <v>2317</v>
      </c>
      <c r="D134" s="332" t="s">
        <v>5952</v>
      </c>
      <c r="E134" s="124" t="s">
        <v>88</v>
      </c>
      <c r="F134" s="332" t="s">
        <v>5953</v>
      </c>
      <c r="G134" s="332" t="s">
        <v>5954</v>
      </c>
      <c r="H134" s="135" t="s">
        <v>142</v>
      </c>
      <c r="I134" s="139" t="s">
        <v>2278</v>
      </c>
      <c r="J134" s="135" t="s">
        <v>89</v>
      </c>
      <c r="K134" s="135" t="s">
        <v>2318</v>
      </c>
      <c r="L134" s="135" t="s">
        <v>1231</v>
      </c>
      <c r="M134" s="333">
        <v>42086.0</v>
      </c>
      <c r="N134" s="138" t="s">
        <v>67</v>
      </c>
      <c r="O134" s="124"/>
      <c r="P134" s="135" t="s">
        <v>68</v>
      </c>
      <c r="Q134" s="138"/>
      <c r="R134" s="138">
        <v>8.5371559487E10</v>
      </c>
      <c r="S134" s="135" t="s">
        <v>2319</v>
      </c>
      <c r="T134" s="135" t="s">
        <v>2320</v>
      </c>
      <c r="U134" s="135" t="s">
        <v>2321</v>
      </c>
      <c r="V134" s="135" t="s">
        <v>73</v>
      </c>
      <c r="W134" s="135" t="s">
        <v>835</v>
      </c>
      <c r="X134" s="135" t="s">
        <v>1220</v>
      </c>
      <c r="Y134" s="135" t="s">
        <v>1277</v>
      </c>
      <c r="Z134" s="138">
        <v>0.0</v>
      </c>
      <c r="AA134" s="138">
        <v>0.0</v>
      </c>
    </row>
    <row r="135">
      <c r="A135" s="332">
        <v>8.0</v>
      </c>
      <c r="B135" s="135" t="s">
        <v>2322</v>
      </c>
      <c r="C135" s="135" t="s">
        <v>2323</v>
      </c>
      <c r="D135" s="332" t="s">
        <v>5952</v>
      </c>
      <c r="E135" s="124" t="s">
        <v>88</v>
      </c>
      <c r="F135" s="332" t="s">
        <v>5953</v>
      </c>
      <c r="G135" s="332" t="s">
        <v>5954</v>
      </c>
      <c r="H135" s="135" t="s">
        <v>142</v>
      </c>
      <c r="I135" s="139" t="s">
        <v>2278</v>
      </c>
      <c r="J135" s="135" t="s">
        <v>89</v>
      </c>
      <c r="K135" s="135"/>
      <c r="L135" s="135" t="s">
        <v>2082</v>
      </c>
      <c r="M135" s="335">
        <v>43103.0</v>
      </c>
      <c r="N135" s="138" t="s">
        <v>67</v>
      </c>
      <c r="O135" s="124"/>
      <c r="P135" s="135" t="s">
        <v>130</v>
      </c>
      <c r="Q135" s="138"/>
      <c r="R135" s="138">
        <v>8.5833865401E10</v>
      </c>
      <c r="S135" s="135" t="s">
        <v>2324</v>
      </c>
      <c r="T135" s="135" t="s">
        <v>2325</v>
      </c>
      <c r="U135" s="135" t="s">
        <v>2326</v>
      </c>
      <c r="V135" s="135" t="s">
        <v>73</v>
      </c>
      <c r="W135" s="135" t="s">
        <v>481</v>
      </c>
      <c r="X135" s="135" t="s">
        <v>1082</v>
      </c>
      <c r="Y135" s="135" t="s">
        <v>1083</v>
      </c>
      <c r="Z135" s="138">
        <v>0.0</v>
      </c>
      <c r="AA135" s="138">
        <v>0.0</v>
      </c>
    </row>
    <row r="136">
      <c r="A136" s="332">
        <v>9.0</v>
      </c>
      <c r="B136" s="135" t="s">
        <v>2327</v>
      </c>
      <c r="C136" s="135" t="s">
        <v>2328</v>
      </c>
      <c r="D136" s="332" t="s">
        <v>5952</v>
      </c>
      <c r="E136" s="124" t="s">
        <v>88</v>
      </c>
      <c r="F136" s="332" t="s">
        <v>5953</v>
      </c>
      <c r="G136" s="332" t="s">
        <v>5954</v>
      </c>
      <c r="H136" s="135" t="s">
        <v>142</v>
      </c>
      <c r="I136" s="139" t="s">
        <v>2278</v>
      </c>
      <c r="J136" s="135" t="s">
        <v>89</v>
      </c>
      <c r="K136" s="135" t="s">
        <v>2329</v>
      </c>
      <c r="L136" s="135" t="s">
        <v>219</v>
      </c>
      <c r="M136" s="333">
        <v>44040.0</v>
      </c>
      <c r="N136" s="138" t="s">
        <v>67</v>
      </c>
      <c r="O136" s="124"/>
      <c r="P136" s="135" t="s">
        <v>68</v>
      </c>
      <c r="Q136" s="138"/>
      <c r="R136" s="138">
        <v>8.1262151437E10</v>
      </c>
      <c r="S136" s="135" t="s">
        <v>2330</v>
      </c>
      <c r="T136" s="135" t="s">
        <v>2331</v>
      </c>
      <c r="U136" s="135" t="s">
        <v>2332</v>
      </c>
      <c r="V136" s="135" t="s">
        <v>96</v>
      </c>
      <c r="W136" s="135" t="s">
        <v>97</v>
      </c>
      <c r="X136" s="135" t="s">
        <v>213</v>
      </c>
      <c r="Y136" s="135" t="s">
        <v>556</v>
      </c>
      <c r="Z136" s="138">
        <v>0.0</v>
      </c>
      <c r="AA136" s="138">
        <v>0.0</v>
      </c>
    </row>
    <row r="137">
      <c r="A137" s="332">
        <v>10.0</v>
      </c>
      <c r="B137" s="135" t="s">
        <v>2333</v>
      </c>
      <c r="C137" s="135" t="s">
        <v>2334</v>
      </c>
      <c r="D137" s="332" t="s">
        <v>5952</v>
      </c>
      <c r="E137" s="124" t="s">
        <v>88</v>
      </c>
      <c r="F137" s="332" t="s">
        <v>5953</v>
      </c>
      <c r="G137" s="332" t="s">
        <v>5954</v>
      </c>
      <c r="H137" s="135" t="s">
        <v>142</v>
      </c>
      <c r="I137" s="139" t="s">
        <v>2278</v>
      </c>
      <c r="J137" s="135" t="s">
        <v>89</v>
      </c>
      <c r="K137" s="135" t="s">
        <v>2318</v>
      </c>
      <c r="L137" s="135" t="s">
        <v>1231</v>
      </c>
      <c r="M137" s="335">
        <v>41030.0</v>
      </c>
      <c r="N137" s="138" t="s">
        <v>67</v>
      </c>
      <c r="O137" s="124"/>
      <c r="P137" s="135" t="s">
        <v>130</v>
      </c>
      <c r="Q137" s="138"/>
      <c r="R137" s="138">
        <v>8.1269720542E10</v>
      </c>
      <c r="S137" s="135" t="s">
        <v>2335</v>
      </c>
      <c r="T137" s="135" t="s">
        <v>2336</v>
      </c>
      <c r="U137" s="135" t="s">
        <v>2337</v>
      </c>
      <c r="V137" s="135" t="s">
        <v>73</v>
      </c>
      <c r="W137" s="135" t="s">
        <v>2338</v>
      </c>
      <c r="X137" s="135" t="s">
        <v>2339</v>
      </c>
      <c r="Y137" s="135" t="s">
        <v>2340</v>
      </c>
      <c r="Z137" s="138">
        <v>0.0</v>
      </c>
      <c r="AA137" s="138">
        <v>0.0</v>
      </c>
    </row>
    <row r="138">
      <c r="A138" s="332">
        <v>11.0</v>
      </c>
      <c r="B138" s="135" t="s">
        <v>2341</v>
      </c>
      <c r="C138" s="135" t="s">
        <v>2342</v>
      </c>
      <c r="D138" s="332" t="s">
        <v>5952</v>
      </c>
      <c r="E138" s="124" t="s">
        <v>88</v>
      </c>
      <c r="F138" s="332" t="s">
        <v>5953</v>
      </c>
      <c r="G138" s="332" t="s">
        <v>5954</v>
      </c>
      <c r="H138" s="135" t="s">
        <v>142</v>
      </c>
      <c r="I138" s="139" t="s">
        <v>2278</v>
      </c>
      <c r="J138" s="135" t="s">
        <v>89</v>
      </c>
      <c r="K138" s="135"/>
      <c r="L138" s="135" t="s">
        <v>2024</v>
      </c>
      <c r="M138" s="333">
        <v>39434.0</v>
      </c>
      <c r="N138" s="138" t="s">
        <v>67</v>
      </c>
      <c r="O138" s="124"/>
      <c r="P138" s="135" t="s">
        <v>68</v>
      </c>
      <c r="Q138" s="138"/>
      <c r="R138" s="138">
        <v>8.126472302E9</v>
      </c>
      <c r="S138" s="135" t="s">
        <v>2343</v>
      </c>
      <c r="T138" s="135" t="s">
        <v>2344</v>
      </c>
      <c r="U138" s="135" t="s">
        <v>2345</v>
      </c>
      <c r="V138" s="135" t="s">
        <v>73</v>
      </c>
      <c r="W138" s="135" t="s">
        <v>481</v>
      </c>
      <c r="X138" s="135" t="s">
        <v>454</v>
      </c>
      <c r="Y138" s="135" t="s">
        <v>982</v>
      </c>
      <c r="Z138" s="138">
        <v>0.0</v>
      </c>
      <c r="AA138" s="138">
        <v>0.0</v>
      </c>
    </row>
    <row r="139">
      <c r="A139" s="332">
        <v>12.0</v>
      </c>
      <c r="B139" s="135" t="s">
        <v>2346</v>
      </c>
      <c r="C139" s="135" t="s">
        <v>2347</v>
      </c>
      <c r="D139" s="332" t="s">
        <v>5952</v>
      </c>
      <c r="E139" s="124" t="s">
        <v>88</v>
      </c>
      <c r="F139" s="332" t="s">
        <v>5953</v>
      </c>
      <c r="G139" s="332" t="s">
        <v>5954</v>
      </c>
      <c r="H139" s="135" t="s">
        <v>142</v>
      </c>
      <c r="I139" s="139" t="s">
        <v>2278</v>
      </c>
      <c r="J139" s="135" t="s">
        <v>89</v>
      </c>
      <c r="K139" s="135" t="s">
        <v>374</v>
      </c>
      <c r="L139" s="135" t="s">
        <v>1231</v>
      </c>
      <c r="M139" s="333">
        <v>42081.0</v>
      </c>
      <c r="N139" s="138" t="s">
        <v>67</v>
      </c>
      <c r="O139" s="124"/>
      <c r="P139" s="135" t="s">
        <v>130</v>
      </c>
      <c r="Q139" s="138"/>
      <c r="R139" s="138">
        <v>8.5372345249E10</v>
      </c>
      <c r="S139" s="135" t="s">
        <v>2348</v>
      </c>
      <c r="T139" s="135" t="s">
        <v>2349</v>
      </c>
      <c r="U139" s="135" t="s">
        <v>2350</v>
      </c>
      <c r="V139" s="135" t="s">
        <v>73</v>
      </c>
      <c r="W139" s="135" t="s">
        <v>74</v>
      </c>
      <c r="X139" s="135" t="s">
        <v>454</v>
      </c>
      <c r="Y139" s="135" t="s">
        <v>491</v>
      </c>
      <c r="Z139" s="138"/>
      <c r="AA139" s="138"/>
    </row>
    <row r="140">
      <c r="A140" s="332">
        <v>13.0</v>
      </c>
      <c r="B140" s="135" t="s">
        <v>2351</v>
      </c>
      <c r="C140" s="135" t="s">
        <v>2352</v>
      </c>
      <c r="D140" s="332" t="s">
        <v>5952</v>
      </c>
      <c r="E140" s="124" t="s">
        <v>88</v>
      </c>
      <c r="F140" s="332" t="s">
        <v>5953</v>
      </c>
      <c r="G140" s="332" t="s">
        <v>5954</v>
      </c>
      <c r="H140" s="135" t="s">
        <v>142</v>
      </c>
      <c r="I140" s="139" t="s">
        <v>2278</v>
      </c>
      <c r="J140" s="135" t="s">
        <v>89</v>
      </c>
      <c r="K140" s="135" t="s">
        <v>374</v>
      </c>
      <c r="L140" s="135" t="s">
        <v>2353</v>
      </c>
      <c r="M140" s="333">
        <v>41173.0</v>
      </c>
      <c r="N140" s="138" t="s">
        <v>220</v>
      </c>
      <c r="O140" s="124"/>
      <c r="P140" s="135" t="s">
        <v>130</v>
      </c>
      <c r="Q140" s="138"/>
      <c r="R140" s="138">
        <v>8.7786173664E10</v>
      </c>
      <c r="S140" s="135" t="s">
        <v>2354</v>
      </c>
      <c r="T140" s="135" t="s">
        <v>2355</v>
      </c>
      <c r="U140" s="135" t="s">
        <v>2356</v>
      </c>
      <c r="V140" s="135" t="s">
        <v>73</v>
      </c>
      <c r="W140" s="135" t="s">
        <v>835</v>
      </c>
      <c r="X140" s="135" t="s">
        <v>178</v>
      </c>
      <c r="Y140" s="135" t="s">
        <v>179</v>
      </c>
      <c r="Z140" s="138">
        <v>0.0</v>
      </c>
      <c r="AA140" s="138">
        <v>0.0</v>
      </c>
    </row>
    <row r="141">
      <c r="A141" s="332">
        <v>14.0</v>
      </c>
      <c r="B141" s="135" t="s">
        <v>2357</v>
      </c>
      <c r="C141" s="135" t="s">
        <v>2358</v>
      </c>
      <c r="D141" s="332" t="s">
        <v>5952</v>
      </c>
      <c r="E141" s="124" t="s">
        <v>88</v>
      </c>
      <c r="F141" s="332" t="s">
        <v>5953</v>
      </c>
      <c r="G141" s="332" t="s">
        <v>5954</v>
      </c>
      <c r="H141" s="135" t="s">
        <v>142</v>
      </c>
      <c r="I141" s="139" t="s">
        <v>2359</v>
      </c>
      <c r="J141" s="135" t="s">
        <v>89</v>
      </c>
      <c r="K141" s="135" t="s">
        <v>374</v>
      </c>
      <c r="L141" s="135" t="s">
        <v>2360</v>
      </c>
      <c r="M141" s="333">
        <v>42569.0</v>
      </c>
      <c r="N141" s="138" t="s">
        <v>67</v>
      </c>
      <c r="O141" s="124"/>
      <c r="P141" s="135" t="s">
        <v>68</v>
      </c>
      <c r="Q141" s="138"/>
      <c r="R141" s="138">
        <v>8.1287767967E10</v>
      </c>
      <c r="S141" s="135" t="s">
        <v>2361</v>
      </c>
      <c r="T141" s="135" t="s">
        <v>2362</v>
      </c>
      <c r="U141" s="135" t="s">
        <v>2363</v>
      </c>
      <c r="V141" s="135" t="s">
        <v>73</v>
      </c>
      <c r="W141" s="135" t="s">
        <v>481</v>
      </c>
      <c r="X141" s="135" t="s">
        <v>203</v>
      </c>
      <c r="Y141" s="135" t="s">
        <v>2128</v>
      </c>
      <c r="Z141" s="138">
        <v>0.0</v>
      </c>
      <c r="AA141" s="138">
        <v>13.0</v>
      </c>
    </row>
    <row r="142">
      <c r="A142" s="332">
        <v>15.0</v>
      </c>
      <c r="B142" s="135" t="s">
        <v>2364</v>
      </c>
      <c r="C142" s="135" t="s">
        <v>2365</v>
      </c>
      <c r="D142" s="332" t="s">
        <v>5952</v>
      </c>
      <c r="E142" s="124" t="s">
        <v>88</v>
      </c>
      <c r="F142" s="332" t="s">
        <v>5953</v>
      </c>
      <c r="G142" s="332" t="s">
        <v>5954</v>
      </c>
      <c r="H142" s="135" t="s">
        <v>142</v>
      </c>
      <c r="I142" s="139" t="s">
        <v>2278</v>
      </c>
      <c r="J142" s="135" t="s">
        <v>89</v>
      </c>
      <c r="K142" s="135" t="s">
        <v>795</v>
      </c>
      <c r="L142" s="135" t="s">
        <v>1231</v>
      </c>
      <c r="M142" s="333">
        <v>44151.0</v>
      </c>
      <c r="N142" s="138" t="s">
        <v>67</v>
      </c>
      <c r="O142" s="124"/>
      <c r="P142" s="135" t="s">
        <v>130</v>
      </c>
      <c r="Q142" s="138"/>
      <c r="R142" s="138">
        <v>8.5276913398E10</v>
      </c>
      <c r="S142" s="135" t="s">
        <v>2366</v>
      </c>
      <c r="T142" s="135" t="s">
        <v>2367</v>
      </c>
      <c r="U142" s="135" t="s">
        <v>2368</v>
      </c>
      <c r="V142" s="135" t="s">
        <v>73</v>
      </c>
      <c r="W142" s="135" t="s">
        <v>481</v>
      </c>
      <c r="X142" s="135" t="s">
        <v>454</v>
      </c>
      <c r="Y142" s="135" t="s">
        <v>455</v>
      </c>
      <c r="Z142" s="138">
        <v>0.0</v>
      </c>
      <c r="AA142" s="138">
        <v>0.0</v>
      </c>
    </row>
    <row r="143">
      <c r="A143" s="332">
        <v>16.0</v>
      </c>
      <c r="B143" s="135" t="s">
        <v>2369</v>
      </c>
      <c r="C143" s="135" t="s">
        <v>2370</v>
      </c>
      <c r="D143" s="332" t="s">
        <v>5952</v>
      </c>
      <c r="E143" s="124" t="s">
        <v>88</v>
      </c>
      <c r="F143" s="332" t="s">
        <v>5953</v>
      </c>
      <c r="G143" s="332" t="s">
        <v>5954</v>
      </c>
      <c r="H143" s="135" t="s">
        <v>532</v>
      </c>
      <c r="I143" s="139" t="s">
        <v>2278</v>
      </c>
      <c r="J143" s="135" t="s">
        <v>285</v>
      </c>
      <c r="K143" s="135"/>
      <c r="L143" s="135" t="s">
        <v>2371</v>
      </c>
      <c r="M143" s="335">
        <v>42857.0</v>
      </c>
      <c r="N143" s="138" t="s">
        <v>67</v>
      </c>
      <c r="O143" s="124"/>
      <c r="P143" s="135" t="s">
        <v>130</v>
      </c>
      <c r="Q143" s="138"/>
      <c r="R143" s="138">
        <v>8.2166238686E10</v>
      </c>
      <c r="S143" s="135" t="s">
        <v>2372</v>
      </c>
      <c r="T143" s="135" t="s">
        <v>2373</v>
      </c>
      <c r="U143" s="135" t="s">
        <v>2374</v>
      </c>
      <c r="V143" s="135" t="s">
        <v>1029</v>
      </c>
      <c r="W143" s="135" t="s">
        <v>514</v>
      </c>
      <c r="X143" s="135" t="s">
        <v>1030</v>
      </c>
      <c r="Y143" s="135" t="s">
        <v>1031</v>
      </c>
      <c r="Z143" s="138">
        <v>0.0</v>
      </c>
      <c r="AA143" s="138">
        <v>0.0</v>
      </c>
    </row>
    <row r="144">
      <c r="A144" s="332">
        <v>17.0</v>
      </c>
      <c r="B144" s="135" t="s">
        <v>2375</v>
      </c>
      <c r="C144" s="135" t="s">
        <v>2376</v>
      </c>
      <c r="D144" s="332" t="s">
        <v>5952</v>
      </c>
      <c r="E144" s="124" t="s">
        <v>88</v>
      </c>
      <c r="F144" s="332" t="s">
        <v>5953</v>
      </c>
      <c r="G144" s="332" t="s">
        <v>5954</v>
      </c>
      <c r="H144" s="135" t="s">
        <v>142</v>
      </c>
      <c r="I144" s="139" t="s">
        <v>2278</v>
      </c>
      <c r="J144" s="135" t="s">
        <v>89</v>
      </c>
      <c r="K144" s="135" t="s">
        <v>640</v>
      </c>
      <c r="L144" s="135" t="s">
        <v>231</v>
      </c>
      <c r="M144" s="333">
        <v>38896.0</v>
      </c>
      <c r="N144" s="138" t="s">
        <v>67</v>
      </c>
      <c r="O144" s="124"/>
      <c r="P144" s="135" t="s">
        <v>68</v>
      </c>
      <c r="Q144" s="138"/>
      <c r="R144" s="138">
        <v>8.1397366466E10</v>
      </c>
      <c r="S144" s="135" t="s">
        <v>2377</v>
      </c>
      <c r="T144" s="135" t="s">
        <v>2378</v>
      </c>
      <c r="U144" s="135" t="s">
        <v>2379</v>
      </c>
      <c r="V144" s="135" t="s">
        <v>96</v>
      </c>
      <c r="W144" s="135" t="s">
        <v>97</v>
      </c>
      <c r="X144" s="135" t="s">
        <v>292</v>
      </c>
      <c r="Y144" s="135" t="s">
        <v>2380</v>
      </c>
      <c r="Z144" s="138">
        <v>0.0</v>
      </c>
      <c r="AA144" s="138">
        <v>0.0</v>
      </c>
    </row>
    <row r="145">
      <c r="A145" s="332">
        <v>18.0</v>
      </c>
      <c r="B145" s="135" t="s">
        <v>2381</v>
      </c>
      <c r="C145" s="135" t="s">
        <v>2382</v>
      </c>
      <c r="D145" s="332" t="s">
        <v>5952</v>
      </c>
      <c r="E145" s="124" t="s">
        <v>88</v>
      </c>
      <c r="F145" s="332" t="s">
        <v>5953</v>
      </c>
      <c r="G145" s="332" t="s">
        <v>5954</v>
      </c>
      <c r="H145" s="135" t="s">
        <v>142</v>
      </c>
      <c r="I145" s="139" t="s">
        <v>2278</v>
      </c>
      <c r="J145" s="135" t="s">
        <v>89</v>
      </c>
      <c r="K145" s="135"/>
      <c r="L145" s="135" t="s">
        <v>260</v>
      </c>
      <c r="M145" s="335">
        <v>39545.0</v>
      </c>
      <c r="N145" s="138" t="s">
        <v>67</v>
      </c>
      <c r="O145" s="124"/>
      <c r="P145" s="135" t="s">
        <v>68</v>
      </c>
      <c r="Q145" s="138"/>
      <c r="R145" s="138" t="s">
        <v>77</v>
      </c>
      <c r="S145" s="135" t="s">
        <v>2383</v>
      </c>
      <c r="T145" s="135" t="s">
        <v>2384</v>
      </c>
      <c r="U145" s="135" t="s">
        <v>2385</v>
      </c>
      <c r="V145" s="135" t="s">
        <v>96</v>
      </c>
      <c r="W145" s="135" t="s">
        <v>97</v>
      </c>
      <c r="X145" s="135" t="s">
        <v>272</v>
      </c>
      <c r="Y145" s="135" t="s">
        <v>334</v>
      </c>
      <c r="Z145" s="138" t="s">
        <v>77</v>
      </c>
      <c r="AA145" s="138" t="s">
        <v>77</v>
      </c>
    </row>
    <row r="146">
      <c r="A146" s="332">
        <v>19.0</v>
      </c>
      <c r="B146" s="135" t="s">
        <v>2386</v>
      </c>
      <c r="C146" s="135" t="s">
        <v>2387</v>
      </c>
      <c r="D146" s="332" t="s">
        <v>5952</v>
      </c>
      <c r="E146" s="124" t="s">
        <v>88</v>
      </c>
      <c r="F146" s="332" t="s">
        <v>5953</v>
      </c>
      <c r="G146" s="332" t="s">
        <v>5954</v>
      </c>
      <c r="H146" s="135" t="s">
        <v>142</v>
      </c>
      <c r="I146" s="139" t="s">
        <v>2278</v>
      </c>
      <c r="J146" s="135" t="s">
        <v>89</v>
      </c>
      <c r="K146" s="135" t="s">
        <v>374</v>
      </c>
      <c r="L146" s="135" t="s">
        <v>2353</v>
      </c>
      <c r="M146" s="335">
        <v>38997.0</v>
      </c>
      <c r="N146" s="138" t="s">
        <v>220</v>
      </c>
      <c r="O146" s="124"/>
      <c r="P146" s="135" t="s">
        <v>68</v>
      </c>
      <c r="Q146" s="138"/>
      <c r="R146" s="138">
        <v>8.1362096211E10</v>
      </c>
      <c r="S146" s="135" t="s">
        <v>2388</v>
      </c>
      <c r="T146" s="135" t="s">
        <v>2389</v>
      </c>
      <c r="U146" s="135" t="s">
        <v>2390</v>
      </c>
      <c r="V146" s="135" t="s">
        <v>73</v>
      </c>
      <c r="W146" s="135" t="s">
        <v>166</v>
      </c>
      <c r="X146" s="135" t="s">
        <v>596</v>
      </c>
      <c r="Y146" s="135" t="s">
        <v>2170</v>
      </c>
      <c r="Z146" s="138">
        <v>0.0</v>
      </c>
      <c r="AA146" s="138">
        <v>0.0</v>
      </c>
    </row>
    <row r="147">
      <c r="A147" s="332">
        <v>20.0</v>
      </c>
      <c r="B147" s="135" t="s">
        <v>2391</v>
      </c>
      <c r="C147" s="135" t="s">
        <v>2392</v>
      </c>
      <c r="D147" s="332" t="s">
        <v>5952</v>
      </c>
      <c r="E147" s="124" t="s">
        <v>88</v>
      </c>
      <c r="F147" s="332" t="s">
        <v>5953</v>
      </c>
      <c r="G147" s="332" t="s">
        <v>5954</v>
      </c>
      <c r="H147" s="135" t="s">
        <v>142</v>
      </c>
      <c r="I147" s="139" t="s">
        <v>2278</v>
      </c>
      <c r="J147" s="135" t="s">
        <v>89</v>
      </c>
      <c r="K147" s="135" t="s">
        <v>795</v>
      </c>
      <c r="L147" s="135" t="s">
        <v>2393</v>
      </c>
      <c r="M147" s="335">
        <v>44354.0</v>
      </c>
      <c r="N147" s="138" t="s">
        <v>67</v>
      </c>
      <c r="O147" s="124"/>
      <c r="P147" s="135" t="s">
        <v>68</v>
      </c>
      <c r="Q147" s="138"/>
      <c r="R147" s="138">
        <v>8.1376042436E10</v>
      </c>
      <c r="S147" s="135"/>
      <c r="T147" s="135" t="s">
        <v>2394</v>
      </c>
      <c r="U147" s="135" t="s">
        <v>2395</v>
      </c>
      <c r="V147" s="135" t="s">
        <v>96</v>
      </c>
      <c r="W147" s="135" t="s">
        <v>97</v>
      </c>
      <c r="X147" s="135" t="s">
        <v>292</v>
      </c>
      <c r="Y147" s="135" t="s">
        <v>1711</v>
      </c>
      <c r="Z147" s="138">
        <v>0.0</v>
      </c>
      <c r="AA147" s="138">
        <v>0.0</v>
      </c>
    </row>
    <row r="148">
      <c r="A148" s="332">
        <v>21.0</v>
      </c>
      <c r="B148" s="135" t="s">
        <v>2396</v>
      </c>
      <c r="C148" s="135" t="s">
        <v>2397</v>
      </c>
      <c r="D148" s="332" t="s">
        <v>5952</v>
      </c>
      <c r="E148" s="124" t="s">
        <v>88</v>
      </c>
      <c r="F148" s="332" t="s">
        <v>5953</v>
      </c>
      <c r="G148" s="332" t="s">
        <v>5954</v>
      </c>
      <c r="H148" s="135" t="s">
        <v>142</v>
      </c>
      <c r="I148" s="139" t="s">
        <v>2278</v>
      </c>
      <c r="J148" s="135" t="s">
        <v>89</v>
      </c>
      <c r="K148" s="135" t="s">
        <v>2398</v>
      </c>
      <c r="L148" s="135" t="s">
        <v>2399</v>
      </c>
      <c r="M148" s="333">
        <v>44302.0</v>
      </c>
      <c r="N148" s="138" t="s">
        <v>67</v>
      </c>
      <c r="O148" s="124"/>
      <c r="P148" s="135" t="s">
        <v>68</v>
      </c>
      <c r="Q148" s="138"/>
      <c r="R148" s="138">
        <v>8.2163077707E10</v>
      </c>
      <c r="S148" s="135" t="s">
        <v>2400</v>
      </c>
      <c r="T148" s="135" t="s">
        <v>2401</v>
      </c>
      <c r="U148" s="135" t="s">
        <v>2402</v>
      </c>
      <c r="V148" s="135" t="s">
        <v>1029</v>
      </c>
      <c r="W148" s="135" t="s">
        <v>2403</v>
      </c>
      <c r="X148" s="135" t="s">
        <v>2404</v>
      </c>
      <c r="Y148" s="135" t="s">
        <v>2405</v>
      </c>
      <c r="Z148" s="138">
        <v>5.0</v>
      </c>
      <c r="AA148" s="138">
        <v>1.0</v>
      </c>
    </row>
    <row r="149">
      <c r="A149" s="332">
        <v>22.0</v>
      </c>
      <c r="B149" s="135" t="s">
        <v>2406</v>
      </c>
      <c r="C149" s="135" t="s">
        <v>2407</v>
      </c>
      <c r="D149" s="332" t="s">
        <v>5952</v>
      </c>
      <c r="E149" s="124" t="s">
        <v>88</v>
      </c>
      <c r="F149" s="332" t="s">
        <v>5953</v>
      </c>
      <c r="G149" s="332" t="s">
        <v>5954</v>
      </c>
      <c r="H149" s="135" t="s">
        <v>142</v>
      </c>
      <c r="I149" s="139" t="s">
        <v>2278</v>
      </c>
      <c r="J149" s="135" t="s">
        <v>89</v>
      </c>
      <c r="K149" s="135" t="s">
        <v>90</v>
      </c>
      <c r="L149" s="135" t="s">
        <v>1819</v>
      </c>
      <c r="M149" s="333">
        <v>43759.0</v>
      </c>
      <c r="N149" s="138" t="s">
        <v>67</v>
      </c>
      <c r="O149" s="124"/>
      <c r="P149" s="135" t="s">
        <v>68</v>
      </c>
      <c r="Q149" s="138"/>
      <c r="R149" s="138">
        <v>8.5179890695E10</v>
      </c>
      <c r="S149" s="135" t="s">
        <v>2408</v>
      </c>
      <c r="T149" s="135" t="s">
        <v>2409</v>
      </c>
      <c r="U149" s="135" t="s">
        <v>2410</v>
      </c>
      <c r="V149" s="135" t="s">
        <v>73</v>
      </c>
      <c r="W149" s="135" t="s">
        <v>74</v>
      </c>
      <c r="X149" s="135" t="s">
        <v>989</v>
      </c>
      <c r="Y149" s="135" t="s">
        <v>2411</v>
      </c>
      <c r="Z149" s="138">
        <v>1.0</v>
      </c>
      <c r="AA149" s="138">
        <v>1.0</v>
      </c>
    </row>
    <row r="150">
      <c r="A150" s="332">
        <v>23.0</v>
      </c>
      <c r="B150" s="135" t="s">
        <v>2412</v>
      </c>
      <c r="C150" s="135" t="s">
        <v>2413</v>
      </c>
      <c r="D150" s="332" t="s">
        <v>5952</v>
      </c>
      <c r="E150" s="124" t="s">
        <v>88</v>
      </c>
      <c r="F150" s="332" t="s">
        <v>5953</v>
      </c>
      <c r="G150" s="332" t="s">
        <v>5954</v>
      </c>
      <c r="H150" s="135" t="s">
        <v>142</v>
      </c>
      <c r="I150" s="139" t="s">
        <v>2278</v>
      </c>
      <c r="J150" s="135" t="s">
        <v>89</v>
      </c>
      <c r="K150" s="135" t="s">
        <v>230</v>
      </c>
      <c r="L150" s="135" t="s">
        <v>745</v>
      </c>
      <c r="M150" s="333">
        <v>41272.0</v>
      </c>
      <c r="N150" s="138" t="s">
        <v>67</v>
      </c>
      <c r="O150" s="124"/>
      <c r="P150" s="135" t="s">
        <v>68</v>
      </c>
      <c r="Q150" s="138"/>
      <c r="R150" s="138">
        <v>8.5361780289E10</v>
      </c>
      <c r="S150" s="135" t="s">
        <v>2414</v>
      </c>
      <c r="T150" s="135" t="s">
        <v>2415</v>
      </c>
      <c r="U150" s="135" t="s">
        <v>2416</v>
      </c>
      <c r="V150" s="135" t="s">
        <v>96</v>
      </c>
      <c r="W150" s="135" t="s">
        <v>97</v>
      </c>
      <c r="X150" s="135" t="s">
        <v>213</v>
      </c>
      <c r="Y150" s="135" t="s">
        <v>556</v>
      </c>
      <c r="Z150" s="138"/>
      <c r="AA150" s="138"/>
    </row>
    <row r="151">
      <c r="A151" s="332">
        <v>24.0</v>
      </c>
      <c r="B151" s="135" t="s">
        <v>2417</v>
      </c>
      <c r="C151" s="135" t="s">
        <v>2418</v>
      </c>
      <c r="D151" s="332" t="s">
        <v>5952</v>
      </c>
      <c r="E151" s="124" t="s">
        <v>88</v>
      </c>
      <c r="F151" s="332" t="s">
        <v>5953</v>
      </c>
      <c r="G151" s="332" t="s">
        <v>5954</v>
      </c>
      <c r="H151" s="135" t="s">
        <v>142</v>
      </c>
      <c r="I151" s="139" t="s">
        <v>2278</v>
      </c>
      <c r="J151" s="135" t="s">
        <v>89</v>
      </c>
      <c r="K151" s="135" t="s">
        <v>2419</v>
      </c>
      <c r="L151" s="135" t="s">
        <v>1194</v>
      </c>
      <c r="M151" s="335">
        <v>40733.0</v>
      </c>
      <c r="N151" s="138" t="s">
        <v>220</v>
      </c>
      <c r="O151" s="124"/>
      <c r="P151" s="135" t="s">
        <v>130</v>
      </c>
      <c r="Q151" s="138"/>
      <c r="R151" s="138">
        <v>8.2191315621E10</v>
      </c>
      <c r="S151" s="135" t="s">
        <v>2420</v>
      </c>
      <c r="T151" s="135" t="s">
        <v>2421</v>
      </c>
      <c r="U151" s="135" t="s">
        <v>2422</v>
      </c>
      <c r="V151" s="135" t="s">
        <v>73</v>
      </c>
      <c r="W151" s="135" t="s">
        <v>166</v>
      </c>
      <c r="X151" s="135" t="s">
        <v>635</v>
      </c>
      <c r="Y151" s="135" t="s">
        <v>2142</v>
      </c>
      <c r="Z151" s="138">
        <v>0.0</v>
      </c>
      <c r="AA151" s="138">
        <v>0.0</v>
      </c>
    </row>
    <row r="152">
      <c r="A152" s="332">
        <v>25.0</v>
      </c>
      <c r="B152" s="135" t="s">
        <v>2423</v>
      </c>
      <c r="C152" s="135" t="s">
        <v>2424</v>
      </c>
      <c r="D152" s="332" t="s">
        <v>5952</v>
      </c>
      <c r="E152" s="124" t="s">
        <v>88</v>
      </c>
      <c r="F152" s="332" t="s">
        <v>5953</v>
      </c>
      <c r="G152" s="332" t="s">
        <v>5954</v>
      </c>
      <c r="H152" s="135" t="s">
        <v>142</v>
      </c>
      <c r="I152" s="139" t="s">
        <v>2311</v>
      </c>
      <c r="J152" s="135" t="s">
        <v>89</v>
      </c>
      <c r="K152" s="135" t="s">
        <v>647</v>
      </c>
      <c r="L152" s="135" t="s">
        <v>231</v>
      </c>
      <c r="M152" s="335">
        <v>43195.0</v>
      </c>
      <c r="N152" s="138"/>
      <c r="O152" s="124"/>
      <c r="P152" s="135" t="s">
        <v>68</v>
      </c>
      <c r="Q152" s="124"/>
      <c r="R152" s="138"/>
      <c r="S152" s="135"/>
      <c r="T152" s="135" t="s">
        <v>2425</v>
      </c>
      <c r="U152" s="135"/>
      <c r="V152" s="135"/>
      <c r="W152" s="135"/>
      <c r="X152" s="135"/>
      <c r="Y152" s="135"/>
      <c r="Z152" s="138"/>
      <c r="AA152" s="138"/>
    </row>
    <row r="153">
      <c r="A153" s="332">
        <v>26.0</v>
      </c>
      <c r="B153" s="135" t="s">
        <v>2426</v>
      </c>
      <c r="C153" s="135" t="s">
        <v>2427</v>
      </c>
      <c r="D153" s="332" t="s">
        <v>5952</v>
      </c>
      <c r="E153" s="124" t="s">
        <v>88</v>
      </c>
      <c r="F153" s="332" t="s">
        <v>5953</v>
      </c>
      <c r="G153" s="332" t="s">
        <v>5954</v>
      </c>
      <c r="H153" s="135" t="s">
        <v>142</v>
      </c>
      <c r="I153" s="139" t="s">
        <v>2311</v>
      </c>
      <c r="J153" s="135" t="s">
        <v>89</v>
      </c>
      <c r="K153" s="135" t="s">
        <v>374</v>
      </c>
      <c r="L153" s="135" t="s">
        <v>2024</v>
      </c>
      <c r="M153" s="335">
        <v>42339.0</v>
      </c>
      <c r="N153" s="138" t="s">
        <v>67</v>
      </c>
      <c r="O153" s="124"/>
      <c r="P153" s="135" t="s">
        <v>130</v>
      </c>
      <c r="Q153" s="124"/>
      <c r="R153" s="138">
        <v>8.537113417E10</v>
      </c>
      <c r="S153" s="135" t="s">
        <v>2428</v>
      </c>
      <c r="T153" s="135" t="s">
        <v>2429</v>
      </c>
      <c r="U153" s="135" t="s">
        <v>2430</v>
      </c>
      <c r="V153" s="135" t="s">
        <v>73</v>
      </c>
      <c r="W153" s="135" t="s">
        <v>74</v>
      </c>
      <c r="X153" s="135" t="s">
        <v>741</v>
      </c>
      <c r="Y153" s="135" t="s">
        <v>819</v>
      </c>
      <c r="Z153" s="138">
        <v>0.0</v>
      </c>
      <c r="AA153" s="138">
        <v>0.0</v>
      </c>
    </row>
    <row r="154">
      <c r="A154" s="332">
        <v>27.0</v>
      </c>
      <c r="B154" s="135" t="s">
        <v>2431</v>
      </c>
      <c r="C154" s="135" t="s">
        <v>2432</v>
      </c>
      <c r="D154" s="332" t="s">
        <v>5952</v>
      </c>
      <c r="E154" s="124" t="s">
        <v>88</v>
      </c>
      <c r="F154" s="332" t="s">
        <v>5953</v>
      </c>
      <c r="G154" s="332" t="s">
        <v>5954</v>
      </c>
      <c r="H154" s="135" t="s">
        <v>142</v>
      </c>
      <c r="I154" s="139" t="s">
        <v>2278</v>
      </c>
      <c r="J154" s="135" t="s">
        <v>89</v>
      </c>
      <c r="K154" s="135" t="s">
        <v>374</v>
      </c>
      <c r="L154" s="135" t="s">
        <v>260</v>
      </c>
      <c r="M154" s="333">
        <v>43251.0</v>
      </c>
      <c r="N154" s="138" t="s">
        <v>67</v>
      </c>
      <c r="O154" s="124"/>
      <c r="P154" s="135" t="s">
        <v>130</v>
      </c>
      <c r="Q154" s="124"/>
      <c r="R154" s="138">
        <v>8.5370980764E10</v>
      </c>
      <c r="S154" s="135" t="s">
        <v>2433</v>
      </c>
      <c r="T154" s="135" t="s">
        <v>2434</v>
      </c>
      <c r="U154" s="135" t="s">
        <v>2435</v>
      </c>
      <c r="V154" s="135" t="s">
        <v>73</v>
      </c>
      <c r="W154" s="135" t="s">
        <v>2436</v>
      </c>
      <c r="X154" s="135" t="s">
        <v>1092</v>
      </c>
      <c r="Y154" s="135" t="s">
        <v>2437</v>
      </c>
      <c r="Z154" s="138">
        <v>0.0</v>
      </c>
      <c r="AA154" s="138">
        <v>0.0</v>
      </c>
    </row>
    <row r="155">
      <c r="A155" s="332">
        <v>28.0</v>
      </c>
      <c r="B155" s="135" t="s">
        <v>2438</v>
      </c>
      <c r="C155" s="135" t="s">
        <v>2439</v>
      </c>
      <c r="D155" s="332" t="s">
        <v>5952</v>
      </c>
      <c r="E155" s="124" t="s">
        <v>88</v>
      </c>
      <c r="F155" s="332" t="s">
        <v>5953</v>
      </c>
      <c r="G155" s="332" t="s">
        <v>5954</v>
      </c>
      <c r="H155" s="135" t="s">
        <v>532</v>
      </c>
      <c r="I155" s="139" t="s">
        <v>2278</v>
      </c>
      <c r="J155" s="135" t="s">
        <v>285</v>
      </c>
      <c r="K155" s="135" t="s">
        <v>2440</v>
      </c>
      <c r="L155" s="135" t="s">
        <v>2441</v>
      </c>
      <c r="M155" s="333">
        <v>40679.0</v>
      </c>
      <c r="N155" s="138" t="s">
        <v>67</v>
      </c>
      <c r="O155" s="124"/>
      <c r="P155" s="135" t="s">
        <v>68</v>
      </c>
      <c r="Q155" s="124"/>
      <c r="R155" s="138">
        <v>8.1363603257E10</v>
      </c>
      <c r="S155" s="135" t="s">
        <v>2442</v>
      </c>
      <c r="T155" s="135" t="s">
        <v>2443</v>
      </c>
      <c r="U155" s="135" t="s">
        <v>2444</v>
      </c>
      <c r="V155" s="135" t="s">
        <v>96</v>
      </c>
      <c r="W155" s="135" t="s">
        <v>150</v>
      </c>
      <c r="X155" s="135" t="s">
        <v>151</v>
      </c>
      <c r="Y155" s="135" t="s">
        <v>472</v>
      </c>
      <c r="Z155" s="138">
        <v>0.0</v>
      </c>
      <c r="AA155" s="138">
        <v>0.0</v>
      </c>
    </row>
    <row r="156">
      <c r="A156" s="332">
        <v>29.0</v>
      </c>
      <c r="B156" s="135" t="s">
        <v>2445</v>
      </c>
      <c r="C156" s="135" t="s">
        <v>2446</v>
      </c>
      <c r="D156" s="332" t="s">
        <v>5952</v>
      </c>
      <c r="E156" s="124" t="s">
        <v>88</v>
      </c>
      <c r="F156" s="332" t="s">
        <v>5953</v>
      </c>
      <c r="G156" s="332" t="s">
        <v>5954</v>
      </c>
      <c r="H156" s="135" t="s">
        <v>519</v>
      </c>
      <c r="I156" s="139" t="s">
        <v>2359</v>
      </c>
      <c r="J156" s="135" t="s">
        <v>267</v>
      </c>
      <c r="K156" s="135"/>
      <c r="L156" s="135" t="s">
        <v>592</v>
      </c>
      <c r="M156" s="333">
        <v>41901.0</v>
      </c>
      <c r="N156" s="138" t="s">
        <v>220</v>
      </c>
      <c r="O156" s="124"/>
      <c r="P156" s="135" t="s">
        <v>130</v>
      </c>
      <c r="Q156" s="124"/>
      <c r="R156" s="138">
        <v>8.5262473892E10</v>
      </c>
      <c r="S156" s="135" t="s">
        <v>2447</v>
      </c>
      <c r="T156" s="135" t="s">
        <v>2448</v>
      </c>
      <c r="U156" s="135" t="s">
        <v>2449</v>
      </c>
      <c r="V156" s="135" t="s">
        <v>73</v>
      </c>
      <c r="W156" s="135" t="s">
        <v>74</v>
      </c>
      <c r="X156" s="135" t="s">
        <v>203</v>
      </c>
      <c r="Y156" s="135" t="s">
        <v>2128</v>
      </c>
      <c r="Z156" s="138">
        <v>0.0</v>
      </c>
      <c r="AA156" s="138">
        <v>0.0</v>
      </c>
    </row>
    <row r="157">
      <c r="A157" s="332">
        <v>30.0</v>
      </c>
      <c r="B157" s="135" t="s">
        <v>2450</v>
      </c>
      <c r="C157" s="135" t="s">
        <v>2451</v>
      </c>
      <c r="D157" s="332" t="s">
        <v>5952</v>
      </c>
      <c r="E157" s="124" t="s">
        <v>88</v>
      </c>
      <c r="F157" s="332" t="s">
        <v>5953</v>
      </c>
      <c r="G157" s="332" t="s">
        <v>5954</v>
      </c>
      <c r="H157" s="135" t="s">
        <v>142</v>
      </c>
      <c r="I157" s="139" t="s">
        <v>2278</v>
      </c>
      <c r="J157" s="135" t="s">
        <v>89</v>
      </c>
      <c r="K157" s="135" t="s">
        <v>374</v>
      </c>
      <c r="L157" s="135" t="s">
        <v>1215</v>
      </c>
      <c r="M157" s="333">
        <v>43215.0</v>
      </c>
      <c r="N157" s="138" t="s">
        <v>67</v>
      </c>
      <c r="O157" s="124"/>
      <c r="P157" s="135" t="s">
        <v>68</v>
      </c>
      <c r="Q157" s="124"/>
      <c r="R157" s="138">
        <v>8.1397446605E10</v>
      </c>
      <c r="S157" s="135" t="s">
        <v>2452</v>
      </c>
      <c r="T157" s="135" t="s">
        <v>2453</v>
      </c>
      <c r="U157" s="135" t="s">
        <v>2454</v>
      </c>
      <c r="V157" s="135" t="s">
        <v>96</v>
      </c>
      <c r="W157" s="135" t="s">
        <v>97</v>
      </c>
      <c r="X157" s="135" t="s">
        <v>236</v>
      </c>
      <c r="Y157" s="135" t="s">
        <v>237</v>
      </c>
      <c r="Z157" s="138"/>
      <c r="AA157" s="138"/>
    </row>
    <row r="158">
      <c r="A158" s="332">
        <v>31.0</v>
      </c>
      <c r="B158" s="135" t="s">
        <v>2455</v>
      </c>
      <c r="C158" s="135" t="s">
        <v>2456</v>
      </c>
      <c r="D158" s="332" t="s">
        <v>5952</v>
      </c>
      <c r="E158" s="124" t="s">
        <v>88</v>
      </c>
      <c r="F158" s="332" t="s">
        <v>5953</v>
      </c>
      <c r="G158" s="332" t="s">
        <v>5954</v>
      </c>
      <c r="H158" s="135" t="s">
        <v>142</v>
      </c>
      <c r="I158" s="139" t="s">
        <v>2359</v>
      </c>
      <c r="J158" s="135" t="s">
        <v>89</v>
      </c>
      <c r="K158" s="135"/>
      <c r="L158" s="135" t="s">
        <v>1231</v>
      </c>
      <c r="M158" s="335">
        <v>42279.0</v>
      </c>
      <c r="N158" s="138" t="s">
        <v>67</v>
      </c>
      <c r="O158" s="124"/>
      <c r="P158" s="135" t="s">
        <v>68</v>
      </c>
      <c r="Q158" s="124"/>
      <c r="R158" s="138">
        <v>8.1260629469E10</v>
      </c>
      <c r="S158" s="135" t="s">
        <v>2457</v>
      </c>
      <c r="T158" s="135" t="s">
        <v>2458</v>
      </c>
      <c r="U158" s="135" t="s">
        <v>2459</v>
      </c>
      <c r="V158" s="135" t="s">
        <v>73</v>
      </c>
      <c r="W158" s="135" t="s">
        <v>481</v>
      </c>
      <c r="X158" s="135" t="s">
        <v>360</v>
      </c>
      <c r="Y158" s="135" t="s">
        <v>893</v>
      </c>
      <c r="Z158" s="138">
        <v>0.0</v>
      </c>
      <c r="AA158" s="138">
        <v>0.0</v>
      </c>
    </row>
    <row r="159">
      <c r="A159" s="332">
        <v>32.0</v>
      </c>
      <c r="B159" s="135" t="s">
        <v>2460</v>
      </c>
      <c r="C159" s="135" t="s">
        <v>2461</v>
      </c>
      <c r="D159" s="332" t="s">
        <v>5952</v>
      </c>
      <c r="E159" s="124" t="s">
        <v>88</v>
      </c>
      <c r="F159" s="332" t="s">
        <v>5953</v>
      </c>
      <c r="G159" s="332" t="s">
        <v>5954</v>
      </c>
      <c r="H159" s="135" t="s">
        <v>142</v>
      </c>
      <c r="I159" s="139" t="s">
        <v>2278</v>
      </c>
      <c r="J159" s="135" t="s">
        <v>89</v>
      </c>
      <c r="K159" s="135" t="s">
        <v>1887</v>
      </c>
      <c r="L159" s="135" t="s">
        <v>2462</v>
      </c>
      <c r="M159" s="333">
        <v>42851.0</v>
      </c>
      <c r="N159" s="138" t="s">
        <v>67</v>
      </c>
      <c r="O159" s="124"/>
      <c r="P159" s="135" t="s">
        <v>68</v>
      </c>
      <c r="Q159" s="124"/>
      <c r="R159" s="138">
        <v>8.7719841987E10</v>
      </c>
      <c r="S159" s="135" t="s">
        <v>2463</v>
      </c>
      <c r="T159" s="135" t="s">
        <v>2464</v>
      </c>
      <c r="U159" s="135" t="s">
        <v>2465</v>
      </c>
      <c r="V159" s="135" t="s">
        <v>96</v>
      </c>
      <c r="W159" s="135" t="s">
        <v>97</v>
      </c>
      <c r="X159" s="135" t="s">
        <v>499</v>
      </c>
      <c r="Y159" s="135" t="s">
        <v>2466</v>
      </c>
      <c r="Z159" s="138"/>
      <c r="AA159" s="138"/>
    </row>
    <row r="160">
      <c r="A160" s="332">
        <v>33.0</v>
      </c>
      <c r="B160" s="135" t="s">
        <v>2467</v>
      </c>
      <c r="C160" s="135" t="s">
        <v>2468</v>
      </c>
      <c r="D160" s="332" t="s">
        <v>5952</v>
      </c>
      <c r="E160" s="124" t="s">
        <v>88</v>
      </c>
      <c r="F160" s="332" t="s">
        <v>5953</v>
      </c>
      <c r="G160" s="332" t="s">
        <v>5954</v>
      </c>
      <c r="H160" s="135" t="s">
        <v>142</v>
      </c>
      <c r="I160" s="139" t="s">
        <v>2359</v>
      </c>
      <c r="J160" s="135" t="s">
        <v>89</v>
      </c>
      <c r="K160" s="135" t="s">
        <v>1193</v>
      </c>
      <c r="L160" s="135" t="s">
        <v>2469</v>
      </c>
      <c r="M160" s="335">
        <v>42315.0</v>
      </c>
      <c r="N160" s="138" t="s">
        <v>67</v>
      </c>
      <c r="O160" s="124"/>
      <c r="P160" s="135" t="s">
        <v>68</v>
      </c>
      <c r="Q160" s="124"/>
      <c r="R160" s="138">
        <v>8.116141191E9</v>
      </c>
      <c r="S160" s="135" t="s">
        <v>2470</v>
      </c>
      <c r="T160" s="135" t="s">
        <v>2471</v>
      </c>
      <c r="U160" s="135" t="s">
        <v>2472</v>
      </c>
      <c r="V160" s="135" t="s">
        <v>2473</v>
      </c>
      <c r="W160" s="135" t="s">
        <v>74</v>
      </c>
      <c r="X160" s="135" t="s">
        <v>582</v>
      </c>
      <c r="Y160" s="135" t="s">
        <v>2474</v>
      </c>
      <c r="Z160" s="138"/>
      <c r="AA160" s="138"/>
    </row>
    <row r="161">
      <c r="A161" s="332">
        <v>34.0</v>
      </c>
      <c r="B161" s="135" t="s">
        <v>2475</v>
      </c>
      <c r="C161" s="135" t="s">
        <v>2476</v>
      </c>
      <c r="D161" s="332" t="s">
        <v>5952</v>
      </c>
      <c r="E161" s="124" t="s">
        <v>88</v>
      </c>
      <c r="F161" s="332" t="s">
        <v>5953</v>
      </c>
      <c r="G161" s="332" t="s">
        <v>5954</v>
      </c>
      <c r="H161" s="135" t="s">
        <v>142</v>
      </c>
      <c r="I161" s="139" t="s">
        <v>2278</v>
      </c>
      <c r="J161" s="135" t="s">
        <v>89</v>
      </c>
      <c r="K161" s="135"/>
      <c r="L161" s="135" t="s">
        <v>1231</v>
      </c>
      <c r="M161" s="333">
        <v>41748.0</v>
      </c>
      <c r="N161" s="138" t="s">
        <v>67</v>
      </c>
      <c r="O161" s="124"/>
      <c r="P161" s="135" t="s">
        <v>68</v>
      </c>
      <c r="Q161" s="124"/>
      <c r="R161" s="138">
        <v>8.2277932751E10</v>
      </c>
      <c r="S161" s="135" t="s">
        <v>2477</v>
      </c>
      <c r="T161" s="135" t="s">
        <v>2478</v>
      </c>
      <c r="U161" s="135" t="s">
        <v>2479</v>
      </c>
      <c r="V161" s="135" t="s">
        <v>96</v>
      </c>
      <c r="W161" s="135" t="s">
        <v>97</v>
      </c>
      <c r="X161" s="135" t="s">
        <v>1136</v>
      </c>
      <c r="Y161" s="135" t="s">
        <v>1137</v>
      </c>
      <c r="Z161" s="138"/>
      <c r="AA161" s="138"/>
    </row>
    <row r="162">
      <c r="A162" s="332">
        <v>35.0</v>
      </c>
      <c r="B162" s="135" t="s">
        <v>2480</v>
      </c>
      <c r="C162" s="135" t="s">
        <v>2481</v>
      </c>
      <c r="D162" s="332" t="s">
        <v>5952</v>
      </c>
      <c r="E162" s="124" t="s">
        <v>88</v>
      </c>
      <c r="F162" s="332" t="s">
        <v>5953</v>
      </c>
      <c r="G162" s="332" t="s">
        <v>5954</v>
      </c>
      <c r="H162" s="135" t="s">
        <v>142</v>
      </c>
      <c r="I162" s="139" t="s">
        <v>2278</v>
      </c>
      <c r="J162" s="135" t="s">
        <v>89</v>
      </c>
      <c r="K162" s="135"/>
      <c r="L162" s="135" t="s">
        <v>2482</v>
      </c>
      <c r="M162" s="335">
        <v>42340.0</v>
      </c>
      <c r="N162" s="138" t="s">
        <v>67</v>
      </c>
      <c r="O162" s="124"/>
      <c r="P162" s="135" t="s">
        <v>130</v>
      </c>
      <c r="Q162" s="124"/>
      <c r="R162" s="138">
        <v>8.2362018685E10</v>
      </c>
      <c r="S162" s="135" t="s">
        <v>2483</v>
      </c>
      <c r="T162" s="135" t="s">
        <v>2484</v>
      </c>
      <c r="U162" s="135" t="s">
        <v>2485</v>
      </c>
      <c r="V162" s="135" t="s">
        <v>73</v>
      </c>
      <c r="W162" s="135" t="s">
        <v>481</v>
      </c>
      <c r="X162" s="135" t="s">
        <v>178</v>
      </c>
      <c r="Y162" s="135" t="s">
        <v>304</v>
      </c>
      <c r="Z162" s="138">
        <v>0.0</v>
      </c>
      <c r="AA162" s="138">
        <v>0.0</v>
      </c>
    </row>
    <row r="163">
      <c r="A163" s="332">
        <v>36.0</v>
      </c>
      <c r="B163" s="135" t="s">
        <v>2486</v>
      </c>
      <c r="C163" s="135" t="s">
        <v>2487</v>
      </c>
      <c r="D163" s="332" t="s">
        <v>5952</v>
      </c>
      <c r="E163" s="124" t="s">
        <v>88</v>
      </c>
      <c r="F163" s="332" t="s">
        <v>5953</v>
      </c>
      <c r="G163" s="332" t="s">
        <v>5954</v>
      </c>
      <c r="H163" s="135" t="s">
        <v>142</v>
      </c>
      <c r="I163" s="139" t="s">
        <v>2278</v>
      </c>
      <c r="J163" s="135" t="s">
        <v>89</v>
      </c>
      <c r="K163" s="135"/>
      <c r="L163" s="135" t="s">
        <v>244</v>
      </c>
      <c r="M163" s="333">
        <v>42320.0</v>
      </c>
      <c r="N163" s="138" t="s">
        <v>67</v>
      </c>
      <c r="O163" s="124"/>
      <c r="P163" s="135" t="s">
        <v>130</v>
      </c>
      <c r="Q163" s="124"/>
      <c r="R163" s="138">
        <v>8.2165501464E10</v>
      </c>
      <c r="S163" s="135" t="s">
        <v>2488</v>
      </c>
      <c r="T163" s="135" t="s">
        <v>2489</v>
      </c>
      <c r="U163" s="135" t="s">
        <v>2490</v>
      </c>
      <c r="V163" s="135" t="s">
        <v>73</v>
      </c>
      <c r="W163" s="135" t="s">
        <v>835</v>
      </c>
      <c r="X163" s="135" t="s">
        <v>925</v>
      </c>
      <c r="Y163" s="135" t="s">
        <v>1637</v>
      </c>
      <c r="Z163" s="138"/>
      <c r="AA163" s="138"/>
    </row>
    <row r="164">
      <c r="A164" s="332">
        <v>37.0</v>
      </c>
      <c r="B164" s="135" t="s">
        <v>2491</v>
      </c>
      <c r="C164" s="135" t="s">
        <v>2492</v>
      </c>
      <c r="D164" s="332" t="s">
        <v>5952</v>
      </c>
      <c r="E164" s="124" t="s">
        <v>88</v>
      </c>
      <c r="F164" s="332" t="s">
        <v>5953</v>
      </c>
      <c r="G164" s="332" t="s">
        <v>5954</v>
      </c>
      <c r="H164" s="135" t="s">
        <v>532</v>
      </c>
      <c r="I164" s="139" t="s">
        <v>2278</v>
      </c>
      <c r="J164" s="135" t="s">
        <v>285</v>
      </c>
      <c r="K164" s="135" t="s">
        <v>2493</v>
      </c>
      <c r="L164" s="135" t="s">
        <v>2494</v>
      </c>
      <c r="M164" s="335">
        <v>37777.0</v>
      </c>
      <c r="N164" s="138" t="s">
        <v>67</v>
      </c>
      <c r="O164" s="124"/>
      <c r="P164" s="135" t="s">
        <v>68</v>
      </c>
      <c r="Q164" s="124"/>
      <c r="R164" s="138">
        <v>8.2363039823E10</v>
      </c>
      <c r="S164" s="135" t="s">
        <v>2495</v>
      </c>
      <c r="T164" s="135" t="s">
        <v>2496</v>
      </c>
      <c r="U164" s="135" t="s">
        <v>2497</v>
      </c>
      <c r="V164" s="135" t="s">
        <v>73</v>
      </c>
      <c r="W164" s="135" t="s">
        <v>166</v>
      </c>
      <c r="X164" s="135" t="s">
        <v>167</v>
      </c>
      <c r="Y164" s="135" t="s">
        <v>2498</v>
      </c>
      <c r="Z164" s="138">
        <v>95.0</v>
      </c>
      <c r="AA164" s="138">
        <v>46.0</v>
      </c>
    </row>
    <row r="165">
      <c r="A165" s="332">
        <v>38.0</v>
      </c>
      <c r="B165" s="135" t="s">
        <v>2499</v>
      </c>
      <c r="C165" s="135" t="s">
        <v>2500</v>
      </c>
      <c r="D165" s="332" t="s">
        <v>5952</v>
      </c>
      <c r="E165" s="124" t="s">
        <v>88</v>
      </c>
      <c r="F165" s="332" t="s">
        <v>5953</v>
      </c>
      <c r="G165" s="332" t="s">
        <v>5954</v>
      </c>
      <c r="H165" s="135" t="s">
        <v>142</v>
      </c>
      <c r="I165" s="139" t="s">
        <v>2278</v>
      </c>
      <c r="J165" s="135" t="s">
        <v>89</v>
      </c>
      <c r="K165" s="135" t="s">
        <v>2501</v>
      </c>
      <c r="L165" s="135" t="s">
        <v>2502</v>
      </c>
      <c r="M165" s="333">
        <v>44098.0</v>
      </c>
      <c r="N165" s="138" t="s">
        <v>67</v>
      </c>
      <c r="O165" s="124"/>
      <c r="P165" s="135" t="s">
        <v>130</v>
      </c>
      <c r="Q165" s="124"/>
      <c r="R165" s="138">
        <v>8.1362885356E10</v>
      </c>
      <c r="S165" s="135" t="s">
        <v>2503</v>
      </c>
      <c r="T165" s="135" t="s">
        <v>2504</v>
      </c>
      <c r="U165" s="135" t="s">
        <v>2505</v>
      </c>
      <c r="V165" s="135" t="s">
        <v>73</v>
      </c>
      <c r="W165" s="135" t="s">
        <v>74</v>
      </c>
      <c r="X165" s="135" t="s">
        <v>203</v>
      </c>
      <c r="Y165" s="135" t="s">
        <v>2506</v>
      </c>
      <c r="Z165" s="138">
        <v>0.0</v>
      </c>
      <c r="AA165" s="138">
        <v>0.0</v>
      </c>
    </row>
    <row r="166">
      <c r="A166" s="332">
        <v>39.0</v>
      </c>
      <c r="B166" s="135" t="s">
        <v>2507</v>
      </c>
      <c r="C166" s="135" t="s">
        <v>2508</v>
      </c>
      <c r="D166" s="332" t="s">
        <v>5952</v>
      </c>
      <c r="E166" s="124" t="s">
        <v>88</v>
      </c>
      <c r="F166" s="332" t="s">
        <v>5953</v>
      </c>
      <c r="G166" s="332" t="s">
        <v>5954</v>
      </c>
      <c r="H166" s="135" t="s">
        <v>142</v>
      </c>
      <c r="I166" s="139" t="s">
        <v>2278</v>
      </c>
      <c r="J166" s="135" t="s">
        <v>89</v>
      </c>
      <c r="K166" s="135" t="s">
        <v>1520</v>
      </c>
      <c r="L166" s="135" t="s">
        <v>1215</v>
      </c>
      <c r="M166" s="333">
        <v>44237.0</v>
      </c>
      <c r="N166" s="138" t="s">
        <v>67</v>
      </c>
      <c r="O166" s="124"/>
      <c r="P166" s="135" t="s">
        <v>130</v>
      </c>
      <c r="Q166" s="124"/>
      <c r="R166" s="138">
        <v>8.5830017742E10</v>
      </c>
      <c r="S166" s="135" t="s">
        <v>2509</v>
      </c>
      <c r="T166" s="135" t="s">
        <v>2510</v>
      </c>
      <c r="U166" s="135" t="s">
        <v>2511</v>
      </c>
      <c r="V166" s="135" t="s">
        <v>73</v>
      </c>
      <c r="W166" s="135" t="s">
        <v>74</v>
      </c>
      <c r="X166" s="135" t="s">
        <v>1047</v>
      </c>
      <c r="Y166" s="135" t="s">
        <v>2512</v>
      </c>
      <c r="Z166" s="138">
        <v>0.0</v>
      </c>
      <c r="AA166" s="138">
        <v>0.0</v>
      </c>
    </row>
    <row r="167">
      <c r="A167" s="332">
        <v>40.0</v>
      </c>
      <c r="B167" s="135" t="s">
        <v>2513</v>
      </c>
      <c r="C167" s="135" t="s">
        <v>2514</v>
      </c>
      <c r="D167" s="332" t="s">
        <v>5952</v>
      </c>
      <c r="E167" s="124" t="s">
        <v>88</v>
      </c>
      <c r="F167" s="332" t="s">
        <v>5953</v>
      </c>
      <c r="G167" s="332" t="s">
        <v>5954</v>
      </c>
      <c r="H167" s="135" t="s">
        <v>142</v>
      </c>
      <c r="I167" s="139" t="s">
        <v>2278</v>
      </c>
      <c r="J167" s="135" t="s">
        <v>89</v>
      </c>
      <c r="K167" s="135"/>
      <c r="L167" s="135" t="s">
        <v>2064</v>
      </c>
      <c r="M167" s="333">
        <v>42662.0</v>
      </c>
      <c r="N167" s="138" t="s">
        <v>220</v>
      </c>
      <c r="O167" s="124"/>
      <c r="P167" s="135" t="s">
        <v>68</v>
      </c>
      <c r="Q167" s="124"/>
      <c r="R167" s="138">
        <v>8.529644185E10</v>
      </c>
      <c r="S167" s="135"/>
      <c r="T167" s="135" t="s">
        <v>2515</v>
      </c>
      <c r="U167" s="135" t="s">
        <v>2516</v>
      </c>
      <c r="V167" s="135" t="s">
        <v>73</v>
      </c>
      <c r="W167" s="135" t="s">
        <v>74</v>
      </c>
      <c r="X167" s="135" t="s">
        <v>191</v>
      </c>
      <c r="Y167" s="135" t="s">
        <v>2517</v>
      </c>
      <c r="Z167" s="138"/>
      <c r="AA167" s="138"/>
    </row>
    <row r="168">
      <c r="A168" s="332">
        <v>41.0</v>
      </c>
      <c r="B168" s="135" t="s">
        <v>2518</v>
      </c>
      <c r="C168" s="135" t="s">
        <v>2519</v>
      </c>
      <c r="D168" s="332" t="s">
        <v>5952</v>
      </c>
      <c r="E168" s="124" t="s">
        <v>88</v>
      </c>
      <c r="F168" s="332" t="s">
        <v>5953</v>
      </c>
      <c r="G168" s="332" t="s">
        <v>5954</v>
      </c>
      <c r="H168" s="135" t="s">
        <v>142</v>
      </c>
      <c r="I168" s="139" t="s">
        <v>2359</v>
      </c>
      <c r="J168" s="135" t="s">
        <v>89</v>
      </c>
      <c r="K168" s="135" t="s">
        <v>160</v>
      </c>
      <c r="L168" s="135" t="s">
        <v>1827</v>
      </c>
      <c r="M168" s="333">
        <v>41600.0</v>
      </c>
      <c r="N168" s="138" t="s">
        <v>67</v>
      </c>
      <c r="O168" s="124"/>
      <c r="P168" s="135" t="s">
        <v>130</v>
      </c>
      <c r="Q168" s="124"/>
      <c r="R168" s="138">
        <v>8.5270150706E10</v>
      </c>
      <c r="S168" s="135" t="s">
        <v>2520</v>
      </c>
      <c r="T168" s="135" t="s">
        <v>2521</v>
      </c>
      <c r="U168" s="135" t="s">
        <v>1830</v>
      </c>
      <c r="V168" s="135" t="s">
        <v>96</v>
      </c>
      <c r="W168" s="135" t="s">
        <v>97</v>
      </c>
      <c r="X168" s="135" t="s">
        <v>379</v>
      </c>
      <c r="Y168" s="135" t="s">
        <v>389</v>
      </c>
      <c r="Z168" s="138">
        <v>0.0</v>
      </c>
      <c r="AA168" s="138">
        <v>0.0</v>
      </c>
    </row>
    <row r="169">
      <c r="A169" s="332">
        <v>42.0</v>
      </c>
      <c r="B169" s="135" t="s">
        <v>2522</v>
      </c>
      <c r="C169" s="135" t="s">
        <v>2523</v>
      </c>
      <c r="D169" s="332" t="s">
        <v>5952</v>
      </c>
      <c r="E169" s="124" t="s">
        <v>88</v>
      </c>
      <c r="F169" s="332" t="s">
        <v>5953</v>
      </c>
      <c r="G169" s="332" t="s">
        <v>5954</v>
      </c>
      <c r="H169" s="135" t="s">
        <v>142</v>
      </c>
      <c r="I169" s="139" t="s">
        <v>2278</v>
      </c>
      <c r="J169" s="135" t="s">
        <v>89</v>
      </c>
      <c r="K169" s="135"/>
      <c r="L169" s="135" t="s">
        <v>2524</v>
      </c>
      <c r="M169" s="333">
        <v>42723.0</v>
      </c>
      <c r="N169" s="138" t="s">
        <v>67</v>
      </c>
      <c r="O169" s="124"/>
      <c r="P169" s="135" t="s">
        <v>130</v>
      </c>
      <c r="Q169" s="124"/>
      <c r="R169" s="138">
        <v>8.136163362E10</v>
      </c>
      <c r="S169" s="135" t="s">
        <v>2525</v>
      </c>
      <c r="T169" s="135" t="s">
        <v>2526</v>
      </c>
      <c r="U169" s="135" t="s">
        <v>2527</v>
      </c>
      <c r="V169" s="135" t="s">
        <v>73</v>
      </c>
      <c r="W169" s="135" t="s">
        <v>481</v>
      </c>
      <c r="X169" s="135" t="s">
        <v>1698</v>
      </c>
      <c r="Y169" s="135" t="s">
        <v>2528</v>
      </c>
      <c r="Z169" s="138">
        <v>0.0</v>
      </c>
      <c r="AA169" s="138">
        <v>0.0</v>
      </c>
    </row>
    <row r="170">
      <c r="A170" s="332">
        <v>43.0</v>
      </c>
      <c r="B170" s="135" t="s">
        <v>2529</v>
      </c>
      <c r="C170" s="135" t="s">
        <v>2530</v>
      </c>
      <c r="D170" s="332" t="s">
        <v>5952</v>
      </c>
      <c r="E170" s="124" t="s">
        <v>88</v>
      </c>
      <c r="F170" s="332" t="s">
        <v>5953</v>
      </c>
      <c r="G170" s="332" t="s">
        <v>5954</v>
      </c>
      <c r="H170" s="135" t="s">
        <v>142</v>
      </c>
      <c r="I170" s="139" t="s">
        <v>2278</v>
      </c>
      <c r="J170" s="135" t="s">
        <v>89</v>
      </c>
      <c r="K170" s="135" t="s">
        <v>1214</v>
      </c>
      <c r="L170" s="135" t="s">
        <v>260</v>
      </c>
      <c r="M170" s="333">
        <v>40376.0</v>
      </c>
      <c r="N170" s="138" t="s">
        <v>67</v>
      </c>
      <c r="O170" s="124"/>
      <c r="P170" s="135" t="s">
        <v>68</v>
      </c>
      <c r="Q170" s="124"/>
      <c r="R170" s="138">
        <v>8.1262800068E10</v>
      </c>
      <c r="S170" s="135" t="s">
        <v>2531</v>
      </c>
      <c r="T170" s="135" t="s">
        <v>2532</v>
      </c>
      <c r="U170" s="135" t="s">
        <v>2533</v>
      </c>
      <c r="V170" s="135" t="s">
        <v>73</v>
      </c>
      <c r="W170" s="135" t="s">
        <v>835</v>
      </c>
      <c r="X170" s="135" t="s">
        <v>75</v>
      </c>
      <c r="Y170" s="135" t="s">
        <v>1198</v>
      </c>
      <c r="Z170" s="138">
        <v>0.0</v>
      </c>
      <c r="AA170" s="138">
        <v>0.0</v>
      </c>
    </row>
    <row r="171">
      <c r="A171" s="332">
        <v>44.0</v>
      </c>
      <c r="B171" s="135" t="s">
        <v>2534</v>
      </c>
      <c r="C171" s="135" t="s">
        <v>2535</v>
      </c>
      <c r="D171" s="332" t="s">
        <v>5952</v>
      </c>
      <c r="E171" s="124" t="s">
        <v>88</v>
      </c>
      <c r="F171" s="332" t="s">
        <v>5953</v>
      </c>
      <c r="G171" s="332" t="s">
        <v>5954</v>
      </c>
      <c r="H171" s="135" t="s">
        <v>142</v>
      </c>
      <c r="I171" s="139" t="s">
        <v>2536</v>
      </c>
      <c r="J171" s="135" t="s">
        <v>89</v>
      </c>
      <c r="K171" s="135"/>
      <c r="L171" s="135" t="s">
        <v>671</v>
      </c>
      <c r="M171" s="333">
        <v>41965.0</v>
      </c>
      <c r="N171" s="138" t="s">
        <v>67</v>
      </c>
      <c r="O171" s="124"/>
      <c r="P171" s="135" t="s">
        <v>130</v>
      </c>
      <c r="Q171" s="124"/>
      <c r="R171" s="138">
        <v>8.2164074793E10</v>
      </c>
      <c r="S171" s="135" t="s">
        <v>2537</v>
      </c>
      <c r="T171" s="135" t="s">
        <v>2538</v>
      </c>
      <c r="U171" s="135" t="s">
        <v>2539</v>
      </c>
      <c r="V171" s="135" t="s">
        <v>73</v>
      </c>
      <c r="W171" s="135" t="s">
        <v>481</v>
      </c>
      <c r="X171" s="135" t="s">
        <v>582</v>
      </c>
      <c r="Y171" s="135" t="s">
        <v>900</v>
      </c>
      <c r="Z171" s="138">
        <v>0.0</v>
      </c>
      <c r="AA171" s="138">
        <v>0.0</v>
      </c>
    </row>
    <row r="172">
      <c r="A172" s="332">
        <v>45.0</v>
      </c>
      <c r="B172" s="135" t="s">
        <v>2540</v>
      </c>
      <c r="C172" s="135" t="s">
        <v>2541</v>
      </c>
      <c r="D172" s="332" t="s">
        <v>5952</v>
      </c>
      <c r="E172" s="124" t="s">
        <v>88</v>
      </c>
      <c r="F172" s="332" t="s">
        <v>5953</v>
      </c>
      <c r="G172" s="332" t="s">
        <v>5954</v>
      </c>
      <c r="H172" s="135" t="s">
        <v>142</v>
      </c>
      <c r="I172" s="139" t="s">
        <v>2359</v>
      </c>
      <c r="J172" s="135" t="s">
        <v>89</v>
      </c>
      <c r="K172" s="135" t="s">
        <v>2542</v>
      </c>
      <c r="L172" s="135" t="s">
        <v>2543</v>
      </c>
      <c r="M172" s="333">
        <v>45209.0</v>
      </c>
      <c r="N172" s="138" t="s">
        <v>220</v>
      </c>
      <c r="O172" s="124"/>
      <c r="P172" s="135" t="s">
        <v>68</v>
      </c>
      <c r="Q172" s="124"/>
      <c r="R172" s="138">
        <v>8.5261061291E10</v>
      </c>
      <c r="S172" s="135" t="s">
        <v>2544</v>
      </c>
      <c r="T172" s="135" t="s">
        <v>2545</v>
      </c>
      <c r="U172" s="135" t="s">
        <v>2546</v>
      </c>
      <c r="V172" s="135" t="s">
        <v>732</v>
      </c>
      <c r="W172" s="135" t="s">
        <v>97</v>
      </c>
      <c r="X172" s="135" t="s">
        <v>1501</v>
      </c>
      <c r="Y172" s="135" t="s">
        <v>2547</v>
      </c>
      <c r="Z172" s="138"/>
      <c r="AA172" s="138"/>
    </row>
    <row r="173">
      <c r="A173" s="332">
        <v>46.0</v>
      </c>
      <c r="B173" s="135" t="s">
        <v>2548</v>
      </c>
      <c r="C173" s="135" t="s">
        <v>2549</v>
      </c>
      <c r="D173" s="332" t="s">
        <v>5952</v>
      </c>
      <c r="E173" s="124" t="s">
        <v>88</v>
      </c>
      <c r="F173" s="332" t="s">
        <v>5953</v>
      </c>
      <c r="G173" s="332" t="s">
        <v>5954</v>
      </c>
      <c r="H173" s="135" t="s">
        <v>142</v>
      </c>
      <c r="I173" s="139" t="s">
        <v>2278</v>
      </c>
      <c r="J173" s="135" t="s">
        <v>89</v>
      </c>
      <c r="K173" s="135" t="s">
        <v>795</v>
      </c>
      <c r="L173" s="135" t="s">
        <v>1231</v>
      </c>
      <c r="M173" s="333">
        <v>41390.0</v>
      </c>
      <c r="N173" s="138" t="s">
        <v>67</v>
      </c>
      <c r="O173" s="124"/>
      <c r="P173" s="135" t="s">
        <v>130</v>
      </c>
      <c r="Q173" s="124"/>
      <c r="R173" s="138">
        <v>8.2165178438E10</v>
      </c>
      <c r="S173" s="135" t="s">
        <v>2550</v>
      </c>
      <c r="T173" s="135" t="s">
        <v>2551</v>
      </c>
      <c r="U173" s="135" t="s">
        <v>2552</v>
      </c>
      <c r="V173" s="135" t="s">
        <v>73</v>
      </c>
      <c r="W173" s="135" t="s">
        <v>74</v>
      </c>
      <c r="X173" s="135" t="s">
        <v>191</v>
      </c>
      <c r="Y173" s="135" t="s">
        <v>192</v>
      </c>
      <c r="Z173" s="138">
        <v>0.0</v>
      </c>
      <c r="AA173" s="138">
        <v>0.0</v>
      </c>
    </row>
    <row r="174">
      <c r="A174" s="332">
        <v>47.0</v>
      </c>
      <c r="B174" s="135" t="s">
        <v>2553</v>
      </c>
      <c r="C174" s="135" t="s">
        <v>2554</v>
      </c>
      <c r="D174" s="332" t="s">
        <v>5952</v>
      </c>
      <c r="E174" s="124" t="s">
        <v>88</v>
      </c>
      <c r="F174" s="332" t="s">
        <v>5953</v>
      </c>
      <c r="G174" s="332" t="s">
        <v>5954</v>
      </c>
      <c r="H174" s="135" t="s">
        <v>142</v>
      </c>
      <c r="I174" s="139" t="s">
        <v>2278</v>
      </c>
      <c r="J174" s="135" t="s">
        <v>89</v>
      </c>
      <c r="K174" s="135"/>
      <c r="L174" s="135" t="s">
        <v>260</v>
      </c>
      <c r="M174" s="333">
        <v>40896.0</v>
      </c>
      <c r="N174" s="138" t="s">
        <v>67</v>
      </c>
      <c r="O174" s="124"/>
      <c r="P174" s="135" t="s">
        <v>68</v>
      </c>
      <c r="Q174" s="124"/>
      <c r="R174" s="138">
        <v>8.7763314865E10</v>
      </c>
      <c r="S174" s="135" t="s">
        <v>2555</v>
      </c>
      <c r="T174" s="135" t="s">
        <v>2556</v>
      </c>
      <c r="U174" s="135" t="s">
        <v>2557</v>
      </c>
      <c r="V174" s="135" t="s">
        <v>73</v>
      </c>
      <c r="W174" s="135" t="s">
        <v>74</v>
      </c>
      <c r="X174" s="135" t="s">
        <v>360</v>
      </c>
      <c r="Y174" s="135" t="s">
        <v>361</v>
      </c>
      <c r="Z174" s="138"/>
      <c r="AA174" s="138"/>
    </row>
    <row r="175">
      <c r="A175" s="337" t="s">
        <v>2558</v>
      </c>
      <c r="B175" s="341"/>
      <c r="C175" s="342"/>
      <c r="D175" s="343"/>
      <c r="E175" s="343"/>
      <c r="F175" s="343"/>
      <c r="G175" s="343"/>
      <c r="H175" s="341"/>
      <c r="I175" s="341"/>
      <c r="J175" s="341"/>
      <c r="K175" s="341"/>
      <c r="L175" s="341"/>
      <c r="M175" s="343"/>
      <c r="N175" s="339"/>
      <c r="O175" s="339"/>
      <c r="P175" s="340"/>
      <c r="Q175" s="339"/>
      <c r="R175" s="339"/>
      <c r="S175" s="340"/>
      <c r="T175" s="340"/>
      <c r="U175" s="340"/>
      <c r="V175" s="340"/>
      <c r="W175" s="340"/>
      <c r="X175" s="340"/>
      <c r="Y175" s="340"/>
      <c r="Z175" s="339"/>
      <c r="AA175" s="339"/>
    </row>
    <row r="176">
      <c r="A176" s="332">
        <v>1.0</v>
      </c>
      <c r="B176" s="135" t="s">
        <v>2948</v>
      </c>
      <c r="C176" s="135" t="s">
        <v>2949</v>
      </c>
      <c r="D176" s="332" t="s">
        <v>5952</v>
      </c>
      <c r="E176" s="124" t="s">
        <v>88</v>
      </c>
      <c r="F176" s="332" t="s">
        <v>5953</v>
      </c>
      <c r="G176" s="332" t="s">
        <v>5954</v>
      </c>
      <c r="H176" s="135" t="s">
        <v>532</v>
      </c>
      <c r="I176" s="139" t="s">
        <v>2950</v>
      </c>
      <c r="J176" s="135" t="s">
        <v>89</v>
      </c>
      <c r="K176" s="135" t="s">
        <v>2644</v>
      </c>
      <c r="L176" s="135" t="s">
        <v>648</v>
      </c>
      <c r="M176" s="333">
        <v>45157.0</v>
      </c>
      <c r="N176" s="138" t="s">
        <v>67</v>
      </c>
      <c r="O176" s="124"/>
      <c r="P176" s="135" t="s">
        <v>68</v>
      </c>
      <c r="Q176" s="138"/>
      <c r="R176" s="138">
        <v>8.515521122E10</v>
      </c>
      <c r="S176" s="135" t="s">
        <v>2951</v>
      </c>
      <c r="T176" s="135" t="s">
        <v>2952</v>
      </c>
      <c r="U176" s="135" t="s">
        <v>2953</v>
      </c>
      <c r="V176" s="135" t="s">
        <v>73</v>
      </c>
      <c r="W176" s="135" t="s">
        <v>166</v>
      </c>
      <c r="X176" s="135" t="s">
        <v>635</v>
      </c>
      <c r="Y176" s="135" t="s">
        <v>2954</v>
      </c>
      <c r="Z176" s="138"/>
      <c r="AA176" s="138"/>
    </row>
    <row r="177">
      <c r="A177" s="332">
        <v>2.0</v>
      </c>
      <c r="B177" s="135" t="s">
        <v>2955</v>
      </c>
      <c r="C177" s="135" t="s">
        <v>2956</v>
      </c>
      <c r="D177" s="332" t="s">
        <v>5952</v>
      </c>
      <c r="E177" s="124" t="s">
        <v>88</v>
      </c>
      <c r="F177" s="332" t="s">
        <v>5953</v>
      </c>
      <c r="G177" s="332" t="s">
        <v>5954</v>
      </c>
      <c r="H177" s="135" t="s">
        <v>142</v>
      </c>
      <c r="I177" s="139" t="s">
        <v>2957</v>
      </c>
      <c r="J177" s="135" t="s">
        <v>89</v>
      </c>
      <c r="K177" s="135" t="s">
        <v>90</v>
      </c>
      <c r="L177" s="135" t="s">
        <v>1819</v>
      </c>
      <c r="M177" s="333">
        <v>42695.0</v>
      </c>
      <c r="N177" s="138" t="s">
        <v>67</v>
      </c>
      <c r="O177" s="124"/>
      <c r="P177" s="135" t="s">
        <v>68</v>
      </c>
      <c r="Q177" s="138"/>
      <c r="R177" s="138">
        <v>8.1373070443E10</v>
      </c>
      <c r="S177" s="135" t="s">
        <v>2958</v>
      </c>
      <c r="T177" s="135" t="s">
        <v>2959</v>
      </c>
      <c r="U177" s="135" t="s">
        <v>2960</v>
      </c>
      <c r="V177" s="135" t="s">
        <v>73</v>
      </c>
      <c r="W177" s="135" t="s">
        <v>74</v>
      </c>
      <c r="X177" s="135" t="s">
        <v>774</v>
      </c>
      <c r="Y177" s="135" t="s">
        <v>799</v>
      </c>
      <c r="Z177" s="138">
        <v>0.0</v>
      </c>
      <c r="AA177" s="138">
        <v>0.0</v>
      </c>
    </row>
    <row r="178">
      <c r="A178" s="332">
        <v>3.0</v>
      </c>
      <c r="B178" s="135" t="s">
        <v>2961</v>
      </c>
      <c r="C178" s="135" t="s">
        <v>2962</v>
      </c>
      <c r="D178" s="332" t="s">
        <v>5952</v>
      </c>
      <c r="E178" s="124" t="s">
        <v>88</v>
      </c>
      <c r="F178" s="332" t="s">
        <v>5953</v>
      </c>
      <c r="G178" s="332" t="s">
        <v>5954</v>
      </c>
      <c r="H178" s="135" t="s">
        <v>142</v>
      </c>
      <c r="I178" s="139" t="s">
        <v>2963</v>
      </c>
      <c r="J178" s="135" t="s">
        <v>89</v>
      </c>
      <c r="K178" s="135" t="s">
        <v>1193</v>
      </c>
      <c r="L178" s="135" t="s">
        <v>2964</v>
      </c>
      <c r="M178" s="333">
        <v>43769.0</v>
      </c>
      <c r="N178" s="138" t="s">
        <v>67</v>
      </c>
      <c r="O178" s="124"/>
      <c r="P178" s="135" t="s">
        <v>68</v>
      </c>
      <c r="Q178" s="138"/>
      <c r="R178" s="138">
        <v>8.2181434385E10</v>
      </c>
      <c r="S178" s="135" t="s">
        <v>2965</v>
      </c>
      <c r="T178" s="135" t="s">
        <v>2966</v>
      </c>
      <c r="U178" s="135" t="s">
        <v>2967</v>
      </c>
      <c r="V178" s="135" t="s">
        <v>73</v>
      </c>
      <c r="W178" s="135" t="s">
        <v>74</v>
      </c>
      <c r="X178" s="135" t="s">
        <v>989</v>
      </c>
      <c r="Y178" s="135" t="s">
        <v>538</v>
      </c>
      <c r="Z178" s="138">
        <v>0.0</v>
      </c>
      <c r="AA178" s="138">
        <v>0.0</v>
      </c>
    </row>
    <row r="179">
      <c r="A179" s="332">
        <v>4.0</v>
      </c>
      <c r="B179" s="135" t="s">
        <v>2968</v>
      </c>
      <c r="C179" s="135" t="s">
        <v>2969</v>
      </c>
      <c r="D179" s="332" t="s">
        <v>5952</v>
      </c>
      <c r="E179" s="124" t="s">
        <v>88</v>
      </c>
      <c r="F179" s="332" t="s">
        <v>5953</v>
      </c>
      <c r="G179" s="332" t="s">
        <v>5954</v>
      </c>
      <c r="H179" s="135" t="s">
        <v>142</v>
      </c>
      <c r="I179" s="139" t="s">
        <v>2957</v>
      </c>
      <c r="J179" s="135" t="s">
        <v>89</v>
      </c>
      <c r="K179" s="135"/>
      <c r="L179" s="135" t="s">
        <v>1231</v>
      </c>
      <c r="M179" s="138" t="s">
        <v>1104</v>
      </c>
      <c r="N179" s="138" t="s">
        <v>67</v>
      </c>
      <c r="O179" s="124"/>
      <c r="P179" s="135" t="s">
        <v>68</v>
      </c>
      <c r="Q179" s="138"/>
      <c r="R179" s="138">
        <v>8.2168861496E10</v>
      </c>
      <c r="S179" s="135" t="s">
        <v>2970</v>
      </c>
      <c r="T179" s="135" t="s">
        <v>2971</v>
      </c>
      <c r="U179" s="135" t="s">
        <v>2972</v>
      </c>
      <c r="V179" s="135" t="s">
        <v>1029</v>
      </c>
      <c r="W179" s="135" t="s">
        <v>514</v>
      </c>
      <c r="X179" s="135" t="s">
        <v>2973</v>
      </c>
      <c r="Y179" s="135" t="s">
        <v>2974</v>
      </c>
      <c r="Z179" s="138"/>
      <c r="AA179" s="138"/>
    </row>
    <row r="180">
      <c r="A180" s="332">
        <v>5.0</v>
      </c>
      <c r="B180" s="135" t="s">
        <v>2975</v>
      </c>
      <c r="C180" s="135" t="s">
        <v>2976</v>
      </c>
      <c r="D180" s="332" t="s">
        <v>5952</v>
      </c>
      <c r="E180" s="124" t="s">
        <v>88</v>
      </c>
      <c r="F180" s="332" t="s">
        <v>5953</v>
      </c>
      <c r="G180" s="332" t="s">
        <v>5954</v>
      </c>
      <c r="H180" s="135" t="s">
        <v>142</v>
      </c>
      <c r="I180" s="139" t="s">
        <v>2963</v>
      </c>
      <c r="J180" s="135" t="s">
        <v>89</v>
      </c>
      <c r="K180" s="135" t="s">
        <v>2318</v>
      </c>
      <c r="L180" s="135" t="s">
        <v>244</v>
      </c>
      <c r="M180" s="333">
        <v>41292.0</v>
      </c>
      <c r="N180" s="138" t="s">
        <v>67</v>
      </c>
      <c r="O180" s="142"/>
      <c r="P180" s="135" t="s">
        <v>68</v>
      </c>
      <c r="Q180" s="138"/>
      <c r="R180" s="138">
        <v>8.5207613113E10</v>
      </c>
      <c r="S180" s="135" t="s">
        <v>2977</v>
      </c>
      <c r="T180" s="135" t="s">
        <v>2978</v>
      </c>
      <c r="U180" s="135" t="s">
        <v>2979</v>
      </c>
      <c r="V180" s="135" t="s">
        <v>73</v>
      </c>
      <c r="W180" s="135" t="s">
        <v>481</v>
      </c>
      <c r="X180" s="135" t="s">
        <v>178</v>
      </c>
      <c r="Y180" s="135" t="s">
        <v>482</v>
      </c>
      <c r="Z180" s="138"/>
      <c r="AA180" s="138"/>
    </row>
    <row r="181">
      <c r="A181" s="332">
        <v>6.0</v>
      </c>
      <c r="B181" s="135" t="s">
        <v>2980</v>
      </c>
      <c r="C181" s="135" t="s">
        <v>2981</v>
      </c>
      <c r="D181" s="332" t="s">
        <v>5952</v>
      </c>
      <c r="E181" s="124" t="s">
        <v>88</v>
      </c>
      <c r="F181" s="332" t="s">
        <v>5953</v>
      </c>
      <c r="G181" s="332" t="s">
        <v>5954</v>
      </c>
      <c r="H181" s="135" t="s">
        <v>142</v>
      </c>
      <c r="I181" s="139" t="s">
        <v>2957</v>
      </c>
      <c r="J181" s="135" t="s">
        <v>89</v>
      </c>
      <c r="K181" s="135" t="s">
        <v>1214</v>
      </c>
      <c r="L181" s="135" t="s">
        <v>648</v>
      </c>
      <c r="M181" s="333">
        <v>41083.0</v>
      </c>
      <c r="N181" s="138" t="s">
        <v>67</v>
      </c>
      <c r="O181" s="142"/>
      <c r="P181" s="135" t="s">
        <v>68</v>
      </c>
      <c r="Q181" s="138"/>
      <c r="R181" s="138">
        <v>8.2272999222E10</v>
      </c>
      <c r="S181" s="135" t="s">
        <v>2982</v>
      </c>
      <c r="T181" s="135" t="s">
        <v>2983</v>
      </c>
      <c r="U181" s="135" t="s">
        <v>2984</v>
      </c>
      <c r="V181" s="135" t="s">
        <v>73</v>
      </c>
      <c r="W181" s="135" t="s">
        <v>2985</v>
      </c>
      <c r="X181" s="135" t="s">
        <v>2986</v>
      </c>
      <c r="Y181" s="135" t="s">
        <v>2987</v>
      </c>
      <c r="Z181" s="138">
        <v>2.0</v>
      </c>
      <c r="AA181" s="138">
        <v>2.0</v>
      </c>
    </row>
    <row r="182">
      <c r="A182" s="332">
        <v>7.0</v>
      </c>
      <c r="B182" s="135" t="s">
        <v>2988</v>
      </c>
      <c r="C182" s="135" t="s">
        <v>2989</v>
      </c>
      <c r="D182" s="332" t="s">
        <v>5952</v>
      </c>
      <c r="E182" s="124" t="s">
        <v>88</v>
      </c>
      <c r="F182" s="332" t="s">
        <v>5953</v>
      </c>
      <c r="G182" s="332" t="s">
        <v>5954</v>
      </c>
      <c r="H182" s="135" t="s">
        <v>142</v>
      </c>
      <c r="I182" s="139" t="s">
        <v>2963</v>
      </c>
      <c r="J182" s="135" t="s">
        <v>89</v>
      </c>
      <c r="K182" s="135" t="s">
        <v>374</v>
      </c>
      <c r="L182" s="135" t="s">
        <v>648</v>
      </c>
      <c r="M182" s="335">
        <v>39760.0</v>
      </c>
      <c r="N182" s="138" t="s">
        <v>220</v>
      </c>
      <c r="O182" s="124"/>
      <c r="P182" s="135" t="s">
        <v>130</v>
      </c>
      <c r="Q182" s="138"/>
      <c r="R182" s="138">
        <v>8.5261100572E10</v>
      </c>
      <c r="S182" s="135" t="s">
        <v>2990</v>
      </c>
      <c r="T182" s="135" t="s">
        <v>2991</v>
      </c>
      <c r="U182" s="135" t="s">
        <v>2992</v>
      </c>
      <c r="V182" s="135" t="s">
        <v>73</v>
      </c>
      <c r="W182" s="135" t="s">
        <v>166</v>
      </c>
      <c r="X182" s="135" t="s">
        <v>596</v>
      </c>
      <c r="Y182" s="135" t="s">
        <v>2993</v>
      </c>
      <c r="Z182" s="138"/>
      <c r="AA182" s="138"/>
    </row>
    <row r="183">
      <c r="A183" s="332">
        <v>8.0</v>
      </c>
      <c r="B183" s="135" t="s">
        <v>2994</v>
      </c>
      <c r="C183" s="135" t="s">
        <v>2995</v>
      </c>
      <c r="D183" s="332" t="s">
        <v>5952</v>
      </c>
      <c r="E183" s="124" t="s">
        <v>88</v>
      </c>
      <c r="F183" s="332" t="s">
        <v>5953</v>
      </c>
      <c r="G183" s="332" t="s">
        <v>5954</v>
      </c>
      <c r="H183" s="135" t="s">
        <v>142</v>
      </c>
      <c r="I183" s="139" t="s">
        <v>2996</v>
      </c>
      <c r="J183" s="135" t="s">
        <v>89</v>
      </c>
      <c r="K183" s="135" t="s">
        <v>2016</v>
      </c>
      <c r="L183" s="135" t="s">
        <v>2997</v>
      </c>
      <c r="M183" s="335">
        <v>38565.0</v>
      </c>
      <c r="N183" s="138" t="s">
        <v>67</v>
      </c>
      <c r="O183" s="124"/>
      <c r="P183" s="135" t="s">
        <v>68</v>
      </c>
      <c r="Q183" s="138"/>
      <c r="R183" s="138">
        <v>8.1295264399E10</v>
      </c>
      <c r="S183" s="135" t="s">
        <v>2998</v>
      </c>
      <c r="T183" s="135" t="s">
        <v>2999</v>
      </c>
      <c r="U183" s="135" t="s">
        <v>3000</v>
      </c>
      <c r="V183" s="135" t="s">
        <v>73</v>
      </c>
      <c r="W183" s="135" t="s">
        <v>74</v>
      </c>
      <c r="X183" s="135" t="s">
        <v>582</v>
      </c>
      <c r="Y183" s="135" t="s">
        <v>3001</v>
      </c>
      <c r="Z183" s="138">
        <v>5.0</v>
      </c>
      <c r="AA183" s="138">
        <v>3.0</v>
      </c>
    </row>
    <row r="184">
      <c r="A184" s="332">
        <v>9.0</v>
      </c>
      <c r="B184" s="135" t="s">
        <v>3002</v>
      </c>
      <c r="C184" s="135" t="s">
        <v>3003</v>
      </c>
      <c r="D184" s="332" t="s">
        <v>5952</v>
      </c>
      <c r="E184" s="124" t="s">
        <v>88</v>
      </c>
      <c r="F184" s="332" t="s">
        <v>5953</v>
      </c>
      <c r="G184" s="332" t="s">
        <v>5954</v>
      </c>
      <c r="H184" s="135" t="s">
        <v>142</v>
      </c>
      <c r="I184" s="139" t="s">
        <v>2957</v>
      </c>
      <c r="J184" s="135" t="s">
        <v>89</v>
      </c>
      <c r="K184" s="135" t="s">
        <v>90</v>
      </c>
      <c r="L184" s="135" t="s">
        <v>449</v>
      </c>
      <c r="M184" s="333">
        <v>42695.0</v>
      </c>
      <c r="N184" s="138" t="s">
        <v>67</v>
      </c>
      <c r="O184" s="124"/>
      <c r="P184" s="135" t="s">
        <v>68</v>
      </c>
      <c r="Q184" s="138"/>
      <c r="R184" s="138">
        <v>8.5362076552E10</v>
      </c>
      <c r="S184" s="135" t="s">
        <v>3004</v>
      </c>
      <c r="T184" s="135" t="s">
        <v>3005</v>
      </c>
      <c r="U184" s="135" t="s">
        <v>3006</v>
      </c>
      <c r="V184" s="135" t="s">
        <v>73</v>
      </c>
      <c r="W184" s="135" t="s">
        <v>74</v>
      </c>
      <c r="X184" s="135" t="s">
        <v>741</v>
      </c>
      <c r="Y184" s="135" t="s">
        <v>3007</v>
      </c>
      <c r="Z184" s="138"/>
      <c r="AA184" s="138"/>
    </row>
    <row r="185">
      <c r="A185" s="332">
        <v>10.0</v>
      </c>
      <c r="B185" s="135" t="s">
        <v>3008</v>
      </c>
      <c r="C185" s="135" t="s">
        <v>3009</v>
      </c>
      <c r="D185" s="332" t="s">
        <v>5952</v>
      </c>
      <c r="E185" s="124" t="s">
        <v>88</v>
      </c>
      <c r="F185" s="332" t="s">
        <v>5953</v>
      </c>
      <c r="G185" s="332" t="s">
        <v>5954</v>
      </c>
      <c r="H185" s="135" t="s">
        <v>142</v>
      </c>
      <c r="I185" s="139" t="s">
        <v>2950</v>
      </c>
      <c r="J185" s="135" t="s">
        <v>89</v>
      </c>
      <c r="K185" s="135" t="s">
        <v>2016</v>
      </c>
      <c r="L185" s="135" t="s">
        <v>3010</v>
      </c>
      <c r="M185" s="333">
        <v>38574.0</v>
      </c>
      <c r="N185" s="138" t="s">
        <v>311</v>
      </c>
      <c r="O185" s="124"/>
      <c r="P185" s="135" t="s">
        <v>68</v>
      </c>
      <c r="Q185" s="138"/>
      <c r="R185" s="138">
        <v>8.5221000234E10</v>
      </c>
      <c r="S185" s="135" t="s">
        <v>3011</v>
      </c>
      <c r="T185" s="135" t="s">
        <v>3012</v>
      </c>
      <c r="U185" s="135" t="s">
        <v>3013</v>
      </c>
      <c r="V185" s="135" t="s">
        <v>96</v>
      </c>
      <c r="W185" s="135" t="s">
        <v>97</v>
      </c>
      <c r="X185" s="135" t="s">
        <v>203</v>
      </c>
      <c r="Y185" s="135" t="s">
        <v>3014</v>
      </c>
      <c r="Z185" s="138">
        <v>0.0</v>
      </c>
      <c r="AA185" s="138">
        <v>0.0</v>
      </c>
    </row>
    <row r="186">
      <c r="A186" s="332">
        <v>11.0</v>
      </c>
      <c r="B186" s="135" t="s">
        <v>3015</v>
      </c>
      <c r="C186" s="135" t="s">
        <v>3016</v>
      </c>
      <c r="D186" s="332" t="s">
        <v>5952</v>
      </c>
      <c r="E186" s="124" t="s">
        <v>88</v>
      </c>
      <c r="F186" s="332" t="s">
        <v>5953</v>
      </c>
      <c r="G186" s="332" t="s">
        <v>5954</v>
      </c>
      <c r="H186" s="135" t="s">
        <v>142</v>
      </c>
      <c r="I186" s="139" t="s">
        <v>2963</v>
      </c>
      <c r="J186" s="135" t="s">
        <v>89</v>
      </c>
      <c r="K186" s="135"/>
      <c r="L186" s="135" t="s">
        <v>1528</v>
      </c>
      <c r="M186" s="333">
        <v>41839.0</v>
      </c>
      <c r="N186" s="138" t="s">
        <v>67</v>
      </c>
      <c r="O186" s="124"/>
      <c r="P186" s="135" t="s">
        <v>130</v>
      </c>
      <c r="Q186" s="138"/>
      <c r="R186" s="138">
        <v>8.5952918789E10</v>
      </c>
      <c r="S186" s="135" t="s">
        <v>3017</v>
      </c>
      <c r="T186" s="135" t="s">
        <v>3018</v>
      </c>
      <c r="U186" s="135" t="s">
        <v>3019</v>
      </c>
      <c r="V186" s="135" t="s">
        <v>732</v>
      </c>
      <c r="W186" s="135" t="s">
        <v>135</v>
      </c>
      <c r="X186" s="135" t="s">
        <v>236</v>
      </c>
      <c r="Y186" s="135" t="s">
        <v>852</v>
      </c>
      <c r="Z186" s="138"/>
      <c r="AA186" s="138"/>
    </row>
    <row r="187">
      <c r="A187" s="332">
        <v>12.0</v>
      </c>
      <c r="B187" s="135" t="s">
        <v>3020</v>
      </c>
      <c r="C187" s="135" t="s">
        <v>3021</v>
      </c>
      <c r="D187" s="332" t="s">
        <v>5952</v>
      </c>
      <c r="E187" s="124" t="s">
        <v>88</v>
      </c>
      <c r="F187" s="332" t="s">
        <v>5953</v>
      </c>
      <c r="G187" s="332" t="s">
        <v>5954</v>
      </c>
      <c r="H187" s="135" t="s">
        <v>142</v>
      </c>
      <c r="I187" s="139" t="s">
        <v>2957</v>
      </c>
      <c r="J187" s="135" t="s">
        <v>89</v>
      </c>
      <c r="K187" s="135" t="s">
        <v>218</v>
      </c>
      <c r="L187" s="135" t="s">
        <v>3022</v>
      </c>
      <c r="M187" s="333">
        <v>42655.0</v>
      </c>
      <c r="N187" s="138" t="s">
        <v>67</v>
      </c>
      <c r="O187" s="124"/>
      <c r="P187" s="135" t="s">
        <v>68</v>
      </c>
      <c r="Q187" s="138"/>
      <c r="R187" s="138">
        <v>8.3897208657E10</v>
      </c>
      <c r="S187" s="135"/>
      <c r="T187" s="135" t="s">
        <v>3023</v>
      </c>
      <c r="U187" s="135" t="s">
        <v>3024</v>
      </c>
      <c r="V187" s="135" t="s">
        <v>96</v>
      </c>
      <c r="W187" s="135" t="s">
        <v>97</v>
      </c>
      <c r="X187" s="135" t="s">
        <v>1022</v>
      </c>
      <c r="Y187" s="135" t="s">
        <v>3025</v>
      </c>
      <c r="Z187" s="138">
        <v>0.0</v>
      </c>
      <c r="AA187" s="138">
        <v>0.0</v>
      </c>
    </row>
    <row r="188">
      <c r="A188" s="332">
        <v>13.0</v>
      </c>
      <c r="B188" s="135" t="s">
        <v>3026</v>
      </c>
      <c r="C188" s="135" t="s">
        <v>3027</v>
      </c>
      <c r="D188" s="332" t="s">
        <v>5952</v>
      </c>
      <c r="E188" s="124" t="s">
        <v>88</v>
      </c>
      <c r="F188" s="332" t="s">
        <v>5953</v>
      </c>
      <c r="G188" s="332" t="s">
        <v>5954</v>
      </c>
      <c r="H188" s="135" t="s">
        <v>142</v>
      </c>
      <c r="I188" s="139" t="s">
        <v>2996</v>
      </c>
      <c r="J188" s="135" t="s">
        <v>89</v>
      </c>
      <c r="K188" s="135" t="s">
        <v>1214</v>
      </c>
      <c r="L188" s="135" t="s">
        <v>244</v>
      </c>
      <c r="M188" s="333">
        <v>41108.0</v>
      </c>
      <c r="N188" s="138" t="s">
        <v>67</v>
      </c>
      <c r="O188" s="124"/>
      <c r="P188" s="135" t="s">
        <v>130</v>
      </c>
      <c r="Q188" s="138"/>
      <c r="R188" s="138">
        <v>8.139719333E10</v>
      </c>
      <c r="S188" s="135" t="s">
        <v>3028</v>
      </c>
      <c r="T188" s="135" t="s">
        <v>3029</v>
      </c>
      <c r="U188" s="135" t="s">
        <v>3030</v>
      </c>
      <c r="V188" s="135" t="s">
        <v>73</v>
      </c>
      <c r="W188" s="135" t="s">
        <v>74</v>
      </c>
      <c r="X188" s="135" t="s">
        <v>360</v>
      </c>
      <c r="Y188" s="135" t="s">
        <v>566</v>
      </c>
      <c r="Z188" s="138"/>
      <c r="AA188" s="138"/>
    </row>
    <row r="189">
      <c r="A189" s="332">
        <v>14.0</v>
      </c>
      <c r="B189" s="135" t="s">
        <v>3031</v>
      </c>
      <c r="C189" s="135" t="s">
        <v>3032</v>
      </c>
      <c r="D189" s="332" t="s">
        <v>5952</v>
      </c>
      <c r="E189" s="124" t="s">
        <v>88</v>
      </c>
      <c r="F189" s="332" t="s">
        <v>5953</v>
      </c>
      <c r="G189" s="332" t="s">
        <v>5954</v>
      </c>
      <c r="H189" s="135" t="s">
        <v>142</v>
      </c>
      <c r="I189" s="139" t="s">
        <v>2957</v>
      </c>
      <c r="J189" s="135" t="s">
        <v>89</v>
      </c>
      <c r="K189" s="135" t="s">
        <v>3033</v>
      </c>
      <c r="L189" s="135" t="s">
        <v>3034</v>
      </c>
      <c r="M189" s="335">
        <v>41915.0</v>
      </c>
      <c r="N189" s="138" t="s">
        <v>67</v>
      </c>
      <c r="O189" s="124"/>
      <c r="P189" s="135" t="s">
        <v>130</v>
      </c>
      <c r="Q189" s="138"/>
      <c r="R189" s="138">
        <v>8.1222278182E10</v>
      </c>
      <c r="S189" s="135" t="s">
        <v>3035</v>
      </c>
      <c r="T189" s="135" t="s">
        <v>3036</v>
      </c>
      <c r="U189" s="135" t="s">
        <v>3037</v>
      </c>
      <c r="V189" s="135" t="s">
        <v>73</v>
      </c>
      <c r="W189" s="135" t="s">
        <v>74</v>
      </c>
      <c r="X189" s="135" t="s">
        <v>191</v>
      </c>
      <c r="Y189" s="135" t="s">
        <v>1558</v>
      </c>
      <c r="Z189" s="138"/>
      <c r="AA189" s="138"/>
    </row>
    <row r="190">
      <c r="A190" s="332">
        <v>15.0</v>
      </c>
      <c r="B190" s="135" t="s">
        <v>3038</v>
      </c>
      <c r="C190" s="135" t="s">
        <v>3039</v>
      </c>
      <c r="D190" s="332" t="s">
        <v>5952</v>
      </c>
      <c r="E190" s="124" t="s">
        <v>88</v>
      </c>
      <c r="F190" s="332" t="s">
        <v>5953</v>
      </c>
      <c r="G190" s="332" t="s">
        <v>5954</v>
      </c>
      <c r="H190" s="135" t="s">
        <v>142</v>
      </c>
      <c r="I190" s="139" t="s">
        <v>2963</v>
      </c>
      <c r="J190" s="135" t="s">
        <v>89</v>
      </c>
      <c r="K190" s="135" t="s">
        <v>230</v>
      </c>
      <c r="L190" s="135" t="s">
        <v>2856</v>
      </c>
      <c r="M190" s="335">
        <v>40882.0</v>
      </c>
      <c r="N190" s="138" t="s">
        <v>67</v>
      </c>
      <c r="O190" s="124"/>
      <c r="P190" s="135" t="s">
        <v>130</v>
      </c>
      <c r="Q190" s="138"/>
      <c r="R190" s="138">
        <v>8.5360648307E10</v>
      </c>
      <c r="S190" s="135" t="s">
        <v>3040</v>
      </c>
      <c r="T190" s="135" t="s">
        <v>3041</v>
      </c>
      <c r="U190" s="135" t="s">
        <v>3042</v>
      </c>
      <c r="V190" s="135" t="s">
        <v>96</v>
      </c>
      <c r="W190" s="135" t="s">
        <v>97</v>
      </c>
      <c r="X190" s="135" t="s">
        <v>236</v>
      </c>
      <c r="Y190" s="135" t="s">
        <v>852</v>
      </c>
      <c r="Z190" s="138" t="s">
        <v>77</v>
      </c>
      <c r="AA190" s="138" t="s">
        <v>77</v>
      </c>
    </row>
    <row r="191">
      <c r="A191" s="332">
        <v>16.0</v>
      </c>
      <c r="B191" s="135" t="s">
        <v>3043</v>
      </c>
      <c r="C191" s="135" t="s">
        <v>3044</v>
      </c>
      <c r="D191" s="332" t="s">
        <v>5952</v>
      </c>
      <c r="E191" s="124" t="s">
        <v>88</v>
      </c>
      <c r="F191" s="332" t="s">
        <v>5953</v>
      </c>
      <c r="G191" s="332" t="s">
        <v>5954</v>
      </c>
      <c r="H191" s="135" t="s">
        <v>142</v>
      </c>
      <c r="I191" s="139" t="s">
        <v>2963</v>
      </c>
      <c r="J191" s="135" t="s">
        <v>89</v>
      </c>
      <c r="K191" s="135" t="s">
        <v>678</v>
      </c>
      <c r="L191" s="135" t="s">
        <v>1914</v>
      </c>
      <c r="M191" s="333">
        <v>43355.0</v>
      </c>
      <c r="N191" s="138" t="s">
        <v>67</v>
      </c>
      <c r="O191" s="124"/>
      <c r="P191" s="135" t="s">
        <v>130</v>
      </c>
      <c r="Q191" s="138"/>
      <c r="R191" s="138">
        <v>8.1264580885E10</v>
      </c>
      <c r="S191" s="135" t="s">
        <v>3045</v>
      </c>
      <c r="T191" s="135" t="s">
        <v>3046</v>
      </c>
      <c r="U191" s="135" t="s">
        <v>3047</v>
      </c>
      <c r="V191" s="135" t="s">
        <v>73</v>
      </c>
      <c r="W191" s="135" t="s">
        <v>74</v>
      </c>
      <c r="X191" s="135" t="s">
        <v>178</v>
      </c>
      <c r="Y191" s="135" t="s">
        <v>179</v>
      </c>
      <c r="Z191" s="138" t="s">
        <v>77</v>
      </c>
      <c r="AA191" s="138" t="s">
        <v>77</v>
      </c>
    </row>
    <row r="192">
      <c r="A192" s="332">
        <v>17.0</v>
      </c>
      <c r="B192" s="135" t="s">
        <v>3048</v>
      </c>
      <c r="C192" s="135" t="s">
        <v>3049</v>
      </c>
      <c r="D192" s="332" t="s">
        <v>5952</v>
      </c>
      <c r="E192" s="124" t="s">
        <v>88</v>
      </c>
      <c r="F192" s="332" t="s">
        <v>5953</v>
      </c>
      <c r="G192" s="332" t="s">
        <v>5954</v>
      </c>
      <c r="H192" s="135" t="s">
        <v>142</v>
      </c>
      <c r="I192" s="139" t="s">
        <v>2963</v>
      </c>
      <c r="J192" s="135" t="s">
        <v>89</v>
      </c>
      <c r="K192" s="135" t="s">
        <v>374</v>
      </c>
      <c r="L192" s="135" t="s">
        <v>1231</v>
      </c>
      <c r="M192" s="335">
        <v>39910.0</v>
      </c>
      <c r="N192" s="138" t="s">
        <v>67</v>
      </c>
      <c r="O192" s="124"/>
      <c r="P192" s="135" t="s">
        <v>130</v>
      </c>
      <c r="Q192" s="138"/>
      <c r="R192" s="138">
        <v>8.5275444866E10</v>
      </c>
      <c r="S192" s="135" t="s">
        <v>3050</v>
      </c>
      <c r="T192" s="135" t="s">
        <v>3051</v>
      </c>
      <c r="U192" s="135" t="s">
        <v>3052</v>
      </c>
      <c r="V192" s="135" t="s">
        <v>73</v>
      </c>
      <c r="W192" s="135" t="s">
        <v>481</v>
      </c>
      <c r="X192" s="135" t="s">
        <v>774</v>
      </c>
      <c r="Y192" s="135" t="s">
        <v>775</v>
      </c>
      <c r="Z192" s="138"/>
      <c r="AA192" s="138"/>
    </row>
    <row r="193">
      <c r="A193" s="332">
        <v>18.0</v>
      </c>
      <c r="B193" s="135" t="s">
        <v>3053</v>
      </c>
      <c r="C193" s="135" t="s">
        <v>3054</v>
      </c>
      <c r="D193" s="332" t="s">
        <v>5952</v>
      </c>
      <c r="E193" s="124" t="s">
        <v>88</v>
      </c>
      <c r="F193" s="332" t="s">
        <v>5953</v>
      </c>
      <c r="G193" s="332" t="s">
        <v>5954</v>
      </c>
      <c r="H193" s="135" t="s">
        <v>142</v>
      </c>
      <c r="I193" s="139" t="s">
        <v>2963</v>
      </c>
      <c r="J193" s="135" t="s">
        <v>89</v>
      </c>
      <c r="K193" s="135" t="s">
        <v>90</v>
      </c>
      <c r="L193" s="135" t="s">
        <v>1528</v>
      </c>
      <c r="M193" s="335">
        <v>45755.0</v>
      </c>
      <c r="N193" s="138" t="s">
        <v>67</v>
      </c>
      <c r="O193" s="124"/>
      <c r="P193" s="135" t="s">
        <v>68</v>
      </c>
      <c r="Q193" s="138"/>
      <c r="R193" s="138">
        <v>8.2162014006E10</v>
      </c>
      <c r="S193" s="135" t="s">
        <v>3055</v>
      </c>
      <c r="T193" s="135" t="s">
        <v>3056</v>
      </c>
      <c r="U193" s="135" t="s">
        <v>3057</v>
      </c>
      <c r="V193" s="135" t="s">
        <v>73</v>
      </c>
      <c r="W193" s="135" t="s">
        <v>835</v>
      </c>
      <c r="X193" s="135" t="s">
        <v>203</v>
      </c>
      <c r="Y193" s="135" t="s">
        <v>204</v>
      </c>
      <c r="Z193" s="138"/>
      <c r="AA193" s="138"/>
    </row>
    <row r="194">
      <c r="A194" s="332">
        <v>19.0</v>
      </c>
      <c r="B194" s="135" t="s">
        <v>3058</v>
      </c>
      <c r="C194" s="135" t="s">
        <v>3059</v>
      </c>
      <c r="D194" s="332" t="s">
        <v>5952</v>
      </c>
      <c r="E194" s="124" t="s">
        <v>88</v>
      </c>
      <c r="F194" s="332" t="s">
        <v>5953</v>
      </c>
      <c r="G194" s="332" t="s">
        <v>5954</v>
      </c>
      <c r="H194" s="135" t="s">
        <v>532</v>
      </c>
      <c r="I194" s="139" t="s">
        <v>2957</v>
      </c>
      <c r="J194" s="135" t="s">
        <v>285</v>
      </c>
      <c r="K194" s="135" t="s">
        <v>1077</v>
      </c>
      <c r="L194" s="135" t="s">
        <v>3060</v>
      </c>
      <c r="M194" s="333">
        <v>36694.0</v>
      </c>
      <c r="N194" s="138" t="s">
        <v>67</v>
      </c>
      <c r="O194" s="124"/>
      <c r="P194" s="135" t="s">
        <v>68</v>
      </c>
      <c r="Q194" s="138"/>
      <c r="R194" s="138">
        <v>8.1260177612E10</v>
      </c>
      <c r="S194" s="135" t="s">
        <v>3061</v>
      </c>
      <c r="T194" s="135" t="s">
        <v>3062</v>
      </c>
      <c r="U194" s="135" t="s">
        <v>3063</v>
      </c>
      <c r="V194" s="135" t="s">
        <v>73</v>
      </c>
      <c r="W194" s="135" t="s">
        <v>74</v>
      </c>
      <c r="X194" s="135" t="s">
        <v>982</v>
      </c>
      <c r="Y194" s="135" t="s">
        <v>725</v>
      </c>
      <c r="Z194" s="138"/>
      <c r="AA194" s="138"/>
    </row>
    <row r="195">
      <c r="A195" s="332">
        <v>20.0</v>
      </c>
      <c r="B195" s="135" t="s">
        <v>3064</v>
      </c>
      <c r="C195" s="135" t="s">
        <v>3065</v>
      </c>
      <c r="D195" s="332" t="s">
        <v>5952</v>
      </c>
      <c r="E195" s="124" t="s">
        <v>88</v>
      </c>
      <c r="F195" s="332" t="s">
        <v>5953</v>
      </c>
      <c r="G195" s="332" t="s">
        <v>5954</v>
      </c>
      <c r="H195" s="135" t="s">
        <v>142</v>
      </c>
      <c r="I195" s="139" t="s">
        <v>2996</v>
      </c>
      <c r="J195" s="135" t="s">
        <v>89</v>
      </c>
      <c r="K195" s="135" t="s">
        <v>90</v>
      </c>
      <c r="L195" s="135" t="s">
        <v>260</v>
      </c>
      <c r="M195" s="333">
        <v>38486.0</v>
      </c>
      <c r="N195" s="138" t="s">
        <v>67</v>
      </c>
      <c r="O195" s="124"/>
      <c r="P195" s="135" t="s">
        <v>130</v>
      </c>
      <c r="Q195" s="138"/>
      <c r="R195" s="138" t="s">
        <v>3066</v>
      </c>
      <c r="S195" s="135" t="s">
        <v>3067</v>
      </c>
      <c r="T195" s="135" t="s">
        <v>3068</v>
      </c>
      <c r="U195" s="135" t="s">
        <v>3069</v>
      </c>
      <c r="V195" s="135" t="s">
        <v>73</v>
      </c>
      <c r="W195" s="135" t="s">
        <v>74</v>
      </c>
      <c r="X195" s="135" t="s">
        <v>1220</v>
      </c>
      <c r="Y195" s="135" t="s">
        <v>3070</v>
      </c>
      <c r="Z195" s="138" t="s">
        <v>77</v>
      </c>
      <c r="AA195" s="138" t="s">
        <v>77</v>
      </c>
    </row>
    <row r="196">
      <c r="A196" s="332">
        <v>21.0</v>
      </c>
      <c r="B196" s="135" t="s">
        <v>3071</v>
      </c>
      <c r="C196" s="135" t="s">
        <v>3072</v>
      </c>
      <c r="D196" s="332" t="s">
        <v>5952</v>
      </c>
      <c r="E196" s="124" t="s">
        <v>88</v>
      </c>
      <c r="F196" s="332" t="s">
        <v>5953</v>
      </c>
      <c r="G196" s="332" t="s">
        <v>5954</v>
      </c>
      <c r="H196" s="135" t="s">
        <v>142</v>
      </c>
      <c r="I196" s="139" t="s">
        <v>2957</v>
      </c>
      <c r="J196" s="135" t="s">
        <v>89</v>
      </c>
      <c r="K196" s="135" t="s">
        <v>374</v>
      </c>
      <c r="L196" s="135" t="s">
        <v>648</v>
      </c>
      <c r="M196" s="335">
        <v>40362.0</v>
      </c>
      <c r="N196" s="138" t="s">
        <v>67</v>
      </c>
      <c r="O196" s="124"/>
      <c r="P196" s="135" t="s">
        <v>130</v>
      </c>
      <c r="Q196" s="138"/>
      <c r="R196" s="138"/>
      <c r="S196" s="135"/>
      <c r="T196" s="135" t="s">
        <v>3073</v>
      </c>
      <c r="U196" s="135" t="s">
        <v>3074</v>
      </c>
      <c r="V196" s="135" t="s">
        <v>73</v>
      </c>
      <c r="W196" s="135" t="s">
        <v>74</v>
      </c>
      <c r="X196" s="135" t="s">
        <v>75</v>
      </c>
      <c r="Y196" s="135" t="s">
        <v>76</v>
      </c>
      <c r="Z196" s="138"/>
      <c r="AA196" s="138"/>
    </row>
    <row r="197">
      <c r="A197" s="332">
        <v>22.0</v>
      </c>
      <c r="B197" s="135" t="s">
        <v>3075</v>
      </c>
      <c r="C197" s="135" t="s">
        <v>3076</v>
      </c>
      <c r="D197" s="332" t="s">
        <v>5952</v>
      </c>
      <c r="E197" s="124" t="s">
        <v>88</v>
      </c>
      <c r="F197" s="332" t="s">
        <v>5953</v>
      </c>
      <c r="G197" s="332" t="s">
        <v>5954</v>
      </c>
      <c r="H197" s="135" t="s">
        <v>142</v>
      </c>
      <c r="I197" s="139" t="s">
        <v>2963</v>
      </c>
      <c r="J197" s="135" t="s">
        <v>89</v>
      </c>
      <c r="K197" s="135" t="s">
        <v>90</v>
      </c>
      <c r="L197" s="135" t="s">
        <v>1119</v>
      </c>
      <c r="M197" s="335">
        <v>44537.0</v>
      </c>
      <c r="N197" s="138" t="s">
        <v>67</v>
      </c>
      <c r="O197" s="124"/>
      <c r="P197" s="135" t="s">
        <v>130</v>
      </c>
      <c r="Q197" s="138"/>
      <c r="R197" s="138">
        <v>8.5271307034E10</v>
      </c>
      <c r="S197" s="135" t="s">
        <v>3077</v>
      </c>
      <c r="T197" s="135" t="s">
        <v>3078</v>
      </c>
      <c r="U197" s="135" t="s">
        <v>3079</v>
      </c>
      <c r="V197" s="135" t="s">
        <v>73</v>
      </c>
      <c r="W197" s="135" t="s">
        <v>74</v>
      </c>
      <c r="X197" s="135" t="s">
        <v>1291</v>
      </c>
      <c r="Y197" s="135" t="s">
        <v>167</v>
      </c>
      <c r="Z197" s="138">
        <v>0.0</v>
      </c>
      <c r="AA197" s="138">
        <v>0.0</v>
      </c>
    </row>
    <row r="198">
      <c r="A198" s="332">
        <v>23.0</v>
      </c>
      <c r="B198" s="135" t="s">
        <v>3080</v>
      </c>
      <c r="C198" s="135" t="s">
        <v>3081</v>
      </c>
      <c r="D198" s="332" t="s">
        <v>5952</v>
      </c>
      <c r="E198" s="124" t="s">
        <v>88</v>
      </c>
      <c r="F198" s="332" t="s">
        <v>5953</v>
      </c>
      <c r="G198" s="332" t="s">
        <v>5954</v>
      </c>
      <c r="H198" s="135" t="s">
        <v>142</v>
      </c>
      <c r="I198" s="139" t="s">
        <v>2957</v>
      </c>
      <c r="J198" s="135" t="s">
        <v>89</v>
      </c>
      <c r="K198" s="135" t="s">
        <v>3082</v>
      </c>
      <c r="L198" s="135" t="s">
        <v>3083</v>
      </c>
      <c r="M198" s="333">
        <v>40770.0</v>
      </c>
      <c r="N198" s="138" t="s">
        <v>67</v>
      </c>
      <c r="O198" s="124"/>
      <c r="P198" s="135" t="s">
        <v>130</v>
      </c>
      <c r="Q198" s="138"/>
      <c r="R198" s="138">
        <v>8.2366605514E10</v>
      </c>
      <c r="S198" s="135" t="s">
        <v>3084</v>
      </c>
      <c r="T198" s="135" t="s">
        <v>3085</v>
      </c>
      <c r="U198" s="135" t="s">
        <v>3086</v>
      </c>
      <c r="V198" s="135" t="s">
        <v>73</v>
      </c>
      <c r="W198" s="135"/>
      <c r="X198" s="135" t="s">
        <v>2986</v>
      </c>
      <c r="Y198" s="135" t="s">
        <v>3087</v>
      </c>
      <c r="Z198" s="138" t="s">
        <v>77</v>
      </c>
      <c r="AA198" s="138" t="s">
        <v>77</v>
      </c>
    </row>
    <row r="199">
      <c r="A199" s="332">
        <v>24.0</v>
      </c>
      <c r="B199" s="135" t="s">
        <v>3088</v>
      </c>
      <c r="C199" s="135" t="s">
        <v>3089</v>
      </c>
      <c r="D199" s="332" t="s">
        <v>5952</v>
      </c>
      <c r="E199" s="124" t="s">
        <v>88</v>
      </c>
      <c r="F199" s="332" t="s">
        <v>5953</v>
      </c>
      <c r="G199" s="332" t="s">
        <v>5954</v>
      </c>
      <c r="H199" s="135" t="s">
        <v>142</v>
      </c>
      <c r="I199" s="139" t="s">
        <v>2996</v>
      </c>
      <c r="J199" s="135" t="s">
        <v>89</v>
      </c>
      <c r="K199" s="135"/>
      <c r="L199" s="135" t="s">
        <v>648</v>
      </c>
      <c r="M199" s="333">
        <v>44002.0</v>
      </c>
      <c r="N199" s="138" t="s">
        <v>220</v>
      </c>
      <c r="O199" s="124"/>
      <c r="P199" s="135" t="s">
        <v>68</v>
      </c>
      <c r="Q199" s="138"/>
      <c r="R199" s="138">
        <v>8.226810395E10</v>
      </c>
      <c r="S199" s="135" t="s">
        <v>3090</v>
      </c>
      <c r="T199" s="135" t="s">
        <v>3091</v>
      </c>
      <c r="U199" s="135" t="s">
        <v>3092</v>
      </c>
      <c r="V199" s="135" t="s">
        <v>2473</v>
      </c>
      <c r="W199" s="135" t="s">
        <v>74</v>
      </c>
      <c r="X199" s="135" t="s">
        <v>203</v>
      </c>
      <c r="Y199" s="135" t="s">
        <v>575</v>
      </c>
      <c r="Z199" s="138"/>
      <c r="AA199" s="138"/>
    </row>
    <row r="200">
      <c r="A200" s="332">
        <v>25.0</v>
      </c>
      <c r="B200" s="135" t="s">
        <v>3093</v>
      </c>
      <c r="C200" s="135" t="s">
        <v>3094</v>
      </c>
      <c r="D200" s="332" t="s">
        <v>5952</v>
      </c>
      <c r="E200" s="124" t="s">
        <v>88</v>
      </c>
      <c r="F200" s="332" t="s">
        <v>5953</v>
      </c>
      <c r="G200" s="332" t="s">
        <v>5954</v>
      </c>
      <c r="H200" s="135" t="s">
        <v>142</v>
      </c>
      <c r="I200" s="139" t="s">
        <v>2950</v>
      </c>
      <c r="J200" s="135" t="s">
        <v>89</v>
      </c>
      <c r="K200" s="135" t="s">
        <v>218</v>
      </c>
      <c r="L200" s="135" t="s">
        <v>3022</v>
      </c>
      <c r="M200" s="333">
        <v>42655.0</v>
      </c>
      <c r="N200" s="138" t="s">
        <v>67</v>
      </c>
      <c r="O200" s="124"/>
      <c r="P200" s="135" t="s">
        <v>130</v>
      </c>
      <c r="Q200" s="138"/>
      <c r="R200" s="138">
        <v>8.1372774851E10</v>
      </c>
      <c r="S200" s="135" t="s">
        <v>3095</v>
      </c>
      <c r="T200" s="135" t="s">
        <v>3096</v>
      </c>
      <c r="U200" s="135" t="s">
        <v>3097</v>
      </c>
      <c r="V200" s="135" t="s">
        <v>96</v>
      </c>
      <c r="W200" s="135" t="s">
        <v>97</v>
      </c>
      <c r="X200" s="135" t="s">
        <v>379</v>
      </c>
      <c r="Y200" s="135" t="s">
        <v>2205</v>
      </c>
      <c r="Z200" s="138"/>
      <c r="AA200" s="138"/>
    </row>
    <row r="201">
      <c r="A201" s="332">
        <v>26.0</v>
      </c>
      <c r="B201" s="135" t="s">
        <v>3098</v>
      </c>
      <c r="C201" s="135" t="s">
        <v>3099</v>
      </c>
      <c r="D201" s="332" t="s">
        <v>5952</v>
      </c>
      <c r="E201" s="124" t="s">
        <v>88</v>
      </c>
      <c r="F201" s="332" t="s">
        <v>5953</v>
      </c>
      <c r="G201" s="332" t="s">
        <v>5954</v>
      </c>
      <c r="H201" s="135" t="s">
        <v>142</v>
      </c>
      <c r="I201" s="139" t="s">
        <v>2957</v>
      </c>
      <c r="J201" s="135" t="s">
        <v>89</v>
      </c>
      <c r="K201" s="135" t="s">
        <v>90</v>
      </c>
      <c r="L201" s="135" t="s">
        <v>2082</v>
      </c>
      <c r="M201" s="335">
        <v>43468.0</v>
      </c>
      <c r="N201" s="138" t="s">
        <v>67</v>
      </c>
      <c r="O201" s="124"/>
      <c r="P201" s="135" t="s">
        <v>68</v>
      </c>
      <c r="Q201" s="138"/>
      <c r="R201" s="138">
        <v>8.1263346663E10</v>
      </c>
      <c r="S201" s="135" t="s">
        <v>3100</v>
      </c>
      <c r="T201" s="135" t="s">
        <v>3101</v>
      </c>
      <c r="U201" s="135" t="s">
        <v>3102</v>
      </c>
      <c r="V201" s="135" t="s">
        <v>73</v>
      </c>
      <c r="W201" s="135" t="s">
        <v>74</v>
      </c>
      <c r="X201" s="135" t="s">
        <v>75</v>
      </c>
      <c r="Y201" s="135" t="s">
        <v>3103</v>
      </c>
      <c r="Z201" s="138"/>
      <c r="AA201" s="138"/>
    </row>
    <row r="202">
      <c r="A202" s="332">
        <v>27.0</v>
      </c>
      <c r="B202" s="135" t="s">
        <v>3104</v>
      </c>
      <c r="C202" s="135" t="s">
        <v>3105</v>
      </c>
      <c r="D202" s="332" t="s">
        <v>5952</v>
      </c>
      <c r="E202" s="124" t="s">
        <v>88</v>
      </c>
      <c r="F202" s="332" t="s">
        <v>5953</v>
      </c>
      <c r="G202" s="332" t="s">
        <v>5954</v>
      </c>
      <c r="H202" s="135" t="s">
        <v>142</v>
      </c>
      <c r="I202" s="139" t="s">
        <v>2957</v>
      </c>
      <c r="J202" s="135" t="s">
        <v>89</v>
      </c>
      <c r="K202" s="135" t="s">
        <v>1214</v>
      </c>
      <c r="L202" s="135" t="s">
        <v>2082</v>
      </c>
      <c r="M202" s="333">
        <v>40952.0</v>
      </c>
      <c r="N202" s="138" t="s">
        <v>67</v>
      </c>
      <c r="O202" s="124"/>
      <c r="P202" s="135" t="s">
        <v>68</v>
      </c>
      <c r="Q202" s="138"/>
      <c r="R202" s="138">
        <v>8.1996622952E10</v>
      </c>
      <c r="S202" s="135" t="s">
        <v>3106</v>
      </c>
      <c r="T202" s="135" t="s">
        <v>3107</v>
      </c>
      <c r="U202" s="135" t="s">
        <v>3108</v>
      </c>
      <c r="V202" s="135" t="s">
        <v>73</v>
      </c>
      <c r="W202" s="135" t="s">
        <v>74</v>
      </c>
      <c r="X202" s="135" t="s">
        <v>191</v>
      </c>
      <c r="Y202" s="135" t="s">
        <v>2010</v>
      </c>
      <c r="Z202" s="138">
        <v>0.0</v>
      </c>
      <c r="AA202" s="138">
        <v>0.0</v>
      </c>
    </row>
    <row r="203">
      <c r="A203" s="332">
        <v>28.0</v>
      </c>
      <c r="B203" s="135" t="s">
        <v>3109</v>
      </c>
      <c r="C203" s="135" t="s">
        <v>3110</v>
      </c>
      <c r="D203" s="332" t="s">
        <v>5952</v>
      </c>
      <c r="E203" s="124" t="s">
        <v>88</v>
      </c>
      <c r="F203" s="332" t="s">
        <v>5953</v>
      </c>
      <c r="G203" s="332" t="s">
        <v>5954</v>
      </c>
      <c r="H203" s="135" t="s">
        <v>142</v>
      </c>
      <c r="I203" s="139" t="s">
        <v>2957</v>
      </c>
      <c r="J203" s="135" t="s">
        <v>89</v>
      </c>
      <c r="K203" s="135" t="s">
        <v>1193</v>
      </c>
      <c r="L203" s="135" t="s">
        <v>3111</v>
      </c>
      <c r="M203" s="333">
        <v>42656.0</v>
      </c>
      <c r="N203" s="138" t="s">
        <v>67</v>
      </c>
      <c r="O203" s="124"/>
      <c r="P203" s="135" t="s">
        <v>68</v>
      </c>
      <c r="Q203" s="124"/>
      <c r="R203" s="138">
        <v>8.1370444608E10</v>
      </c>
      <c r="S203" s="135" t="s">
        <v>3112</v>
      </c>
      <c r="T203" s="135" t="s">
        <v>3113</v>
      </c>
      <c r="U203" s="135" t="s">
        <v>3114</v>
      </c>
      <c r="V203" s="135" t="s">
        <v>73</v>
      </c>
      <c r="W203" s="135" t="s">
        <v>74</v>
      </c>
      <c r="X203" s="135" t="s">
        <v>191</v>
      </c>
      <c r="Y203" s="135" t="s">
        <v>2010</v>
      </c>
      <c r="Z203" s="138">
        <v>0.0</v>
      </c>
      <c r="AA203" s="138">
        <v>0.0</v>
      </c>
    </row>
    <row r="204">
      <c r="A204" s="332">
        <v>29.0</v>
      </c>
      <c r="B204" s="135" t="s">
        <v>3115</v>
      </c>
      <c r="C204" s="135" t="s">
        <v>3116</v>
      </c>
      <c r="D204" s="332" t="s">
        <v>5952</v>
      </c>
      <c r="E204" s="124" t="s">
        <v>88</v>
      </c>
      <c r="F204" s="332" t="s">
        <v>5953</v>
      </c>
      <c r="G204" s="332" t="s">
        <v>5954</v>
      </c>
      <c r="H204" s="135" t="s">
        <v>142</v>
      </c>
      <c r="I204" s="139" t="s">
        <v>2963</v>
      </c>
      <c r="J204" s="135" t="s">
        <v>89</v>
      </c>
      <c r="K204" s="135" t="s">
        <v>3117</v>
      </c>
      <c r="L204" s="135" t="s">
        <v>3118</v>
      </c>
      <c r="M204" s="333">
        <v>42544.0</v>
      </c>
      <c r="N204" s="138" t="s">
        <v>67</v>
      </c>
      <c r="O204" s="124"/>
      <c r="P204" s="135" t="s">
        <v>130</v>
      </c>
      <c r="Q204" s="124"/>
      <c r="R204" s="138">
        <v>8.1370028482E10</v>
      </c>
      <c r="S204" s="135" t="s">
        <v>3119</v>
      </c>
      <c r="T204" s="135" t="s">
        <v>3120</v>
      </c>
      <c r="U204" s="135" t="s">
        <v>3121</v>
      </c>
      <c r="V204" s="135" t="s">
        <v>96</v>
      </c>
      <c r="W204" s="135" t="s">
        <v>97</v>
      </c>
      <c r="X204" s="135" t="s">
        <v>98</v>
      </c>
      <c r="Y204" s="135" t="s">
        <v>2220</v>
      </c>
      <c r="Z204" s="138">
        <v>0.0</v>
      </c>
      <c r="AA204" s="138">
        <v>0.0</v>
      </c>
    </row>
    <row r="205">
      <c r="A205" s="332">
        <v>30.0</v>
      </c>
      <c r="B205" s="135" t="s">
        <v>3122</v>
      </c>
      <c r="C205" s="135" t="s">
        <v>3123</v>
      </c>
      <c r="D205" s="332" t="s">
        <v>5952</v>
      </c>
      <c r="E205" s="124" t="s">
        <v>88</v>
      </c>
      <c r="F205" s="332" t="s">
        <v>5953</v>
      </c>
      <c r="G205" s="332" t="s">
        <v>5954</v>
      </c>
      <c r="H205" s="135" t="s">
        <v>142</v>
      </c>
      <c r="I205" s="139" t="s">
        <v>2950</v>
      </c>
      <c r="J205" s="135" t="s">
        <v>89</v>
      </c>
      <c r="K205" s="135" t="s">
        <v>3124</v>
      </c>
      <c r="L205" s="135" t="s">
        <v>3125</v>
      </c>
      <c r="M205" s="333">
        <v>39640.0</v>
      </c>
      <c r="N205" s="138" t="s">
        <v>67</v>
      </c>
      <c r="O205" s="124"/>
      <c r="P205" s="135" t="s">
        <v>130</v>
      </c>
      <c r="Q205" s="124"/>
      <c r="R205" s="138">
        <v>8.1269949111E10</v>
      </c>
      <c r="S205" s="135" t="s">
        <v>3126</v>
      </c>
      <c r="T205" s="135" t="s">
        <v>3127</v>
      </c>
      <c r="U205" s="135" t="s">
        <v>3057</v>
      </c>
      <c r="V205" s="135" t="s">
        <v>73</v>
      </c>
      <c r="W205" s="135" t="s">
        <v>835</v>
      </c>
      <c r="X205" s="135" t="s">
        <v>203</v>
      </c>
      <c r="Y205" s="135" t="s">
        <v>204</v>
      </c>
      <c r="Z205" s="138" t="s">
        <v>77</v>
      </c>
      <c r="AA205" s="138" t="s">
        <v>77</v>
      </c>
    </row>
    <row r="206">
      <c r="A206" s="332">
        <v>31.0</v>
      </c>
      <c r="B206" s="135" t="s">
        <v>3128</v>
      </c>
      <c r="C206" s="135" t="s">
        <v>3129</v>
      </c>
      <c r="D206" s="332" t="s">
        <v>5952</v>
      </c>
      <c r="E206" s="124" t="s">
        <v>88</v>
      </c>
      <c r="F206" s="332" t="s">
        <v>5953</v>
      </c>
      <c r="G206" s="332" t="s">
        <v>5954</v>
      </c>
      <c r="H206" s="135" t="s">
        <v>142</v>
      </c>
      <c r="I206" s="139" t="s">
        <v>2957</v>
      </c>
      <c r="J206" s="135" t="s">
        <v>89</v>
      </c>
      <c r="K206" s="135" t="s">
        <v>1520</v>
      </c>
      <c r="L206" s="135" t="s">
        <v>1231</v>
      </c>
      <c r="M206" s="333">
        <v>42083.0</v>
      </c>
      <c r="N206" s="138" t="s">
        <v>67</v>
      </c>
      <c r="O206" s="124"/>
      <c r="P206" s="135" t="s">
        <v>68</v>
      </c>
      <c r="Q206" s="124"/>
      <c r="R206" s="138">
        <v>8.2284849599E10</v>
      </c>
      <c r="S206" s="135" t="s">
        <v>3130</v>
      </c>
      <c r="T206" s="135" t="s">
        <v>3131</v>
      </c>
      <c r="U206" s="135" t="s">
        <v>3132</v>
      </c>
      <c r="V206" s="135" t="s">
        <v>73</v>
      </c>
      <c r="W206" s="135" t="s">
        <v>74</v>
      </c>
      <c r="X206" s="135" t="s">
        <v>1220</v>
      </c>
      <c r="Y206" s="135" t="s">
        <v>3070</v>
      </c>
      <c r="Z206" s="138">
        <v>0.0</v>
      </c>
      <c r="AA206" s="138">
        <v>0.0</v>
      </c>
    </row>
    <row r="207">
      <c r="A207" s="332">
        <v>32.0</v>
      </c>
      <c r="B207" s="135" t="s">
        <v>3133</v>
      </c>
      <c r="C207" s="135" t="s">
        <v>3134</v>
      </c>
      <c r="D207" s="332" t="s">
        <v>5952</v>
      </c>
      <c r="E207" s="124" t="s">
        <v>88</v>
      </c>
      <c r="F207" s="332" t="s">
        <v>5953</v>
      </c>
      <c r="G207" s="332" t="s">
        <v>5954</v>
      </c>
      <c r="H207" s="135" t="s">
        <v>142</v>
      </c>
      <c r="I207" s="139" t="s">
        <v>2957</v>
      </c>
      <c r="J207" s="135" t="s">
        <v>89</v>
      </c>
      <c r="K207" s="135" t="s">
        <v>3135</v>
      </c>
      <c r="L207" s="135" t="s">
        <v>3136</v>
      </c>
      <c r="M207" s="333">
        <v>41237.0</v>
      </c>
      <c r="N207" s="138" t="s">
        <v>67</v>
      </c>
      <c r="O207" s="124"/>
      <c r="P207" s="135" t="s">
        <v>68</v>
      </c>
      <c r="Q207" s="124"/>
      <c r="R207" s="138">
        <v>8.1262244145E10</v>
      </c>
      <c r="S207" s="135" t="s">
        <v>3137</v>
      </c>
      <c r="T207" s="135" t="s">
        <v>3138</v>
      </c>
      <c r="U207" s="135" t="s">
        <v>3139</v>
      </c>
      <c r="V207" s="135" t="s">
        <v>73</v>
      </c>
      <c r="W207" s="135" t="s">
        <v>74</v>
      </c>
      <c r="X207" s="135" t="s">
        <v>75</v>
      </c>
      <c r="Y207" s="135" t="s">
        <v>3140</v>
      </c>
      <c r="Z207" s="138"/>
      <c r="AA207" s="138"/>
    </row>
    <row r="208">
      <c r="A208" s="332">
        <v>33.0</v>
      </c>
      <c r="B208" s="135" t="s">
        <v>3141</v>
      </c>
      <c r="C208" s="135" t="s">
        <v>3142</v>
      </c>
      <c r="D208" s="332" t="s">
        <v>5952</v>
      </c>
      <c r="E208" s="124" t="s">
        <v>88</v>
      </c>
      <c r="F208" s="332" t="s">
        <v>5953</v>
      </c>
      <c r="G208" s="332" t="s">
        <v>5954</v>
      </c>
      <c r="H208" s="135" t="s">
        <v>142</v>
      </c>
      <c r="I208" s="139" t="s">
        <v>2963</v>
      </c>
      <c r="J208" s="135" t="s">
        <v>89</v>
      </c>
      <c r="K208" s="135" t="s">
        <v>374</v>
      </c>
      <c r="L208" s="135" t="s">
        <v>1528</v>
      </c>
      <c r="M208" s="333">
        <v>43383.0</v>
      </c>
      <c r="N208" s="138" t="s">
        <v>67</v>
      </c>
      <c r="O208" s="124"/>
      <c r="P208" s="135" t="s">
        <v>130</v>
      </c>
      <c r="Q208" s="124"/>
      <c r="R208" s="138">
        <v>8.5275613174E10</v>
      </c>
      <c r="S208" s="135" t="s">
        <v>3143</v>
      </c>
      <c r="T208" s="135" t="s">
        <v>3144</v>
      </c>
      <c r="U208" s="135" t="s">
        <v>3145</v>
      </c>
      <c r="V208" s="135" t="s">
        <v>73</v>
      </c>
      <c r="W208" s="135" t="s">
        <v>2985</v>
      </c>
      <c r="X208" s="135" t="s">
        <v>596</v>
      </c>
      <c r="Y208" s="135" t="s">
        <v>951</v>
      </c>
      <c r="Z208" s="138"/>
      <c r="AA208" s="138"/>
    </row>
    <row r="209">
      <c r="A209" s="332">
        <v>34.0</v>
      </c>
      <c r="B209" s="135" t="s">
        <v>3146</v>
      </c>
      <c r="C209" s="135" t="s">
        <v>3147</v>
      </c>
      <c r="D209" s="332" t="s">
        <v>5952</v>
      </c>
      <c r="E209" s="124" t="s">
        <v>88</v>
      </c>
      <c r="F209" s="332" t="s">
        <v>5953</v>
      </c>
      <c r="G209" s="332" t="s">
        <v>5954</v>
      </c>
      <c r="H209" s="135" t="s">
        <v>142</v>
      </c>
      <c r="I209" s="139" t="s">
        <v>2996</v>
      </c>
      <c r="J209" s="135" t="s">
        <v>89</v>
      </c>
      <c r="K209" s="135" t="s">
        <v>3148</v>
      </c>
      <c r="L209" s="135" t="s">
        <v>3149</v>
      </c>
      <c r="M209" s="335">
        <v>42614.0</v>
      </c>
      <c r="N209" s="138" t="s">
        <v>67</v>
      </c>
      <c r="O209" s="124"/>
      <c r="P209" s="135" t="s">
        <v>130</v>
      </c>
      <c r="Q209" s="124"/>
      <c r="R209" s="138">
        <v>8.2175940126E10</v>
      </c>
      <c r="S209" s="135" t="s">
        <v>3150</v>
      </c>
      <c r="T209" s="135" t="s">
        <v>3151</v>
      </c>
      <c r="U209" s="135" t="s">
        <v>3152</v>
      </c>
      <c r="V209" s="135" t="s">
        <v>73</v>
      </c>
      <c r="W209" s="135" t="s">
        <v>74</v>
      </c>
      <c r="X209" s="135" t="s">
        <v>203</v>
      </c>
      <c r="Y209" s="135" t="s">
        <v>3153</v>
      </c>
      <c r="Z209" s="138">
        <v>0.0</v>
      </c>
      <c r="AA209" s="138">
        <v>0.0</v>
      </c>
    </row>
    <row r="210">
      <c r="A210" s="332">
        <v>35.0</v>
      </c>
      <c r="B210" s="135" t="s">
        <v>3154</v>
      </c>
      <c r="C210" s="135" t="s">
        <v>3155</v>
      </c>
      <c r="D210" s="332" t="s">
        <v>5952</v>
      </c>
      <c r="E210" s="124" t="s">
        <v>88</v>
      </c>
      <c r="F210" s="332" t="s">
        <v>5953</v>
      </c>
      <c r="G210" s="332" t="s">
        <v>5954</v>
      </c>
      <c r="H210" s="135" t="s">
        <v>142</v>
      </c>
      <c r="I210" s="139" t="s">
        <v>2963</v>
      </c>
      <c r="J210" s="135" t="s">
        <v>89</v>
      </c>
      <c r="K210" s="135" t="s">
        <v>374</v>
      </c>
      <c r="L210" s="135" t="s">
        <v>3156</v>
      </c>
      <c r="M210" s="333">
        <v>43657.0</v>
      </c>
      <c r="N210" s="138" t="s">
        <v>220</v>
      </c>
      <c r="O210" s="124"/>
      <c r="P210" s="135" t="s">
        <v>130</v>
      </c>
      <c r="Q210" s="124"/>
      <c r="R210" s="138">
        <v>8.5361056183E10</v>
      </c>
      <c r="S210" s="135" t="s">
        <v>3157</v>
      </c>
      <c r="T210" s="135" t="s">
        <v>3158</v>
      </c>
      <c r="U210" s="135" t="s">
        <v>3159</v>
      </c>
      <c r="V210" s="135" t="s">
        <v>73</v>
      </c>
      <c r="W210" s="135" t="s">
        <v>481</v>
      </c>
      <c r="X210" s="135" t="s">
        <v>360</v>
      </c>
      <c r="Y210" s="135" t="s">
        <v>666</v>
      </c>
      <c r="Z210" s="138"/>
      <c r="AA210" s="138"/>
    </row>
    <row r="211">
      <c r="A211" s="332">
        <v>36.0</v>
      </c>
      <c r="B211" s="135" t="s">
        <v>3160</v>
      </c>
      <c r="C211" s="135" t="s">
        <v>3161</v>
      </c>
      <c r="D211" s="332" t="s">
        <v>5952</v>
      </c>
      <c r="E211" s="124" t="s">
        <v>88</v>
      </c>
      <c r="F211" s="332" t="s">
        <v>5953</v>
      </c>
      <c r="G211" s="332" t="s">
        <v>5954</v>
      </c>
      <c r="H211" s="135" t="s">
        <v>142</v>
      </c>
      <c r="I211" s="139" t="s">
        <v>2957</v>
      </c>
      <c r="J211" s="135" t="s">
        <v>89</v>
      </c>
      <c r="K211" s="135" t="s">
        <v>90</v>
      </c>
      <c r="L211" s="135" t="s">
        <v>449</v>
      </c>
      <c r="M211" s="333">
        <v>42695.0</v>
      </c>
      <c r="N211" s="138" t="s">
        <v>67</v>
      </c>
      <c r="O211" s="124"/>
      <c r="P211" s="135" t="s">
        <v>68</v>
      </c>
      <c r="Q211" s="124"/>
      <c r="R211" s="138">
        <v>8.1260997666E10</v>
      </c>
      <c r="S211" s="135" t="s">
        <v>3162</v>
      </c>
      <c r="T211" s="135" t="s">
        <v>3163</v>
      </c>
      <c r="U211" s="135" t="s">
        <v>3164</v>
      </c>
      <c r="V211" s="135" t="s">
        <v>73</v>
      </c>
      <c r="W211" s="135" t="s">
        <v>74</v>
      </c>
      <c r="X211" s="135" t="s">
        <v>925</v>
      </c>
      <c r="Y211" s="135" t="s">
        <v>3165</v>
      </c>
      <c r="Z211" s="138"/>
      <c r="AA211" s="138"/>
    </row>
    <row r="212">
      <c r="A212" s="332">
        <v>37.0</v>
      </c>
      <c r="B212" s="135" t="s">
        <v>3166</v>
      </c>
      <c r="C212" s="135" t="s">
        <v>3167</v>
      </c>
      <c r="D212" s="332" t="s">
        <v>5952</v>
      </c>
      <c r="E212" s="124" t="s">
        <v>88</v>
      </c>
      <c r="F212" s="332" t="s">
        <v>5953</v>
      </c>
      <c r="G212" s="332" t="s">
        <v>5954</v>
      </c>
      <c r="H212" s="135" t="s">
        <v>532</v>
      </c>
      <c r="I212" s="139" t="s">
        <v>2957</v>
      </c>
      <c r="J212" s="135" t="s">
        <v>285</v>
      </c>
      <c r="K212" s="135"/>
      <c r="L212" s="135" t="s">
        <v>3168</v>
      </c>
      <c r="M212" s="335">
        <v>42497.0</v>
      </c>
      <c r="N212" s="138" t="s">
        <v>67</v>
      </c>
      <c r="O212" s="124"/>
      <c r="P212" s="135" t="s">
        <v>68</v>
      </c>
      <c r="Q212" s="124"/>
      <c r="R212" s="138">
        <v>8.5372710055E10</v>
      </c>
      <c r="S212" s="135" t="s">
        <v>3169</v>
      </c>
      <c r="T212" s="135" t="s">
        <v>3170</v>
      </c>
      <c r="U212" s="135" t="s">
        <v>3171</v>
      </c>
      <c r="V212" s="135" t="s">
        <v>73</v>
      </c>
      <c r="W212" s="135" t="s">
        <v>74</v>
      </c>
      <c r="X212" s="135" t="s">
        <v>360</v>
      </c>
      <c r="Y212" s="135" t="s">
        <v>2897</v>
      </c>
      <c r="Z212" s="138">
        <v>0.0</v>
      </c>
      <c r="AA212" s="138">
        <v>0.0</v>
      </c>
    </row>
    <row r="213">
      <c r="A213" s="332">
        <v>38.0</v>
      </c>
      <c r="B213" s="135" t="s">
        <v>3172</v>
      </c>
      <c r="C213" s="135" t="s">
        <v>3173</v>
      </c>
      <c r="D213" s="332" t="s">
        <v>5952</v>
      </c>
      <c r="E213" s="124" t="s">
        <v>88</v>
      </c>
      <c r="F213" s="332" t="s">
        <v>5953</v>
      </c>
      <c r="G213" s="332" t="s">
        <v>5954</v>
      </c>
      <c r="H213" s="135" t="s">
        <v>532</v>
      </c>
      <c r="I213" s="139" t="s">
        <v>2957</v>
      </c>
      <c r="J213" s="135" t="s">
        <v>285</v>
      </c>
      <c r="K213" s="135" t="s">
        <v>687</v>
      </c>
      <c r="L213" s="135" t="s">
        <v>3174</v>
      </c>
      <c r="M213" s="333">
        <v>41055.0</v>
      </c>
      <c r="N213" s="138" t="s">
        <v>67</v>
      </c>
      <c r="O213" s="124"/>
      <c r="P213" s="135" t="s">
        <v>68</v>
      </c>
      <c r="Q213" s="124"/>
      <c r="R213" s="138">
        <v>8.1361130548E10</v>
      </c>
      <c r="S213" s="135" t="s">
        <v>3175</v>
      </c>
      <c r="T213" s="135" t="s">
        <v>3176</v>
      </c>
      <c r="U213" s="135" t="s">
        <v>3177</v>
      </c>
      <c r="V213" s="135" t="s">
        <v>73</v>
      </c>
      <c r="W213" s="135" t="s">
        <v>74</v>
      </c>
      <c r="X213" s="135" t="s">
        <v>191</v>
      </c>
      <c r="Y213" s="135" t="s">
        <v>1558</v>
      </c>
      <c r="Z213" s="138">
        <v>0.0</v>
      </c>
      <c r="AA213" s="138">
        <v>0.0</v>
      </c>
    </row>
    <row r="214">
      <c r="A214" s="332">
        <v>39.0</v>
      </c>
      <c r="B214" s="135" t="s">
        <v>3178</v>
      </c>
      <c r="C214" s="135" t="s">
        <v>3179</v>
      </c>
      <c r="D214" s="332" t="s">
        <v>5952</v>
      </c>
      <c r="E214" s="124" t="s">
        <v>88</v>
      </c>
      <c r="F214" s="332" t="s">
        <v>5953</v>
      </c>
      <c r="G214" s="332" t="s">
        <v>5954</v>
      </c>
      <c r="H214" s="135" t="s">
        <v>142</v>
      </c>
      <c r="I214" s="139" t="s">
        <v>2963</v>
      </c>
      <c r="J214" s="135" t="s">
        <v>89</v>
      </c>
      <c r="K214" s="135" t="s">
        <v>1520</v>
      </c>
      <c r="L214" s="135" t="s">
        <v>3156</v>
      </c>
      <c r="M214" s="333">
        <v>40871.0</v>
      </c>
      <c r="N214" s="138" t="s">
        <v>67</v>
      </c>
      <c r="O214" s="124"/>
      <c r="P214" s="135" t="s">
        <v>68</v>
      </c>
      <c r="Q214" s="124"/>
      <c r="R214" s="138">
        <v>8.2165596744E10</v>
      </c>
      <c r="S214" s="135" t="s">
        <v>3180</v>
      </c>
      <c r="T214" s="135" t="s">
        <v>3181</v>
      </c>
      <c r="U214" s="135" t="s">
        <v>3182</v>
      </c>
      <c r="V214" s="135" t="s">
        <v>73</v>
      </c>
      <c r="W214" s="135" t="s">
        <v>2985</v>
      </c>
      <c r="X214" s="135" t="s">
        <v>3183</v>
      </c>
      <c r="Y214" s="135" t="s">
        <v>3184</v>
      </c>
      <c r="Z214" s="138">
        <v>23.0</v>
      </c>
      <c r="AA214" s="138">
        <v>10.0</v>
      </c>
    </row>
    <row r="215">
      <c r="A215" s="332">
        <v>40.0</v>
      </c>
      <c r="B215" s="135" t="s">
        <v>3185</v>
      </c>
      <c r="C215" s="135" t="s">
        <v>3186</v>
      </c>
      <c r="D215" s="332" t="s">
        <v>5952</v>
      </c>
      <c r="E215" s="124" t="s">
        <v>88</v>
      </c>
      <c r="F215" s="332" t="s">
        <v>5953</v>
      </c>
      <c r="G215" s="332" t="s">
        <v>5954</v>
      </c>
      <c r="H215" s="135" t="s">
        <v>532</v>
      </c>
      <c r="I215" s="139" t="s">
        <v>2963</v>
      </c>
      <c r="J215" s="135" t="s">
        <v>285</v>
      </c>
      <c r="K215" s="135"/>
      <c r="L215" s="135" t="s">
        <v>3187</v>
      </c>
      <c r="M215" s="333">
        <v>33019.0</v>
      </c>
      <c r="N215" s="138" t="s">
        <v>67</v>
      </c>
      <c r="O215" s="124"/>
      <c r="P215" s="135" t="s">
        <v>68</v>
      </c>
      <c r="Q215" s="124"/>
      <c r="R215" s="138">
        <v>8.126302104E9</v>
      </c>
      <c r="S215" s="135" t="s">
        <v>3188</v>
      </c>
      <c r="T215" s="135" t="s">
        <v>3189</v>
      </c>
      <c r="U215" s="135" t="s">
        <v>3190</v>
      </c>
      <c r="V215" s="135" t="s">
        <v>73</v>
      </c>
      <c r="W215" s="135" t="s">
        <v>74</v>
      </c>
      <c r="X215" s="135" t="s">
        <v>925</v>
      </c>
      <c r="Y215" s="135" t="s">
        <v>3191</v>
      </c>
      <c r="Z215" s="138"/>
      <c r="AA215" s="138"/>
    </row>
    <row r="216">
      <c r="A216" s="332">
        <v>41.0</v>
      </c>
      <c r="B216" s="135" t="s">
        <v>3192</v>
      </c>
      <c r="C216" s="135" t="s">
        <v>3193</v>
      </c>
      <c r="D216" s="332" t="s">
        <v>5952</v>
      </c>
      <c r="E216" s="124" t="s">
        <v>88</v>
      </c>
      <c r="F216" s="332" t="s">
        <v>5953</v>
      </c>
      <c r="G216" s="332" t="s">
        <v>5954</v>
      </c>
      <c r="H216" s="135" t="s">
        <v>142</v>
      </c>
      <c r="I216" s="139" t="s">
        <v>2957</v>
      </c>
      <c r="J216" s="135" t="s">
        <v>89</v>
      </c>
      <c r="K216" s="135" t="s">
        <v>90</v>
      </c>
      <c r="L216" s="135" t="s">
        <v>2482</v>
      </c>
      <c r="M216" s="333">
        <v>42655.0</v>
      </c>
      <c r="N216" s="138" t="s">
        <v>67</v>
      </c>
      <c r="O216" s="124"/>
      <c r="P216" s="135" t="s">
        <v>68</v>
      </c>
      <c r="Q216" s="124"/>
      <c r="R216" s="138">
        <v>8.1396007603E10</v>
      </c>
      <c r="S216" s="135" t="s">
        <v>3194</v>
      </c>
      <c r="T216" s="135" t="s">
        <v>3195</v>
      </c>
      <c r="U216" s="135" t="s">
        <v>3196</v>
      </c>
      <c r="V216" s="135" t="s">
        <v>73</v>
      </c>
      <c r="W216" s="135" t="s">
        <v>481</v>
      </c>
      <c r="X216" s="135" t="s">
        <v>774</v>
      </c>
      <c r="Y216" s="135" t="s">
        <v>942</v>
      </c>
      <c r="Z216" s="138">
        <v>0.0</v>
      </c>
      <c r="AA216" s="138">
        <v>0.0</v>
      </c>
    </row>
    <row r="217">
      <c r="A217" s="332">
        <v>42.0</v>
      </c>
      <c r="B217" s="135" t="s">
        <v>3197</v>
      </c>
      <c r="C217" s="135" t="s">
        <v>3198</v>
      </c>
      <c r="D217" s="332" t="s">
        <v>5952</v>
      </c>
      <c r="E217" s="124" t="s">
        <v>88</v>
      </c>
      <c r="F217" s="332" t="s">
        <v>5953</v>
      </c>
      <c r="G217" s="332" t="s">
        <v>5954</v>
      </c>
      <c r="H217" s="135" t="s">
        <v>142</v>
      </c>
      <c r="I217" s="139" t="s">
        <v>2996</v>
      </c>
      <c r="J217" s="135" t="s">
        <v>89</v>
      </c>
      <c r="K217" s="135" t="s">
        <v>218</v>
      </c>
      <c r="L217" s="135" t="s">
        <v>3022</v>
      </c>
      <c r="M217" s="333">
        <v>40722.0</v>
      </c>
      <c r="N217" s="138" t="s">
        <v>67</v>
      </c>
      <c r="O217" s="124"/>
      <c r="P217" s="135" t="s">
        <v>68</v>
      </c>
      <c r="Q217" s="124"/>
      <c r="R217" s="138">
        <v>8.1265588855E10</v>
      </c>
      <c r="S217" s="135" t="s">
        <v>3199</v>
      </c>
      <c r="T217" s="135" t="s">
        <v>3200</v>
      </c>
      <c r="U217" s="135" t="s">
        <v>3201</v>
      </c>
      <c r="V217" s="135" t="s">
        <v>73</v>
      </c>
      <c r="W217" s="135" t="s">
        <v>74</v>
      </c>
      <c r="X217" s="135" t="s">
        <v>774</v>
      </c>
      <c r="Y217" s="135" t="s">
        <v>942</v>
      </c>
      <c r="Z217" s="138">
        <v>0.0</v>
      </c>
      <c r="AA217" s="138">
        <v>0.0</v>
      </c>
    </row>
    <row r="218">
      <c r="A218" s="332">
        <v>43.0</v>
      </c>
      <c r="B218" s="135" t="s">
        <v>3202</v>
      </c>
      <c r="C218" s="135" t="s">
        <v>3203</v>
      </c>
      <c r="D218" s="332" t="s">
        <v>5952</v>
      </c>
      <c r="E218" s="124" t="s">
        <v>88</v>
      </c>
      <c r="F218" s="332" t="s">
        <v>5953</v>
      </c>
      <c r="G218" s="332" t="s">
        <v>5954</v>
      </c>
      <c r="H218" s="135" t="s">
        <v>142</v>
      </c>
      <c r="I218" s="139" t="s">
        <v>2950</v>
      </c>
      <c r="J218" s="135" t="s">
        <v>89</v>
      </c>
      <c r="K218" s="135" t="s">
        <v>2016</v>
      </c>
      <c r="L218" s="135" t="s">
        <v>3204</v>
      </c>
      <c r="M218" s="333">
        <v>42654.0</v>
      </c>
      <c r="N218" s="138" t="s">
        <v>67</v>
      </c>
      <c r="O218" s="124"/>
      <c r="P218" s="135" t="s">
        <v>68</v>
      </c>
      <c r="Q218" s="124"/>
      <c r="R218" s="138">
        <v>8.2366623697E10</v>
      </c>
      <c r="S218" s="135" t="s">
        <v>3205</v>
      </c>
      <c r="T218" s="135" t="s">
        <v>3206</v>
      </c>
      <c r="U218" s="135" t="s">
        <v>3207</v>
      </c>
      <c r="V218" s="135" t="s">
        <v>73</v>
      </c>
      <c r="W218" s="135" t="s">
        <v>74</v>
      </c>
      <c r="X218" s="135" t="s">
        <v>360</v>
      </c>
      <c r="Y218" s="135" t="s">
        <v>566</v>
      </c>
      <c r="Z218" s="138">
        <v>0.0</v>
      </c>
      <c r="AA218" s="138">
        <v>0.0</v>
      </c>
    </row>
    <row r="219">
      <c r="A219" s="332">
        <v>44.0</v>
      </c>
      <c r="B219" s="135" t="s">
        <v>3208</v>
      </c>
      <c r="C219" s="135" t="s">
        <v>3209</v>
      </c>
      <c r="D219" s="332" t="s">
        <v>5952</v>
      </c>
      <c r="E219" s="124" t="s">
        <v>88</v>
      </c>
      <c r="F219" s="332" t="s">
        <v>5953</v>
      </c>
      <c r="G219" s="332" t="s">
        <v>5954</v>
      </c>
      <c r="H219" s="135" t="s">
        <v>142</v>
      </c>
      <c r="I219" s="139" t="s">
        <v>3210</v>
      </c>
      <c r="J219" s="135" t="s">
        <v>89</v>
      </c>
      <c r="K219" s="135" t="s">
        <v>374</v>
      </c>
      <c r="L219" s="135" t="s">
        <v>1231</v>
      </c>
      <c r="M219" s="333">
        <v>42455.0</v>
      </c>
      <c r="N219" s="138" t="s">
        <v>67</v>
      </c>
      <c r="O219" s="124"/>
      <c r="P219" s="135" t="s">
        <v>130</v>
      </c>
      <c r="Q219" s="124"/>
      <c r="R219" s="138">
        <v>8.5261278314E10</v>
      </c>
      <c r="S219" s="135" t="s">
        <v>3211</v>
      </c>
      <c r="T219" s="135" t="s">
        <v>3212</v>
      </c>
      <c r="U219" s="135" t="s">
        <v>3213</v>
      </c>
      <c r="V219" s="135" t="s">
        <v>73</v>
      </c>
      <c r="W219" s="135" t="s">
        <v>74</v>
      </c>
      <c r="X219" s="135" t="s">
        <v>178</v>
      </c>
      <c r="Y219" s="135" t="s">
        <v>179</v>
      </c>
      <c r="Z219" s="138">
        <v>0.0</v>
      </c>
      <c r="AA219" s="138">
        <v>0.0</v>
      </c>
    </row>
    <row r="220">
      <c r="A220" s="332">
        <v>45.0</v>
      </c>
      <c r="B220" s="135" t="s">
        <v>3214</v>
      </c>
      <c r="C220" s="135" t="s">
        <v>3215</v>
      </c>
      <c r="D220" s="332" t="s">
        <v>5952</v>
      </c>
      <c r="E220" s="124" t="s">
        <v>88</v>
      </c>
      <c r="F220" s="332" t="s">
        <v>5953</v>
      </c>
      <c r="G220" s="332" t="s">
        <v>5954</v>
      </c>
      <c r="H220" s="135" t="s">
        <v>142</v>
      </c>
      <c r="I220" s="139" t="s">
        <v>2957</v>
      </c>
      <c r="J220" s="135" t="s">
        <v>89</v>
      </c>
      <c r="K220" s="135" t="s">
        <v>1520</v>
      </c>
      <c r="L220" s="135" t="s">
        <v>1231</v>
      </c>
      <c r="M220" s="333">
        <v>42084.0</v>
      </c>
      <c r="N220" s="138" t="s">
        <v>67</v>
      </c>
      <c r="O220" s="124"/>
      <c r="P220" s="135" t="s">
        <v>130</v>
      </c>
      <c r="Q220" s="124"/>
      <c r="R220" s="138">
        <v>8.1375099178E10</v>
      </c>
      <c r="S220" s="135" t="s">
        <v>3216</v>
      </c>
      <c r="T220" s="135" t="s">
        <v>3217</v>
      </c>
      <c r="U220" s="135" t="s">
        <v>3218</v>
      </c>
      <c r="V220" s="135" t="s">
        <v>73</v>
      </c>
      <c r="W220" s="135" t="s">
        <v>74</v>
      </c>
      <c r="X220" s="135" t="s">
        <v>1291</v>
      </c>
      <c r="Y220" s="135" t="s">
        <v>3219</v>
      </c>
      <c r="Z220" s="138"/>
      <c r="AA220" s="138"/>
    </row>
    <row r="221">
      <c r="A221" s="332">
        <v>46.0</v>
      </c>
      <c r="B221" s="135" t="s">
        <v>3220</v>
      </c>
      <c r="C221" s="135" t="s">
        <v>3221</v>
      </c>
      <c r="D221" s="332" t="s">
        <v>5952</v>
      </c>
      <c r="E221" s="124" t="s">
        <v>88</v>
      </c>
      <c r="F221" s="332" t="s">
        <v>5953</v>
      </c>
      <c r="G221" s="332" t="s">
        <v>5954</v>
      </c>
      <c r="H221" s="135" t="s">
        <v>532</v>
      </c>
      <c r="I221" s="139" t="s">
        <v>2963</v>
      </c>
      <c r="J221" s="135" t="s">
        <v>285</v>
      </c>
      <c r="K221" s="135" t="s">
        <v>3222</v>
      </c>
      <c r="L221" s="135" t="s">
        <v>3223</v>
      </c>
      <c r="M221" s="335">
        <v>43953.0</v>
      </c>
      <c r="N221" s="138" t="s">
        <v>67</v>
      </c>
      <c r="O221" s="124"/>
      <c r="P221" s="135" t="s">
        <v>130</v>
      </c>
      <c r="Q221" s="124"/>
      <c r="R221" s="138">
        <v>8.13603045E10</v>
      </c>
      <c r="S221" s="135" t="s">
        <v>3224</v>
      </c>
      <c r="T221" s="135" t="s">
        <v>3225</v>
      </c>
      <c r="U221" s="135" t="s">
        <v>3226</v>
      </c>
      <c r="V221" s="135" t="s">
        <v>73</v>
      </c>
      <c r="W221" s="135" t="s">
        <v>74</v>
      </c>
      <c r="X221" s="135" t="s">
        <v>1291</v>
      </c>
      <c r="Y221" s="135" t="s">
        <v>167</v>
      </c>
      <c r="Z221" s="138"/>
      <c r="AA221" s="138"/>
    </row>
    <row r="222">
      <c r="A222" s="332">
        <v>47.0</v>
      </c>
      <c r="B222" s="135" t="s">
        <v>3227</v>
      </c>
      <c r="C222" s="135" t="s">
        <v>3228</v>
      </c>
      <c r="D222" s="332" t="s">
        <v>5952</v>
      </c>
      <c r="E222" s="124" t="s">
        <v>88</v>
      </c>
      <c r="F222" s="332" t="s">
        <v>5953</v>
      </c>
      <c r="G222" s="332" t="s">
        <v>5954</v>
      </c>
      <c r="H222" s="135" t="s">
        <v>142</v>
      </c>
      <c r="I222" s="139" t="s">
        <v>2963</v>
      </c>
      <c r="J222" s="135" t="s">
        <v>89</v>
      </c>
      <c r="K222" s="135" t="s">
        <v>90</v>
      </c>
      <c r="L222" s="135" t="s">
        <v>244</v>
      </c>
      <c r="M222" s="333">
        <v>39993.0</v>
      </c>
      <c r="N222" s="138" t="s">
        <v>67</v>
      </c>
      <c r="O222" s="124"/>
      <c r="P222" s="135" t="s">
        <v>68</v>
      </c>
      <c r="Q222" s="124"/>
      <c r="R222" s="138">
        <v>8.1374671567E10</v>
      </c>
      <c r="S222" s="135" t="s">
        <v>3229</v>
      </c>
      <c r="T222" s="135" t="s">
        <v>3230</v>
      </c>
      <c r="U222" s="135" t="s">
        <v>3231</v>
      </c>
      <c r="V222" s="135" t="s">
        <v>73</v>
      </c>
      <c r="W222" s="135" t="s">
        <v>74</v>
      </c>
      <c r="X222" s="135" t="s">
        <v>774</v>
      </c>
      <c r="Y222" s="135" t="s">
        <v>775</v>
      </c>
      <c r="Z222" s="138"/>
      <c r="AA222" s="138"/>
    </row>
    <row r="223">
      <c r="A223" s="332">
        <v>48.0</v>
      </c>
      <c r="B223" s="135" t="s">
        <v>3232</v>
      </c>
      <c r="C223" s="135" t="s">
        <v>3233</v>
      </c>
      <c r="D223" s="332" t="s">
        <v>5952</v>
      </c>
      <c r="E223" s="124" t="s">
        <v>88</v>
      </c>
      <c r="F223" s="332" t="s">
        <v>5953</v>
      </c>
      <c r="G223" s="332" t="s">
        <v>5954</v>
      </c>
      <c r="H223" s="135" t="s">
        <v>142</v>
      </c>
      <c r="I223" s="139" t="s">
        <v>2996</v>
      </c>
      <c r="J223" s="135" t="s">
        <v>89</v>
      </c>
      <c r="K223" s="135" t="s">
        <v>90</v>
      </c>
      <c r="L223" s="135" t="s">
        <v>1119</v>
      </c>
      <c r="M223" s="335">
        <v>44537.0</v>
      </c>
      <c r="N223" s="138" t="s">
        <v>67</v>
      </c>
      <c r="O223" s="124"/>
      <c r="P223" s="135" t="s">
        <v>68</v>
      </c>
      <c r="Q223" s="124"/>
      <c r="R223" s="138">
        <v>8.2244586401E10</v>
      </c>
      <c r="S223" s="135" t="s">
        <v>3234</v>
      </c>
      <c r="T223" s="135" t="s">
        <v>3235</v>
      </c>
      <c r="U223" s="135" t="s">
        <v>3236</v>
      </c>
      <c r="V223" s="135" t="s">
        <v>73</v>
      </c>
      <c r="W223" s="135" t="s">
        <v>74</v>
      </c>
      <c r="X223" s="135" t="s">
        <v>360</v>
      </c>
      <c r="Y223" s="135" t="s">
        <v>361</v>
      </c>
      <c r="Z223" s="138">
        <v>0.0</v>
      </c>
      <c r="AA223" s="138">
        <v>0.0</v>
      </c>
    </row>
    <row r="224">
      <c r="A224" s="332">
        <v>49.0</v>
      </c>
      <c r="B224" s="135" t="s">
        <v>3237</v>
      </c>
      <c r="C224" s="135" t="s">
        <v>3238</v>
      </c>
      <c r="D224" s="332" t="s">
        <v>5952</v>
      </c>
      <c r="E224" s="124" t="s">
        <v>88</v>
      </c>
      <c r="F224" s="332" t="s">
        <v>5953</v>
      </c>
      <c r="G224" s="332" t="s">
        <v>5954</v>
      </c>
      <c r="H224" s="135" t="s">
        <v>142</v>
      </c>
      <c r="I224" s="139" t="s">
        <v>2996</v>
      </c>
      <c r="J224" s="135" t="s">
        <v>89</v>
      </c>
      <c r="K224" s="135" t="s">
        <v>2016</v>
      </c>
      <c r="L224" s="135" t="s">
        <v>2822</v>
      </c>
      <c r="M224" s="333">
        <v>41547.0</v>
      </c>
      <c r="N224" s="138" t="s">
        <v>67</v>
      </c>
      <c r="O224" s="124"/>
      <c r="P224" s="135" t="s">
        <v>68</v>
      </c>
      <c r="Q224" s="124"/>
      <c r="R224" s="138">
        <v>8.1266221989E10</v>
      </c>
      <c r="S224" s="135" t="s">
        <v>3239</v>
      </c>
      <c r="T224" s="135" t="s">
        <v>3240</v>
      </c>
      <c r="U224" s="135" t="s">
        <v>3241</v>
      </c>
      <c r="V224" s="135" t="s">
        <v>73</v>
      </c>
      <c r="W224" s="135" t="s">
        <v>74</v>
      </c>
      <c r="X224" s="135" t="s">
        <v>989</v>
      </c>
      <c r="Y224" s="135" t="s">
        <v>2411</v>
      </c>
      <c r="Z224" s="138"/>
      <c r="AA224" s="138"/>
    </row>
    <row r="225">
      <c r="A225" s="332">
        <v>50.0</v>
      </c>
      <c r="B225" s="135" t="s">
        <v>3242</v>
      </c>
      <c r="C225" s="135" t="s">
        <v>3243</v>
      </c>
      <c r="D225" s="332" t="s">
        <v>5952</v>
      </c>
      <c r="E225" s="124" t="s">
        <v>88</v>
      </c>
      <c r="F225" s="332" t="s">
        <v>5953</v>
      </c>
      <c r="G225" s="332" t="s">
        <v>5954</v>
      </c>
      <c r="H225" s="135" t="s">
        <v>142</v>
      </c>
      <c r="I225" s="139" t="s">
        <v>2963</v>
      </c>
      <c r="J225" s="135" t="s">
        <v>89</v>
      </c>
      <c r="K225" s="135" t="s">
        <v>3244</v>
      </c>
      <c r="L225" s="135" t="s">
        <v>3245</v>
      </c>
      <c r="M225" s="333">
        <v>37800.0</v>
      </c>
      <c r="N225" s="138" t="s">
        <v>67</v>
      </c>
      <c r="O225" s="124"/>
      <c r="P225" s="135" t="s">
        <v>68</v>
      </c>
      <c r="Q225" s="124"/>
      <c r="R225" s="138">
        <v>8.1264499917E10</v>
      </c>
      <c r="S225" s="135" t="s">
        <v>3246</v>
      </c>
      <c r="T225" s="135" t="s">
        <v>3247</v>
      </c>
      <c r="U225" s="135" t="s">
        <v>3248</v>
      </c>
      <c r="V225" s="135" t="s">
        <v>96</v>
      </c>
      <c r="W225" s="135" t="s">
        <v>97</v>
      </c>
      <c r="X225" s="135" t="s">
        <v>3249</v>
      </c>
      <c r="Y225" s="135" t="s">
        <v>3250</v>
      </c>
      <c r="Z225" s="138">
        <v>1.0</v>
      </c>
      <c r="AA225" s="138">
        <v>10.0</v>
      </c>
    </row>
    <row r="226">
      <c r="A226" s="332">
        <v>51.0</v>
      </c>
      <c r="B226" s="135" t="s">
        <v>3251</v>
      </c>
      <c r="C226" s="135" t="s">
        <v>3252</v>
      </c>
      <c r="D226" s="332" t="s">
        <v>5952</v>
      </c>
      <c r="E226" s="124" t="s">
        <v>88</v>
      </c>
      <c r="F226" s="332" t="s">
        <v>5953</v>
      </c>
      <c r="G226" s="332" t="s">
        <v>5954</v>
      </c>
      <c r="H226" s="135" t="s">
        <v>142</v>
      </c>
      <c r="I226" s="139" t="s">
        <v>2963</v>
      </c>
      <c r="J226" s="135" t="s">
        <v>89</v>
      </c>
      <c r="K226" s="135" t="s">
        <v>2398</v>
      </c>
      <c r="L226" s="135" t="s">
        <v>2482</v>
      </c>
      <c r="M226" s="333">
        <v>41988.0</v>
      </c>
      <c r="N226" s="138" t="s">
        <v>67</v>
      </c>
      <c r="O226" s="124"/>
      <c r="P226" s="135" t="s">
        <v>68</v>
      </c>
      <c r="Q226" s="124"/>
      <c r="R226" s="138">
        <v>8.116577765E9</v>
      </c>
      <c r="S226" s="135" t="s">
        <v>3253</v>
      </c>
      <c r="T226" s="135" t="s">
        <v>3254</v>
      </c>
      <c r="U226" s="135" t="s">
        <v>3255</v>
      </c>
      <c r="V226" s="135" t="s">
        <v>96</v>
      </c>
      <c r="W226" s="135" t="s">
        <v>97</v>
      </c>
      <c r="X226" s="135" t="s">
        <v>1422</v>
      </c>
      <c r="Y226" s="135" t="s">
        <v>3256</v>
      </c>
      <c r="Z226" s="138">
        <v>0.0</v>
      </c>
      <c r="AA226" s="138">
        <v>0.0</v>
      </c>
    </row>
    <row r="227">
      <c r="A227" s="332">
        <v>52.0</v>
      </c>
      <c r="B227" s="135" t="s">
        <v>3257</v>
      </c>
      <c r="C227" s="135" t="s">
        <v>3258</v>
      </c>
      <c r="D227" s="332" t="s">
        <v>5952</v>
      </c>
      <c r="E227" s="124" t="s">
        <v>88</v>
      </c>
      <c r="F227" s="332" t="s">
        <v>5953</v>
      </c>
      <c r="G227" s="332" t="s">
        <v>5954</v>
      </c>
      <c r="H227" s="135" t="s">
        <v>142</v>
      </c>
      <c r="I227" s="139" t="s">
        <v>3210</v>
      </c>
      <c r="J227" s="135" t="s">
        <v>89</v>
      </c>
      <c r="K227" s="135" t="s">
        <v>3259</v>
      </c>
      <c r="L227" s="135" t="s">
        <v>260</v>
      </c>
      <c r="M227" s="333">
        <v>38649.0</v>
      </c>
      <c r="N227" s="138" t="s">
        <v>67</v>
      </c>
      <c r="O227" s="124"/>
      <c r="P227" s="135" t="s">
        <v>130</v>
      </c>
      <c r="Q227" s="124"/>
      <c r="R227" s="138">
        <v>8.5261902636E10</v>
      </c>
      <c r="S227" s="135" t="s">
        <v>3260</v>
      </c>
      <c r="T227" s="135" t="s">
        <v>3261</v>
      </c>
      <c r="U227" s="135" t="s">
        <v>3262</v>
      </c>
      <c r="V227" s="135" t="s">
        <v>73</v>
      </c>
      <c r="W227" s="135" t="s">
        <v>74</v>
      </c>
      <c r="X227" s="135" t="s">
        <v>454</v>
      </c>
      <c r="Y227" s="135" t="s">
        <v>455</v>
      </c>
      <c r="Z227" s="138"/>
      <c r="AA227" s="138"/>
    </row>
    <row r="228">
      <c r="A228" s="332">
        <v>53.0</v>
      </c>
      <c r="B228" s="135" t="s">
        <v>3263</v>
      </c>
      <c r="C228" s="135" t="s">
        <v>3264</v>
      </c>
      <c r="D228" s="332" t="s">
        <v>5952</v>
      </c>
      <c r="E228" s="124" t="s">
        <v>88</v>
      </c>
      <c r="F228" s="332" t="s">
        <v>5953</v>
      </c>
      <c r="G228" s="332" t="s">
        <v>5954</v>
      </c>
      <c r="H228" s="135" t="s">
        <v>142</v>
      </c>
      <c r="I228" s="139" t="s">
        <v>2963</v>
      </c>
      <c r="J228" s="135" t="s">
        <v>89</v>
      </c>
      <c r="K228" s="135" t="s">
        <v>2493</v>
      </c>
      <c r="L228" s="135" t="s">
        <v>260</v>
      </c>
      <c r="M228" s="333">
        <v>39615.0</v>
      </c>
      <c r="N228" s="138" t="s">
        <v>67</v>
      </c>
      <c r="O228" s="124"/>
      <c r="P228" s="135" t="s">
        <v>68</v>
      </c>
      <c r="Q228" s="124"/>
      <c r="R228" s="138">
        <v>8.2164565524E10</v>
      </c>
      <c r="S228" s="135" t="s">
        <v>3265</v>
      </c>
      <c r="T228" s="135" t="s">
        <v>3266</v>
      </c>
      <c r="U228" s="135" t="s">
        <v>3267</v>
      </c>
      <c r="V228" s="135" t="s">
        <v>73</v>
      </c>
      <c r="W228" s="135" t="s">
        <v>74</v>
      </c>
      <c r="X228" s="135" t="s">
        <v>989</v>
      </c>
      <c r="Y228" s="135" t="s">
        <v>1585</v>
      </c>
      <c r="Z228" s="138">
        <v>0.0</v>
      </c>
      <c r="AA228" s="138">
        <v>0.0</v>
      </c>
    </row>
    <row r="229">
      <c r="A229" s="332">
        <v>54.0</v>
      </c>
      <c r="B229" s="135" t="s">
        <v>3268</v>
      </c>
      <c r="C229" s="135" t="s">
        <v>3269</v>
      </c>
      <c r="D229" s="332" t="s">
        <v>5952</v>
      </c>
      <c r="E229" s="124" t="s">
        <v>88</v>
      </c>
      <c r="F229" s="332" t="s">
        <v>5953</v>
      </c>
      <c r="G229" s="332" t="s">
        <v>5954</v>
      </c>
      <c r="H229" s="135" t="s">
        <v>142</v>
      </c>
      <c r="I229" s="139" t="s">
        <v>2957</v>
      </c>
      <c r="J229" s="135" t="s">
        <v>89</v>
      </c>
      <c r="K229" s="135" t="s">
        <v>374</v>
      </c>
      <c r="L229" s="135" t="s">
        <v>3156</v>
      </c>
      <c r="M229" s="333">
        <v>43517.0</v>
      </c>
      <c r="N229" s="138" t="s">
        <v>67</v>
      </c>
      <c r="O229" s="124"/>
      <c r="P229" s="135" t="s">
        <v>130</v>
      </c>
      <c r="Q229" s="124"/>
      <c r="R229" s="138">
        <v>8.1284898279E10</v>
      </c>
      <c r="S229" s="135" t="s">
        <v>3270</v>
      </c>
      <c r="T229" s="135" t="s">
        <v>3271</v>
      </c>
      <c r="U229" s="135" t="s">
        <v>3272</v>
      </c>
      <c r="V229" s="135" t="s">
        <v>73</v>
      </c>
      <c r="W229" s="135" t="s">
        <v>74</v>
      </c>
      <c r="X229" s="135" t="s">
        <v>360</v>
      </c>
      <c r="Y229" s="135" t="s">
        <v>893</v>
      </c>
      <c r="Z229" s="138"/>
      <c r="AA229" s="138"/>
    </row>
    <row r="230">
      <c r="A230" s="332">
        <v>55.0</v>
      </c>
      <c r="B230" s="135" t="s">
        <v>3273</v>
      </c>
      <c r="C230" s="135" t="s">
        <v>3274</v>
      </c>
      <c r="D230" s="332" t="s">
        <v>5952</v>
      </c>
      <c r="E230" s="124" t="s">
        <v>88</v>
      </c>
      <c r="F230" s="332" t="s">
        <v>5953</v>
      </c>
      <c r="G230" s="332" t="s">
        <v>5954</v>
      </c>
      <c r="H230" s="135" t="s">
        <v>142</v>
      </c>
      <c r="I230" s="139" t="s">
        <v>2963</v>
      </c>
      <c r="J230" s="135" t="s">
        <v>89</v>
      </c>
      <c r="K230" s="135" t="s">
        <v>3275</v>
      </c>
      <c r="L230" s="135" t="s">
        <v>244</v>
      </c>
      <c r="M230" s="333">
        <v>40752.0</v>
      </c>
      <c r="N230" s="138" t="s">
        <v>67</v>
      </c>
      <c r="O230" s="124"/>
      <c r="P230" s="135" t="s">
        <v>130</v>
      </c>
      <c r="Q230" s="124"/>
      <c r="R230" s="138">
        <v>8.21807036E10</v>
      </c>
      <c r="S230" s="135" t="s">
        <v>3276</v>
      </c>
      <c r="T230" s="135" t="s">
        <v>3277</v>
      </c>
      <c r="U230" s="135" t="s">
        <v>3278</v>
      </c>
      <c r="V230" s="135" t="s">
        <v>73</v>
      </c>
      <c r="W230" s="135" t="s">
        <v>481</v>
      </c>
      <c r="X230" s="135" t="s">
        <v>360</v>
      </c>
      <c r="Y230" s="135" t="s">
        <v>566</v>
      </c>
      <c r="Z230" s="138">
        <v>0.0</v>
      </c>
      <c r="AA230" s="138">
        <v>0.0</v>
      </c>
    </row>
    <row r="231">
      <c r="A231" s="332">
        <v>56.0</v>
      </c>
      <c r="B231" s="135" t="s">
        <v>3279</v>
      </c>
      <c r="C231" s="135" t="s">
        <v>3280</v>
      </c>
      <c r="D231" s="332" t="s">
        <v>5952</v>
      </c>
      <c r="E231" s="124" t="s">
        <v>88</v>
      </c>
      <c r="F231" s="332" t="s">
        <v>5953</v>
      </c>
      <c r="G231" s="332" t="s">
        <v>5954</v>
      </c>
      <c r="H231" s="135" t="s">
        <v>142</v>
      </c>
      <c r="I231" s="139" t="s">
        <v>2957</v>
      </c>
      <c r="J231" s="135" t="s">
        <v>89</v>
      </c>
      <c r="K231" s="135"/>
      <c r="L231" s="135" t="s">
        <v>3281</v>
      </c>
      <c r="M231" s="333">
        <v>42355.0</v>
      </c>
      <c r="N231" s="138" t="s">
        <v>67</v>
      </c>
      <c r="O231" s="124"/>
      <c r="P231" s="135" t="s">
        <v>130</v>
      </c>
      <c r="Q231" s="124"/>
      <c r="R231" s="138"/>
      <c r="S231" s="135" t="s">
        <v>3282</v>
      </c>
      <c r="T231" s="135" t="s">
        <v>3283</v>
      </c>
      <c r="U231" s="135" t="s">
        <v>3284</v>
      </c>
      <c r="V231" s="135" t="s">
        <v>73</v>
      </c>
      <c r="W231" s="135" t="s">
        <v>74</v>
      </c>
      <c r="X231" s="135" t="s">
        <v>360</v>
      </c>
      <c r="Y231" s="135" t="s">
        <v>361</v>
      </c>
      <c r="Z231" s="138"/>
      <c r="AA231" s="138"/>
    </row>
    <row r="232">
      <c r="A232" s="332">
        <v>57.0</v>
      </c>
      <c r="B232" s="135" t="s">
        <v>3285</v>
      </c>
      <c r="C232" s="135" t="s">
        <v>3286</v>
      </c>
      <c r="D232" s="332" t="s">
        <v>5952</v>
      </c>
      <c r="E232" s="124" t="s">
        <v>88</v>
      </c>
      <c r="F232" s="332" t="s">
        <v>5953</v>
      </c>
      <c r="G232" s="332" t="s">
        <v>5954</v>
      </c>
      <c r="H232" s="135" t="s">
        <v>142</v>
      </c>
      <c r="I232" s="139" t="s">
        <v>2957</v>
      </c>
      <c r="J232" s="135" t="s">
        <v>89</v>
      </c>
      <c r="K232" s="135" t="s">
        <v>90</v>
      </c>
      <c r="L232" s="135" t="s">
        <v>3156</v>
      </c>
      <c r="M232" s="335">
        <v>44166.0</v>
      </c>
      <c r="N232" s="138" t="s">
        <v>67</v>
      </c>
      <c r="O232" s="124"/>
      <c r="P232" s="135" t="s">
        <v>68</v>
      </c>
      <c r="Q232" s="124"/>
      <c r="R232" s="138">
        <v>8.1260769388E10</v>
      </c>
      <c r="S232" s="135" t="s">
        <v>3287</v>
      </c>
      <c r="T232" s="135" t="s">
        <v>3288</v>
      </c>
      <c r="U232" s="135" t="s">
        <v>3289</v>
      </c>
      <c r="V232" s="135" t="s">
        <v>73</v>
      </c>
      <c r="W232" s="135" t="s">
        <v>74</v>
      </c>
      <c r="X232" s="135" t="s">
        <v>774</v>
      </c>
      <c r="Y232" s="135" t="s">
        <v>3290</v>
      </c>
      <c r="Z232" s="138"/>
      <c r="AA232" s="138"/>
    </row>
    <row r="233">
      <c r="A233" s="332">
        <v>58.0</v>
      </c>
      <c r="B233" s="135" t="s">
        <v>3291</v>
      </c>
      <c r="C233" s="135" t="s">
        <v>3292</v>
      </c>
      <c r="D233" s="332" t="s">
        <v>5952</v>
      </c>
      <c r="E233" s="124" t="s">
        <v>88</v>
      </c>
      <c r="F233" s="332" t="s">
        <v>5953</v>
      </c>
      <c r="G233" s="332" t="s">
        <v>5954</v>
      </c>
      <c r="H233" s="135" t="s">
        <v>142</v>
      </c>
      <c r="I233" s="139" t="s">
        <v>2957</v>
      </c>
      <c r="J233" s="135" t="s">
        <v>89</v>
      </c>
      <c r="K233" s="135" t="s">
        <v>374</v>
      </c>
      <c r="L233" s="135" t="s">
        <v>3293</v>
      </c>
      <c r="M233" s="333">
        <v>39772.0</v>
      </c>
      <c r="N233" s="138" t="s">
        <v>67</v>
      </c>
      <c r="O233" s="124"/>
      <c r="P233" s="135" t="s">
        <v>68</v>
      </c>
      <c r="Q233" s="124"/>
      <c r="R233" s="138">
        <v>8.126401402E9</v>
      </c>
      <c r="S233" s="135" t="s">
        <v>3294</v>
      </c>
      <c r="T233" s="135" t="s">
        <v>3295</v>
      </c>
      <c r="U233" s="135" t="s">
        <v>3296</v>
      </c>
      <c r="V233" s="135" t="s">
        <v>73</v>
      </c>
      <c r="W233" s="135" t="s">
        <v>74</v>
      </c>
      <c r="X233" s="135" t="s">
        <v>454</v>
      </c>
      <c r="Y233" s="135" t="s">
        <v>491</v>
      </c>
      <c r="Z233" s="138">
        <v>0.0</v>
      </c>
      <c r="AA233" s="138">
        <v>0.0</v>
      </c>
    </row>
    <row r="234">
      <c r="A234" s="332">
        <v>59.0</v>
      </c>
      <c r="B234" s="135" t="s">
        <v>3297</v>
      </c>
      <c r="C234" s="135" t="s">
        <v>3298</v>
      </c>
      <c r="D234" s="332" t="s">
        <v>5952</v>
      </c>
      <c r="E234" s="124" t="s">
        <v>88</v>
      </c>
      <c r="F234" s="332" t="s">
        <v>5953</v>
      </c>
      <c r="G234" s="332" t="s">
        <v>5954</v>
      </c>
      <c r="H234" s="135" t="s">
        <v>142</v>
      </c>
      <c r="I234" s="139" t="s">
        <v>2963</v>
      </c>
      <c r="J234" s="135" t="s">
        <v>89</v>
      </c>
      <c r="K234" s="135" t="s">
        <v>1520</v>
      </c>
      <c r="L234" s="135" t="s">
        <v>2482</v>
      </c>
      <c r="M234" s="333">
        <v>42655.0</v>
      </c>
      <c r="N234" s="138" t="s">
        <v>67</v>
      </c>
      <c r="O234" s="124"/>
      <c r="P234" s="135" t="s">
        <v>68</v>
      </c>
      <c r="Q234" s="124"/>
      <c r="R234" s="138">
        <v>8.2165290771E10</v>
      </c>
      <c r="S234" s="135" t="s">
        <v>3299</v>
      </c>
      <c r="T234" s="135" t="s">
        <v>3300</v>
      </c>
      <c r="U234" s="135" t="s">
        <v>3301</v>
      </c>
      <c r="V234" s="135" t="s">
        <v>73</v>
      </c>
      <c r="W234" s="135" t="s">
        <v>74</v>
      </c>
      <c r="X234" s="135" t="s">
        <v>1698</v>
      </c>
      <c r="Y234" s="135" t="s">
        <v>1699</v>
      </c>
      <c r="Z234" s="138">
        <v>0.0</v>
      </c>
      <c r="AA234" s="138">
        <v>0.0</v>
      </c>
    </row>
    <row r="235">
      <c r="A235" s="332">
        <v>60.0</v>
      </c>
      <c r="B235" s="135" t="s">
        <v>3302</v>
      </c>
      <c r="C235" s="135" t="s">
        <v>3303</v>
      </c>
      <c r="D235" s="332" t="s">
        <v>5952</v>
      </c>
      <c r="E235" s="124" t="s">
        <v>88</v>
      </c>
      <c r="F235" s="332" t="s">
        <v>5953</v>
      </c>
      <c r="G235" s="332" t="s">
        <v>5954</v>
      </c>
      <c r="H235" s="135" t="s">
        <v>142</v>
      </c>
      <c r="I235" s="139" t="s">
        <v>2957</v>
      </c>
      <c r="J235" s="135" t="s">
        <v>89</v>
      </c>
      <c r="K235" s="135" t="s">
        <v>3304</v>
      </c>
      <c r="L235" s="135" t="s">
        <v>3305</v>
      </c>
      <c r="M235" s="333">
        <v>43732.0</v>
      </c>
      <c r="N235" s="138" t="s">
        <v>311</v>
      </c>
      <c r="O235" s="124"/>
      <c r="P235" s="135" t="s">
        <v>130</v>
      </c>
      <c r="Q235" s="124"/>
      <c r="R235" s="138">
        <v>8.2169253599E10</v>
      </c>
      <c r="S235" s="135" t="s">
        <v>3306</v>
      </c>
      <c r="T235" s="135" t="s">
        <v>3307</v>
      </c>
      <c r="U235" s="135" t="s">
        <v>3308</v>
      </c>
      <c r="V235" s="135" t="s">
        <v>96</v>
      </c>
      <c r="W235" s="135" t="s">
        <v>97</v>
      </c>
      <c r="X235" s="135" t="s">
        <v>98</v>
      </c>
      <c r="Y235" s="135" t="s">
        <v>3309</v>
      </c>
      <c r="Z235" s="138">
        <v>1.0</v>
      </c>
      <c r="AA235" s="138">
        <v>7.0</v>
      </c>
    </row>
    <row r="236">
      <c r="A236" s="332">
        <v>61.0</v>
      </c>
      <c r="B236" s="135" t="s">
        <v>3310</v>
      </c>
      <c r="C236" s="135" t="s">
        <v>3311</v>
      </c>
      <c r="D236" s="332" t="s">
        <v>5952</v>
      </c>
      <c r="E236" s="124" t="s">
        <v>88</v>
      </c>
      <c r="F236" s="332" t="s">
        <v>5953</v>
      </c>
      <c r="G236" s="332" t="s">
        <v>5954</v>
      </c>
      <c r="H236" s="135" t="s">
        <v>142</v>
      </c>
      <c r="I236" s="139" t="s">
        <v>2963</v>
      </c>
      <c r="J236" s="135" t="s">
        <v>89</v>
      </c>
      <c r="K236" s="135" t="s">
        <v>3312</v>
      </c>
      <c r="L236" s="135" t="s">
        <v>1231</v>
      </c>
      <c r="M236" s="335">
        <v>41551.0</v>
      </c>
      <c r="N236" s="138" t="s">
        <v>67</v>
      </c>
      <c r="O236" s="124"/>
      <c r="P236" s="135" t="s">
        <v>68</v>
      </c>
      <c r="Q236" s="124"/>
      <c r="R236" s="138">
        <v>8.2277146066E10</v>
      </c>
      <c r="S236" s="135" t="s">
        <v>3313</v>
      </c>
      <c r="T236" s="135" t="s">
        <v>3314</v>
      </c>
      <c r="U236" s="135" t="s">
        <v>3315</v>
      </c>
      <c r="V236" s="135" t="s">
        <v>73</v>
      </c>
      <c r="W236" s="135" t="s">
        <v>166</v>
      </c>
      <c r="X236" s="135" t="s">
        <v>915</v>
      </c>
      <c r="Y236" s="135" t="s">
        <v>3316</v>
      </c>
      <c r="Z236" s="138"/>
      <c r="AA236" s="138"/>
    </row>
    <row r="237">
      <c r="A237" s="332">
        <v>62.0</v>
      </c>
      <c r="B237" s="135" t="s">
        <v>3317</v>
      </c>
      <c r="C237" s="135" t="s">
        <v>3318</v>
      </c>
      <c r="D237" s="332" t="s">
        <v>5952</v>
      </c>
      <c r="E237" s="124" t="s">
        <v>88</v>
      </c>
      <c r="F237" s="332" t="s">
        <v>5953</v>
      </c>
      <c r="G237" s="332" t="s">
        <v>5954</v>
      </c>
      <c r="H237" s="135" t="s">
        <v>142</v>
      </c>
      <c r="I237" s="139" t="s">
        <v>2957</v>
      </c>
      <c r="J237" s="135" t="s">
        <v>89</v>
      </c>
      <c r="K237" s="135" t="s">
        <v>1193</v>
      </c>
      <c r="L237" s="135" t="s">
        <v>3319</v>
      </c>
      <c r="M237" s="333">
        <v>43025.0</v>
      </c>
      <c r="N237" s="138" t="s">
        <v>220</v>
      </c>
      <c r="O237" s="124"/>
      <c r="P237" s="135" t="s">
        <v>130</v>
      </c>
      <c r="Q237" s="124"/>
      <c r="R237" s="138">
        <v>8.1268872284E10</v>
      </c>
      <c r="S237" s="135" t="s">
        <v>3320</v>
      </c>
      <c r="T237" s="135" t="s">
        <v>3321</v>
      </c>
      <c r="U237" s="135" t="s">
        <v>3322</v>
      </c>
      <c r="V237" s="135" t="s">
        <v>73</v>
      </c>
      <c r="W237" s="135" t="s">
        <v>74</v>
      </c>
      <c r="X237" s="135" t="s">
        <v>203</v>
      </c>
      <c r="Y237" s="135" t="s">
        <v>2128</v>
      </c>
      <c r="Z237" s="138"/>
      <c r="AA237" s="138"/>
    </row>
    <row r="238">
      <c r="A238" s="332">
        <v>63.0</v>
      </c>
      <c r="B238" s="135" t="s">
        <v>3323</v>
      </c>
      <c r="C238" s="135" t="s">
        <v>3324</v>
      </c>
      <c r="D238" s="332" t="s">
        <v>5952</v>
      </c>
      <c r="E238" s="124" t="s">
        <v>88</v>
      </c>
      <c r="F238" s="332" t="s">
        <v>5953</v>
      </c>
      <c r="G238" s="332" t="s">
        <v>5954</v>
      </c>
      <c r="H238" s="135" t="s">
        <v>142</v>
      </c>
      <c r="I238" s="139" t="s">
        <v>3210</v>
      </c>
      <c r="J238" s="135" t="s">
        <v>89</v>
      </c>
      <c r="K238" s="135" t="s">
        <v>374</v>
      </c>
      <c r="L238" s="135" t="s">
        <v>244</v>
      </c>
      <c r="M238" s="333">
        <v>41538.0</v>
      </c>
      <c r="N238" s="138" t="s">
        <v>67</v>
      </c>
      <c r="O238" s="124"/>
      <c r="P238" s="135" t="s">
        <v>130</v>
      </c>
      <c r="Q238" s="124"/>
      <c r="R238" s="138">
        <v>8.175026666E9</v>
      </c>
      <c r="S238" s="135" t="s">
        <v>3325</v>
      </c>
      <c r="T238" s="135" t="s">
        <v>3326</v>
      </c>
      <c r="U238" s="135" t="s">
        <v>3327</v>
      </c>
      <c r="V238" s="135" t="s">
        <v>73</v>
      </c>
      <c r="W238" s="135" t="s">
        <v>74</v>
      </c>
      <c r="X238" s="135" t="s">
        <v>925</v>
      </c>
      <c r="Y238" s="135" t="s">
        <v>3191</v>
      </c>
      <c r="Z238" s="138"/>
      <c r="AA238" s="138"/>
    </row>
    <row r="239">
      <c r="A239" s="332">
        <v>64.0</v>
      </c>
      <c r="B239" s="135" t="s">
        <v>3328</v>
      </c>
      <c r="C239" s="135" t="s">
        <v>3329</v>
      </c>
      <c r="D239" s="332" t="s">
        <v>5952</v>
      </c>
      <c r="E239" s="124" t="s">
        <v>88</v>
      </c>
      <c r="F239" s="332" t="s">
        <v>5953</v>
      </c>
      <c r="G239" s="332" t="s">
        <v>5954</v>
      </c>
      <c r="H239" s="135" t="s">
        <v>142</v>
      </c>
      <c r="I239" s="139" t="s">
        <v>2950</v>
      </c>
      <c r="J239" s="135" t="s">
        <v>89</v>
      </c>
      <c r="K239" s="135" t="s">
        <v>90</v>
      </c>
      <c r="L239" s="135" t="s">
        <v>1231</v>
      </c>
      <c r="M239" s="333">
        <v>37163.0</v>
      </c>
      <c r="N239" s="138" t="s">
        <v>67</v>
      </c>
      <c r="O239" s="124"/>
      <c r="P239" s="135" t="s">
        <v>68</v>
      </c>
      <c r="Q239" s="124"/>
      <c r="R239" s="138">
        <v>8.1263758106E10</v>
      </c>
      <c r="S239" s="135" t="s">
        <v>3330</v>
      </c>
      <c r="T239" s="135" t="s">
        <v>3331</v>
      </c>
      <c r="U239" s="135" t="s">
        <v>3332</v>
      </c>
      <c r="V239" s="135" t="s">
        <v>73</v>
      </c>
      <c r="W239" s="135" t="s">
        <v>74</v>
      </c>
      <c r="X239" s="135" t="s">
        <v>860</v>
      </c>
      <c r="Y239" s="135" t="s">
        <v>3333</v>
      </c>
      <c r="Z239" s="138">
        <v>0.0</v>
      </c>
      <c r="AA239" s="138">
        <v>0.0</v>
      </c>
    </row>
    <row r="240">
      <c r="A240" s="332">
        <v>65.0</v>
      </c>
      <c r="B240" s="135" t="s">
        <v>3334</v>
      </c>
      <c r="C240" s="135" t="s">
        <v>3335</v>
      </c>
      <c r="D240" s="332" t="s">
        <v>5952</v>
      </c>
      <c r="E240" s="124" t="s">
        <v>88</v>
      </c>
      <c r="F240" s="332" t="s">
        <v>5953</v>
      </c>
      <c r="G240" s="332" t="s">
        <v>5954</v>
      </c>
      <c r="H240" s="135" t="s">
        <v>142</v>
      </c>
      <c r="I240" s="139" t="s">
        <v>2957</v>
      </c>
      <c r="J240" s="135" t="s">
        <v>89</v>
      </c>
      <c r="K240" s="135" t="s">
        <v>3336</v>
      </c>
      <c r="L240" s="135" t="s">
        <v>244</v>
      </c>
      <c r="M240" s="333">
        <v>42944.0</v>
      </c>
      <c r="N240" s="138" t="s">
        <v>67</v>
      </c>
      <c r="O240" s="124"/>
      <c r="P240" s="135" t="s">
        <v>130</v>
      </c>
      <c r="Q240" s="124"/>
      <c r="R240" s="138">
        <v>8.2161364795E10</v>
      </c>
      <c r="S240" s="135" t="s">
        <v>3337</v>
      </c>
      <c r="T240" s="135" t="s">
        <v>3338</v>
      </c>
      <c r="U240" s="135" t="s">
        <v>3339</v>
      </c>
      <c r="V240" s="135" t="s">
        <v>1029</v>
      </c>
      <c r="W240" s="135" t="s">
        <v>514</v>
      </c>
      <c r="X240" s="135" t="s">
        <v>1243</v>
      </c>
      <c r="Y240" s="135" t="s">
        <v>3340</v>
      </c>
      <c r="Z240" s="138">
        <v>0.0</v>
      </c>
      <c r="AA240" s="138">
        <v>0.0</v>
      </c>
    </row>
    <row r="241">
      <c r="A241" s="337" t="s">
        <v>3341</v>
      </c>
      <c r="B241" s="341"/>
      <c r="C241" s="342"/>
      <c r="D241" s="343"/>
      <c r="E241" s="343"/>
      <c r="F241" s="343"/>
      <c r="G241" s="343"/>
      <c r="H241" s="341"/>
      <c r="I241" s="341"/>
      <c r="J241" s="341"/>
      <c r="K241" s="341"/>
      <c r="L241" s="341"/>
      <c r="M241" s="343"/>
      <c r="N241" s="339"/>
      <c r="O241" s="339"/>
      <c r="P241" s="340"/>
      <c r="Q241" s="339"/>
      <c r="R241" s="339"/>
      <c r="S241" s="340"/>
      <c r="T241" s="340"/>
      <c r="U241" s="340"/>
      <c r="V241" s="340"/>
      <c r="W241" s="340"/>
      <c r="X241" s="340"/>
      <c r="Y241" s="340"/>
      <c r="Z241" s="339"/>
      <c r="AA241" s="339"/>
    </row>
    <row r="242">
      <c r="A242" s="332">
        <v>1.0</v>
      </c>
      <c r="B242" s="135" t="s">
        <v>3516</v>
      </c>
      <c r="C242" s="135" t="s">
        <v>3517</v>
      </c>
      <c r="D242" s="332" t="s">
        <v>5952</v>
      </c>
      <c r="E242" s="124" t="s">
        <v>88</v>
      </c>
      <c r="F242" s="332" t="s">
        <v>5953</v>
      </c>
      <c r="G242" s="332" t="s">
        <v>5954</v>
      </c>
      <c r="H242" s="135" t="s">
        <v>142</v>
      </c>
      <c r="I242" s="139" t="s">
        <v>3518</v>
      </c>
      <c r="J242" s="135" t="s">
        <v>89</v>
      </c>
      <c r="K242" s="135" t="s">
        <v>90</v>
      </c>
      <c r="L242" s="135" t="s">
        <v>3156</v>
      </c>
      <c r="M242" s="333">
        <v>44119.0</v>
      </c>
      <c r="N242" s="138" t="s">
        <v>67</v>
      </c>
      <c r="O242" s="124"/>
      <c r="P242" s="135" t="s">
        <v>68</v>
      </c>
      <c r="Q242" s="138"/>
      <c r="R242" s="138">
        <v>8.2277765712E10</v>
      </c>
      <c r="S242" s="135" t="s">
        <v>3519</v>
      </c>
      <c r="T242" s="135" t="s">
        <v>3520</v>
      </c>
      <c r="U242" s="135" t="s">
        <v>3521</v>
      </c>
      <c r="V242" s="135" t="s">
        <v>96</v>
      </c>
      <c r="W242" s="135" t="s">
        <v>150</v>
      </c>
      <c r="X242" s="135" t="s">
        <v>281</v>
      </c>
      <c r="Y242" s="135" t="s">
        <v>657</v>
      </c>
      <c r="Z242" s="138">
        <v>1.0</v>
      </c>
      <c r="AA242" s="138">
        <v>1.0</v>
      </c>
    </row>
    <row r="243">
      <c r="A243" s="332">
        <v>2.0</v>
      </c>
      <c r="B243" s="135" t="s">
        <v>3522</v>
      </c>
      <c r="C243" s="135" t="s">
        <v>3523</v>
      </c>
      <c r="D243" s="332" t="s">
        <v>5952</v>
      </c>
      <c r="E243" s="124" t="s">
        <v>88</v>
      </c>
      <c r="F243" s="332" t="s">
        <v>5953</v>
      </c>
      <c r="G243" s="332" t="s">
        <v>5954</v>
      </c>
      <c r="H243" s="135" t="s">
        <v>142</v>
      </c>
      <c r="I243" s="139" t="s">
        <v>3524</v>
      </c>
      <c r="J243" s="135" t="s">
        <v>89</v>
      </c>
      <c r="K243" s="135" t="s">
        <v>3525</v>
      </c>
      <c r="L243" s="135" t="s">
        <v>3449</v>
      </c>
      <c r="M243" s="333">
        <v>41773.0</v>
      </c>
      <c r="N243" s="138" t="s">
        <v>67</v>
      </c>
      <c r="O243" s="124"/>
      <c r="P243" s="135" t="s">
        <v>68</v>
      </c>
      <c r="Q243" s="124"/>
      <c r="R243" s="138">
        <v>8.1396409898E10</v>
      </c>
      <c r="S243" s="135" t="s">
        <v>3526</v>
      </c>
      <c r="T243" s="135" t="s">
        <v>3326</v>
      </c>
      <c r="U243" s="135" t="s">
        <v>3527</v>
      </c>
      <c r="V243" s="135" t="s">
        <v>96</v>
      </c>
      <c r="W243" s="135" t="s">
        <v>97</v>
      </c>
      <c r="X243" s="135" t="s">
        <v>379</v>
      </c>
      <c r="Y243" s="135" t="s">
        <v>389</v>
      </c>
      <c r="Z243" s="138">
        <v>0.0</v>
      </c>
      <c r="AA243" s="138">
        <v>0.0</v>
      </c>
    </row>
    <row r="244">
      <c r="A244" s="344">
        <v>3.0</v>
      </c>
      <c r="B244" s="135" t="s">
        <v>3528</v>
      </c>
      <c r="C244" s="135" t="s">
        <v>3529</v>
      </c>
      <c r="D244" s="332" t="s">
        <v>5952</v>
      </c>
      <c r="E244" s="124" t="s">
        <v>88</v>
      </c>
      <c r="F244" s="332" t="s">
        <v>5953</v>
      </c>
      <c r="G244" s="332" t="s">
        <v>5954</v>
      </c>
      <c r="H244" s="135" t="s">
        <v>142</v>
      </c>
      <c r="I244" s="139" t="s">
        <v>3518</v>
      </c>
      <c r="J244" s="135" t="s">
        <v>89</v>
      </c>
      <c r="K244" s="135" t="s">
        <v>63</v>
      </c>
      <c r="L244" s="135" t="s">
        <v>231</v>
      </c>
      <c r="M244" s="333">
        <v>43390.0</v>
      </c>
      <c r="N244" s="138" t="s">
        <v>67</v>
      </c>
      <c r="O244" s="124"/>
      <c r="P244" s="135" t="s">
        <v>68</v>
      </c>
      <c r="Q244" s="124"/>
      <c r="R244" s="138">
        <v>8.2168353747E10</v>
      </c>
      <c r="S244" s="135" t="s">
        <v>3530</v>
      </c>
      <c r="T244" s="135" t="s">
        <v>3531</v>
      </c>
      <c r="U244" s="135" t="s">
        <v>3532</v>
      </c>
      <c r="V244" s="135" t="s">
        <v>96</v>
      </c>
      <c r="W244" s="135" t="s">
        <v>135</v>
      </c>
      <c r="X244" s="135" t="s">
        <v>213</v>
      </c>
      <c r="Y244" s="135" t="s">
        <v>885</v>
      </c>
      <c r="Z244" s="138"/>
      <c r="AA244" s="138"/>
    </row>
    <row r="245">
      <c r="A245" s="332">
        <v>4.0</v>
      </c>
      <c r="B245" s="135" t="s">
        <v>3533</v>
      </c>
      <c r="C245" s="135" t="s">
        <v>3534</v>
      </c>
      <c r="D245" s="332" t="s">
        <v>5952</v>
      </c>
      <c r="E245" s="124" t="s">
        <v>88</v>
      </c>
      <c r="F245" s="332" t="s">
        <v>5953</v>
      </c>
      <c r="G245" s="332" t="s">
        <v>5954</v>
      </c>
      <c r="H245" s="135" t="s">
        <v>142</v>
      </c>
      <c r="I245" s="139" t="s">
        <v>3518</v>
      </c>
      <c r="J245" s="135" t="s">
        <v>89</v>
      </c>
      <c r="K245" s="135" t="s">
        <v>218</v>
      </c>
      <c r="L245" s="135" t="s">
        <v>745</v>
      </c>
      <c r="M245" s="333">
        <v>37581.0</v>
      </c>
      <c r="N245" s="138" t="s">
        <v>67</v>
      </c>
      <c r="O245" s="124"/>
      <c r="P245" s="135" t="s">
        <v>68</v>
      </c>
      <c r="Q245" s="124"/>
      <c r="R245" s="138">
        <v>8.2328408919E10</v>
      </c>
      <c r="S245" s="135" t="s">
        <v>3535</v>
      </c>
      <c r="T245" s="135" t="s">
        <v>3536</v>
      </c>
      <c r="U245" s="135" t="s">
        <v>3537</v>
      </c>
      <c r="V245" s="135" t="s">
        <v>96</v>
      </c>
      <c r="W245" s="135" t="s">
        <v>135</v>
      </c>
      <c r="X245" s="135" t="s">
        <v>499</v>
      </c>
      <c r="Y245" s="135" t="s">
        <v>1396</v>
      </c>
      <c r="Z245" s="138">
        <v>0.0</v>
      </c>
      <c r="AA245" s="138">
        <v>0.0</v>
      </c>
    </row>
    <row r="246">
      <c r="A246" s="101" t="s">
        <v>3538</v>
      </c>
      <c r="B246" s="141"/>
      <c r="C246" s="345"/>
      <c r="D246" s="124"/>
      <c r="E246" s="124"/>
      <c r="F246" s="124"/>
      <c r="G246" s="124"/>
      <c r="H246" s="141"/>
      <c r="I246" s="141"/>
      <c r="J246" s="141"/>
      <c r="K246" s="141"/>
      <c r="L246" s="141"/>
      <c r="M246" s="124"/>
      <c r="N246" s="346"/>
      <c r="O246" s="346"/>
      <c r="P246" s="347"/>
      <c r="Q246" s="346"/>
      <c r="R246" s="346"/>
      <c r="S246" s="347"/>
      <c r="T246" s="347"/>
      <c r="U246" s="347"/>
      <c r="V246" s="347"/>
      <c r="W246" s="347"/>
      <c r="X246" s="347"/>
      <c r="Y246" s="347"/>
      <c r="Z246" s="346"/>
      <c r="AA246" s="346"/>
    </row>
    <row r="247">
      <c r="A247" s="332">
        <v>1.0</v>
      </c>
      <c r="B247" s="135" t="s">
        <v>3618</v>
      </c>
      <c r="C247" s="135" t="s">
        <v>3619</v>
      </c>
      <c r="D247" s="332" t="s">
        <v>5952</v>
      </c>
      <c r="E247" s="124" t="s">
        <v>88</v>
      </c>
      <c r="F247" s="332" t="s">
        <v>5953</v>
      </c>
      <c r="G247" s="332" t="s">
        <v>5954</v>
      </c>
      <c r="H247" s="135" t="s">
        <v>142</v>
      </c>
      <c r="I247" s="135" t="s">
        <v>59</v>
      </c>
      <c r="J247" s="135" t="s">
        <v>89</v>
      </c>
      <c r="K247" s="135" t="s">
        <v>230</v>
      </c>
      <c r="L247" s="135" t="s">
        <v>419</v>
      </c>
      <c r="M247" s="335">
        <v>38415.0</v>
      </c>
      <c r="N247" s="138" t="s">
        <v>67</v>
      </c>
      <c r="O247" s="348"/>
      <c r="P247" s="135" t="s">
        <v>68</v>
      </c>
      <c r="Q247" s="138"/>
      <c r="R247" s="138">
        <v>8.1265655858E10</v>
      </c>
      <c r="S247" s="135" t="s">
        <v>3620</v>
      </c>
      <c r="T247" s="135" t="s">
        <v>3621</v>
      </c>
      <c r="U247" s="135" t="s">
        <v>3622</v>
      </c>
      <c r="V247" s="135" t="s">
        <v>96</v>
      </c>
      <c r="W247" s="135" t="s">
        <v>97</v>
      </c>
      <c r="X247" s="135" t="s">
        <v>1576</v>
      </c>
      <c r="Y247" s="135" t="s">
        <v>3623</v>
      </c>
      <c r="Z247" s="138"/>
      <c r="AA247" s="138"/>
    </row>
    <row r="248">
      <c r="A248" s="332">
        <v>2.0</v>
      </c>
      <c r="B248" s="135" t="s">
        <v>3624</v>
      </c>
      <c r="C248" s="135" t="s">
        <v>3625</v>
      </c>
      <c r="D248" s="332" t="s">
        <v>5952</v>
      </c>
      <c r="E248" s="124" t="s">
        <v>88</v>
      </c>
      <c r="F248" s="332" t="s">
        <v>5953</v>
      </c>
      <c r="G248" s="332" t="s">
        <v>5954</v>
      </c>
      <c r="H248" s="349" t="s">
        <v>142</v>
      </c>
      <c r="I248" s="135" t="s">
        <v>3542</v>
      </c>
      <c r="J248" s="350"/>
      <c r="K248" s="349" t="s">
        <v>89</v>
      </c>
      <c r="L248" s="135" t="s">
        <v>3626</v>
      </c>
      <c r="M248" s="351">
        <v>42675.0</v>
      </c>
      <c r="N248" s="352" t="s">
        <v>67</v>
      </c>
      <c r="O248" s="348"/>
      <c r="P248" s="135" t="s">
        <v>130</v>
      </c>
      <c r="Q248" s="138"/>
      <c r="R248" s="138">
        <v>8.5260041358E10</v>
      </c>
      <c r="S248" s="135" t="s">
        <v>3627</v>
      </c>
      <c r="T248" s="135" t="s">
        <v>3628</v>
      </c>
      <c r="U248" s="135" t="s">
        <v>3629</v>
      </c>
      <c r="V248" s="135" t="s">
        <v>73</v>
      </c>
      <c r="W248" s="135" t="s">
        <v>835</v>
      </c>
      <c r="X248" s="135" t="s">
        <v>774</v>
      </c>
      <c r="Y248" s="135" t="s">
        <v>799</v>
      </c>
      <c r="Z248" s="138">
        <v>0.0</v>
      </c>
      <c r="AA248" s="138">
        <v>0.0</v>
      </c>
    </row>
    <row r="249">
      <c r="A249" s="332">
        <v>3.0</v>
      </c>
      <c r="B249" s="135" t="s">
        <v>3630</v>
      </c>
      <c r="C249" s="135" t="s">
        <v>3631</v>
      </c>
      <c r="D249" s="332" t="s">
        <v>5952</v>
      </c>
      <c r="E249" s="124" t="s">
        <v>88</v>
      </c>
      <c r="F249" s="332" t="s">
        <v>5953</v>
      </c>
      <c r="G249" s="332" t="s">
        <v>5954</v>
      </c>
      <c r="H249" s="349" t="s">
        <v>532</v>
      </c>
      <c r="I249" s="135" t="s">
        <v>3542</v>
      </c>
      <c r="J249" s="350"/>
      <c r="K249" s="349" t="s">
        <v>285</v>
      </c>
      <c r="L249" s="135" t="s">
        <v>3632</v>
      </c>
      <c r="M249" s="353">
        <v>37422.0</v>
      </c>
      <c r="N249" s="352" t="s">
        <v>67</v>
      </c>
      <c r="O249" s="124"/>
      <c r="P249" s="135" t="s">
        <v>68</v>
      </c>
      <c r="Q249" s="138"/>
      <c r="R249" s="138">
        <v>8.9621040098E10</v>
      </c>
      <c r="S249" s="135" t="s">
        <v>3633</v>
      </c>
      <c r="T249" s="135" t="s">
        <v>3634</v>
      </c>
      <c r="U249" s="135" t="s">
        <v>3635</v>
      </c>
      <c r="V249" s="135" t="s">
        <v>73</v>
      </c>
      <c r="W249" s="135" t="s">
        <v>74</v>
      </c>
      <c r="X249" s="135" t="s">
        <v>191</v>
      </c>
      <c r="Y249" s="135" t="s">
        <v>2010</v>
      </c>
      <c r="Z249" s="138">
        <v>0.0</v>
      </c>
      <c r="AA249" s="138">
        <v>0.0</v>
      </c>
    </row>
    <row r="250">
      <c r="A250" s="332">
        <v>4.0</v>
      </c>
      <c r="B250" s="135" t="s">
        <v>3636</v>
      </c>
      <c r="C250" s="135" t="s">
        <v>3637</v>
      </c>
      <c r="D250" s="332" t="s">
        <v>5952</v>
      </c>
      <c r="E250" s="124" t="s">
        <v>88</v>
      </c>
      <c r="F250" s="332" t="s">
        <v>5953</v>
      </c>
      <c r="G250" s="332" t="s">
        <v>5954</v>
      </c>
      <c r="H250" s="349" t="s">
        <v>142</v>
      </c>
      <c r="I250" s="135" t="s">
        <v>3542</v>
      </c>
      <c r="J250" s="350"/>
      <c r="K250" s="349" t="s">
        <v>89</v>
      </c>
      <c r="L250" s="135" t="s">
        <v>3156</v>
      </c>
      <c r="M250" s="351">
        <v>44112.0</v>
      </c>
      <c r="N250" s="352" t="s">
        <v>67</v>
      </c>
      <c r="O250" s="348"/>
      <c r="P250" s="135" t="s">
        <v>130</v>
      </c>
      <c r="Q250" s="138"/>
      <c r="R250" s="138">
        <v>8.2360704492E10</v>
      </c>
      <c r="S250" s="135" t="s">
        <v>3638</v>
      </c>
      <c r="T250" s="135" t="s">
        <v>3639</v>
      </c>
      <c r="U250" s="135" t="s">
        <v>798</v>
      </c>
      <c r="V250" s="135" t="s">
        <v>73</v>
      </c>
      <c r="W250" s="135" t="s">
        <v>74</v>
      </c>
      <c r="X250" s="135" t="s">
        <v>774</v>
      </c>
      <c r="Y250" s="135" t="s">
        <v>799</v>
      </c>
      <c r="Z250" s="138"/>
      <c r="AA250" s="138"/>
    </row>
    <row r="251">
      <c r="A251" s="332">
        <v>5.0</v>
      </c>
      <c r="B251" s="135" t="s">
        <v>3640</v>
      </c>
      <c r="C251" s="135" t="s">
        <v>3641</v>
      </c>
      <c r="D251" s="332" t="s">
        <v>5952</v>
      </c>
      <c r="E251" s="124" t="s">
        <v>88</v>
      </c>
      <c r="F251" s="332" t="s">
        <v>5953</v>
      </c>
      <c r="G251" s="332" t="s">
        <v>5954</v>
      </c>
      <c r="H251" s="349" t="s">
        <v>142</v>
      </c>
      <c r="I251" s="135" t="s">
        <v>3542</v>
      </c>
      <c r="J251" s="350"/>
      <c r="K251" s="349" t="s">
        <v>89</v>
      </c>
      <c r="L251" s="135" t="s">
        <v>3642</v>
      </c>
      <c r="M251" s="351">
        <v>41612.0</v>
      </c>
      <c r="N251" s="352" t="s">
        <v>67</v>
      </c>
      <c r="O251" s="348"/>
      <c r="P251" s="135" t="s">
        <v>130</v>
      </c>
      <c r="Q251" s="138"/>
      <c r="R251" s="138">
        <v>8.1263334555E10</v>
      </c>
      <c r="S251" s="135" t="s">
        <v>3643</v>
      </c>
      <c r="T251" s="135" t="s">
        <v>3644</v>
      </c>
      <c r="U251" s="135" t="s">
        <v>3645</v>
      </c>
      <c r="V251" s="135" t="s">
        <v>73</v>
      </c>
      <c r="W251" s="135" t="s">
        <v>74</v>
      </c>
      <c r="X251" s="135" t="s">
        <v>774</v>
      </c>
      <c r="Y251" s="135" t="s">
        <v>775</v>
      </c>
      <c r="Z251" s="138"/>
      <c r="AA251" s="138"/>
    </row>
    <row r="252">
      <c r="A252" s="332">
        <v>6.0</v>
      </c>
      <c r="B252" s="135" t="s">
        <v>3646</v>
      </c>
      <c r="C252" s="135" t="s">
        <v>3647</v>
      </c>
      <c r="D252" s="332" t="s">
        <v>5952</v>
      </c>
      <c r="E252" s="124" t="s">
        <v>88</v>
      </c>
      <c r="F252" s="332" t="s">
        <v>5953</v>
      </c>
      <c r="G252" s="332" t="s">
        <v>5954</v>
      </c>
      <c r="H252" s="349" t="s">
        <v>142</v>
      </c>
      <c r="I252" s="135" t="s">
        <v>3542</v>
      </c>
      <c r="J252" s="350"/>
      <c r="K252" s="349" t="s">
        <v>89</v>
      </c>
      <c r="L252" s="135" t="s">
        <v>3648</v>
      </c>
      <c r="M252" s="351">
        <v>38930.0</v>
      </c>
      <c r="N252" s="352" t="s">
        <v>67</v>
      </c>
      <c r="O252" s="348"/>
      <c r="P252" s="135" t="s">
        <v>68</v>
      </c>
      <c r="Q252" s="138"/>
      <c r="R252" s="138">
        <v>8.1223780526E10</v>
      </c>
      <c r="S252" s="135" t="s">
        <v>3649</v>
      </c>
      <c r="T252" s="135" t="s">
        <v>3650</v>
      </c>
      <c r="U252" s="135" t="s">
        <v>3651</v>
      </c>
      <c r="V252" s="135" t="s">
        <v>96</v>
      </c>
      <c r="W252" s="135" t="s">
        <v>135</v>
      </c>
      <c r="X252" s="135" t="s">
        <v>213</v>
      </c>
      <c r="Y252" s="135" t="s">
        <v>885</v>
      </c>
      <c r="Z252" s="138">
        <v>0.0</v>
      </c>
      <c r="AA252" s="138">
        <v>0.0</v>
      </c>
    </row>
    <row r="253">
      <c r="A253" s="332">
        <v>7.0</v>
      </c>
      <c r="B253" s="135" t="s">
        <v>3652</v>
      </c>
      <c r="C253" s="135" t="s">
        <v>3653</v>
      </c>
      <c r="D253" s="332" t="s">
        <v>5952</v>
      </c>
      <c r="E253" s="124" t="s">
        <v>88</v>
      </c>
      <c r="F253" s="332" t="s">
        <v>5953</v>
      </c>
      <c r="G253" s="332" t="s">
        <v>5954</v>
      </c>
      <c r="H253" s="349" t="s">
        <v>142</v>
      </c>
      <c r="I253" s="135" t="s">
        <v>3542</v>
      </c>
      <c r="J253" s="350"/>
      <c r="K253" s="349" t="s">
        <v>89</v>
      </c>
      <c r="L253" s="135" t="s">
        <v>231</v>
      </c>
      <c r="M253" s="353">
        <v>42045.0</v>
      </c>
      <c r="N253" s="352" t="s">
        <v>220</v>
      </c>
      <c r="O253" s="348"/>
      <c r="P253" s="135" t="s">
        <v>130</v>
      </c>
      <c r="Q253" s="138"/>
      <c r="R253" s="138">
        <v>8.1284365985E10</v>
      </c>
      <c r="S253" s="135" t="s">
        <v>3654</v>
      </c>
      <c r="T253" s="135" t="s">
        <v>3655</v>
      </c>
      <c r="U253" s="135" t="s">
        <v>3656</v>
      </c>
      <c r="V253" s="135" t="s">
        <v>96</v>
      </c>
      <c r="W253" s="135" t="s">
        <v>97</v>
      </c>
      <c r="X253" s="135" t="s">
        <v>3398</v>
      </c>
      <c r="Y253" s="135" t="s">
        <v>3657</v>
      </c>
      <c r="Z253" s="138">
        <v>0.0</v>
      </c>
      <c r="AA253" s="138">
        <v>0.0</v>
      </c>
    </row>
    <row r="254">
      <c r="A254" s="332">
        <v>8.0</v>
      </c>
      <c r="B254" s="135" t="s">
        <v>3658</v>
      </c>
      <c r="C254" s="135" t="s">
        <v>3659</v>
      </c>
      <c r="D254" s="332" t="s">
        <v>5952</v>
      </c>
      <c r="E254" s="124" t="s">
        <v>88</v>
      </c>
      <c r="F254" s="332" t="s">
        <v>5953</v>
      </c>
      <c r="G254" s="332" t="s">
        <v>5954</v>
      </c>
      <c r="H254" s="349" t="s">
        <v>142</v>
      </c>
      <c r="I254" s="135" t="s">
        <v>3542</v>
      </c>
      <c r="J254" s="350"/>
      <c r="K254" s="349" t="s">
        <v>89</v>
      </c>
      <c r="L254" s="135" t="s">
        <v>509</v>
      </c>
      <c r="M254" s="351">
        <v>36682.0</v>
      </c>
      <c r="N254" s="352" t="s">
        <v>67</v>
      </c>
      <c r="O254" s="348"/>
      <c r="P254" s="135" t="s">
        <v>130</v>
      </c>
      <c r="Q254" s="138"/>
      <c r="R254" s="138">
        <v>8.1397626484E10</v>
      </c>
      <c r="S254" s="135" t="s">
        <v>3660</v>
      </c>
      <c r="T254" s="135" t="s">
        <v>3661</v>
      </c>
      <c r="U254" s="135" t="s">
        <v>3662</v>
      </c>
      <c r="V254" s="135" t="s">
        <v>96</v>
      </c>
      <c r="W254" s="135" t="s">
        <v>97</v>
      </c>
      <c r="X254" s="135" t="s">
        <v>3398</v>
      </c>
      <c r="Y254" s="135" t="s">
        <v>3578</v>
      </c>
      <c r="Z254" s="138">
        <v>0.0</v>
      </c>
      <c r="AA254" s="138">
        <v>0.0</v>
      </c>
    </row>
    <row r="255">
      <c r="A255" s="332">
        <v>9.0</v>
      </c>
      <c r="B255" s="135" t="s">
        <v>3663</v>
      </c>
      <c r="C255" s="135" t="s">
        <v>3664</v>
      </c>
      <c r="D255" s="332" t="s">
        <v>5952</v>
      </c>
      <c r="E255" s="124" t="s">
        <v>88</v>
      </c>
      <c r="F255" s="332" t="s">
        <v>5953</v>
      </c>
      <c r="G255" s="332" t="s">
        <v>5954</v>
      </c>
      <c r="H255" s="349" t="s">
        <v>532</v>
      </c>
      <c r="I255" s="135" t="s">
        <v>3542</v>
      </c>
      <c r="J255" s="350"/>
      <c r="K255" s="349" t="s">
        <v>285</v>
      </c>
      <c r="L255" s="135" t="s">
        <v>3665</v>
      </c>
      <c r="M255" s="353">
        <v>38533.0</v>
      </c>
      <c r="N255" s="352" t="s">
        <v>67</v>
      </c>
      <c r="O255" s="348"/>
      <c r="P255" s="135" t="s">
        <v>68</v>
      </c>
      <c r="Q255" s="138"/>
      <c r="R255" s="138">
        <v>8.22744748E10</v>
      </c>
      <c r="S255" s="135" t="s">
        <v>3666</v>
      </c>
      <c r="T255" s="135" t="s">
        <v>3667</v>
      </c>
      <c r="U255" s="135" t="s">
        <v>3668</v>
      </c>
      <c r="V255" s="135" t="s">
        <v>73</v>
      </c>
      <c r="W255" s="135" t="s">
        <v>74</v>
      </c>
      <c r="X255" s="135" t="s">
        <v>774</v>
      </c>
      <c r="Y255" s="135" t="s">
        <v>775</v>
      </c>
      <c r="Z255" s="138">
        <v>0.0</v>
      </c>
      <c r="AA255" s="138">
        <v>0.0</v>
      </c>
    </row>
    <row r="256">
      <c r="A256" s="332">
        <v>10.0</v>
      </c>
      <c r="B256" s="135" t="s">
        <v>3669</v>
      </c>
      <c r="C256" s="135" t="s">
        <v>3670</v>
      </c>
      <c r="D256" s="332" t="s">
        <v>5952</v>
      </c>
      <c r="E256" s="124" t="s">
        <v>88</v>
      </c>
      <c r="F256" s="332" t="s">
        <v>5953</v>
      </c>
      <c r="G256" s="332" t="s">
        <v>5954</v>
      </c>
      <c r="H256" s="349" t="s">
        <v>532</v>
      </c>
      <c r="I256" s="135" t="s">
        <v>3542</v>
      </c>
      <c r="J256" s="350"/>
      <c r="K256" s="349" t="s">
        <v>285</v>
      </c>
      <c r="L256" s="135" t="s">
        <v>3671</v>
      </c>
      <c r="M256" s="351">
        <v>37412.0</v>
      </c>
      <c r="N256" s="352" t="s">
        <v>220</v>
      </c>
      <c r="O256" s="348"/>
      <c r="P256" s="135" t="s">
        <v>130</v>
      </c>
      <c r="Q256" s="138"/>
      <c r="R256" s="138">
        <v>8.2286493097E10</v>
      </c>
      <c r="S256" s="135" t="s">
        <v>3672</v>
      </c>
      <c r="T256" s="135" t="s">
        <v>3673</v>
      </c>
      <c r="U256" s="135" t="s">
        <v>3674</v>
      </c>
      <c r="V256" s="135" t="s">
        <v>73</v>
      </c>
      <c r="W256" s="135" t="s">
        <v>481</v>
      </c>
      <c r="X256" s="135" t="s">
        <v>75</v>
      </c>
      <c r="Y256" s="135" t="s">
        <v>1198</v>
      </c>
      <c r="Z256" s="138">
        <v>0.0</v>
      </c>
      <c r="AA256" s="138">
        <v>0.0</v>
      </c>
    </row>
    <row r="257">
      <c r="A257" s="332">
        <v>11.0</v>
      </c>
      <c r="B257" s="135" t="s">
        <v>3675</v>
      </c>
      <c r="C257" s="135" t="s">
        <v>3676</v>
      </c>
      <c r="D257" s="332" t="s">
        <v>5952</v>
      </c>
      <c r="E257" s="124" t="s">
        <v>88</v>
      </c>
      <c r="F257" s="332" t="s">
        <v>5953</v>
      </c>
      <c r="G257" s="332" t="s">
        <v>5954</v>
      </c>
      <c r="H257" s="349" t="s">
        <v>142</v>
      </c>
      <c r="I257" s="135" t="s">
        <v>3542</v>
      </c>
      <c r="J257" s="350"/>
      <c r="K257" s="349" t="s">
        <v>89</v>
      </c>
      <c r="L257" s="135" t="s">
        <v>1231</v>
      </c>
      <c r="M257" s="351">
        <v>40634.0</v>
      </c>
      <c r="N257" s="352" t="s">
        <v>67</v>
      </c>
      <c r="O257" s="348"/>
      <c r="P257" s="135" t="s">
        <v>68</v>
      </c>
      <c r="Q257" s="138"/>
      <c r="R257" s="138">
        <v>8.5297771441E10</v>
      </c>
      <c r="S257" s="135" t="s">
        <v>3677</v>
      </c>
      <c r="T257" s="135" t="s">
        <v>3678</v>
      </c>
      <c r="U257" s="135" t="s">
        <v>3679</v>
      </c>
      <c r="V257" s="135" t="s">
        <v>73</v>
      </c>
      <c r="W257" s="135" t="s">
        <v>74</v>
      </c>
      <c r="X257" s="135" t="s">
        <v>454</v>
      </c>
      <c r="Y257" s="135" t="s">
        <v>455</v>
      </c>
      <c r="Z257" s="138">
        <v>0.0</v>
      </c>
      <c r="AA257" s="138">
        <v>0.0</v>
      </c>
    </row>
    <row r="258">
      <c r="A258" s="332">
        <v>12.0</v>
      </c>
      <c r="B258" s="135" t="s">
        <v>3680</v>
      </c>
      <c r="C258" s="135" t="s">
        <v>3681</v>
      </c>
      <c r="D258" s="332" t="s">
        <v>5952</v>
      </c>
      <c r="E258" s="124" t="s">
        <v>88</v>
      </c>
      <c r="F258" s="332" t="s">
        <v>5953</v>
      </c>
      <c r="G258" s="332" t="s">
        <v>5954</v>
      </c>
      <c r="H258" s="349" t="s">
        <v>142</v>
      </c>
      <c r="I258" s="135" t="s">
        <v>3542</v>
      </c>
      <c r="J258" s="350"/>
      <c r="K258" s="349" t="s">
        <v>89</v>
      </c>
      <c r="L258" s="135" t="s">
        <v>3682</v>
      </c>
      <c r="M258" s="353">
        <v>38607.0</v>
      </c>
      <c r="N258" s="352" t="s">
        <v>67</v>
      </c>
      <c r="O258" s="348"/>
      <c r="P258" s="135" t="s">
        <v>68</v>
      </c>
      <c r="Q258" s="138"/>
      <c r="R258" s="138">
        <v>8.2298074858E10</v>
      </c>
      <c r="S258" s="135" t="s">
        <v>3683</v>
      </c>
      <c r="T258" s="135" t="s">
        <v>3684</v>
      </c>
      <c r="U258" s="135" t="s">
        <v>3685</v>
      </c>
      <c r="V258" s="135" t="s">
        <v>96</v>
      </c>
      <c r="W258" s="135" t="s">
        <v>3686</v>
      </c>
      <c r="X258" s="135" t="s">
        <v>3687</v>
      </c>
      <c r="Y258" s="135" t="s">
        <v>3688</v>
      </c>
      <c r="Z258" s="138"/>
      <c r="AA258" s="138"/>
    </row>
    <row r="259">
      <c r="A259" s="332">
        <v>13.0</v>
      </c>
      <c r="B259" s="135" t="s">
        <v>3689</v>
      </c>
      <c r="C259" s="135" t="s">
        <v>3690</v>
      </c>
      <c r="D259" s="332" t="s">
        <v>5952</v>
      </c>
      <c r="E259" s="124" t="s">
        <v>88</v>
      </c>
      <c r="F259" s="332" t="s">
        <v>5953</v>
      </c>
      <c r="G259" s="332" t="s">
        <v>5954</v>
      </c>
      <c r="H259" s="349" t="s">
        <v>142</v>
      </c>
      <c r="I259" s="135" t="s">
        <v>3542</v>
      </c>
      <c r="J259" s="350"/>
      <c r="K259" s="349" t="s">
        <v>89</v>
      </c>
      <c r="L259" s="135" t="s">
        <v>745</v>
      </c>
      <c r="M259" s="351">
        <v>39545.0</v>
      </c>
      <c r="N259" s="352" t="s">
        <v>67</v>
      </c>
      <c r="O259" s="348"/>
      <c r="P259" s="135" t="s">
        <v>68</v>
      </c>
      <c r="Q259" s="138"/>
      <c r="R259" s="138">
        <v>8.126594744E10</v>
      </c>
      <c r="S259" s="135" t="s">
        <v>3691</v>
      </c>
      <c r="T259" s="135" t="s">
        <v>3692</v>
      </c>
      <c r="U259" s="135" t="s">
        <v>3693</v>
      </c>
      <c r="V259" s="135" t="s">
        <v>96</v>
      </c>
      <c r="W259" s="135" t="s">
        <v>97</v>
      </c>
      <c r="X259" s="135" t="s">
        <v>1422</v>
      </c>
      <c r="Y259" s="135" t="s">
        <v>3694</v>
      </c>
      <c r="Z259" s="138">
        <v>0.0</v>
      </c>
      <c r="AA259" s="138">
        <v>0.0</v>
      </c>
    </row>
    <row r="260">
      <c r="A260" s="332">
        <v>14.0</v>
      </c>
      <c r="B260" s="135" t="s">
        <v>3695</v>
      </c>
      <c r="C260" s="135" t="s">
        <v>3696</v>
      </c>
      <c r="D260" s="332" t="s">
        <v>5952</v>
      </c>
      <c r="E260" s="124" t="s">
        <v>88</v>
      </c>
      <c r="F260" s="332" t="s">
        <v>5953</v>
      </c>
      <c r="G260" s="332" t="s">
        <v>5954</v>
      </c>
      <c r="H260" s="349" t="s">
        <v>142</v>
      </c>
      <c r="I260" s="135" t="s">
        <v>3542</v>
      </c>
      <c r="J260" s="350"/>
      <c r="K260" s="349" t="s">
        <v>89</v>
      </c>
      <c r="L260" s="135" t="s">
        <v>260</v>
      </c>
      <c r="M260" s="353">
        <v>40022.0</v>
      </c>
      <c r="N260" s="352" t="s">
        <v>67</v>
      </c>
      <c r="O260" s="348"/>
      <c r="P260" s="135" t="s">
        <v>130</v>
      </c>
      <c r="Q260" s="138"/>
      <c r="R260" s="138">
        <v>8.1361247407E10</v>
      </c>
      <c r="S260" s="135" t="s">
        <v>3697</v>
      </c>
      <c r="T260" s="135" t="s">
        <v>3698</v>
      </c>
      <c r="U260" s="135" t="s">
        <v>3699</v>
      </c>
      <c r="V260" s="135" t="s">
        <v>73</v>
      </c>
      <c r="W260" s="135" t="s">
        <v>74</v>
      </c>
      <c r="X260" s="135" t="s">
        <v>989</v>
      </c>
      <c r="Y260" s="135" t="s">
        <v>3700</v>
      </c>
      <c r="Z260" s="138">
        <v>0.0</v>
      </c>
      <c r="AA260" s="138">
        <v>0.0</v>
      </c>
    </row>
    <row r="261">
      <c r="A261" s="332">
        <v>15.0</v>
      </c>
      <c r="B261" s="135" t="s">
        <v>3701</v>
      </c>
      <c r="C261" s="135" t="s">
        <v>3702</v>
      </c>
      <c r="D261" s="332" t="s">
        <v>5952</v>
      </c>
      <c r="E261" s="124" t="s">
        <v>88</v>
      </c>
      <c r="F261" s="332" t="s">
        <v>5953</v>
      </c>
      <c r="G261" s="332" t="s">
        <v>5954</v>
      </c>
      <c r="H261" s="349" t="s">
        <v>142</v>
      </c>
      <c r="I261" s="135" t="s">
        <v>3542</v>
      </c>
      <c r="J261" s="350"/>
      <c r="K261" s="349" t="s">
        <v>89</v>
      </c>
      <c r="L261" s="135" t="s">
        <v>671</v>
      </c>
      <c r="M261" s="351">
        <v>41913.0</v>
      </c>
      <c r="N261" s="352" t="s">
        <v>67</v>
      </c>
      <c r="O261" s="348"/>
      <c r="P261" s="135" t="s">
        <v>130</v>
      </c>
      <c r="Q261" s="138"/>
      <c r="R261" s="138">
        <v>8.1362396604E10</v>
      </c>
      <c r="S261" s="135" t="s">
        <v>3703</v>
      </c>
      <c r="T261" s="135" t="s">
        <v>3704</v>
      </c>
      <c r="U261" s="135" t="s">
        <v>3705</v>
      </c>
      <c r="V261" s="135" t="s">
        <v>73</v>
      </c>
      <c r="W261" s="135" t="s">
        <v>74</v>
      </c>
      <c r="X261" s="135" t="s">
        <v>989</v>
      </c>
      <c r="Y261" s="135" t="s">
        <v>1585</v>
      </c>
      <c r="Z261" s="138"/>
      <c r="AA261" s="138"/>
    </row>
    <row r="262">
      <c r="A262" s="332">
        <v>16.0</v>
      </c>
      <c r="B262" s="135" t="s">
        <v>3706</v>
      </c>
      <c r="C262" s="135" t="s">
        <v>3707</v>
      </c>
      <c r="D262" s="332" t="s">
        <v>5952</v>
      </c>
      <c r="E262" s="124" t="s">
        <v>88</v>
      </c>
      <c r="F262" s="332" t="s">
        <v>5953</v>
      </c>
      <c r="G262" s="332" t="s">
        <v>5954</v>
      </c>
      <c r="H262" s="349" t="s">
        <v>142</v>
      </c>
      <c r="I262" s="135" t="s">
        <v>3542</v>
      </c>
      <c r="J262" s="350"/>
      <c r="K262" s="349" t="s">
        <v>89</v>
      </c>
      <c r="L262" s="135" t="s">
        <v>3708</v>
      </c>
      <c r="M262" s="351">
        <v>40665.0</v>
      </c>
      <c r="N262" s="352" t="s">
        <v>67</v>
      </c>
      <c r="O262" s="348"/>
      <c r="P262" s="135" t="s">
        <v>130</v>
      </c>
      <c r="Q262" s="138"/>
      <c r="R262" s="138">
        <v>8.52972011E10</v>
      </c>
      <c r="S262" s="135" t="s">
        <v>3709</v>
      </c>
      <c r="T262" s="135" t="s">
        <v>3710</v>
      </c>
      <c r="U262" s="135" t="s">
        <v>3711</v>
      </c>
      <c r="V262" s="135" t="s">
        <v>96</v>
      </c>
      <c r="W262" s="135" t="s">
        <v>97</v>
      </c>
      <c r="X262" s="135" t="s">
        <v>379</v>
      </c>
      <c r="Y262" s="135" t="s">
        <v>2205</v>
      </c>
      <c r="Z262" s="138">
        <v>0.0</v>
      </c>
      <c r="AA262" s="138">
        <v>0.0</v>
      </c>
    </row>
    <row r="263">
      <c r="A263" s="332">
        <v>17.0</v>
      </c>
      <c r="B263" s="135" t="s">
        <v>3712</v>
      </c>
      <c r="C263" s="135" t="s">
        <v>3713</v>
      </c>
      <c r="D263" s="332" t="s">
        <v>5952</v>
      </c>
      <c r="E263" s="124" t="s">
        <v>88</v>
      </c>
      <c r="F263" s="332" t="s">
        <v>5953</v>
      </c>
      <c r="G263" s="332" t="s">
        <v>5954</v>
      </c>
      <c r="H263" s="349" t="s">
        <v>142</v>
      </c>
      <c r="I263" s="135" t="s">
        <v>3542</v>
      </c>
      <c r="J263" s="350"/>
      <c r="K263" s="349" t="s">
        <v>89</v>
      </c>
      <c r="L263" s="135" t="s">
        <v>2353</v>
      </c>
      <c r="M263" s="351">
        <v>41549.0</v>
      </c>
      <c r="N263" s="352" t="s">
        <v>220</v>
      </c>
      <c r="O263" s="348"/>
      <c r="P263" s="135" t="s">
        <v>68</v>
      </c>
      <c r="Q263" s="348"/>
      <c r="R263" s="138">
        <v>8.126311221E9</v>
      </c>
      <c r="S263" s="135" t="s">
        <v>3714</v>
      </c>
      <c r="T263" s="135" t="s">
        <v>3715</v>
      </c>
      <c r="U263" s="135" t="s">
        <v>3716</v>
      </c>
      <c r="V263" s="135" t="s">
        <v>73</v>
      </c>
      <c r="W263" s="135" t="s">
        <v>74</v>
      </c>
      <c r="X263" s="135" t="s">
        <v>774</v>
      </c>
      <c r="Y263" s="135" t="s">
        <v>942</v>
      </c>
      <c r="Z263" s="138">
        <v>0.0</v>
      </c>
      <c r="AA263" s="138">
        <v>0.0</v>
      </c>
    </row>
    <row r="264">
      <c r="A264" s="332">
        <v>18.0</v>
      </c>
      <c r="B264" s="135" t="s">
        <v>3717</v>
      </c>
      <c r="C264" s="135" t="s">
        <v>3718</v>
      </c>
      <c r="D264" s="332" t="s">
        <v>5952</v>
      </c>
      <c r="E264" s="124" t="s">
        <v>88</v>
      </c>
      <c r="F264" s="332" t="s">
        <v>5953</v>
      </c>
      <c r="G264" s="332" t="s">
        <v>5954</v>
      </c>
      <c r="H264" s="349" t="s">
        <v>142</v>
      </c>
      <c r="I264" s="135" t="s">
        <v>3542</v>
      </c>
      <c r="J264" s="350"/>
      <c r="K264" s="349" t="s">
        <v>89</v>
      </c>
      <c r="L264" s="135" t="s">
        <v>3156</v>
      </c>
      <c r="M264" s="353">
        <v>40416.0</v>
      </c>
      <c r="N264" s="352" t="s">
        <v>67</v>
      </c>
      <c r="O264" s="348"/>
      <c r="P264" s="135" t="s">
        <v>130</v>
      </c>
      <c r="Q264" s="348"/>
      <c r="R264" s="138">
        <v>8.139678406E10</v>
      </c>
      <c r="S264" s="135" t="s">
        <v>3719</v>
      </c>
      <c r="T264" s="135" t="s">
        <v>3720</v>
      </c>
      <c r="U264" s="135" t="s">
        <v>3721</v>
      </c>
      <c r="V264" s="135" t="s">
        <v>96</v>
      </c>
      <c r="W264" s="135" t="s">
        <v>74</v>
      </c>
      <c r="X264" s="135" t="s">
        <v>989</v>
      </c>
      <c r="Y264" s="135" t="s">
        <v>3700</v>
      </c>
      <c r="Z264" s="138">
        <v>0.0</v>
      </c>
      <c r="AA264" s="138">
        <v>0.0</v>
      </c>
    </row>
    <row r="265">
      <c r="A265" s="332">
        <v>19.0</v>
      </c>
      <c r="B265" s="135" t="s">
        <v>3722</v>
      </c>
      <c r="C265" s="135" t="s">
        <v>3723</v>
      </c>
      <c r="D265" s="332" t="s">
        <v>5952</v>
      </c>
      <c r="E265" s="124" t="s">
        <v>88</v>
      </c>
      <c r="F265" s="332" t="s">
        <v>5953</v>
      </c>
      <c r="G265" s="332" t="s">
        <v>5954</v>
      </c>
      <c r="H265" s="349" t="s">
        <v>142</v>
      </c>
      <c r="I265" s="135" t="s">
        <v>3542</v>
      </c>
      <c r="J265" s="350"/>
      <c r="K265" s="349" t="s">
        <v>89</v>
      </c>
      <c r="L265" s="135" t="s">
        <v>3724</v>
      </c>
      <c r="M265" s="353">
        <v>40308.0</v>
      </c>
      <c r="N265" s="352" t="s">
        <v>67</v>
      </c>
      <c r="O265" s="348"/>
      <c r="P265" s="135" t="s">
        <v>130</v>
      </c>
      <c r="Q265" s="348"/>
      <c r="R265" s="138">
        <v>8.1396637303E10</v>
      </c>
      <c r="S265" s="135" t="s">
        <v>3725</v>
      </c>
      <c r="T265" s="135" t="s">
        <v>3726</v>
      </c>
      <c r="U265" s="135" t="s">
        <v>3727</v>
      </c>
      <c r="V265" s="135" t="s">
        <v>73</v>
      </c>
      <c r="W265" s="135" t="s">
        <v>481</v>
      </c>
      <c r="X265" s="135" t="s">
        <v>582</v>
      </c>
      <c r="Y265" s="135" t="s">
        <v>900</v>
      </c>
      <c r="Z265" s="138">
        <v>0.0</v>
      </c>
      <c r="AA265" s="138">
        <v>0.0</v>
      </c>
    </row>
    <row r="266">
      <c r="A266" s="332">
        <v>20.0</v>
      </c>
      <c r="B266" s="135" t="s">
        <v>3728</v>
      </c>
      <c r="C266" s="135" t="s">
        <v>3729</v>
      </c>
      <c r="D266" s="332" t="s">
        <v>5952</v>
      </c>
      <c r="E266" s="124" t="s">
        <v>88</v>
      </c>
      <c r="F266" s="332" t="s">
        <v>5953</v>
      </c>
      <c r="G266" s="332" t="s">
        <v>5954</v>
      </c>
      <c r="H266" s="349" t="s">
        <v>142</v>
      </c>
      <c r="I266" s="135" t="s">
        <v>3542</v>
      </c>
      <c r="J266" s="350"/>
      <c r="K266" s="349" t="s">
        <v>89</v>
      </c>
      <c r="L266" s="135" t="s">
        <v>64</v>
      </c>
      <c r="M266" s="353">
        <v>44985.0</v>
      </c>
      <c r="N266" s="352" t="s">
        <v>67</v>
      </c>
      <c r="O266" s="348"/>
      <c r="P266" s="135" t="s">
        <v>68</v>
      </c>
      <c r="Q266" s="348"/>
      <c r="R266" s="138">
        <v>8.1361839462E10</v>
      </c>
      <c r="S266" s="354" t="s">
        <v>3730</v>
      </c>
      <c r="T266" s="135" t="s">
        <v>3731</v>
      </c>
      <c r="U266" s="135" t="s">
        <v>3732</v>
      </c>
      <c r="V266" s="135" t="s">
        <v>73</v>
      </c>
      <c r="W266" s="135" t="s">
        <v>481</v>
      </c>
      <c r="X266" s="135" t="s">
        <v>178</v>
      </c>
      <c r="Y266" s="135" t="s">
        <v>2743</v>
      </c>
      <c r="Z266" s="138"/>
      <c r="AA266" s="138"/>
    </row>
    <row r="267">
      <c r="A267" s="332">
        <v>21.0</v>
      </c>
      <c r="B267" s="135" t="s">
        <v>3733</v>
      </c>
      <c r="C267" s="135" t="s">
        <v>3734</v>
      </c>
      <c r="D267" s="332" t="s">
        <v>5952</v>
      </c>
      <c r="E267" s="124" t="s">
        <v>88</v>
      </c>
      <c r="F267" s="332" t="s">
        <v>5953</v>
      </c>
      <c r="G267" s="332" t="s">
        <v>5954</v>
      </c>
      <c r="H267" s="349" t="s">
        <v>142</v>
      </c>
      <c r="I267" s="135" t="s">
        <v>3542</v>
      </c>
      <c r="J267" s="350"/>
      <c r="K267" s="349" t="s">
        <v>89</v>
      </c>
      <c r="L267" s="135" t="s">
        <v>1231</v>
      </c>
      <c r="M267" s="353">
        <v>43965.0</v>
      </c>
      <c r="N267" s="352" t="s">
        <v>67</v>
      </c>
      <c r="O267" s="348"/>
      <c r="P267" s="135" t="s">
        <v>68</v>
      </c>
      <c r="Q267" s="348"/>
      <c r="R267" s="138">
        <v>8.1269808182E10</v>
      </c>
      <c r="S267" s="135" t="s">
        <v>3735</v>
      </c>
      <c r="T267" s="135" t="s">
        <v>3736</v>
      </c>
      <c r="U267" s="135" t="s">
        <v>3737</v>
      </c>
      <c r="V267" s="135" t="s">
        <v>73</v>
      </c>
      <c r="W267" s="135" t="s">
        <v>74</v>
      </c>
      <c r="X267" s="135" t="s">
        <v>178</v>
      </c>
      <c r="Y267" s="135" t="s">
        <v>179</v>
      </c>
      <c r="Z267" s="138">
        <v>0.0</v>
      </c>
      <c r="AA267" s="138">
        <v>0.0</v>
      </c>
    </row>
    <row r="268">
      <c r="A268" s="332">
        <v>22.0</v>
      </c>
      <c r="B268" s="135" t="s">
        <v>3738</v>
      </c>
      <c r="C268" s="135" t="s">
        <v>3739</v>
      </c>
      <c r="D268" s="332" t="s">
        <v>5952</v>
      </c>
      <c r="E268" s="124" t="s">
        <v>88</v>
      </c>
      <c r="F268" s="332" t="s">
        <v>5953</v>
      </c>
      <c r="G268" s="332" t="s">
        <v>5954</v>
      </c>
      <c r="H268" s="349" t="s">
        <v>532</v>
      </c>
      <c r="I268" s="135" t="s">
        <v>3542</v>
      </c>
      <c r="J268" s="350"/>
      <c r="K268" s="349" t="s">
        <v>285</v>
      </c>
      <c r="L268" s="135" t="s">
        <v>2371</v>
      </c>
      <c r="M268" s="351">
        <v>42857.0</v>
      </c>
      <c r="N268" s="352" t="s">
        <v>67</v>
      </c>
      <c r="O268" s="348"/>
      <c r="P268" s="135" t="s">
        <v>68</v>
      </c>
      <c r="Q268" s="348"/>
      <c r="R268" s="138">
        <v>8.779234222E10</v>
      </c>
      <c r="S268" s="135" t="s">
        <v>3740</v>
      </c>
      <c r="T268" s="135" t="s">
        <v>3741</v>
      </c>
      <c r="U268" s="135" t="s">
        <v>3742</v>
      </c>
      <c r="V268" s="135" t="s">
        <v>73</v>
      </c>
      <c r="W268" s="135" t="s">
        <v>481</v>
      </c>
      <c r="X268" s="135" t="s">
        <v>118</v>
      </c>
      <c r="Y268" s="135" t="s">
        <v>1848</v>
      </c>
      <c r="Z268" s="138">
        <v>1.0</v>
      </c>
      <c r="AA268" s="138">
        <v>12.0</v>
      </c>
    </row>
    <row r="269">
      <c r="A269" s="332">
        <v>23.0</v>
      </c>
      <c r="B269" s="135" t="s">
        <v>3743</v>
      </c>
      <c r="C269" s="135" t="s">
        <v>3744</v>
      </c>
      <c r="D269" s="332" t="s">
        <v>5952</v>
      </c>
      <c r="E269" s="124" t="s">
        <v>88</v>
      </c>
      <c r="F269" s="332" t="s">
        <v>5953</v>
      </c>
      <c r="G269" s="332" t="s">
        <v>5954</v>
      </c>
      <c r="H269" s="349" t="s">
        <v>142</v>
      </c>
      <c r="I269" s="135" t="s">
        <v>3542</v>
      </c>
      <c r="J269" s="350"/>
      <c r="K269" s="349" t="s">
        <v>89</v>
      </c>
      <c r="L269" s="135" t="s">
        <v>1231</v>
      </c>
      <c r="M269" s="353">
        <v>42457.0</v>
      </c>
      <c r="N269" s="352" t="s">
        <v>67</v>
      </c>
      <c r="O269" s="348"/>
      <c r="P269" s="135" t="s">
        <v>68</v>
      </c>
      <c r="Q269" s="348"/>
      <c r="R269" s="138">
        <v>8.2187754141E10</v>
      </c>
      <c r="S269" s="135" t="s">
        <v>3745</v>
      </c>
      <c r="T269" s="135" t="s">
        <v>3746</v>
      </c>
      <c r="U269" s="135" t="s">
        <v>3747</v>
      </c>
      <c r="V269" s="135" t="s">
        <v>96</v>
      </c>
      <c r="W269" s="135" t="s">
        <v>97</v>
      </c>
      <c r="X269" s="135" t="s">
        <v>379</v>
      </c>
      <c r="Y269" s="135" t="s">
        <v>389</v>
      </c>
      <c r="Z269" s="138"/>
      <c r="AA269" s="138"/>
    </row>
    <row r="270">
      <c r="A270" s="332">
        <v>24.0</v>
      </c>
      <c r="B270" s="135" t="s">
        <v>3748</v>
      </c>
      <c r="C270" s="135" t="s">
        <v>3749</v>
      </c>
      <c r="D270" s="332" t="s">
        <v>5952</v>
      </c>
      <c r="E270" s="124" t="s">
        <v>88</v>
      </c>
      <c r="F270" s="332" t="s">
        <v>5953</v>
      </c>
      <c r="G270" s="332" t="s">
        <v>5954</v>
      </c>
      <c r="H270" s="349" t="s">
        <v>142</v>
      </c>
      <c r="I270" s="135" t="s">
        <v>3542</v>
      </c>
      <c r="J270" s="350"/>
      <c r="K270" s="349" t="s">
        <v>89</v>
      </c>
      <c r="L270" s="135" t="s">
        <v>244</v>
      </c>
      <c r="M270" s="351">
        <v>43504.0</v>
      </c>
      <c r="N270" s="352" t="s">
        <v>67</v>
      </c>
      <c r="O270" s="348"/>
      <c r="P270" s="135" t="s">
        <v>130</v>
      </c>
      <c r="Q270" s="348"/>
      <c r="R270" s="138">
        <v>8.5260735297E10</v>
      </c>
      <c r="S270" s="135" t="s">
        <v>3750</v>
      </c>
      <c r="T270" s="135" t="s">
        <v>3751</v>
      </c>
      <c r="U270" s="135" t="s">
        <v>3752</v>
      </c>
      <c r="V270" s="135" t="s">
        <v>73</v>
      </c>
      <c r="W270" s="135" t="s">
        <v>74</v>
      </c>
      <c r="X270" s="135" t="s">
        <v>989</v>
      </c>
      <c r="Y270" s="135" t="s">
        <v>3753</v>
      </c>
      <c r="Z270" s="138" t="s">
        <v>77</v>
      </c>
      <c r="AA270" s="138" t="s">
        <v>77</v>
      </c>
    </row>
    <row r="271">
      <c r="A271" s="332">
        <v>25.0</v>
      </c>
      <c r="B271" s="135" t="s">
        <v>3754</v>
      </c>
      <c r="C271" s="135" t="s">
        <v>3755</v>
      </c>
      <c r="D271" s="332" t="s">
        <v>5952</v>
      </c>
      <c r="E271" s="124" t="s">
        <v>88</v>
      </c>
      <c r="F271" s="332" t="s">
        <v>5953</v>
      </c>
      <c r="G271" s="332" t="s">
        <v>5954</v>
      </c>
      <c r="H271" s="349" t="s">
        <v>142</v>
      </c>
      <c r="I271" s="135" t="s">
        <v>3542</v>
      </c>
      <c r="J271" s="350"/>
      <c r="K271" s="349" t="s">
        <v>89</v>
      </c>
      <c r="L271" s="135" t="s">
        <v>3756</v>
      </c>
      <c r="M271" s="353">
        <v>40166.0</v>
      </c>
      <c r="N271" s="352" t="s">
        <v>311</v>
      </c>
      <c r="O271" s="348"/>
      <c r="P271" s="135" t="s">
        <v>130</v>
      </c>
      <c r="Q271" s="348"/>
      <c r="R271" s="138">
        <v>8.11648051E9</v>
      </c>
      <c r="S271" s="135" t="s">
        <v>3757</v>
      </c>
      <c r="T271" s="135" t="s">
        <v>3758</v>
      </c>
      <c r="U271" s="135" t="s">
        <v>3759</v>
      </c>
      <c r="V271" s="135" t="s">
        <v>96</v>
      </c>
      <c r="W271" s="135" t="s">
        <v>97</v>
      </c>
      <c r="X271" s="135" t="s">
        <v>379</v>
      </c>
      <c r="Y271" s="135" t="s">
        <v>2205</v>
      </c>
      <c r="Z271" s="138">
        <v>0.0</v>
      </c>
      <c r="AA271" s="138">
        <v>0.0</v>
      </c>
    </row>
    <row r="272">
      <c r="A272" s="332">
        <v>26.0</v>
      </c>
      <c r="B272" s="135" t="s">
        <v>3760</v>
      </c>
      <c r="C272" s="135" t="s">
        <v>3761</v>
      </c>
      <c r="D272" s="332" t="s">
        <v>5952</v>
      </c>
      <c r="E272" s="124" t="s">
        <v>88</v>
      </c>
      <c r="F272" s="332" t="s">
        <v>5953</v>
      </c>
      <c r="G272" s="332" t="s">
        <v>5954</v>
      </c>
      <c r="H272" s="349" t="s">
        <v>519</v>
      </c>
      <c r="I272" s="135" t="s">
        <v>3542</v>
      </c>
      <c r="J272" s="350"/>
      <c r="K272" s="349" t="s">
        <v>267</v>
      </c>
      <c r="L272" s="135" t="s">
        <v>3762</v>
      </c>
      <c r="M272" s="353">
        <v>35994.0</v>
      </c>
      <c r="N272" s="352" t="s">
        <v>220</v>
      </c>
      <c r="O272" s="348"/>
      <c r="P272" s="135" t="s">
        <v>130</v>
      </c>
      <c r="Q272" s="348"/>
      <c r="R272" s="138">
        <v>8.5261526614E10</v>
      </c>
      <c r="S272" s="135" t="s">
        <v>3763</v>
      </c>
      <c r="T272" s="135" t="s">
        <v>3764</v>
      </c>
      <c r="U272" s="135" t="s">
        <v>3765</v>
      </c>
      <c r="V272" s="135" t="s">
        <v>73</v>
      </c>
      <c r="W272" s="135" t="s">
        <v>74</v>
      </c>
      <c r="X272" s="135" t="s">
        <v>774</v>
      </c>
      <c r="Y272" s="135" t="s">
        <v>799</v>
      </c>
      <c r="Z272" s="138">
        <v>0.0</v>
      </c>
      <c r="AA272" s="138">
        <v>0.0</v>
      </c>
    </row>
    <row r="273">
      <c r="A273" s="332">
        <v>27.0</v>
      </c>
      <c r="B273" s="135" t="s">
        <v>3766</v>
      </c>
      <c r="C273" s="135" t="s">
        <v>3767</v>
      </c>
      <c r="D273" s="332" t="s">
        <v>5952</v>
      </c>
      <c r="E273" s="124" t="s">
        <v>88</v>
      </c>
      <c r="F273" s="332" t="s">
        <v>5953</v>
      </c>
      <c r="G273" s="332" t="s">
        <v>5954</v>
      </c>
      <c r="H273" s="349" t="s">
        <v>142</v>
      </c>
      <c r="I273" s="135" t="s">
        <v>3542</v>
      </c>
      <c r="J273" s="350"/>
      <c r="K273" s="349" t="s">
        <v>89</v>
      </c>
      <c r="L273" s="135" t="s">
        <v>3768</v>
      </c>
      <c r="M273" s="353">
        <v>43092.0</v>
      </c>
      <c r="N273" s="352" t="s">
        <v>311</v>
      </c>
      <c r="O273" s="348"/>
      <c r="P273" s="135" t="s">
        <v>68</v>
      </c>
      <c r="Q273" s="348"/>
      <c r="R273" s="138">
        <v>8.116086996E9</v>
      </c>
      <c r="S273" s="135" t="s">
        <v>3769</v>
      </c>
      <c r="T273" s="135" t="s">
        <v>3770</v>
      </c>
      <c r="U273" s="135" t="s">
        <v>3771</v>
      </c>
      <c r="V273" s="135" t="s">
        <v>96</v>
      </c>
      <c r="W273" s="135" t="s">
        <v>135</v>
      </c>
      <c r="X273" s="135" t="s">
        <v>98</v>
      </c>
      <c r="Y273" s="135" t="s">
        <v>3309</v>
      </c>
      <c r="Z273" s="138">
        <v>0.0</v>
      </c>
      <c r="AA273" s="138">
        <v>0.0</v>
      </c>
    </row>
    <row r="274">
      <c r="A274" s="332">
        <v>28.0</v>
      </c>
      <c r="B274" s="135" t="s">
        <v>3772</v>
      </c>
      <c r="C274" s="135" t="s">
        <v>3773</v>
      </c>
      <c r="D274" s="332" t="s">
        <v>5952</v>
      </c>
      <c r="E274" s="124" t="s">
        <v>88</v>
      </c>
      <c r="F274" s="332" t="s">
        <v>5953</v>
      </c>
      <c r="G274" s="332" t="s">
        <v>5954</v>
      </c>
      <c r="H274" s="349" t="s">
        <v>532</v>
      </c>
      <c r="I274" s="135" t="s">
        <v>3542</v>
      </c>
      <c r="J274" s="350"/>
      <c r="K274" s="349" t="s">
        <v>285</v>
      </c>
      <c r="L274" s="135" t="s">
        <v>3774</v>
      </c>
      <c r="M274" s="353">
        <v>39613.0</v>
      </c>
      <c r="N274" s="352" t="s">
        <v>67</v>
      </c>
      <c r="O274" s="348"/>
      <c r="P274" s="135" t="s">
        <v>130</v>
      </c>
      <c r="Q274" s="348"/>
      <c r="R274" s="138">
        <v>8.1264847277E10</v>
      </c>
      <c r="S274" s="135" t="s">
        <v>3775</v>
      </c>
      <c r="T274" s="135" t="s">
        <v>3776</v>
      </c>
      <c r="U274" s="135" t="s">
        <v>3777</v>
      </c>
      <c r="V274" s="135" t="s">
        <v>73</v>
      </c>
      <c r="W274" s="135" t="s">
        <v>166</v>
      </c>
      <c r="X274" s="135" t="s">
        <v>596</v>
      </c>
      <c r="Y274" s="135" t="s">
        <v>3778</v>
      </c>
      <c r="Z274" s="138"/>
      <c r="AA274" s="138"/>
    </row>
    <row r="275">
      <c r="A275" s="332">
        <v>29.0</v>
      </c>
      <c r="B275" s="135" t="s">
        <v>3779</v>
      </c>
      <c r="C275" s="135" t="s">
        <v>3780</v>
      </c>
      <c r="D275" s="332" t="s">
        <v>5952</v>
      </c>
      <c r="E275" s="124" t="s">
        <v>88</v>
      </c>
      <c r="F275" s="332" t="s">
        <v>5953</v>
      </c>
      <c r="G275" s="332" t="s">
        <v>5954</v>
      </c>
      <c r="H275" s="349" t="s">
        <v>142</v>
      </c>
      <c r="I275" s="135" t="s">
        <v>3542</v>
      </c>
      <c r="J275" s="350"/>
      <c r="K275" s="349" t="s">
        <v>89</v>
      </c>
      <c r="L275" s="135" t="s">
        <v>2064</v>
      </c>
      <c r="M275" s="353">
        <v>40107.0</v>
      </c>
      <c r="N275" s="352" t="s">
        <v>67</v>
      </c>
      <c r="O275" s="348"/>
      <c r="P275" s="135" t="s">
        <v>130</v>
      </c>
      <c r="Q275" s="348"/>
      <c r="R275" s="138">
        <v>8.1262933399E10</v>
      </c>
      <c r="S275" s="135" t="s">
        <v>3781</v>
      </c>
      <c r="T275" s="135" t="s">
        <v>3782</v>
      </c>
      <c r="U275" s="135" t="s">
        <v>3783</v>
      </c>
      <c r="V275" s="135" t="s">
        <v>73</v>
      </c>
      <c r="W275" s="135" t="s">
        <v>166</v>
      </c>
      <c r="X275" s="135" t="s">
        <v>596</v>
      </c>
      <c r="Y275" s="135" t="s">
        <v>2170</v>
      </c>
      <c r="Z275" s="138" t="s">
        <v>77</v>
      </c>
      <c r="AA275" s="138" t="s">
        <v>77</v>
      </c>
    </row>
    <row r="276">
      <c r="A276" s="332">
        <v>30.0</v>
      </c>
      <c r="B276" s="135" t="s">
        <v>3784</v>
      </c>
      <c r="C276" s="135" t="s">
        <v>3785</v>
      </c>
      <c r="D276" s="332" t="s">
        <v>5952</v>
      </c>
      <c r="E276" s="124" t="s">
        <v>88</v>
      </c>
      <c r="F276" s="332" t="s">
        <v>5953</v>
      </c>
      <c r="G276" s="332" t="s">
        <v>5954</v>
      </c>
      <c r="H276" s="349" t="s">
        <v>142</v>
      </c>
      <c r="I276" s="135" t="s">
        <v>3542</v>
      </c>
      <c r="J276" s="350"/>
      <c r="K276" s="349" t="s">
        <v>89</v>
      </c>
      <c r="L276" s="135" t="s">
        <v>1780</v>
      </c>
      <c r="M276" s="355" t="s">
        <v>1104</v>
      </c>
      <c r="N276" s="352" t="s">
        <v>67</v>
      </c>
      <c r="O276" s="348"/>
      <c r="P276" s="135" t="s">
        <v>68</v>
      </c>
      <c r="Q276" s="348"/>
      <c r="R276" s="138">
        <v>8.1376661126E10</v>
      </c>
      <c r="S276" s="135" t="s">
        <v>3786</v>
      </c>
      <c r="T276" s="135" t="s">
        <v>3787</v>
      </c>
      <c r="U276" s="135" t="s">
        <v>3788</v>
      </c>
      <c r="V276" s="135" t="s">
        <v>96</v>
      </c>
      <c r="W276" s="135" t="s">
        <v>135</v>
      </c>
      <c r="X276" s="135" t="s">
        <v>1429</v>
      </c>
      <c r="Y276" s="135" t="s">
        <v>1960</v>
      </c>
      <c r="Z276" s="138">
        <v>1.0</v>
      </c>
      <c r="AA276" s="138"/>
    </row>
    <row r="277">
      <c r="A277" s="332">
        <v>31.0</v>
      </c>
      <c r="B277" s="135" t="s">
        <v>3789</v>
      </c>
      <c r="C277" s="135" t="s">
        <v>3790</v>
      </c>
      <c r="D277" s="332" t="s">
        <v>5952</v>
      </c>
      <c r="E277" s="124" t="s">
        <v>88</v>
      </c>
      <c r="F277" s="332" t="s">
        <v>5953</v>
      </c>
      <c r="G277" s="332" t="s">
        <v>5954</v>
      </c>
      <c r="H277" s="349" t="s">
        <v>532</v>
      </c>
      <c r="I277" s="135" t="s">
        <v>3542</v>
      </c>
      <c r="J277" s="350"/>
      <c r="K277" s="349" t="s">
        <v>285</v>
      </c>
      <c r="L277" s="135" t="s">
        <v>3791</v>
      </c>
      <c r="M277" s="353">
        <v>39613.0</v>
      </c>
      <c r="N277" s="352" t="s">
        <v>67</v>
      </c>
      <c r="O277" s="348"/>
      <c r="P277" s="135" t="s">
        <v>68</v>
      </c>
      <c r="Q277" s="348"/>
      <c r="R277" s="138">
        <v>8.1362303022E10</v>
      </c>
      <c r="S277" s="135" t="s">
        <v>3792</v>
      </c>
      <c r="T277" s="135" t="s">
        <v>3793</v>
      </c>
      <c r="U277" s="135" t="s">
        <v>3794</v>
      </c>
      <c r="V277" s="135" t="s">
        <v>73</v>
      </c>
      <c r="W277" s="135" t="s">
        <v>74</v>
      </c>
      <c r="X277" s="135" t="s">
        <v>178</v>
      </c>
      <c r="Y277" s="135" t="s">
        <v>2743</v>
      </c>
      <c r="Z277" s="138">
        <v>0.0</v>
      </c>
      <c r="AA277" s="138">
        <v>0.0</v>
      </c>
    </row>
    <row r="278">
      <c r="A278" s="332">
        <v>32.0</v>
      </c>
      <c r="B278" s="135" t="s">
        <v>3795</v>
      </c>
      <c r="C278" s="135" t="s">
        <v>3796</v>
      </c>
      <c r="D278" s="332" t="s">
        <v>5952</v>
      </c>
      <c r="E278" s="124" t="s">
        <v>88</v>
      </c>
      <c r="F278" s="332" t="s">
        <v>5953</v>
      </c>
      <c r="G278" s="332" t="s">
        <v>5954</v>
      </c>
      <c r="H278" s="349" t="s">
        <v>142</v>
      </c>
      <c r="I278" s="135" t="s">
        <v>3542</v>
      </c>
      <c r="J278" s="350"/>
      <c r="K278" s="349" t="s">
        <v>89</v>
      </c>
      <c r="L278" s="135" t="s">
        <v>3797</v>
      </c>
      <c r="M278" s="351">
        <v>42796.0</v>
      </c>
      <c r="N278" s="352" t="s">
        <v>67</v>
      </c>
      <c r="O278" s="348"/>
      <c r="P278" s="135" t="s">
        <v>68</v>
      </c>
      <c r="Q278" s="348"/>
      <c r="R278" s="138">
        <v>8.1260236236E10</v>
      </c>
      <c r="S278" s="135" t="s">
        <v>3798</v>
      </c>
      <c r="T278" s="135" t="s">
        <v>3799</v>
      </c>
      <c r="U278" s="135" t="s">
        <v>3800</v>
      </c>
      <c r="V278" s="135" t="s">
        <v>73</v>
      </c>
      <c r="W278" s="135" t="s">
        <v>481</v>
      </c>
      <c r="X278" s="135" t="s">
        <v>1698</v>
      </c>
      <c r="Y278" s="135" t="s">
        <v>3420</v>
      </c>
      <c r="Z278" s="138"/>
      <c r="AA278" s="138"/>
    </row>
    <row r="279">
      <c r="A279" s="332">
        <v>33.0</v>
      </c>
      <c r="B279" s="135" t="s">
        <v>3801</v>
      </c>
      <c r="C279" s="135" t="s">
        <v>3802</v>
      </c>
      <c r="D279" s="332" t="s">
        <v>5952</v>
      </c>
      <c r="E279" s="124" t="s">
        <v>88</v>
      </c>
      <c r="F279" s="332" t="s">
        <v>5953</v>
      </c>
      <c r="G279" s="332" t="s">
        <v>5954</v>
      </c>
      <c r="H279" s="349" t="s">
        <v>142</v>
      </c>
      <c r="I279" s="135" t="s">
        <v>3542</v>
      </c>
      <c r="J279" s="350"/>
      <c r="K279" s="349" t="s">
        <v>89</v>
      </c>
      <c r="L279" s="135" t="s">
        <v>3803</v>
      </c>
      <c r="M279" s="353">
        <v>38372.0</v>
      </c>
      <c r="N279" s="352" t="s">
        <v>67</v>
      </c>
      <c r="O279" s="348"/>
      <c r="P279" s="135" t="s">
        <v>130</v>
      </c>
      <c r="Q279" s="348"/>
      <c r="R279" s="138">
        <v>8.116390058E9</v>
      </c>
      <c r="S279" s="135" t="s">
        <v>3804</v>
      </c>
      <c r="T279" s="135" t="s">
        <v>3805</v>
      </c>
      <c r="U279" s="135" t="s">
        <v>3806</v>
      </c>
      <c r="V279" s="135" t="s">
        <v>73</v>
      </c>
      <c r="W279" s="135" t="s">
        <v>74</v>
      </c>
      <c r="X279" s="135" t="s">
        <v>582</v>
      </c>
      <c r="Y279" s="135" t="s">
        <v>3807</v>
      </c>
      <c r="Z279" s="138">
        <v>0.0</v>
      </c>
      <c r="AA279" s="138">
        <v>0.0</v>
      </c>
    </row>
    <row r="280">
      <c r="A280" s="332">
        <v>34.0</v>
      </c>
      <c r="B280" s="135" t="s">
        <v>3808</v>
      </c>
      <c r="C280" s="135" t="s">
        <v>3809</v>
      </c>
      <c r="D280" s="332" t="s">
        <v>5952</v>
      </c>
      <c r="E280" s="124" t="s">
        <v>88</v>
      </c>
      <c r="F280" s="332" t="s">
        <v>5953</v>
      </c>
      <c r="G280" s="332" t="s">
        <v>5954</v>
      </c>
      <c r="H280" s="349" t="s">
        <v>142</v>
      </c>
      <c r="I280" s="135" t="s">
        <v>3542</v>
      </c>
      <c r="J280" s="350"/>
      <c r="K280" s="349" t="s">
        <v>89</v>
      </c>
      <c r="L280" s="135" t="s">
        <v>1528</v>
      </c>
      <c r="M280" s="351">
        <v>42530.0</v>
      </c>
      <c r="N280" s="352" t="s">
        <v>220</v>
      </c>
      <c r="O280" s="348"/>
      <c r="P280" s="135" t="s">
        <v>68</v>
      </c>
      <c r="Q280" s="348"/>
      <c r="R280" s="138">
        <v>8.1269815998E10</v>
      </c>
      <c r="S280" s="135" t="s">
        <v>3810</v>
      </c>
      <c r="T280" s="135" t="s">
        <v>3811</v>
      </c>
      <c r="U280" s="135" t="s">
        <v>3812</v>
      </c>
      <c r="V280" s="135" t="s">
        <v>73</v>
      </c>
      <c r="W280" s="135" t="s">
        <v>835</v>
      </c>
      <c r="X280" s="135" t="s">
        <v>774</v>
      </c>
      <c r="Y280" s="135" t="s">
        <v>775</v>
      </c>
      <c r="Z280" s="138">
        <v>0.0</v>
      </c>
      <c r="AA280" s="138">
        <v>0.0</v>
      </c>
    </row>
    <row r="281">
      <c r="A281" s="332">
        <v>35.0</v>
      </c>
      <c r="B281" s="135" t="s">
        <v>3813</v>
      </c>
      <c r="C281" s="135" t="s">
        <v>3814</v>
      </c>
      <c r="D281" s="332" t="s">
        <v>5952</v>
      </c>
      <c r="E281" s="124" t="s">
        <v>88</v>
      </c>
      <c r="F281" s="332" t="s">
        <v>5953</v>
      </c>
      <c r="G281" s="332" t="s">
        <v>5954</v>
      </c>
      <c r="H281" s="349" t="s">
        <v>142</v>
      </c>
      <c r="I281" s="135" t="s">
        <v>3542</v>
      </c>
      <c r="J281" s="350"/>
      <c r="K281" s="349" t="s">
        <v>89</v>
      </c>
      <c r="L281" s="135" t="s">
        <v>244</v>
      </c>
      <c r="M281" s="351">
        <v>41183.0</v>
      </c>
      <c r="N281" s="352" t="s">
        <v>67</v>
      </c>
      <c r="O281" s="348"/>
      <c r="P281" s="135" t="s">
        <v>130</v>
      </c>
      <c r="Q281" s="348"/>
      <c r="R281" s="138">
        <v>8.1807702702E10</v>
      </c>
      <c r="S281" s="135" t="s">
        <v>3815</v>
      </c>
      <c r="T281" s="135" t="s">
        <v>3816</v>
      </c>
      <c r="U281" s="135" t="s">
        <v>3817</v>
      </c>
      <c r="V281" s="135" t="s">
        <v>96</v>
      </c>
      <c r="W281" s="135" t="s">
        <v>97</v>
      </c>
      <c r="X281" s="135" t="s">
        <v>178</v>
      </c>
      <c r="Y281" s="135" t="s">
        <v>998</v>
      </c>
      <c r="Z281" s="138"/>
      <c r="AA281" s="138"/>
    </row>
    <row r="282">
      <c r="A282" s="332">
        <v>36.0</v>
      </c>
      <c r="B282" s="135" t="s">
        <v>3818</v>
      </c>
      <c r="C282" s="135" t="s">
        <v>3819</v>
      </c>
      <c r="D282" s="332" t="s">
        <v>5952</v>
      </c>
      <c r="E282" s="124" t="s">
        <v>88</v>
      </c>
      <c r="F282" s="332" t="s">
        <v>5953</v>
      </c>
      <c r="G282" s="332" t="s">
        <v>5954</v>
      </c>
      <c r="H282" s="349" t="s">
        <v>142</v>
      </c>
      <c r="I282" s="135" t="s">
        <v>3542</v>
      </c>
      <c r="J282" s="350"/>
      <c r="K282" s="349" t="s">
        <v>89</v>
      </c>
      <c r="L282" s="135" t="s">
        <v>244</v>
      </c>
      <c r="M282" s="353">
        <v>40539.0</v>
      </c>
      <c r="N282" s="352" t="s">
        <v>67</v>
      </c>
      <c r="O282" s="348"/>
      <c r="P282" s="135" t="s">
        <v>130</v>
      </c>
      <c r="Q282" s="348"/>
      <c r="R282" s="138">
        <v>8.137074619E10</v>
      </c>
      <c r="S282" s="135" t="s">
        <v>3820</v>
      </c>
      <c r="T282" s="135" t="s">
        <v>1733</v>
      </c>
      <c r="U282" s="135" t="s">
        <v>3821</v>
      </c>
      <c r="V282" s="135" t="s">
        <v>73</v>
      </c>
      <c r="W282" s="135" t="s">
        <v>74</v>
      </c>
      <c r="X282" s="135" t="s">
        <v>360</v>
      </c>
      <c r="Y282" s="135" t="s">
        <v>893</v>
      </c>
      <c r="Z282" s="138"/>
      <c r="AA282" s="138"/>
    </row>
    <row r="283">
      <c r="A283" s="332">
        <v>37.0</v>
      </c>
      <c r="B283" s="135" t="s">
        <v>3822</v>
      </c>
      <c r="C283" s="135" t="s">
        <v>3823</v>
      </c>
      <c r="D283" s="332" t="s">
        <v>5952</v>
      </c>
      <c r="E283" s="124" t="s">
        <v>88</v>
      </c>
      <c r="F283" s="332" t="s">
        <v>5953</v>
      </c>
      <c r="G283" s="332" t="s">
        <v>5954</v>
      </c>
      <c r="H283" s="349" t="s">
        <v>142</v>
      </c>
      <c r="I283" s="135" t="s">
        <v>3542</v>
      </c>
      <c r="J283" s="350"/>
      <c r="K283" s="349" t="s">
        <v>89</v>
      </c>
      <c r="L283" s="135" t="s">
        <v>3824</v>
      </c>
      <c r="M283" s="353">
        <v>43026.0</v>
      </c>
      <c r="N283" s="352" t="s">
        <v>220</v>
      </c>
      <c r="O283" s="348"/>
      <c r="P283" s="135" t="s">
        <v>130</v>
      </c>
      <c r="Q283" s="348"/>
      <c r="R283" s="138">
        <v>8.2370976334E10</v>
      </c>
      <c r="S283" s="135" t="s">
        <v>3825</v>
      </c>
      <c r="T283" s="135" t="s">
        <v>3826</v>
      </c>
      <c r="U283" s="135" t="s">
        <v>3827</v>
      </c>
      <c r="V283" s="135" t="s">
        <v>96</v>
      </c>
      <c r="W283" s="135" t="s">
        <v>150</v>
      </c>
      <c r="X283" s="135" t="s">
        <v>1060</v>
      </c>
      <c r="Y283" s="135" t="s">
        <v>3828</v>
      </c>
      <c r="Z283" s="138">
        <v>0.0</v>
      </c>
      <c r="AA283" s="138">
        <v>0.0</v>
      </c>
    </row>
    <row r="284">
      <c r="A284" s="332">
        <v>38.0</v>
      </c>
      <c r="B284" s="135" t="s">
        <v>3829</v>
      </c>
      <c r="C284" s="135" t="s">
        <v>3830</v>
      </c>
      <c r="D284" s="332" t="s">
        <v>5952</v>
      </c>
      <c r="E284" s="124" t="s">
        <v>88</v>
      </c>
      <c r="F284" s="332" t="s">
        <v>5953</v>
      </c>
      <c r="G284" s="332" t="s">
        <v>5954</v>
      </c>
      <c r="H284" s="349" t="s">
        <v>142</v>
      </c>
      <c r="I284" s="135" t="s">
        <v>3542</v>
      </c>
      <c r="J284" s="350"/>
      <c r="K284" s="349" t="s">
        <v>89</v>
      </c>
      <c r="L284" s="135" t="s">
        <v>3831</v>
      </c>
      <c r="M284" s="353">
        <v>41578.0</v>
      </c>
      <c r="N284" s="352" t="s">
        <v>67</v>
      </c>
      <c r="O284" s="348"/>
      <c r="P284" s="135" t="s">
        <v>130</v>
      </c>
      <c r="Q284" s="348"/>
      <c r="R284" s="138">
        <v>8.1262879051E10</v>
      </c>
      <c r="S284" s="135" t="s">
        <v>3832</v>
      </c>
      <c r="T284" s="135" t="s">
        <v>3833</v>
      </c>
      <c r="U284" s="135" t="s">
        <v>3834</v>
      </c>
      <c r="V284" s="135" t="s">
        <v>73</v>
      </c>
      <c r="W284" s="135" t="s">
        <v>74</v>
      </c>
      <c r="X284" s="135" t="s">
        <v>1698</v>
      </c>
      <c r="Y284" s="135" t="s">
        <v>3835</v>
      </c>
      <c r="Z284" s="138">
        <v>0.0</v>
      </c>
      <c r="AA284" s="138">
        <v>0.0</v>
      </c>
    </row>
    <row r="285">
      <c r="A285" s="332">
        <v>39.0</v>
      </c>
      <c r="B285" s="135" t="s">
        <v>3836</v>
      </c>
      <c r="C285" s="135" t="s">
        <v>3837</v>
      </c>
      <c r="D285" s="332" t="s">
        <v>5952</v>
      </c>
      <c r="E285" s="124" t="s">
        <v>88</v>
      </c>
      <c r="F285" s="332" t="s">
        <v>5953</v>
      </c>
      <c r="G285" s="332" t="s">
        <v>5954</v>
      </c>
      <c r="H285" s="349" t="s">
        <v>532</v>
      </c>
      <c r="I285" s="135" t="s">
        <v>3542</v>
      </c>
      <c r="J285" s="350"/>
      <c r="K285" s="349" t="s">
        <v>285</v>
      </c>
      <c r="L285" s="135" t="s">
        <v>3838</v>
      </c>
      <c r="M285" s="353">
        <v>40294.0</v>
      </c>
      <c r="N285" s="352" t="s">
        <v>67</v>
      </c>
      <c r="O285" s="348"/>
      <c r="P285" s="135" t="s">
        <v>68</v>
      </c>
      <c r="Q285" s="348"/>
      <c r="R285" s="138">
        <v>8.1215231716E10</v>
      </c>
      <c r="S285" s="135" t="s">
        <v>3839</v>
      </c>
      <c r="T285" s="135" t="s">
        <v>3840</v>
      </c>
      <c r="U285" s="135" t="s">
        <v>3841</v>
      </c>
      <c r="V285" s="135" t="s">
        <v>732</v>
      </c>
      <c r="W285" s="135" t="s">
        <v>97</v>
      </c>
      <c r="X285" s="135" t="s">
        <v>3842</v>
      </c>
      <c r="Y285" s="135" t="s">
        <v>3843</v>
      </c>
      <c r="Z285" s="138"/>
      <c r="AA285" s="138"/>
    </row>
    <row r="286">
      <c r="A286" s="332">
        <v>40.0</v>
      </c>
      <c r="B286" s="135" t="s">
        <v>3844</v>
      </c>
      <c r="C286" s="356" t="s">
        <v>3845</v>
      </c>
      <c r="D286" s="332" t="s">
        <v>5952</v>
      </c>
      <c r="E286" s="124" t="s">
        <v>88</v>
      </c>
      <c r="F286" s="332" t="s">
        <v>5953</v>
      </c>
      <c r="G286" s="332" t="s">
        <v>5954</v>
      </c>
      <c r="H286" s="135" t="s">
        <v>142</v>
      </c>
      <c r="I286" s="135" t="s">
        <v>3542</v>
      </c>
      <c r="J286" s="135" t="s">
        <v>89</v>
      </c>
      <c r="K286" s="135"/>
      <c r="L286" s="135"/>
      <c r="M286" s="333"/>
      <c r="N286" s="138" t="s">
        <v>67</v>
      </c>
      <c r="O286" s="348"/>
      <c r="P286" s="135" t="s">
        <v>68</v>
      </c>
      <c r="Q286" s="348"/>
      <c r="R286" s="138">
        <v>8.5765372169E10</v>
      </c>
      <c r="S286" s="135" t="s">
        <v>3846</v>
      </c>
      <c r="T286" s="135" t="s">
        <v>3847</v>
      </c>
      <c r="U286" s="135" t="s">
        <v>3848</v>
      </c>
      <c r="V286" s="135" t="s">
        <v>73</v>
      </c>
      <c r="W286" s="135" t="s">
        <v>74</v>
      </c>
      <c r="X286" s="135" t="s">
        <v>774</v>
      </c>
      <c r="Y286" s="135" t="s">
        <v>942</v>
      </c>
      <c r="Z286" s="138"/>
      <c r="AA286" s="138"/>
    </row>
    <row r="287">
      <c r="A287" s="101" t="s">
        <v>3849</v>
      </c>
      <c r="B287" s="141"/>
      <c r="C287" s="345"/>
      <c r="D287" s="124"/>
      <c r="E287" s="124"/>
      <c r="F287" s="124"/>
      <c r="G287" s="124"/>
      <c r="H287" s="141"/>
      <c r="I287" s="141"/>
      <c r="J287" s="141"/>
      <c r="K287" s="141"/>
      <c r="L287" s="141"/>
      <c r="M287" s="124"/>
      <c r="N287" s="346"/>
      <c r="O287" s="346"/>
      <c r="P287" s="347"/>
      <c r="Q287" s="346"/>
      <c r="R287" s="346"/>
      <c r="S287" s="347"/>
      <c r="T287" s="347"/>
      <c r="U287" s="347"/>
      <c r="V287" s="347"/>
      <c r="W287" s="347"/>
      <c r="X287" s="347"/>
      <c r="Y287" s="347"/>
      <c r="Z287" s="346"/>
      <c r="AA287" s="346"/>
    </row>
    <row r="288">
      <c r="A288" s="332">
        <v>1.0</v>
      </c>
      <c r="B288" s="135" t="s">
        <v>3936</v>
      </c>
      <c r="C288" s="135" t="s">
        <v>3937</v>
      </c>
      <c r="D288" s="332" t="s">
        <v>5952</v>
      </c>
      <c r="E288" s="124" t="s">
        <v>88</v>
      </c>
      <c r="F288" s="332" t="s">
        <v>5953</v>
      </c>
      <c r="G288" s="332" t="s">
        <v>5954</v>
      </c>
      <c r="H288" s="135" t="s">
        <v>142</v>
      </c>
      <c r="I288" s="135" t="s">
        <v>3853</v>
      </c>
      <c r="J288" s="135" t="s">
        <v>89</v>
      </c>
      <c r="K288" s="135" t="s">
        <v>218</v>
      </c>
      <c r="L288" s="135" t="s">
        <v>3022</v>
      </c>
      <c r="M288" s="333">
        <v>40450.0</v>
      </c>
      <c r="N288" s="138" t="s">
        <v>67</v>
      </c>
      <c r="O288" s="124"/>
      <c r="P288" s="135" t="s">
        <v>130</v>
      </c>
      <c r="Q288" s="138"/>
      <c r="R288" s="138">
        <v>8.1213777655E10</v>
      </c>
      <c r="S288" s="135" t="s">
        <v>3938</v>
      </c>
      <c r="T288" s="135" t="s">
        <v>3939</v>
      </c>
      <c r="U288" s="135" t="s">
        <v>3940</v>
      </c>
      <c r="V288" s="135" t="s">
        <v>732</v>
      </c>
      <c r="W288" s="135" t="s">
        <v>135</v>
      </c>
      <c r="X288" s="135" t="s">
        <v>499</v>
      </c>
      <c r="Y288" s="135" t="s">
        <v>2466</v>
      </c>
      <c r="Z288" s="138">
        <v>0.0</v>
      </c>
      <c r="AA288" s="138">
        <v>0.0</v>
      </c>
    </row>
    <row r="289">
      <c r="A289" s="332">
        <v>2.0</v>
      </c>
      <c r="B289" s="135" t="s">
        <v>3941</v>
      </c>
      <c r="C289" s="135" t="s">
        <v>3942</v>
      </c>
      <c r="D289" s="332" t="s">
        <v>5952</v>
      </c>
      <c r="E289" s="124" t="s">
        <v>88</v>
      </c>
      <c r="F289" s="332" t="s">
        <v>5953</v>
      </c>
      <c r="G289" s="332" t="s">
        <v>5954</v>
      </c>
      <c r="H289" s="135" t="s">
        <v>532</v>
      </c>
      <c r="I289" s="135" t="s">
        <v>3853</v>
      </c>
      <c r="J289" s="135" t="s">
        <v>285</v>
      </c>
      <c r="K289" s="135" t="s">
        <v>1017</v>
      </c>
      <c r="L289" s="135" t="s">
        <v>3943</v>
      </c>
      <c r="M289" s="333">
        <v>40294.0</v>
      </c>
      <c r="N289" s="138" t="s">
        <v>67</v>
      </c>
      <c r="O289" s="348"/>
      <c r="P289" s="135" t="s">
        <v>68</v>
      </c>
      <c r="Q289" s="138" t="s">
        <v>69</v>
      </c>
      <c r="R289" s="138">
        <v>8.1260333392E10</v>
      </c>
      <c r="S289" s="135" t="s">
        <v>3944</v>
      </c>
      <c r="T289" s="135" t="s">
        <v>3945</v>
      </c>
      <c r="U289" s="135" t="s">
        <v>3946</v>
      </c>
      <c r="V289" s="135" t="s">
        <v>73</v>
      </c>
      <c r="W289" s="135" t="s">
        <v>74</v>
      </c>
      <c r="X289" s="135" t="s">
        <v>989</v>
      </c>
      <c r="Y289" s="135" t="s">
        <v>3700</v>
      </c>
      <c r="Z289" s="138">
        <v>0.0</v>
      </c>
      <c r="AA289" s="138">
        <v>0.0</v>
      </c>
    </row>
    <row r="290">
      <c r="A290" s="332">
        <v>3.0</v>
      </c>
      <c r="B290" s="135" t="s">
        <v>3947</v>
      </c>
      <c r="C290" s="135" t="s">
        <v>3948</v>
      </c>
      <c r="D290" s="332" t="s">
        <v>5952</v>
      </c>
      <c r="E290" s="124" t="s">
        <v>88</v>
      </c>
      <c r="F290" s="332" t="s">
        <v>5953</v>
      </c>
      <c r="G290" s="332" t="s">
        <v>5954</v>
      </c>
      <c r="H290" s="135" t="s">
        <v>142</v>
      </c>
      <c r="I290" s="135" t="s">
        <v>3853</v>
      </c>
      <c r="J290" s="135" t="s">
        <v>89</v>
      </c>
      <c r="K290" s="135" t="s">
        <v>230</v>
      </c>
      <c r="L290" s="135" t="s">
        <v>1231</v>
      </c>
      <c r="M290" s="335">
        <v>41554.0</v>
      </c>
      <c r="N290" s="138" t="s">
        <v>67</v>
      </c>
      <c r="O290" s="348"/>
      <c r="P290" s="135" t="s">
        <v>68</v>
      </c>
      <c r="Q290" s="138"/>
      <c r="R290" s="138">
        <v>8.2164894112E10</v>
      </c>
      <c r="S290" s="135" t="s">
        <v>3949</v>
      </c>
      <c r="T290" s="135" t="s">
        <v>3950</v>
      </c>
      <c r="U290" s="135" t="s">
        <v>3951</v>
      </c>
      <c r="V290" s="135" t="s">
        <v>96</v>
      </c>
      <c r="W290" s="135" t="s">
        <v>97</v>
      </c>
      <c r="X290" s="135" t="s">
        <v>213</v>
      </c>
      <c r="Y290" s="135" t="s">
        <v>885</v>
      </c>
      <c r="Z290" s="138"/>
      <c r="AA290" s="138"/>
    </row>
    <row r="291">
      <c r="A291" s="332">
        <v>4.0</v>
      </c>
      <c r="B291" s="135" t="s">
        <v>3952</v>
      </c>
      <c r="C291" s="135" t="s">
        <v>3953</v>
      </c>
      <c r="D291" s="332" t="s">
        <v>5952</v>
      </c>
      <c r="E291" s="124" t="s">
        <v>88</v>
      </c>
      <c r="F291" s="332" t="s">
        <v>5953</v>
      </c>
      <c r="G291" s="332" t="s">
        <v>5954</v>
      </c>
      <c r="H291" s="135" t="s">
        <v>532</v>
      </c>
      <c r="I291" s="135" t="s">
        <v>3853</v>
      </c>
      <c r="J291" s="135" t="s">
        <v>285</v>
      </c>
      <c r="K291" s="135" t="s">
        <v>1017</v>
      </c>
      <c r="L291" s="135" t="s">
        <v>3954</v>
      </c>
      <c r="M291" s="333">
        <v>38888.0</v>
      </c>
      <c r="N291" s="138" t="s">
        <v>67</v>
      </c>
      <c r="O291" s="357"/>
      <c r="P291" s="135" t="s">
        <v>68</v>
      </c>
      <c r="Q291" s="138"/>
      <c r="R291" s="138">
        <v>8.216277237E10</v>
      </c>
      <c r="S291" s="135" t="s">
        <v>3955</v>
      </c>
      <c r="T291" s="135" t="s">
        <v>3956</v>
      </c>
      <c r="U291" s="135" t="s">
        <v>3957</v>
      </c>
      <c r="V291" s="135" t="s">
        <v>96</v>
      </c>
      <c r="W291" s="135" t="s">
        <v>97</v>
      </c>
      <c r="X291" s="135" t="s">
        <v>546</v>
      </c>
      <c r="Y291" s="135" t="s">
        <v>3958</v>
      </c>
      <c r="Z291" s="138">
        <v>0.0</v>
      </c>
      <c r="AA291" s="138">
        <v>0.0</v>
      </c>
    </row>
    <row r="292">
      <c r="A292" s="332">
        <v>5.0</v>
      </c>
      <c r="B292" s="135" t="s">
        <v>3959</v>
      </c>
      <c r="C292" s="135" t="s">
        <v>3960</v>
      </c>
      <c r="D292" s="332" t="s">
        <v>5952</v>
      </c>
      <c r="E292" s="124" t="s">
        <v>88</v>
      </c>
      <c r="F292" s="332" t="s">
        <v>5953</v>
      </c>
      <c r="G292" s="332" t="s">
        <v>5954</v>
      </c>
      <c r="H292" s="135" t="s">
        <v>519</v>
      </c>
      <c r="I292" s="135" t="s">
        <v>3853</v>
      </c>
      <c r="J292" s="135" t="s">
        <v>267</v>
      </c>
      <c r="K292" s="135" t="s">
        <v>3961</v>
      </c>
      <c r="L292" s="135" t="s">
        <v>268</v>
      </c>
      <c r="M292" s="333">
        <v>38609.0</v>
      </c>
      <c r="N292" s="138" t="s">
        <v>67</v>
      </c>
      <c r="O292" s="348"/>
      <c r="P292" s="135" t="s">
        <v>130</v>
      </c>
      <c r="Q292" s="138"/>
      <c r="R292" s="138">
        <v>8.2261161862E10</v>
      </c>
      <c r="S292" s="135" t="s">
        <v>3962</v>
      </c>
      <c r="T292" s="135" t="s">
        <v>3963</v>
      </c>
      <c r="U292" s="135" t="s">
        <v>3964</v>
      </c>
      <c r="V292" s="135" t="s">
        <v>96</v>
      </c>
      <c r="W292" s="135" t="s">
        <v>150</v>
      </c>
      <c r="X292" s="135" t="s">
        <v>281</v>
      </c>
      <c r="Y292" s="135" t="s">
        <v>3965</v>
      </c>
      <c r="Z292" s="138"/>
      <c r="AA292" s="138"/>
    </row>
    <row r="293">
      <c r="A293" s="332">
        <v>6.0</v>
      </c>
      <c r="B293" s="135" t="s">
        <v>3966</v>
      </c>
      <c r="C293" s="135" t="s">
        <v>3967</v>
      </c>
      <c r="D293" s="332" t="s">
        <v>5952</v>
      </c>
      <c r="E293" s="124" t="s">
        <v>88</v>
      </c>
      <c r="F293" s="332" t="s">
        <v>5953</v>
      </c>
      <c r="G293" s="332" t="s">
        <v>5954</v>
      </c>
      <c r="H293" s="135" t="s">
        <v>142</v>
      </c>
      <c r="I293" s="135" t="s">
        <v>3853</v>
      </c>
      <c r="J293" s="135" t="s">
        <v>89</v>
      </c>
      <c r="K293" s="135" t="s">
        <v>1520</v>
      </c>
      <c r="L293" s="135" t="s">
        <v>3968</v>
      </c>
      <c r="M293" s="333">
        <v>39777.0</v>
      </c>
      <c r="N293" s="138" t="s">
        <v>67</v>
      </c>
      <c r="O293" s="357"/>
      <c r="P293" s="135" t="s">
        <v>68</v>
      </c>
      <c r="Q293" s="138"/>
      <c r="R293" s="138">
        <v>8.137558869E10</v>
      </c>
      <c r="S293" s="135" t="s">
        <v>3969</v>
      </c>
      <c r="T293" s="135" t="s">
        <v>3970</v>
      </c>
      <c r="U293" s="135" t="s">
        <v>3971</v>
      </c>
      <c r="V293" s="135" t="s">
        <v>96</v>
      </c>
      <c r="W293" s="135" t="s">
        <v>150</v>
      </c>
      <c r="X293" s="135" t="s">
        <v>281</v>
      </c>
      <c r="Y293" s="135" t="s">
        <v>1942</v>
      </c>
      <c r="Z293" s="138">
        <v>2.0</v>
      </c>
      <c r="AA293" s="138">
        <v>1.0</v>
      </c>
    </row>
    <row r="294">
      <c r="A294" s="332">
        <v>7.0</v>
      </c>
      <c r="B294" s="135" t="s">
        <v>3972</v>
      </c>
      <c r="C294" s="135" t="s">
        <v>3973</v>
      </c>
      <c r="D294" s="332" t="s">
        <v>5952</v>
      </c>
      <c r="E294" s="124" t="s">
        <v>88</v>
      </c>
      <c r="F294" s="332" t="s">
        <v>5953</v>
      </c>
      <c r="G294" s="332" t="s">
        <v>5954</v>
      </c>
      <c r="H294" s="135" t="s">
        <v>532</v>
      </c>
      <c r="I294" s="135" t="s">
        <v>3853</v>
      </c>
      <c r="J294" s="135" t="s">
        <v>285</v>
      </c>
      <c r="K294" s="135"/>
      <c r="L294" s="135" t="s">
        <v>3974</v>
      </c>
      <c r="M294" s="333">
        <v>32276.0</v>
      </c>
      <c r="N294" s="138" t="s">
        <v>67</v>
      </c>
      <c r="O294" s="124"/>
      <c r="P294" s="135" t="s">
        <v>68</v>
      </c>
      <c r="Q294" s="138"/>
      <c r="R294" s="138">
        <v>8.1263257888E10</v>
      </c>
      <c r="S294" s="135" t="s">
        <v>3975</v>
      </c>
      <c r="T294" s="135" t="s">
        <v>3976</v>
      </c>
      <c r="U294" s="135" t="s">
        <v>3977</v>
      </c>
      <c r="V294" s="135" t="s">
        <v>73</v>
      </c>
      <c r="W294" s="135" t="s">
        <v>74</v>
      </c>
      <c r="X294" s="135" t="s">
        <v>582</v>
      </c>
      <c r="Y294" s="135" t="s">
        <v>3978</v>
      </c>
      <c r="Z294" s="138">
        <v>5.0</v>
      </c>
      <c r="AA294" s="138">
        <v>3.0</v>
      </c>
    </row>
    <row r="295">
      <c r="A295" s="332">
        <v>8.0</v>
      </c>
      <c r="B295" s="135" t="s">
        <v>3979</v>
      </c>
      <c r="C295" s="135" t="s">
        <v>3980</v>
      </c>
      <c r="D295" s="332" t="s">
        <v>5952</v>
      </c>
      <c r="E295" s="124" t="s">
        <v>88</v>
      </c>
      <c r="F295" s="332" t="s">
        <v>5953</v>
      </c>
      <c r="G295" s="332" t="s">
        <v>5954</v>
      </c>
      <c r="H295" s="135" t="s">
        <v>142</v>
      </c>
      <c r="I295" s="135" t="s">
        <v>3853</v>
      </c>
      <c r="J295" s="135" t="s">
        <v>89</v>
      </c>
      <c r="K295" s="135" t="s">
        <v>2304</v>
      </c>
      <c r="L295" s="135" t="s">
        <v>161</v>
      </c>
      <c r="M295" s="333">
        <v>39438.0</v>
      </c>
      <c r="N295" s="138" t="s">
        <v>311</v>
      </c>
      <c r="O295" s="348"/>
      <c r="P295" s="135" t="s">
        <v>68</v>
      </c>
      <c r="Q295" s="138"/>
      <c r="R295" s="138">
        <v>8.1370830625E10</v>
      </c>
      <c r="S295" s="135" t="s">
        <v>3981</v>
      </c>
      <c r="T295" s="135" t="s">
        <v>3982</v>
      </c>
      <c r="U295" s="135" t="s">
        <v>3983</v>
      </c>
      <c r="V295" s="135" t="s">
        <v>73</v>
      </c>
      <c r="W295" s="135" t="s">
        <v>150</v>
      </c>
      <c r="X295" s="135" t="s">
        <v>281</v>
      </c>
      <c r="Y295" s="135" t="s">
        <v>1883</v>
      </c>
      <c r="Z295" s="138"/>
      <c r="AA295" s="138"/>
    </row>
    <row r="296">
      <c r="A296" s="332">
        <v>9.0</v>
      </c>
      <c r="B296" s="135" t="s">
        <v>3984</v>
      </c>
      <c r="C296" s="135" t="s">
        <v>3985</v>
      </c>
      <c r="D296" s="332" t="s">
        <v>5952</v>
      </c>
      <c r="E296" s="124" t="s">
        <v>88</v>
      </c>
      <c r="F296" s="332" t="s">
        <v>5953</v>
      </c>
      <c r="G296" s="332" t="s">
        <v>5954</v>
      </c>
      <c r="H296" s="135" t="s">
        <v>142</v>
      </c>
      <c r="I296" s="135" t="s">
        <v>3853</v>
      </c>
      <c r="J296" s="135" t="s">
        <v>89</v>
      </c>
      <c r="K296" s="135" t="s">
        <v>3986</v>
      </c>
      <c r="L296" s="135" t="s">
        <v>3449</v>
      </c>
      <c r="M296" s="333">
        <v>37721.0</v>
      </c>
      <c r="N296" s="138" t="s">
        <v>67</v>
      </c>
      <c r="O296" s="348"/>
      <c r="P296" s="135" t="s">
        <v>130</v>
      </c>
      <c r="Q296" s="138"/>
      <c r="R296" s="138" t="s">
        <v>3987</v>
      </c>
      <c r="S296" s="135" t="s">
        <v>3988</v>
      </c>
      <c r="T296" s="135" t="s">
        <v>3989</v>
      </c>
      <c r="U296" s="135" t="s">
        <v>3990</v>
      </c>
      <c r="V296" s="135" t="s">
        <v>96</v>
      </c>
      <c r="W296" s="135" t="s">
        <v>135</v>
      </c>
      <c r="X296" s="135" t="s">
        <v>445</v>
      </c>
      <c r="Y296" s="135" t="s">
        <v>446</v>
      </c>
      <c r="Z296" s="138">
        <v>0.0</v>
      </c>
      <c r="AA296" s="138">
        <v>0.0</v>
      </c>
    </row>
    <row r="297">
      <c r="A297" s="332">
        <v>10.0</v>
      </c>
      <c r="B297" s="135" t="s">
        <v>3991</v>
      </c>
      <c r="C297" s="135" t="s">
        <v>3992</v>
      </c>
      <c r="D297" s="332" t="s">
        <v>5952</v>
      </c>
      <c r="E297" s="124" t="s">
        <v>88</v>
      </c>
      <c r="F297" s="332" t="s">
        <v>5953</v>
      </c>
      <c r="G297" s="332" t="s">
        <v>5954</v>
      </c>
      <c r="H297" s="135" t="s">
        <v>142</v>
      </c>
      <c r="I297" s="135" t="s">
        <v>3853</v>
      </c>
      <c r="J297" s="135" t="s">
        <v>89</v>
      </c>
      <c r="K297" s="135" t="s">
        <v>1826</v>
      </c>
      <c r="L297" s="135" t="s">
        <v>419</v>
      </c>
      <c r="M297" s="333">
        <v>35509.0</v>
      </c>
      <c r="N297" s="138" t="s">
        <v>220</v>
      </c>
      <c r="O297" s="348"/>
      <c r="P297" s="135" t="s">
        <v>68</v>
      </c>
      <c r="Q297" s="138"/>
      <c r="R297" s="138">
        <v>8.136046076E10</v>
      </c>
      <c r="S297" s="135" t="s">
        <v>3993</v>
      </c>
      <c r="T297" s="135" t="s">
        <v>3994</v>
      </c>
      <c r="U297" s="135" t="s">
        <v>3995</v>
      </c>
      <c r="V297" s="135" t="s">
        <v>96</v>
      </c>
      <c r="W297" s="135" t="s">
        <v>97</v>
      </c>
      <c r="X297" s="135" t="s">
        <v>499</v>
      </c>
      <c r="Y297" s="135" t="s">
        <v>1479</v>
      </c>
      <c r="Z297" s="138"/>
      <c r="AA297" s="138"/>
    </row>
    <row r="298">
      <c r="A298" s="332">
        <v>11.0</v>
      </c>
      <c r="B298" s="135" t="s">
        <v>3996</v>
      </c>
      <c r="C298" s="135" t="s">
        <v>3997</v>
      </c>
      <c r="D298" s="332" t="s">
        <v>5952</v>
      </c>
      <c r="E298" s="124" t="s">
        <v>88</v>
      </c>
      <c r="F298" s="332" t="s">
        <v>5953</v>
      </c>
      <c r="G298" s="332" t="s">
        <v>5954</v>
      </c>
      <c r="H298" s="135" t="s">
        <v>142</v>
      </c>
      <c r="I298" s="135" t="s">
        <v>3853</v>
      </c>
      <c r="J298" s="135" t="s">
        <v>89</v>
      </c>
      <c r="K298" s="135" t="s">
        <v>678</v>
      </c>
      <c r="L298" s="135" t="s">
        <v>3998</v>
      </c>
      <c r="M298" s="333">
        <v>39071.0</v>
      </c>
      <c r="N298" s="138" t="s">
        <v>67</v>
      </c>
      <c r="O298" s="348"/>
      <c r="P298" s="135" t="s">
        <v>68</v>
      </c>
      <c r="Q298" s="138"/>
      <c r="R298" s="138">
        <v>8.95611702211E11</v>
      </c>
      <c r="S298" s="135" t="s">
        <v>3999</v>
      </c>
      <c r="T298" s="135" t="s">
        <v>4000</v>
      </c>
      <c r="U298" s="135" t="s">
        <v>4001</v>
      </c>
      <c r="V298" s="135" t="s">
        <v>96</v>
      </c>
      <c r="W298" s="135" t="s">
        <v>150</v>
      </c>
      <c r="X298" s="135" t="s">
        <v>628</v>
      </c>
      <c r="Y298" s="135" t="s">
        <v>628</v>
      </c>
      <c r="Z298" s="138"/>
      <c r="AA298" s="138"/>
    </row>
    <row r="299">
      <c r="A299" s="332">
        <v>12.0</v>
      </c>
      <c r="B299" s="135" t="s">
        <v>4002</v>
      </c>
      <c r="C299" s="135" t="s">
        <v>4003</v>
      </c>
      <c r="D299" s="332" t="s">
        <v>5952</v>
      </c>
      <c r="E299" s="124" t="s">
        <v>88</v>
      </c>
      <c r="F299" s="332" t="s">
        <v>5953</v>
      </c>
      <c r="G299" s="332" t="s">
        <v>5954</v>
      </c>
      <c r="H299" s="135" t="s">
        <v>142</v>
      </c>
      <c r="I299" s="135" t="s">
        <v>3853</v>
      </c>
      <c r="J299" s="135" t="s">
        <v>89</v>
      </c>
      <c r="K299" s="135" t="s">
        <v>160</v>
      </c>
      <c r="L299" s="135" t="s">
        <v>1231</v>
      </c>
      <c r="M299" s="333">
        <v>42851.0</v>
      </c>
      <c r="N299" s="138" t="s">
        <v>67</v>
      </c>
      <c r="O299" s="348"/>
      <c r="P299" s="135" t="s">
        <v>130</v>
      </c>
      <c r="Q299" s="138"/>
      <c r="R299" s="138">
        <v>8.1263498196E10</v>
      </c>
      <c r="S299" s="135" t="s">
        <v>4004</v>
      </c>
      <c r="T299" s="135" t="s">
        <v>4005</v>
      </c>
      <c r="U299" s="135" t="s">
        <v>4006</v>
      </c>
      <c r="V299" s="135" t="s">
        <v>73</v>
      </c>
      <c r="W299" s="135" t="s">
        <v>74</v>
      </c>
      <c r="X299" s="135" t="s">
        <v>178</v>
      </c>
      <c r="Y299" s="135" t="s">
        <v>4007</v>
      </c>
      <c r="Z299" s="138"/>
      <c r="AA299" s="138"/>
    </row>
    <row r="300">
      <c r="A300" s="332">
        <v>13.0</v>
      </c>
      <c r="B300" s="135" t="s">
        <v>4008</v>
      </c>
      <c r="C300" s="135" t="s">
        <v>4009</v>
      </c>
      <c r="D300" s="332" t="s">
        <v>5952</v>
      </c>
      <c r="E300" s="124" t="s">
        <v>88</v>
      </c>
      <c r="F300" s="332" t="s">
        <v>5953</v>
      </c>
      <c r="G300" s="332" t="s">
        <v>5954</v>
      </c>
      <c r="H300" s="135" t="s">
        <v>142</v>
      </c>
      <c r="I300" s="135" t="s">
        <v>3853</v>
      </c>
      <c r="J300" s="135" t="s">
        <v>89</v>
      </c>
      <c r="K300" s="135" t="s">
        <v>2016</v>
      </c>
      <c r="L300" s="135" t="s">
        <v>4010</v>
      </c>
      <c r="M300" s="335">
        <v>40458.0</v>
      </c>
      <c r="N300" s="138" t="s">
        <v>67</v>
      </c>
      <c r="O300" s="348"/>
      <c r="P300" s="135" t="s">
        <v>130</v>
      </c>
      <c r="Q300" s="138"/>
      <c r="R300" s="138">
        <v>8.1260200111E10</v>
      </c>
      <c r="S300" s="135" t="s">
        <v>4011</v>
      </c>
      <c r="T300" s="135" t="s">
        <v>4012</v>
      </c>
      <c r="U300" s="135" t="s">
        <v>4013</v>
      </c>
      <c r="V300" s="135" t="s">
        <v>96</v>
      </c>
      <c r="W300" s="135" t="s">
        <v>97</v>
      </c>
      <c r="X300" s="135" t="s">
        <v>499</v>
      </c>
      <c r="Y300" s="135" t="s">
        <v>1358</v>
      </c>
      <c r="Z300" s="138">
        <v>0.0</v>
      </c>
      <c r="AA300" s="138">
        <v>0.0</v>
      </c>
    </row>
    <row r="301">
      <c r="A301" s="332">
        <v>14.0</v>
      </c>
      <c r="B301" s="135" t="s">
        <v>4014</v>
      </c>
      <c r="C301" s="135" t="s">
        <v>4015</v>
      </c>
      <c r="D301" s="332" t="s">
        <v>5952</v>
      </c>
      <c r="E301" s="124" t="s">
        <v>88</v>
      </c>
      <c r="F301" s="332" t="s">
        <v>5953</v>
      </c>
      <c r="G301" s="332" t="s">
        <v>5954</v>
      </c>
      <c r="H301" s="135" t="s">
        <v>142</v>
      </c>
      <c r="I301" s="135" t="s">
        <v>3853</v>
      </c>
      <c r="J301" s="135" t="s">
        <v>89</v>
      </c>
      <c r="K301" s="135" t="s">
        <v>90</v>
      </c>
      <c r="L301" s="135" t="s">
        <v>1231</v>
      </c>
      <c r="M301" s="333">
        <v>38244.0</v>
      </c>
      <c r="N301" s="138" t="s">
        <v>67</v>
      </c>
      <c r="O301" s="348"/>
      <c r="P301" s="135" t="s">
        <v>68</v>
      </c>
      <c r="Q301" s="138"/>
      <c r="R301" s="138">
        <v>8.95603543979E11</v>
      </c>
      <c r="S301" s="135" t="s">
        <v>4016</v>
      </c>
      <c r="T301" s="135" t="s">
        <v>804</v>
      </c>
      <c r="U301" s="135" t="s">
        <v>4017</v>
      </c>
      <c r="V301" s="135" t="s">
        <v>73</v>
      </c>
      <c r="W301" s="135" t="s">
        <v>74</v>
      </c>
      <c r="X301" s="135" t="s">
        <v>191</v>
      </c>
      <c r="Y301" s="135" t="s">
        <v>2010</v>
      </c>
      <c r="Z301" s="138">
        <v>0.0</v>
      </c>
      <c r="AA301" s="138">
        <v>0.0</v>
      </c>
    </row>
    <row r="302">
      <c r="A302" s="332">
        <v>15.0</v>
      </c>
      <c r="B302" s="135" t="s">
        <v>4018</v>
      </c>
      <c r="C302" s="135" t="s">
        <v>4019</v>
      </c>
      <c r="D302" s="332" t="s">
        <v>5952</v>
      </c>
      <c r="E302" s="124" t="s">
        <v>88</v>
      </c>
      <c r="F302" s="332" t="s">
        <v>5953</v>
      </c>
      <c r="G302" s="332" t="s">
        <v>5954</v>
      </c>
      <c r="H302" s="135" t="s">
        <v>142</v>
      </c>
      <c r="I302" s="135" t="s">
        <v>3853</v>
      </c>
      <c r="J302" s="135" t="s">
        <v>89</v>
      </c>
      <c r="K302" s="135" t="s">
        <v>160</v>
      </c>
      <c r="L302" s="135" t="s">
        <v>4020</v>
      </c>
      <c r="M302" s="333">
        <v>41195.0</v>
      </c>
      <c r="N302" s="138" t="s">
        <v>67</v>
      </c>
      <c r="O302" s="348"/>
      <c r="P302" s="135" t="s">
        <v>68</v>
      </c>
      <c r="Q302" s="138"/>
      <c r="R302" s="138">
        <v>8.2381701102E10</v>
      </c>
      <c r="S302" s="135" t="s">
        <v>4021</v>
      </c>
      <c r="T302" s="135" t="s">
        <v>4022</v>
      </c>
      <c r="U302" s="135" t="s">
        <v>4023</v>
      </c>
      <c r="V302" s="135" t="s">
        <v>96</v>
      </c>
      <c r="W302" s="135" t="s">
        <v>97</v>
      </c>
      <c r="X302" s="135" t="s">
        <v>499</v>
      </c>
      <c r="Y302" s="135" t="s">
        <v>657</v>
      </c>
      <c r="Z302" s="138">
        <v>0.0</v>
      </c>
      <c r="AA302" s="138">
        <v>0.0</v>
      </c>
    </row>
    <row r="303">
      <c r="A303" s="332">
        <v>16.0</v>
      </c>
      <c r="B303" s="135" t="s">
        <v>4024</v>
      </c>
      <c r="C303" s="135" t="s">
        <v>4025</v>
      </c>
      <c r="D303" s="332" t="s">
        <v>5952</v>
      </c>
      <c r="E303" s="124" t="s">
        <v>88</v>
      </c>
      <c r="F303" s="332" t="s">
        <v>5953</v>
      </c>
      <c r="G303" s="332" t="s">
        <v>5954</v>
      </c>
      <c r="H303" s="135" t="s">
        <v>142</v>
      </c>
      <c r="I303" s="135" t="s">
        <v>3853</v>
      </c>
      <c r="J303" s="135" t="s">
        <v>89</v>
      </c>
      <c r="K303" s="135" t="s">
        <v>160</v>
      </c>
      <c r="L303" s="135" t="s">
        <v>509</v>
      </c>
      <c r="M303" s="333">
        <v>40871.0</v>
      </c>
      <c r="N303" s="138" t="s">
        <v>67</v>
      </c>
      <c r="O303" s="348"/>
      <c r="P303" s="135" t="s">
        <v>68</v>
      </c>
      <c r="Q303" s="138"/>
      <c r="R303" s="138">
        <v>8.1377484997E10</v>
      </c>
      <c r="S303" s="135" t="s">
        <v>4026</v>
      </c>
      <c r="T303" s="135" t="s">
        <v>4027</v>
      </c>
      <c r="U303" s="135" t="s">
        <v>4028</v>
      </c>
      <c r="V303" s="135" t="s">
        <v>96</v>
      </c>
      <c r="W303" s="135" t="s">
        <v>150</v>
      </c>
      <c r="X303" s="135" t="s">
        <v>281</v>
      </c>
      <c r="Y303" s="135" t="s">
        <v>657</v>
      </c>
      <c r="Z303" s="138" t="s">
        <v>77</v>
      </c>
      <c r="AA303" s="138" t="s">
        <v>77</v>
      </c>
    </row>
    <row r="304">
      <c r="A304" s="332">
        <v>17.0</v>
      </c>
      <c r="B304" s="135" t="s">
        <v>4029</v>
      </c>
      <c r="C304" s="135" t="s">
        <v>4030</v>
      </c>
      <c r="D304" s="332" t="s">
        <v>5952</v>
      </c>
      <c r="E304" s="124" t="s">
        <v>88</v>
      </c>
      <c r="F304" s="332" t="s">
        <v>5953</v>
      </c>
      <c r="G304" s="332" t="s">
        <v>5954</v>
      </c>
      <c r="H304" s="135" t="s">
        <v>142</v>
      </c>
      <c r="I304" s="135" t="s">
        <v>3853</v>
      </c>
      <c r="J304" s="135" t="s">
        <v>159</v>
      </c>
      <c r="K304" s="135" t="s">
        <v>4031</v>
      </c>
      <c r="L304" s="135" t="s">
        <v>4032</v>
      </c>
      <c r="M304" s="335">
        <v>42250.0</v>
      </c>
      <c r="N304" s="138" t="s">
        <v>67</v>
      </c>
      <c r="O304" s="348"/>
      <c r="P304" s="135" t="s">
        <v>68</v>
      </c>
      <c r="Q304" s="138"/>
      <c r="R304" s="138">
        <v>8.1265656271E10</v>
      </c>
      <c r="S304" s="135" t="s">
        <v>4033</v>
      </c>
      <c r="T304" s="135" t="s">
        <v>4034</v>
      </c>
      <c r="U304" s="135" t="s">
        <v>4035</v>
      </c>
      <c r="V304" s="135" t="s">
        <v>73</v>
      </c>
      <c r="W304" s="135" t="s">
        <v>74</v>
      </c>
      <c r="X304" s="135" t="s">
        <v>774</v>
      </c>
      <c r="Y304" s="135" t="s">
        <v>4036</v>
      </c>
      <c r="Z304" s="138">
        <v>0.0</v>
      </c>
      <c r="AA304" s="138">
        <v>0.0</v>
      </c>
    </row>
    <row r="305">
      <c r="A305" s="332">
        <v>18.0</v>
      </c>
      <c r="B305" s="135" t="s">
        <v>4037</v>
      </c>
      <c r="C305" s="135" t="s">
        <v>4038</v>
      </c>
      <c r="D305" s="332" t="s">
        <v>5952</v>
      </c>
      <c r="E305" s="124" t="s">
        <v>88</v>
      </c>
      <c r="F305" s="332" t="s">
        <v>5953</v>
      </c>
      <c r="G305" s="332" t="s">
        <v>5954</v>
      </c>
      <c r="H305" s="135" t="s">
        <v>519</v>
      </c>
      <c r="I305" s="135" t="s">
        <v>3853</v>
      </c>
      <c r="J305" s="135" t="s">
        <v>267</v>
      </c>
      <c r="K305" s="135" t="s">
        <v>4039</v>
      </c>
      <c r="L305" s="135" t="s">
        <v>4040</v>
      </c>
      <c r="M305" s="335">
        <v>37926.0</v>
      </c>
      <c r="N305" s="138" t="s">
        <v>311</v>
      </c>
      <c r="O305" s="348"/>
      <c r="P305" s="135" t="s">
        <v>68</v>
      </c>
      <c r="Q305" s="138"/>
      <c r="R305" s="138">
        <v>8.137571117E10</v>
      </c>
      <c r="S305" s="135" t="s">
        <v>4041</v>
      </c>
      <c r="T305" s="135" t="s">
        <v>4042</v>
      </c>
      <c r="U305" s="135" t="s">
        <v>4043</v>
      </c>
      <c r="V305" s="135" t="s">
        <v>96</v>
      </c>
      <c r="W305" s="135" t="s">
        <v>150</v>
      </c>
      <c r="X305" s="135" t="s">
        <v>281</v>
      </c>
      <c r="Y305" s="135" t="s">
        <v>1404</v>
      </c>
      <c r="Z305" s="138"/>
      <c r="AA305" s="138"/>
    </row>
    <row r="306">
      <c r="A306" s="332">
        <v>19.0</v>
      </c>
      <c r="B306" s="135" t="s">
        <v>4044</v>
      </c>
      <c r="C306" s="135" t="s">
        <v>4045</v>
      </c>
      <c r="D306" s="332" t="s">
        <v>5952</v>
      </c>
      <c r="E306" s="124" t="s">
        <v>88</v>
      </c>
      <c r="F306" s="332" t="s">
        <v>5953</v>
      </c>
      <c r="G306" s="332" t="s">
        <v>5954</v>
      </c>
      <c r="H306" s="135" t="s">
        <v>142</v>
      </c>
      <c r="I306" s="135" t="s">
        <v>3853</v>
      </c>
      <c r="J306" s="135" t="s">
        <v>89</v>
      </c>
      <c r="K306" s="135" t="s">
        <v>374</v>
      </c>
      <c r="L306" s="135" t="s">
        <v>4046</v>
      </c>
      <c r="M306" s="333">
        <v>40950.0</v>
      </c>
      <c r="N306" s="138" t="s">
        <v>220</v>
      </c>
      <c r="O306" s="348"/>
      <c r="P306" s="135" t="s">
        <v>68</v>
      </c>
      <c r="Q306" s="138"/>
      <c r="R306" s="138">
        <v>8.216386543E10</v>
      </c>
      <c r="S306" s="135" t="s">
        <v>4047</v>
      </c>
      <c r="T306" s="135" t="s">
        <v>4048</v>
      </c>
      <c r="U306" s="135" t="s">
        <v>4049</v>
      </c>
      <c r="V306" s="135" t="s">
        <v>73</v>
      </c>
      <c r="W306" s="135" t="s">
        <v>74</v>
      </c>
      <c r="X306" s="135" t="s">
        <v>774</v>
      </c>
      <c r="Y306" s="135" t="s">
        <v>799</v>
      </c>
      <c r="Z306" s="138">
        <v>0.0</v>
      </c>
      <c r="AA306" s="138">
        <v>0.0</v>
      </c>
    </row>
    <row r="307">
      <c r="A307" s="332">
        <v>20.0</v>
      </c>
      <c r="B307" s="135" t="s">
        <v>4050</v>
      </c>
      <c r="C307" s="135" t="s">
        <v>4051</v>
      </c>
      <c r="D307" s="332" t="s">
        <v>5952</v>
      </c>
      <c r="E307" s="124" t="s">
        <v>88</v>
      </c>
      <c r="F307" s="332" t="s">
        <v>5953</v>
      </c>
      <c r="G307" s="332" t="s">
        <v>5954</v>
      </c>
      <c r="H307" s="135" t="s">
        <v>142</v>
      </c>
      <c r="I307" s="135" t="s">
        <v>3853</v>
      </c>
      <c r="J307" s="135" t="s">
        <v>89</v>
      </c>
      <c r="K307" s="135" t="s">
        <v>90</v>
      </c>
      <c r="L307" s="135" t="s">
        <v>260</v>
      </c>
      <c r="M307" s="333">
        <v>36659.0</v>
      </c>
      <c r="N307" s="138" t="s">
        <v>67</v>
      </c>
      <c r="O307" s="348"/>
      <c r="P307" s="135" t="s">
        <v>130</v>
      </c>
      <c r="Q307" s="138" t="s">
        <v>69</v>
      </c>
      <c r="R307" s="138">
        <v>8.1277253521E10</v>
      </c>
      <c r="S307" s="135" t="s">
        <v>4052</v>
      </c>
      <c r="T307" s="135" t="s">
        <v>4053</v>
      </c>
      <c r="U307" s="135" t="s">
        <v>4054</v>
      </c>
      <c r="V307" s="135" t="s">
        <v>96</v>
      </c>
      <c r="W307" s="135" t="s">
        <v>97</v>
      </c>
      <c r="X307" s="135" t="s">
        <v>292</v>
      </c>
      <c r="Y307" s="135" t="s">
        <v>1735</v>
      </c>
      <c r="Z307" s="138">
        <v>0.0</v>
      </c>
      <c r="AA307" s="138">
        <v>0.0</v>
      </c>
    </row>
    <row r="308">
      <c r="A308" s="332">
        <v>21.0</v>
      </c>
      <c r="B308" s="135" t="s">
        <v>4055</v>
      </c>
      <c r="C308" s="135" t="s">
        <v>4056</v>
      </c>
      <c r="D308" s="332" t="s">
        <v>5952</v>
      </c>
      <c r="E308" s="124" t="s">
        <v>88</v>
      </c>
      <c r="F308" s="332" t="s">
        <v>5953</v>
      </c>
      <c r="G308" s="332" t="s">
        <v>5954</v>
      </c>
      <c r="H308" s="135" t="s">
        <v>532</v>
      </c>
      <c r="I308" s="135" t="s">
        <v>3853</v>
      </c>
      <c r="J308" s="135" t="s">
        <v>285</v>
      </c>
      <c r="K308" s="135"/>
      <c r="L308" s="135" t="s">
        <v>4057</v>
      </c>
      <c r="M308" s="333">
        <v>43598.0</v>
      </c>
      <c r="N308" s="138" t="s">
        <v>311</v>
      </c>
      <c r="O308" s="348"/>
      <c r="P308" s="135" t="s">
        <v>68</v>
      </c>
      <c r="Q308" s="138"/>
      <c r="R308" s="138">
        <v>8.216365617E10</v>
      </c>
      <c r="S308" s="135" t="s">
        <v>4058</v>
      </c>
      <c r="T308" s="135" t="s">
        <v>4059</v>
      </c>
      <c r="U308" s="135" t="s">
        <v>4060</v>
      </c>
      <c r="V308" s="135" t="s">
        <v>96</v>
      </c>
      <c r="W308" s="135" t="s">
        <v>97</v>
      </c>
      <c r="X308" s="135" t="s">
        <v>98</v>
      </c>
      <c r="Y308" s="135" t="s">
        <v>4061</v>
      </c>
      <c r="Z308" s="138"/>
      <c r="AA308" s="138"/>
    </row>
    <row r="309">
      <c r="A309" s="332">
        <v>22.0</v>
      </c>
      <c r="B309" s="135" t="s">
        <v>4062</v>
      </c>
      <c r="C309" s="135" t="s">
        <v>4063</v>
      </c>
      <c r="D309" s="332" t="s">
        <v>5952</v>
      </c>
      <c r="E309" s="124" t="s">
        <v>88</v>
      </c>
      <c r="F309" s="332" t="s">
        <v>5953</v>
      </c>
      <c r="G309" s="332" t="s">
        <v>5954</v>
      </c>
      <c r="H309" s="135" t="s">
        <v>142</v>
      </c>
      <c r="I309" s="135" t="s">
        <v>3853</v>
      </c>
      <c r="J309" s="135" t="s">
        <v>89</v>
      </c>
      <c r="K309" s="135" t="s">
        <v>90</v>
      </c>
      <c r="L309" s="135" t="s">
        <v>4064</v>
      </c>
      <c r="M309" s="335">
        <v>40795.0</v>
      </c>
      <c r="N309" s="138" t="s">
        <v>67</v>
      </c>
      <c r="O309" s="348"/>
      <c r="P309" s="135" t="s">
        <v>130</v>
      </c>
      <c r="Q309" s="348"/>
      <c r="R309" s="138">
        <v>8.1263474808E10</v>
      </c>
      <c r="S309" s="135" t="s">
        <v>4065</v>
      </c>
      <c r="T309" s="135" t="s">
        <v>4066</v>
      </c>
      <c r="U309" s="135" t="s">
        <v>4067</v>
      </c>
      <c r="V309" s="135" t="s">
        <v>73</v>
      </c>
      <c r="W309" s="135" t="s">
        <v>166</v>
      </c>
      <c r="X309" s="135" t="s">
        <v>596</v>
      </c>
      <c r="Y309" s="135" t="s">
        <v>2743</v>
      </c>
      <c r="Z309" s="138">
        <v>0.0</v>
      </c>
      <c r="AA309" s="138">
        <v>0.0</v>
      </c>
    </row>
    <row r="310">
      <c r="A310" s="332">
        <v>23.0</v>
      </c>
      <c r="B310" s="135" t="s">
        <v>4068</v>
      </c>
      <c r="C310" s="135" t="s">
        <v>4069</v>
      </c>
      <c r="D310" s="332" t="s">
        <v>5952</v>
      </c>
      <c r="E310" s="124" t="s">
        <v>88</v>
      </c>
      <c r="F310" s="332" t="s">
        <v>5953</v>
      </c>
      <c r="G310" s="332" t="s">
        <v>5954</v>
      </c>
      <c r="H310" s="135" t="s">
        <v>142</v>
      </c>
      <c r="I310" s="135" t="s">
        <v>3853</v>
      </c>
      <c r="J310" s="135" t="s">
        <v>89</v>
      </c>
      <c r="K310" s="135" t="s">
        <v>2016</v>
      </c>
      <c r="L310" s="135" t="s">
        <v>4070</v>
      </c>
      <c r="M310" s="333">
        <v>42688.0</v>
      </c>
      <c r="N310" s="138" t="s">
        <v>67</v>
      </c>
      <c r="O310" s="348"/>
      <c r="P310" s="135" t="s">
        <v>68</v>
      </c>
      <c r="Q310" s="348"/>
      <c r="R310" s="138">
        <v>8.2166512257E10</v>
      </c>
      <c r="S310" s="135" t="s">
        <v>4071</v>
      </c>
      <c r="T310" s="135" t="s">
        <v>4072</v>
      </c>
      <c r="U310" s="135" t="s">
        <v>4073</v>
      </c>
      <c r="V310" s="135" t="s">
        <v>73</v>
      </c>
      <c r="W310" s="135" t="s">
        <v>166</v>
      </c>
      <c r="X310" s="135" t="s">
        <v>596</v>
      </c>
      <c r="Y310" s="135" t="s">
        <v>1842</v>
      </c>
      <c r="Z310" s="138"/>
      <c r="AA310" s="138"/>
    </row>
    <row r="311">
      <c r="A311" s="332">
        <v>24.0</v>
      </c>
      <c r="B311" s="135" t="s">
        <v>4074</v>
      </c>
      <c r="C311" s="135" t="s">
        <v>4075</v>
      </c>
      <c r="D311" s="332" t="s">
        <v>5952</v>
      </c>
      <c r="E311" s="124" t="s">
        <v>88</v>
      </c>
      <c r="F311" s="332" t="s">
        <v>5953</v>
      </c>
      <c r="G311" s="332" t="s">
        <v>5954</v>
      </c>
      <c r="H311" s="135" t="s">
        <v>519</v>
      </c>
      <c r="I311" s="135" t="s">
        <v>3853</v>
      </c>
      <c r="J311" s="135" t="s">
        <v>267</v>
      </c>
      <c r="K311" s="135" t="s">
        <v>4076</v>
      </c>
      <c r="L311" s="135" t="s">
        <v>4077</v>
      </c>
      <c r="M311" s="333">
        <v>36850.0</v>
      </c>
      <c r="N311" s="138" t="s">
        <v>220</v>
      </c>
      <c r="O311" s="348"/>
      <c r="P311" s="135" t="s">
        <v>130</v>
      </c>
      <c r="Q311" s="348"/>
      <c r="R311" s="138">
        <v>8.213738615E10</v>
      </c>
      <c r="S311" s="135" t="s">
        <v>4078</v>
      </c>
      <c r="T311" s="135" t="s">
        <v>4079</v>
      </c>
      <c r="U311" s="135" t="s">
        <v>4080</v>
      </c>
      <c r="V311" s="135" t="s">
        <v>73</v>
      </c>
      <c r="W311" s="135" t="s">
        <v>74</v>
      </c>
      <c r="X311" s="135" t="s">
        <v>925</v>
      </c>
      <c r="Y311" s="135" t="s">
        <v>4081</v>
      </c>
      <c r="Z311" s="138">
        <v>0.0</v>
      </c>
      <c r="AA311" s="138">
        <v>0.0</v>
      </c>
    </row>
    <row r="312">
      <c r="A312" s="332">
        <v>25.0</v>
      </c>
      <c r="B312" s="135" t="s">
        <v>4082</v>
      </c>
      <c r="C312" s="135" t="s">
        <v>4083</v>
      </c>
      <c r="D312" s="332" t="s">
        <v>5952</v>
      </c>
      <c r="E312" s="124" t="s">
        <v>88</v>
      </c>
      <c r="F312" s="332" t="s">
        <v>5953</v>
      </c>
      <c r="G312" s="332" t="s">
        <v>5954</v>
      </c>
      <c r="H312" s="135" t="s">
        <v>532</v>
      </c>
      <c r="I312" s="135" t="s">
        <v>3853</v>
      </c>
      <c r="J312" s="135" t="s">
        <v>285</v>
      </c>
      <c r="K312" s="135" t="s">
        <v>1035</v>
      </c>
      <c r="L312" s="135" t="s">
        <v>4084</v>
      </c>
      <c r="M312" s="333">
        <v>33019.0</v>
      </c>
      <c r="N312" s="138" t="s">
        <v>67</v>
      </c>
      <c r="O312" s="348"/>
      <c r="P312" s="135" t="s">
        <v>68</v>
      </c>
      <c r="Q312" s="348"/>
      <c r="R312" s="138">
        <v>8.1370600708E10</v>
      </c>
      <c r="S312" s="135" t="s">
        <v>4085</v>
      </c>
      <c r="T312" s="135" t="s">
        <v>4086</v>
      </c>
      <c r="U312" s="135" t="s">
        <v>4087</v>
      </c>
      <c r="V312" s="135" t="s">
        <v>96</v>
      </c>
      <c r="W312" s="135" t="s">
        <v>135</v>
      </c>
      <c r="X312" s="135" t="s">
        <v>445</v>
      </c>
      <c r="Y312" s="135" t="s">
        <v>2466</v>
      </c>
      <c r="Z312" s="138"/>
      <c r="AA312" s="138"/>
    </row>
    <row r="313">
      <c r="A313" s="332">
        <v>26.0</v>
      </c>
      <c r="B313" s="135" t="s">
        <v>4088</v>
      </c>
      <c r="C313" s="135" t="s">
        <v>4089</v>
      </c>
      <c r="D313" s="332" t="s">
        <v>5952</v>
      </c>
      <c r="E313" s="124" t="s">
        <v>88</v>
      </c>
      <c r="F313" s="332" t="s">
        <v>5953</v>
      </c>
      <c r="G313" s="332" t="s">
        <v>5954</v>
      </c>
      <c r="H313" s="135" t="s">
        <v>142</v>
      </c>
      <c r="I313" s="135" t="s">
        <v>3853</v>
      </c>
      <c r="J313" s="135" t="s">
        <v>89</v>
      </c>
      <c r="K313" s="135" t="s">
        <v>90</v>
      </c>
      <c r="L313" s="135" t="s">
        <v>244</v>
      </c>
      <c r="M313" s="333">
        <v>43027.0</v>
      </c>
      <c r="N313" s="138" t="s">
        <v>67</v>
      </c>
      <c r="O313" s="348"/>
      <c r="P313" s="135" t="s">
        <v>68</v>
      </c>
      <c r="Q313" s="348"/>
      <c r="R313" s="138">
        <v>8.13611794E10</v>
      </c>
      <c r="S313" s="135" t="s">
        <v>4090</v>
      </c>
      <c r="T313" s="135" t="s">
        <v>4091</v>
      </c>
      <c r="U313" s="135" t="s">
        <v>4092</v>
      </c>
      <c r="V313" s="135" t="s">
        <v>96</v>
      </c>
      <c r="W313" s="135" t="s">
        <v>97</v>
      </c>
      <c r="X313" s="135" t="s">
        <v>292</v>
      </c>
      <c r="Y313" s="135" t="s">
        <v>683</v>
      </c>
      <c r="Z313" s="138">
        <v>1.0</v>
      </c>
      <c r="AA313" s="138"/>
    </row>
    <row r="314">
      <c r="A314" s="332">
        <v>27.0</v>
      </c>
      <c r="B314" s="135" t="s">
        <v>4093</v>
      </c>
      <c r="C314" s="135" t="s">
        <v>4094</v>
      </c>
      <c r="D314" s="332" t="s">
        <v>5952</v>
      </c>
      <c r="E314" s="124" t="s">
        <v>88</v>
      </c>
      <c r="F314" s="332" t="s">
        <v>5953</v>
      </c>
      <c r="G314" s="332" t="s">
        <v>5954</v>
      </c>
      <c r="H314" s="135" t="s">
        <v>142</v>
      </c>
      <c r="I314" s="135" t="s">
        <v>3853</v>
      </c>
      <c r="J314" s="135" t="s">
        <v>89</v>
      </c>
      <c r="K314" s="135" t="s">
        <v>1811</v>
      </c>
      <c r="L314" s="135" t="s">
        <v>1231</v>
      </c>
      <c r="M314" s="333">
        <v>41752.0</v>
      </c>
      <c r="N314" s="138" t="s">
        <v>67</v>
      </c>
      <c r="O314" s="348"/>
      <c r="P314" s="135" t="s">
        <v>130</v>
      </c>
      <c r="Q314" s="348"/>
      <c r="R314" s="138">
        <v>8.5262365477E10</v>
      </c>
      <c r="S314" s="135" t="s">
        <v>4095</v>
      </c>
      <c r="T314" s="135" t="s">
        <v>4096</v>
      </c>
      <c r="U314" s="135" t="s">
        <v>4097</v>
      </c>
      <c r="V314" s="135" t="s">
        <v>73</v>
      </c>
      <c r="W314" s="135" t="s">
        <v>74</v>
      </c>
      <c r="X314" s="135" t="s">
        <v>191</v>
      </c>
      <c r="Y314" s="135" t="s">
        <v>2010</v>
      </c>
      <c r="Z314" s="138"/>
      <c r="AA314" s="138"/>
    </row>
    <row r="315">
      <c r="A315" s="332">
        <v>28.0</v>
      </c>
      <c r="B315" s="135" t="s">
        <v>4098</v>
      </c>
      <c r="C315" s="135" t="s">
        <v>4099</v>
      </c>
      <c r="D315" s="332" t="s">
        <v>5952</v>
      </c>
      <c r="E315" s="124" t="s">
        <v>88</v>
      </c>
      <c r="F315" s="332" t="s">
        <v>5953</v>
      </c>
      <c r="G315" s="332" t="s">
        <v>5954</v>
      </c>
      <c r="H315" s="135" t="s">
        <v>519</v>
      </c>
      <c r="I315" s="135" t="s">
        <v>3853</v>
      </c>
      <c r="J315" s="135" t="s">
        <v>267</v>
      </c>
      <c r="K315" s="135" t="s">
        <v>4100</v>
      </c>
      <c r="L315" s="135" t="s">
        <v>4101</v>
      </c>
      <c r="M315" s="333">
        <v>38616.0</v>
      </c>
      <c r="N315" s="138" t="s">
        <v>67</v>
      </c>
      <c r="O315" s="348"/>
      <c r="P315" s="135" t="s">
        <v>68</v>
      </c>
      <c r="Q315" s="348"/>
      <c r="R315" s="138">
        <v>8.5362408137E10</v>
      </c>
      <c r="S315" s="135" t="s">
        <v>4102</v>
      </c>
      <c r="T315" s="135" t="s">
        <v>4103</v>
      </c>
      <c r="U315" s="135" t="s">
        <v>4104</v>
      </c>
      <c r="V315" s="135" t="s">
        <v>732</v>
      </c>
      <c r="W315" s="135" t="s">
        <v>97</v>
      </c>
      <c r="X315" s="135" t="s">
        <v>4105</v>
      </c>
      <c r="Y315" s="135" t="s">
        <v>1816</v>
      </c>
      <c r="Z315" s="138"/>
      <c r="AA315" s="138"/>
    </row>
    <row r="316">
      <c r="A316" s="332">
        <v>29.0</v>
      </c>
      <c r="B316" s="135" t="s">
        <v>4106</v>
      </c>
      <c r="C316" s="135" t="s">
        <v>4107</v>
      </c>
      <c r="D316" s="332" t="s">
        <v>5952</v>
      </c>
      <c r="E316" s="124" t="s">
        <v>88</v>
      </c>
      <c r="F316" s="332" t="s">
        <v>5953</v>
      </c>
      <c r="G316" s="332" t="s">
        <v>5954</v>
      </c>
      <c r="H316" s="135" t="s">
        <v>532</v>
      </c>
      <c r="I316" s="135" t="s">
        <v>3853</v>
      </c>
      <c r="J316" s="135" t="s">
        <v>285</v>
      </c>
      <c r="K316" s="135" t="s">
        <v>4108</v>
      </c>
      <c r="L316" s="135" t="s">
        <v>4109</v>
      </c>
      <c r="M316" s="333">
        <v>34485.0</v>
      </c>
      <c r="N316" s="138" t="s">
        <v>67</v>
      </c>
      <c r="O316" s="348"/>
      <c r="P316" s="135" t="s">
        <v>68</v>
      </c>
      <c r="Q316" s="348"/>
      <c r="R316" s="138">
        <v>8.121242312E10</v>
      </c>
      <c r="S316" s="135" t="s">
        <v>4110</v>
      </c>
      <c r="T316" s="135" t="s">
        <v>4111</v>
      </c>
      <c r="U316" s="135" t="s">
        <v>4112</v>
      </c>
      <c r="V316" s="135" t="s">
        <v>96</v>
      </c>
      <c r="W316" s="135" t="s">
        <v>97</v>
      </c>
      <c r="X316" s="135" t="s">
        <v>499</v>
      </c>
      <c r="Y316" s="135" t="s">
        <v>464</v>
      </c>
      <c r="Z316" s="138">
        <v>0.0</v>
      </c>
      <c r="AA316" s="138">
        <v>0.0</v>
      </c>
    </row>
    <row r="317">
      <c r="A317" s="332">
        <v>30.0</v>
      </c>
      <c r="B317" s="135" t="s">
        <v>4113</v>
      </c>
      <c r="C317" s="135" t="s">
        <v>4114</v>
      </c>
      <c r="D317" s="332" t="s">
        <v>5952</v>
      </c>
      <c r="E317" s="124" t="s">
        <v>88</v>
      </c>
      <c r="F317" s="332" t="s">
        <v>5953</v>
      </c>
      <c r="G317" s="332" t="s">
        <v>5954</v>
      </c>
      <c r="H317" s="135" t="s">
        <v>142</v>
      </c>
      <c r="I317" s="135" t="s">
        <v>3853</v>
      </c>
      <c r="J317" s="135" t="s">
        <v>159</v>
      </c>
      <c r="K317" s="135" t="s">
        <v>230</v>
      </c>
      <c r="L317" s="135" t="s">
        <v>231</v>
      </c>
      <c r="M317" s="333">
        <v>41305.0</v>
      </c>
      <c r="N317" s="138" t="s">
        <v>67</v>
      </c>
      <c r="O317" s="348"/>
      <c r="P317" s="135" t="s">
        <v>68</v>
      </c>
      <c r="Q317" s="348"/>
      <c r="R317" s="138">
        <v>8.2160777171E10</v>
      </c>
      <c r="S317" s="135" t="s">
        <v>4115</v>
      </c>
      <c r="T317" s="135" t="s">
        <v>4116</v>
      </c>
      <c r="U317" s="135" t="s">
        <v>4117</v>
      </c>
      <c r="V317" s="135" t="s">
        <v>96</v>
      </c>
      <c r="W317" s="135" t="s">
        <v>97</v>
      </c>
      <c r="X317" s="135" t="s">
        <v>499</v>
      </c>
      <c r="Y317" s="135" t="s">
        <v>4118</v>
      </c>
      <c r="Z317" s="138">
        <v>0.0</v>
      </c>
      <c r="AA317" s="138">
        <v>0.0</v>
      </c>
    </row>
    <row r="318">
      <c r="A318" s="332">
        <v>31.0</v>
      </c>
      <c r="B318" s="135" t="s">
        <v>4119</v>
      </c>
      <c r="C318" s="135" t="s">
        <v>4120</v>
      </c>
      <c r="D318" s="332" t="s">
        <v>5952</v>
      </c>
      <c r="E318" s="124" t="s">
        <v>88</v>
      </c>
      <c r="F318" s="332" t="s">
        <v>5953</v>
      </c>
      <c r="G318" s="332" t="s">
        <v>5954</v>
      </c>
      <c r="H318" s="135" t="s">
        <v>142</v>
      </c>
      <c r="I318" s="135" t="s">
        <v>3853</v>
      </c>
      <c r="J318" s="135" t="s">
        <v>89</v>
      </c>
      <c r="K318" s="135"/>
      <c r="L318" s="135" t="s">
        <v>671</v>
      </c>
      <c r="M318" s="333">
        <v>40445.0</v>
      </c>
      <c r="N318" s="138" t="s">
        <v>67</v>
      </c>
      <c r="O318" s="348"/>
      <c r="P318" s="135" t="s">
        <v>68</v>
      </c>
      <c r="Q318" s="348"/>
      <c r="R318" s="138">
        <v>8.2164128455E10</v>
      </c>
      <c r="S318" s="135" t="s">
        <v>4121</v>
      </c>
      <c r="T318" s="135" t="s">
        <v>4122</v>
      </c>
      <c r="U318" s="135" t="s">
        <v>4123</v>
      </c>
      <c r="V318" s="135" t="s">
        <v>73</v>
      </c>
      <c r="W318" s="135" t="s">
        <v>74</v>
      </c>
      <c r="X318" s="135" t="s">
        <v>454</v>
      </c>
      <c r="Y318" s="135" t="s">
        <v>1753</v>
      </c>
      <c r="Z318" s="138">
        <v>0.0</v>
      </c>
      <c r="AA318" s="138">
        <v>10.0</v>
      </c>
    </row>
    <row r="319">
      <c r="A319" s="332">
        <v>32.0</v>
      </c>
      <c r="B319" s="135" t="s">
        <v>4124</v>
      </c>
      <c r="C319" s="135" t="s">
        <v>4125</v>
      </c>
      <c r="D319" s="332" t="s">
        <v>5952</v>
      </c>
      <c r="E319" s="124" t="s">
        <v>88</v>
      </c>
      <c r="F319" s="332" t="s">
        <v>5953</v>
      </c>
      <c r="G319" s="332" t="s">
        <v>5954</v>
      </c>
      <c r="H319" s="135" t="s">
        <v>532</v>
      </c>
      <c r="I319" s="135" t="s">
        <v>3853</v>
      </c>
      <c r="J319" s="135" t="s">
        <v>285</v>
      </c>
      <c r="K319" s="135" t="s">
        <v>903</v>
      </c>
      <c r="L319" s="135" t="s">
        <v>4126</v>
      </c>
      <c r="M319" s="333">
        <v>35938.0</v>
      </c>
      <c r="N319" s="138" t="s">
        <v>67</v>
      </c>
      <c r="O319" s="348"/>
      <c r="P319" s="135" t="s">
        <v>130</v>
      </c>
      <c r="Q319" s="348"/>
      <c r="R319" s="138">
        <v>8.1361123332E10</v>
      </c>
      <c r="S319" s="135" t="s">
        <v>4127</v>
      </c>
      <c r="T319" s="135" t="s">
        <v>4128</v>
      </c>
      <c r="U319" s="135" t="s">
        <v>4129</v>
      </c>
      <c r="V319" s="135" t="s">
        <v>96</v>
      </c>
      <c r="W319" s="135" t="s">
        <v>97</v>
      </c>
      <c r="X319" s="135" t="s">
        <v>213</v>
      </c>
      <c r="Y319" s="135" t="s">
        <v>556</v>
      </c>
      <c r="Z319" s="138"/>
      <c r="AA319" s="138"/>
    </row>
    <row r="320">
      <c r="A320" s="332">
        <v>33.0</v>
      </c>
      <c r="B320" s="135" t="s">
        <v>4130</v>
      </c>
      <c r="C320" s="135" t="s">
        <v>4131</v>
      </c>
      <c r="D320" s="332" t="s">
        <v>5952</v>
      </c>
      <c r="E320" s="124" t="s">
        <v>88</v>
      </c>
      <c r="F320" s="332" t="s">
        <v>5953</v>
      </c>
      <c r="G320" s="332" t="s">
        <v>5954</v>
      </c>
      <c r="H320" s="135" t="s">
        <v>142</v>
      </c>
      <c r="I320" s="135" t="s">
        <v>3853</v>
      </c>
      <c r="J320" s="135" t="s">
        <v>89</v>
      </c>
      <c r="K320" s="135" t="s">
        <v>90</v>
      </c>
      <c r="L320" s="135" t="s">
        <v>1119</v>
      </c>
      <c r="M320" s="335">
        <v>44537.0</v>
      </c>
      <c r="N320" s="138" t="s">
        <v>311</v>
      </c>
      <c r="O320" s="348"/>
      <c r="P320" s="135" t="s">
        <v>130</v>
      </c>
      <c r="Q320" s="348"/>
      <c r="R320" s="138">
        <v>8.1911281707E10</v>
      </c>
      <c r="S320" s="135" t="s">
        <v>4132</v>
      </c>
      <c r="T320" s="135" t="s">
        <v>4133</v>
      </c>
      <c r="U320" s="135" t="s">
        <v>4134</v>
      </c>
      <c r="V320" s="135" t="s">
        <v>73</v>
      </c>
      <c r="W320" s="135" t="s">
        <v>166</v>
      </c>
      <c r="X320" s="135" t="s">
        <v>596</v>
      </c>
      <c r="Y320" s="135" t="s">
        <v>4135</v>
      </c>
      <c r="Z320" s="138">
        <v>0.0</v>
      </c>
      <c r="AA320" s="138">
        <v>0.0</v>
      </c>
    </row>
    <row r="321">
      <c r="A321" s="332">
        <v>34.0</v>
      </c>
      <c r="B321" s="135" t="s">
        <v>4136</v>
      </c>
      <c r="C321" s="135" t="s">
        <v>4137</v>
      </c>
      <c r="D321" s="332" t="s">
        <v>5952</v>
      </c>
      <c r="E321" s="124" t="s">
        <v>88</v>
      </c>
      <c r="F321" s="332" t="s">
        <v>5953</v>
      </c>
      <c r="G321" s="332" t="s">
        <v>5954</v>
      </c>
      <c r="H321" s="135" t="s">
        <v>142</v>
      </c>
      <c r="I321" s="135" t="s">
        <v>3853</v>
      </c>
      <c r="J321" s="135" t="s">
        <v>89</v>
      </c>
      <c r="K321" s="135" t="s">
        <v>4138</v>
      </c>
      <c r="L321" s="135" t="s">
        <v>671</v>
      </c>
      <c r="M321" s="335">
        <v>44140.0</v>
      </c>
      <c r="N321" s="138" t="s">
        <v>67</v>
      </c>
      <c r="O321" s="348"/>
      <c r="P321" s="135" t="s">
        <v>130</v>
      </c>
      <c r="Q321" s="348"/>
      <c r="R321" s="138">
        <v>8.5768912753E10</v>
      </c>
      <c r="S321" s="135" t="s">
        <v>4139</v>
      </c>
      <c r="T321" s="135" t="s">
        <v>4140</v>
      </c>
      <c r="U321" s="135" t="s">
        <v>4141</v>
      </c>
      <c r="V321" s="135" t="s">
        <v>732</v>
      </c>
      <c r="W321" s="135" t="s">
        <v>135</v>
      </c>
      <c r="X321" s="135" t="s">
        <v>499</v>
      </c>
      <c r="Y321" s="135" t="s">
        <v>1396</v>
      </c>
      <c r="Z321" s="138">
        <v>0.0</v>
      </c>
      <c r="AA321" s="138">
        <v>0.0</v>
      </c>
    </row>
    <row r="322">
      <c r="A322" s="332">
        <v>35.0</v>
      </c>
      <c r="B322" s="135" t="s">
        <v>4142</v>
      </c>
      <c r="C322" s="135" t="s">
        <v>4143</v>
      </c>
      <c r="D322" s="332" t="s">
        <v>5952</v>
      </c>
      <c r="E322" s="124" t="s">
        <v>88</v>
      </c>
      <c r="F322" s="332" t="s">
        <v>5953</v>
      </c>
      <c r="G322" s="332" t="s">
        <v>5954</v>
      </c>
      <c r="H322" s="135" t="s">
        <v>142</v>
      </c>
      <c r="I322" s="135" t="s">
        <v>3853</v>
      </c>
      <c r="J322" s="135" t="s">
        <v>89</v>
      </c>
      <c r="K322" s="135" t="s">
        <v>218</v>
      </c>
      <c r="L322" s="135" t="s">
        <v>1010</v>
      </c>
      <c r="M322" s="335">
        <v>43075.0</v>
      </c>
      <c r="N322" s="138" t="s">
        <v>67</v>
      </c>
      <c r="O322" s="348"/>
      <c r="P322" s="135" t="s">
        <v>130</v>
      </c>
      <c r="Q322" s="348"/>
      <c r="R322" s="138">
        <v>8.3190923747E10</v>
      </c>
      <c r="S322" s="135" t="s">
        <v>4144</v>
      </c>
      <c r="T322" s="135" t="s">
        <v>4145</v>
      </c>
      <c r="U322" s="135" t="s">
        <v>4146</v>
      </c>
      <c r="V322" s="135" t="s">
        <v>1029</v>
      </c>
      <c r="W322" s="135" t="s">
        <v>97</v>
      </c>
      <c r="X322" s="135" t="s">
        <v>1576</v>
      </c>
      <c r="Y322" s="135" t="s">
        <v>4147</v>
      </c>
      <c r="Z322" s="138">
        <v>0.0</v>
      </c>
      <c r="AA322" s="138">
        <v>0.0</v>
      </c>
    </row>
    <row r="323">
      <c r="A323" s="332">
        <v>36.0</v>
      </c>
      <c r="B323" s="135" t="s">
        <v>4148</v>
      </c>
      <c r="C323" s="135" t="s">
        <v>4149</v>
      </c>
      <c r="D323" s="332" t="s">
        <v>5952</v>
      </c>
      <c r="E323" s="124" t="s">
        <v>88</v>
      </c>
      <c r="F323" s="332" t="s">
        <v>5953</v>
      </c>
      <c r="G323" s="332" t="s">
        <v>5954</v>
      </c>
      <c r="H323" s="135" t="s">
        <v>142</v>
      </c>
      <c r="I323" s="135" t="s">
        <v>3853</v>
      </c>
      <c r="J323" s="135" t="s">
        <v>89</v>
      </c>
      <c r="K323" s="135" t="s">
        <v>243</v>
      </c>
      <c r="L323" s="135" t="s">
        <v>4150</v>
      </c>
      <c r="M323" s="333">
        <v>34997.0</v>
      </c>
      <c r="N323" s="138" t="s">
        <v>220</v>
      </c>
      <c r="O323" s="348"/>
      <c r="P323" s="135" t="s">
        <v>130</v>
      </c>
      <c r="Q323" s="348"/>
      <c r="R323" s="138">
        <v>8.1397063324E10</v>
      </c>
      <c r="S323" s="135" t="s">
        <v>4151</v>
      </c>
      <c r="T323" s="135" t="s">
        <v>4152</v>
      </c>
      <c r="U323" s="135" t="s">
        <v>4153</v>
      </c>
      <c r="V323" s="135" t="s">
        <v>96</v>
      </c>
      <c r="W323" s="135" t="s">
        <v>97</v>
      </c>
      <c r="X323" s="135" t="s">
        <v>213</v>
      </c>
      <c r="Y323" s="135" t="s">
        <v>1366</v>
      </c>
      <c r="Z323" s="138">
        <v>0.0</v>
      </c>
      <c r="AA323" s="138">
        <v>0.0</v>
      </c>
    </row>
    <row r="324">
      <c r="A324" s="332">
        <v>37.0</v>
      </c>
      <c r="B324" s="135" t="s">
        <v>4154</v>
      </c>
      <c r="C324" s="135" t="s">
        <v>4155</v>
      </c>
      <c r="D324" s="332" t="s">
        <v>5952</v>
      </c>
      <c r="E324" s="124" t="s">
        <v>88</v>
      </c>
      <c r="F324" s="332" t="s">
        <v>5953</v>
      </c>
      <c r="G324" s="332" t="s">
        <v>5954</v>
      </c>
      <c r="H324" s="135" t="s">
        <v>142</v>
      </c>
      <c r="I324" s="135" t="s">
        <v>3853</v>
      </c>
      <c r="J324" s="135"/>
      <c r="K324" s="135"/>
      <c r="L324" s="135"/>
      <c r="M324" s="138"/>
      <c r="N324" s="138" t="s">
        <v>67</v>
      </c>
      <c r="O324" s="348"/>
      <c r="P324" s="135" t="s">
        <v>130</v>
      </c>
      <c r="Q324" s="348"/>
      <c r="R324" s="138">
        <v>8.1262500364E10</v>
      </c>
      <c r="S324" s="135" t="s">
        <v>4156</v>
      </c>
      <c r="T324" s="135" t="s">
        <v>4157</v>
      </c>
      <c r="U324" s="135" t="s">
        <v>4158</v>
      </c>
      <c r="V324" s="135" t="s">
        <v>73</v>
      </c>
      <c r="W324" s="135" t="s">
        <v>74</v>
      </c>
      <c r="X324" s="135" t="s">
        <v>178</v>
      </c>
      <c r="Y324" s="135" t="s">
        <v>2743</v>
      </c>
      <c r="Z324" s="138">
        <v>0.0</v>
      </c>
      <c r="AA324" s="138">
        <v>0.0</v>
      </c>
    </row>
    <row r="325">
      <c r="A325" s="332">
        <v>38.0</v>
      </c>
      <c r="B325" s="135" t="s">
        <v>4159</v>
      </c>
      <c r="C325" s="135" t="s">
        <v>4160</v>
      </c>
      <c r="D325" s="332" t="s">
        <v>5952</v>
      </c>
      <c r="E325" s="124" t="s">
        <v>88</v>
      </c>
      <c r="F325" s="332" t="s">
        <v>5953</v>
      </c>
      <c r="G325" s="332" t="s">
        <v>5954</v>
      </c>
      <c r="H325" s="135" t="s">
        <v>142</v>
      </c>
      <c r="I325" s="135" t="s">
        <v>3853</v>
      </c>
      <c r="J325" s="135" t="s">
        <v>89</v>
      </c>
      <c r="K325" s="135" t="s">
        <v>218</v>
      </c>
      <c r="L325" s="135" t="s">
        <v>4161</v>
      </c>
      <c r="M325" s="335">
        <v>42982.0</v>
      </c>
      <c r="N325" s="138" t="s">
        <v>220</v>
      </c>
      <c r="O325" s="348"/>
      <c r="P325" s="135" t="s">
        <v>130</v>
      </c>
      <c r="Q325" s="348"/>
      <c r="R325" s="138">
        <v>8.1260542423E10</v>
      </c>
      <c r="S325" s="135" t="s">
        <v>4162</v>
      </c>
      <c r="T325" s="135" t="s">
        <v>4163</v>
      </c>
      <c r="U325" s="135" t="s">
        <v>4164</v>
      </c>
      <c r="V325" s="135" t="s">
        <v>96</v>
      </c>
      <c r="W325" s="135" t="s">
        <v>97</v>
      </c>
      <c r="X325" s="135" t="s">
        <v>213</v>
      </c>
      <c r="Y325" s="135" t="s">
        <v>556</v>
      </c>
      <c r="Z325" s="138"/>
      <c r="AA325" s="138"/>
    </row>
    <row r="326">
      <c r="A326" s="332">
        <v>39.0</v>
      </c>
      <c r="B326" s="135" t="s">
        <v>4165</v>
      </c>
      <c r="C326" s="135" t="s">
        <v>4166</v>
      </c>
      <c r="D326" s="332" t="s">
        <v>5952</v>
      </c>
      <c r="E326" s="124" t="s">
        <v>88</v>
      </c>
      <c r="F326" s="332" t="s">
        <v>5953</v>
      </c>
      <c r="G326" s="332" t="s">
        <v>5954</v>
      </c>
      <c r="H326" s="135" t="s">
        <v>142</v>
      </c>
      <c r="I326" s="135" t="s">
        <v>3853</v>
      </c>
      <c r="J326" s="135" t="s">
        <v>89</v>
      </c>
      <c r="K326" s="135" t="s">
        <v>1214</v>
      </c>
      <c r="L326" s="135" t="s">
        <v>1231</v>
      </c>
      <c r="M326" s="335">
        <v>39699.0</v>
      </c>
      <c r="N326" s="138" t="s">
        <v>67</v>
      </c>
      <c r="O326" s="348"/>
      <c r="P326" s="135" t="s">
        <v>130</v>
      </c>
      <c r="Q326" s="348"/>
      <c r="R326" s="138">
        <v>8.1264643535E10</v>
      </c>
      <c r="S326" s="135" t="s">
        <v>4167</v>
      </c>
      <c r="T326" s="135" t="s">
        <v>4168</v>
      </c>
      <c r="U326" s="135" t="s">
        <v>4169</v>
      </c>
      <c r="V326" s="135" t="s">
        <v>73</v>
      </c>
      <c r="W326" s="135" t="s">
        <v>74</v>
      </c>
      <c r="X326" s="135" t="s">
        <v>774</v>
      </c>
      <c r="Y326" s="135" t="s">
        <v>942</v>
      </c>
      <c r="Z326" s="138">
        <v>0.0</v>
      </c>
      <c r="AA326" s="138">
        <v>0.0</v>
      </c>
    </row>
    <row r="327">
      <c r="A327" s="332">
        <v>40.0</v>
      </c>
      <c r="B327" s="135" t="s">
        <v>4170</v>
      </c>
      <c r="C327" s="135" t="s">
        <v>4171</v>
      </c>
      <c r="D327" s="332" t="s">
        <v>5952</v>
      </c>
      <c r="E327" s="124" t="s">
        <v>88</v>
      </c>
      <c r="F327" s="332" t="s">
        <v>5953</v>
      </c>
      <c r="G327" s="332" t="s">
        <v>5954</v>
      </c>
      <c r="H327" s="135" t="s">
        <v>142</v>
      </c>
      <c r="I327" s="135" t="s">
        <v>3853</v>
      </c>
      <c r="J327" s="135" t="s">
        <v>89</v>
      </c>
      <c r="K327" s="135" t="s">
        <v>678</v>
      </c>
      <c r="L327" s="135" t="s">
        <v>4172</v>
      </c>
      <c r="M327" s="335">
        <v>41246.0</v>
      </c>
      <c r="N327" s="138" t="s">
        <v>220</v>
      </c>
      <c r="O327" s="348"/>
      <c r="P327" s="135" t="s">
        <v>130</v>
      </c>
      <c r="Q327" s="348"/>
      <c r="R327" s="138">
        <v>8.1362346569E10</v>
      </c>
      <c r="S327" s="135" t="s">
        <v>4173</v>
      </c>
      <c r="T327" s="135" t="s">
        <v>4174</v>
      </c>
      <c r="U327" s="135" t="s">
        <v>4175</v>
      </c>
      <c r="V327" s="135" t="s">
        <v>96</v>
      </c>
      <c r="W327" s="135" t="s">
        <v>97</v>
      </c>
      <c r="X327" s="135" t="s">
        <v>292</v>
      </c>
      <c r="Y327" s="135" t="s">
        <v>1711</v>
      </c>
      <c r="Z327" s="138"/>
      <c r="AA327" s="138"/>
    </row>
    <row r="328">
      <c r="A328" s="332">
        <v>41.0</v>
      </c>
      <c r="B328" s="135" t="s">
        <v>4176</v>
      </c>
      <c r="C328" s="135" t="s">
        <v>4177</v>
      </c>
      <c r="D328" s="332" t="s">
        <v>5952</v>
      </c>
      <c r="E328" s="124" t="s">
        <v>88</v>
      </c>
      <c r="F328" s="332" t="s">
        <v>5953</v>
      </c>
      <c r="G328" s="332" t="s">
        <v>5954</v>
      </c>
      <c r="H328" s="135" t="s">
        <v>142</v>
      </c>
      <c r="I328" s="135" t="s">
        <v>3853</v>
      </c>
      <c r="J328" s="135" t="s">
        <v>89</v>
      </c>
      <c r="K328" s="135" t="s">
        <v>218</v>
      </c>
      <c r="L328" s="135" t="s">
        <v>4178</v>
      </c>
      <c r="M328" s="333">
        <v>43936.0</v>
      </c>
      <c r="N328" s="138" t="s">
        <v>220</v>
      </c>
      <c r="O328" s="348"/>
      <c r="P328" s="135" t="s">
        <v>68</v>
      </c>
      <c r="Q328" s="348"/>
      <c r="R328" s="138">
        <v>8.5262411254E10</v>
      </c>
      <c r="S328" s="135" t="s">
        <v>4179</v>
      </c>
      <c r="T328" s="135" t="s">
        <v>4180</v>
      </c>
      <c r="U328" s="135" t="s">
        <v>4181</v>
      </c>
      <c r="V328" s="135" t="s">
        <v>96</v>
      </c>
      <c r="W328" s="135" t="s">
        <v>97</v>
      </c>
      <c r="X328" s="135" t="s">
        <v>292</v>
      </c>
      <c r="Y328" s="135" t="s">
        <v>1711</v>
      </c>
      <c r="Z328" s="138"/>
      <c r="AA328" s="138"/>
    </row>
    <row r="329">
      <c r="A329" s="332">
        <v>42.0</v>
      </c>
      <c r="B329" s="135" t="s">
        <v>4182</v>
      </c>
      <c r="C329" s="135" t="s">
        <v>4183</v>
      </c>
      <c r="D329" s="332" t="s">
        <v>5952</v>
      </c>
      <c r="E329" s="124" t="s">
        <v>88</v>
      </c>
      <c r="F329" s="332" t="s">
        <v>5953</v>
      </c>
      <c r="G329" s="332" t="s">
        <v>5954</v>
      </c>
      <c r="H329" s="135" t="s">
        <v>142</v>
      </c>
      <c r="I329" s="135" t="s">
        <v>3853</v>
      </c>
      <c r="J329" s="135" t="s">
        <v>89</v>
      </c>
      <c r="K329" s="135"/>
      <c r="L329" s="135" t="s">
        <v>4184</v>
      </c>
      <c r="M329" s="333">
        <v>36304.0</v>
      </c>
      <c r="N329" s="138" t="s">
        <v>67</v>
      </c>
      <c r="O329" s="348"/>
      <c r="P329" s="135" t="s">
        <v>68</v>
      </c>
      <c r="Q329" s="348"/>
      <c r="R329" s="138">
        <v>8.126425927E9</v>
      </c>
      <c r="S329" s="135" t="s">
        <v>4185</v>
      </c>
      <c r="T329" s="135" t="s">
        <v>4186</v>
      </c>
      <c r="U329" s="135" t="s">
        <v>4187</v>
      </c>
      <c r="V329" s="135" t="s">
        <v>96</v>
      </c>
      <c r="W329" s="135" t="s">
        <v>97</v>
      </c>
      <c r="X329" s="135" t="s">
        <v>213</v>
      </c>
      <c r="Y329" s="135" t="s">
        <v>4188</v>
      </c>
      <c r="Z329" s="138"/>
      <c r="AA329" s="138"/>
    </row>
    <row r="330">
      <c r="A330" s="332">
        <v>43.0</v>
      </c>
      <c r="B330" s="135" t="s">
        <v>4189</v>
      </c>
      <c r="C330" s="135" t="s">
        <v>4190</v>
      </c>
      <c r="D330" s="332" t="s">
        <v>5952</v>
      </c>
      <c r="E330" s="124" t="s">
        <v>88</v>
      </c>
      <c r="F330" s="332" t="s">
        <v>5953</v>
      </c>
      <c r="G330" s="332" t="s">
        <v>5954</v>
      </c>
      <c r="H330" s="135" t="s">
        <v>142</v>
      </c>
      <c r="I330" s="135" t="s">
        <v>3853</v>
      </c>
      <c r="J330" s="135" t="s">
        <v>89</v>
      </c>
      <c r="K330" s="135" t="s">
        <v>1214</v>
      </c>
      <c r="L330" s="135" t="s">
        <v>260</v>
      </c>
      <c r="M330" s="333">
        <v>44029.0</v>
      </c>
      <c r="N330" s="138" t="s">
        <v>67</v>
      </c>
      <c r="O330" s="348"/>
      <c r="P330" s="135" t="s">
        <v>68</v>
      </c>
      <c r="Q330" s="348"/>
      <c r="R330" s="138">
        <v>8.1262945952E10</v>
      </c>
      <c r="S330" s="135" t="s">
        <v>4191</v>
      </c>
      <c r="T330" s="135" t="s">
        <v>4192</v>
      </c>
      <c r="U330" s="135" t="s">
        <v>4193</v>
      </c>
      <c r="V330" s="135" t="s">
        <v>73</v>
      </c>
      <c r="W330" s="135" t="s">
        <v>481</v>
      </c>
      <c r="X330" s="135" t="s">
        <v>191</v>
      </c>
      <c r="Y330" s="135" t="s">
        <v>836</v>
      </c>
      <c r="Z330" s="138">
        <v>0.0</v>
      </c>
      <c r="AA330" s="138">
        <v>0.0</v>
      </c>
    </row>
    <row r="331">
      <c r="A331" s="332">
        <v>44.0</v>
      </c>
      <c r="B331" s="135" t="s">
        <v>4194</v>
      </c>
      <c r="C331" s="135" t="s">
        <v>4195</v>
      </c>
      <c r="D331" s="332" t="s">
        <v>5952</v>
      </c>
      <c r="E331" s="124" t="s">
        <v>88</v>
      </c>
      <c r="F331" s="332" t="s">
        <v>5953</v>
      </c>
      <c r="G331" s="332" t="s">
        <v>5954</v>
      </c>
      <c r="H331" s="135" t="s">
        <v>142</v>
      </c>
      <c r="I331" s="135" t="s">
        <v>3853</v>
      </c>
      <c r="J331" s="135" t="s">
        <v>89</v>
      </c>
      <c r="K331" s="135" t="s">
        <v>2132</v>
      </c>
      <c r="L331" s="135" t="s">
        <v>745</v>
      </c>
      <c r="M331" s="335">
        <v>36375.0</v>
      </c>
      <c r="N331" s="138" t="s">
        <v>67</v>
      </c>
      <c r="O331" s="348"/>
      <c r="P331" s="135" t="s">
        <v>68</v>
      </c>
      <c r="Q331" s="348"/>
      <c r="R331" s="138">
        <v>8.1263924889E10</v>
      </c>
      <c r="S331" s="135" t="s">
        <v>4196</v>
      </c>
      <c r="T331" s="135" t="s">
        <v>4197</v>
      </c>
      <c r="U331" s="135" t="s">
        <v>4198</v>
      </c>
      <c r="V331" s="135" t="s">
        <v>73</v>
      </c>
      <c r="W331" s="135" t="s">
        <v>481</v>
      </c>
      <c r="X331" s="135" t="s">
        <v>1698</v>
      </c>
      <c r="Y331" s="135" t="s">
        <v>1699</v>
      </c>
      <c r="Z331" s="138">
        <v>1.0</v>
      </c>
      <c r="AA331" s="138">
        <v>1.0</v>
      </c>
    </row>
    <row r="332">
      <c r="A332" s="332">
        <v>45.0</v>
      </c>
      <c r="B332" s="135" t="s">
        <v>4199</v>
      </c>
      <c r="C332" s="135" t="s">
        <v>4200</v>
      </c>
      <c r="D332" s="332" t="s">
        <v>5952</v>
      </c>
      <c r="E332" s="124" t="s">
        <v>88</v>
      </c>
      <c r="F332" s="332" t="s">
        <v>5953</v>
      </c>
      <c r="G332" s="332" t="s">
        <v>5954</v>
      </c>
      <c r="H332" s="135" t="s">
        <v>142</v>
      </c>
      <c r="I332" s="135" t="s">
        <v>3853</v>
      </c>
      <c r="J332" s="135" t="s">
        <v>89</v>
      </c>
      <c r="K332" s="135" t="s">
        <v>2132</v>
      </c>
      <c r="L332" s="135" t="s">
        <v>648</v>
      </c>
      <c r="M332" s="333">
        <v>39039.0</v>
      </c>
      <c r="N332" s="138" t="s">
        <v>67</v>
      </c>
      <c r="O332" s="348"/>
      <c r="P332" s="135" t="s">
        <v>68</v>
      </c>
      <c r="Q332" s="348"/>
      <c r="R332" s="138">
        <v>8.13622283E10</v>
      </c>
      <c r="S332" s="135" t="s">
        <v>4201</v>
      </c>
      <c r="T332" s="135" t="s">
        <v>4202</v>
      </c>
      <c r="U332" s="135" t="s">
        <v>4203</v>
      </c>
      <c r="V332" s="135" t="s">
        <v>73</v>
      </c>
      <c r="W332" s="135" t="s">
        <v>166</v>
      </c>
      <c r="X332" s="135" t="s">
        <v>596</v>
      </c>
      <c r="Y332" s="135" t="s">
        <v>2170</v>
      </c>
      <c r="Z332" s="138"/>
      <c r="AA332" s="138"/>
    </row>
    <row r="333">
      <c r="A333" s="101" t="s">
        <v>4204</v>
      </c>
      <c r="B333" s="141"/>
      <c r="C333" s="345"/>
      <c r="D333" s="124"/>
      <c r="E333" s="124"/>
      <c r="F333" s="124"/>
      <c r="G333" s="124"/>
      <c r="H333" s="141"/>
      <c r="I333" s="141"/>
      <c r="J333" s="141"/>
      <c r="K333" s="141"/>
      <c r="L333" s="141"/>
      <c r="M333" s="124"/>
      <c r="N333" s="346"/>
      <c r="O333" s="346"/>
      <c r="P333" s="347"/>
      <c r="Q333" s="346"/>
      <c r="R333" s="346"/>
      <c r="S333" s="347"/>
      <c r="T333" s="347"/>
      <c r="U333" s="347"/>
      <c r="V333" s="347"/>
      <c r="W333" s="347"/>
      <c r="X333" s="347"/>
      <c r="Y333" s="347"/>
      <c r="Z333" s="346"/>
      <c r="AA333" s="346"/>
    </row>
    <row r="334">
      <c r="A334" s="358">
        <v>1.0</v>
      </c>
      <c r="B334" s="359" t="s">
        <v>4286</v>
      </c>
      <c r="C334" s="359" t="s">
        <v>4287</v>
      </c>
      <c r="D334" s="332" t="s">
        <v>5952</v>
      </c>
      <c r="E334" s="124" t="s">
        <v>88</v>
      </c>
      <c r="F334" s="332" t="s">
        <v>5953</v>
      </c>
      <c r="G334" s="332" t="s">
        <v>5954</v>
      </c>
      <c r="H334" s="359" t="s">
        <v>142</v>
      </c>
      <c r="I334" s="359" t="s">
        <v>4208</v>
      </c>
      <c r="J334" s="359" t="s">
        <v>89</v>
      </c>
      <c r="K334" s="359" t="s">
        <v>1193</v>
      </c>
      <c r="L334" s="359" t="s">
        <v>865</v>
      </c>
      <c r="M334" s="360">
        <v>41217.0</v>
      </c>
      <c r="N334" s="361" t="s">
        <v>67</v>
      </c>
      <c r="O334" s="179"/>
      <c r="P334" s="359" t="s">
        <v>68</v>
      </c>
      <c r="Q334" s="361"/>
      <c r="R334" s="361">
        <v>8.5296764999E10</v>
      </c>
      <c r="S334" s="359" t="s">
        <v>4288</v>
      </c>
      <c r="T334" s="359" t="s">
        <v>4289</v>
      </c>
      <c r="U334" s="359" t="s">
        <v>4290</v>
      </c>
      <c r="V334" s="359" t="s">
        <v>73</v>
      </c>
      <c r="W334" s="359" t="s">
        <v>74</v>
      </c>
      <c r="X334" s="359" t="s">
        <v>75</v>
      </c>
      <c r="Y334" s="359" t="s">
        <v>1236</v>
      </c>
      <c r="Z334" s="361">
        <v>13.0</v>
      </c>
      <c r="AA334" s="361">
        <v>6.0</v>
      </c>
    </row>
    <row r="335">
      <c r="A335" s="332">
        <v>2.0</v>
      </c>
      <c r="B335" s="135" t="s">
        <v>4291</v>
      </c>
      <c r="C335" s="135" t="s">
        <v>4292</v>
      </c>
      <c r="D335" s="332" t="s">
        <v>5952</v>
      </c>
      <c r="E335" s="124" t="s">
        <v>88</v>
      </c>
      <c r="F335" s="332" t="s">
        <v>5953</v>
      </c>
      <c r="G335" s="332" t="s">
        <v>5954</v>
      </c>
      <c r="H335" s="135" t="s">
        <v>142</v>
      </c>
      <c r="I335" s="135" t="s">
        <v>4208</v>
      </c>
      <c r="J335" s="135" t="s">
        <v>89</v>
      </c>
      <c r="K335" s="135" t="s">
        <v>90</v>
      </c>
      <c r="L335" s="135" t="s">
        <v>1819</v>
      </c>
      <c r="M335" s="333">
        <v>42723.0</v>
      </c>
      <c r="N335" s="138" t="s">
        <v>67</v>
      </c>
      <c r="O335" s="348"/>
      <c r="P335" s="135" t="s">
        <v>68</v>
      </c>
      <c r="Q335" s="138"/>
      <c r="R335" s="138">
        <v>8.2182914621E10</v>
      </c>
      <c r="S335" s="135" t="s">
        <v>4293</v>
      </c>
      <c r="T335" s="135" t="s">
        <v>4294</v>
      </c>
      <c r="U335" s="135" t="s">
        <v>4295</v>
      </c>
      <c r="V335" s="135" t="s">
        <v>73</v>
      </c>
      <c r="W335" s="135" t="s">
        <v>74</v>
      </c>
      <c r="X335" s="135" t="s">
        <v>925</v>
      </c>
      <c r="Y335" s="135" t="s">
        <v>2751</v>
      </c>
      <c r="Z335" s="138">
        <v>0.0</v>
      </c>
      <c r="AA335" s="138">
        <v>0.0</v>
      </c>
    </row>
    <row r="336">
      <c r="A336" s="332">
        <v>3.0</v>
      </c>
      <c r="B336" s="135" t="s">
        <v>4296</v>
      </c>
      <c r="C336" s="135" t="s">
        <v>4297</v>
      </c>
      <c r="D336" s="332" t="s">
        <v>5952</v>
      </c>
      <c r="E336" s="124" t="s">
        <v>88</v>
      </c>
      <c r="F336" s="332" t="s">
        <v>5953</v>
      </c>
      <c r="G336" s="332" t="s">
        <v>5954</v>
      </c>
      <c r="H336" s="135" t="s">
        <v>142</v>
      </c>
      <c r="I336" s="135" t="s">
        <v>4208</v>
      </c>
      <c r="J336" s="135" t="s">
        <v>89</v>
      </c>
      <c r="K336" s="135" t="s">
        <v>1214</v>
      </c>
      <c r="L336" s="135" t="s">
        <v>4298</v>
      </c>
      <c r="M336" s="333">
        <v>41260.0</v>
      </c>
      <c r="N336" s="138" t="s">
        <v>67</v>
      </c>
      <c r="O336" s="124"/>
      <c r="P336" s="135" t="s">
        <v>68</v>
      </c>
      <c r="Q336" s="138"/>
      <c r="R336" s="138">
        <v>8.116558889E9</v>
      </c>
      <c r="S336" s="135" t="s">
        <v>4299</v>
      </c>
      <c r="T336" s="135" t="s">
        <v>4300</v>
      </c>
      <c r="U336" s="135" t="s">
        <v>4301</v>
      </c>
      <c r="V336" s="135" t="s">
        <v>73</v>
      </c>
      <c r="W336" s="135" t="s">
        <v>835</v>
      </c>
      <c r="X336" s="135" t="s">
        <v>360</v>
      </c>
      <c r="Y336" s="135" t="s">
        <v>666</v>
      </c>
      <c r="Z336" s="138"/>
      <c r="AA336" s="138"/>
    </row>
    <row r="337">
      <c r="A337" s="332">
        <v>4.0</v>
      </c>
      <c r="B337" s="135" t="s">
        <v>4302</v>
      </c>
      <c r="C337" s="135" t="s">
        <v>4303</v>
      </c>
      <c r="D337" s="332" t="s">
        <v>5952</v>
      </c>
      <c r="E337" s="124" t="s">
        <v>88</v>
      </c>
      <c r="F337" s="332" t="s">
        <v>5953</v>
      </c>
      <c r="G337" s="332" t="s">
        <v>5954</v>
      </c>
      <c r="H337" s="135" t="s">
        <v>142</v>
      </c>
      <c r="I337" s="135" t="s">
        <v>4208</v>
      </c>
      <c r="J337" s="135" t="s">
        <v>89</v>
      </c>
      <c r="K337" s="135" t="s">
        <v>90</v>
      </c>
      <c r="L337" s="135" t="s">
        <v>244</v>
      </c>
      <c r="M337" s="333">
        <v>42117.0</v>
      </c>
      <c r="N337" s="138" t="s">
        <v>220</v>
      </c>
      <c r="O337" s="124"/>
      <c r="P337" s="135" t="s">
        <v>68</v>
      </c>
      <c r="Q337" s="138"/>
      <c r="R337" s="138">
        <v>8.1260629088E10</v>
      </c>
      <c r="S337" s="135" t="s">
        <v>4304</v>
      </c>
      <c r="T337" s="135" t="s">
        <v>4305</v>
      </c>
      <c r="U337" s="135" t="s">
        <v>4306</v>
      </c>
      <c r="V337" s="135" t="s">
        <v>3371</v>
      </c>
      <c r="W337" s="135" t="s">
        <v>97</v>
      </c>
      <c r="X337" s="135" t="s">
        <v>4307</v>
      </c>
      <c r="Y337" s="135" t="s">
        <v>4308</v>
      </c>
      <c r="Z337" s="138"/>
      <c r="AA337" s="138"/>
    </row>
    <row r="338">
      <c r="A338" s="358">
        <v>5.0</v>
      </c>
      <c r="B338" s="135" t="s">
        <v>4309</v>
      </c>
      <c r="C338" s="135" t="s">
        <v>4310</v>
      </c>
      <c r="D338" s="332" t="s">
        <v>5952</v>
      </c>
      <c r="E338" s="124" t="s">
        <v>88</v>
      </c>
      <c r="F338" s="332" t="s">
        <v>5953</v>
      </c>
      <c r="G338" s="332" t="s">
        <v>5954</v>
      </c>
      <c r="H338" s="135" t="s">
        <v>532</v>
      </c>
      <c r="I338" s="135" t="s">
        <v>4208</v>
      </c>
      <c r="J338" s="135" t="s">
        <v>285</v>
      </c>
      <c r="K338" s="135" t="s">
        <v>4311</v>
      </c>
      <c r="L338" s="135" t="s">
        <v>4312</v>
      </c>
      <c r="M338" s="333">
        <v>39613.0</v>
      </c>
      <c r="N338" s="138" t="s">
        <v>67</v>
      </c>
      <c r="O338" s="348"/>
      <c r="P338" s="135" t="s">
        <v>68</v>
      </c>
      <c r="Q338" s="138"/>
      <c r="R338" s="138">
        <v>8.1913670826E10</v>
      </c>
      <c r="S338" s="135" t="s">
        <v>4313</v>
      </c>
      <c r="T338" s="135" t="s">
        <v>4314</v>
      </c>
      <c r="U338" s="135" t="s">
        <v>4315</v>
      </c>
      <c r="V338" s="135" t="s">
        <v>732</v>
      </c>
      <c r="W338" s="135" t="s">
        <v>2266</v>
      </c>
      <c r="X338" s="135" t="s">
        <v>151</v>
      </c>
      <c r="Y338" s="135" t="s">
        <v>4316</v>
      </c>
      <c r="Z338" s="138"/>
      <c r="AA338" s="138"/>
    </row>
    <row r="339">
      <c r="A339" s="332">
        <v>6.0</v>
      </c>
      <c r="B339" s="135" t="s">
        <v>4317</v>
      </c>
      <c r="C339" s="135" t="s">
        <v>4318</v>
      </c>
      <c r="D339" s="332" t="s">
        <v>5952</v>
      </c>
      <c r="E339" s="124" t="s">
        <v>88</v>
      </c>
      <c r="F339" s="332" t="s">
        <v>5953</v>
      </c>
      <c r="G339" s="332" t="s">
        <v>5954</v>
      </c>
      <c r="H339" s="135" t="s">
        <v>142</v>
      </c>
      <c r="I339" s="135" t="s">
        <v>4208</v>
      </c>
      <c r="J339" s="135" t="s">
        <v>89</v>
      </c>
      <c r="K339" s="135" t="s">
        <v>160</v>
      </c>
      <c r="L339" s="135" t="s">
        <v>419</v>
      </c>
      <c r="M339" s="138" t="s">
        <v>1104</v>
      </c>
      <c r="N339" s="138" t="s">
        <v>220</v>
      </c>
      <c r="O339" s="348"/>
      <c r="P339" s="135" t="s">
        <v>68</v>
      </c>
      <c r="Q339" s="138"/>
      <c r="R339" s="138">
        <v>8.1366881009E10</v>
      </c>
      <c r="S339" s="135" t="s">
        <v>4319</v>
      </c>
      <c r="T339" s="135" t="s">
        <v>4320</v>
      </c>
      <c r="U339" s="135" t="s">
        <v>4321</v>
      </c>
      <c r="V339" s="135" t="s">
        <v>96</v>
      </c>
      <c r="W339" s="135" t="s">
        <v>135</v>
      </c>
      <c r="X339" s="135" t="s">
        <v>4307</v>
      </c>
      <c r="Y339" s="135"/>
      <c r="Z339" s="138"/>
      <c r="AA339" s="138"/>
    </row>
    <row r="340">
      <c r="A340" s="332">
        <v>7.0</v>
      </c>
      <c r="B340" s="135" t="s">
        <v>4322</v>
      </c>
      <c r="C340" s="135" t="s">
        <v>4323</v>
      </c>
      <c r="D340" s="332" t="s">
        <v>5952</v>
      </c>
      <c r="E340" s="124" t="s">
        <v>88</v>
      </c>
      <c r="F340" s="332" t="s">
        <v>5953</v>
      </c>
      <c r="G340" s="332" t="s">
        <v>5954</v>
      </c>
      <c r="H340" s="135" t="s">
        <v>142</v>
      </c>
      <c r="I340" s="135" t="s">
        <v>4208</v>
      </c>
      <c r="J340" s="135" t="s">
        <v>89</v>
      </c>
      <c r="K340" s="135" t="s">
        <v>1214</v>
      </c>
      <c r="L340" s="135" t="s">
        <v>260</v>
      </c>
      <c r="M340" s="333">
        <v>40659.0</v>
      </c>
      <c r="N340" s="138" t="s">
        <v>67</v>
      </c>
      <c r="O340" s="348"/>
      <c r="P340" s="135" t="s">
        <v>130</v>
      </c>
      <c r="Q340" s="138"/>
      <c r="R340" s="138">
        <v>8.2161616132E10</v>
      </c>
      <c r="S340" s="135" t="s">
        <v>4324</v>
      </c>
      <c r="T340" s="135" t="s">
        <v>4325</v>
      </c>
      <c r="U340" s="135" t="s">
        <v>4326</v>
      </c>
      <c r="V340" s="135" t="s">
        <v>73</v>
      </c>
      <c r="W340" s="135" t="s">
        <v>74</v>
      </c>
      <c r="X340" s="135" t="s">
        <v>982</v>
      </c>
      <c r="Y340" s="135" t="s">
        <v>605</v>
      </c>
      <c r="Z340" s="138">
        <v>46.0</v>
      </c>
      <c r="AA340" s="138">
        <v>19.0</v>
      </c>
    </row>
    <row r="341">
      <c r="A341" s="332">
        <v>8.0</v>
      </c>
      <c r="B341" s="135" t="s">
        <v>4327</v>
      </c>
      <c r="C341" s="135" t="s">
        <v>4328</v>
      </c>
      <c r="D341" s="332" t="s">
        <v>5952</v>
      </c>
      <c r="E341" s="124" t="s">
        <v>88</v>
      </c>
      <c r="F341" s="332" t="s">
        <v>5953</v>
      </c>
      <c r="G341" s="332" t="s">
        <v>5954</v>
      </c>
      <c r="H341" s="135" t="s">
        <v>142</v>
      </c>
      <c r="I341" s="135" t="s">
        <v>4208</v>
      </c>
      <c r="J341" s="135" t="s">
        <v>89</v>
      </c>
      <c r="K341" s="135" t="s">
        <v>90</v>
      </c>
      <c r="L341" s="135" t="s">
        <v>2353</v>
      </c>
      <c r="M341" s="333">
        <v>39557.0</v>
      </c>
      <c r="N341" s="138" t="s">
        <v>220</v>
      </c>
      <c r="O341" s="348"/>
      <c r="P341" s="135" t="s">
        <v>68</v>
      </c>
      <c r="Q341" s="138"/>
      <c r="R341" s="138">
        <v>8.5359592266E10</v>
      </c>
      <c r="S341" s="135" t="s">
        <v>4329</v>
      </c>
      <c r="T341" s="135" t="s">
        <v>4330</v>
      </c>
      <c r="U341" s="135" t="s">
        <v>4331</v>
      </c>
      <c r="V341" s="135" t="s">
        <v>73</v>
      </c>
      <c r="W341" s="135" t="s">
        <v>74</v>
      </c>
      <c r="X341" s="135" t="s">
        <v>454</v>
      </c>
      <c r="Y341" s="135" t="s">
        <v>1753</v>
      </c>
      <c r="Z341" s="138">
        <v>0.0</v>
      </c>
      <c r="AA341" s="138">
        <v>0.0</v>
      </c>
    </row>
    <row r="342">
      <c r="A342" s="358">
        <v>9.0</v>
      </c>
      <c r="B342" s="135" t="s">
        <v>4332</v>
      </c>
      <c r="C342" s="135" t="s">
        <v>4333</v>
      </c>
      <c r="D342" s="332" t="s">
        <v>5952</v>
      </c>
      <c r="E342" s="124" t="s">
        <v>88</v>
      </c>
      <c r="F342" s="332" t="s">
        <v>5953</v>
      </c>
      <c r="G342" s="332" t="s">
        <v>5954</v>
      </c>
      <c r="H342" s="135" t="s">
        <v>142</v>
      </c>
      <c r="I342" s="135" t="s">
        <v>4208</v>
      </c>
      <c r="J342" s="135" t="s">
        <v>89</v>
      </c>
      <c r="K342" s="135" t="s">
        <v>795</v>
      </c>
      <c r="L342" s="135" t="s">
        <v>648</v>
      </c>
      <c r="M342" s="333">
        <v>42931.0</v>
      </c>
      <c r="N342" s="138" t="s">
        <v>67</v>
      </c>
      <c r="O342" s="348"/>
      <c r="P342" s="135" t="s">
        <v>130</v>
      </c>
      <c r="Q342" s="138"/>
      <c r="R342" s="138">
        <v>8.7724836304E10</v>
      </c>
      <c r="S342" s="135" t="s">
        <v>4334</v>
      </c>
      <c r="T342" s="135" t="s">
        <v>4335</v>
      </c>
      <c r="U342" s="135" t="s">
        <v>4336</v>
      </c>
      <c r="V342" s="135" t="s">
        <v>73</v>
      </c>
      <c r="W342" s="135" t="s">
        <v>74</v>
      </c>
      <c r="X342" s="135" t="s">
        <v>203</v>
      </c>
      <c r="Y342" s="135" t="s">
        <v>204</v>
      </c>
      <c r="Z342" s="138"/>
      <c r="AA342" s="138"/>
    </row>
    <row r="343">
      <c r="A343" s="332">
        <v>10.0</v>
      </c>
      <c r="B343" s="135" t="s">
        <v>4337</v>
      </c>
      <c r="C343" s="135" t="s">
        <v>4338</v>
      </c>
      <c r="D343" s="332" t="s">
        <v>5952</v>
      </c>
      <c r="E343" s="124" t="s">
        <v>88</v>
      </c>
      <c r="F343" s="332" t="s">
        <v>5953</v>
      </c>
      <c r="G343" s="332" t="s">
        <v>5954</v>
      </c>
      <c r="H343" s="135" t="s">
        <v>142</v>
      </c>
      <c r="I343" s="135" t="s">
        <v>4208</v>
      </c>
      <c r="J343" s="135" t="s">
        <v>89</v>
      </c>
      <c r="K343" s="135" t="s">
        <v>1214</v>
      </c>
      <c r="L343" s="135" t="s">
        <v>1231</v>
      </c>
      <c r="M343" s="333">
        <v>40472.0</v>
      </c>
      <c r="N343" s="138" t="s">
        <v>67</v>
      </c>
      <c r="O343" s="348"/>
      <c r="P343" s="135" t="s">
        <v>130</v>
      </c>
      <c r="Q343" s="138"/>
      <c r="R343" s="138">
        <v>8.136107222E10</v>
      </c>
      <c r="S343" s="135" t="s">
        <v>4339</v>
      </c>
      <c r="T343" s="135" t="s">
        <v>4340</v>
      </c>
      <c r="U343" s="135" t="s">
        <v>4341</v>
      </c>
      <c r="V343" s="135" t="s">
        <v>73</v>
      </c>
      <c r="W343" s="135" t="s">
        <v>481</v>
      </c>
      <c r="X343" s="135" t="s">
        <v>454</v>
      </c>
      <c r="Y343" s="135" t="s">
        <v>1753</v>
      </c>
      <c r="Z343" s="138">
        <v>6.0</v>
      </c>
      <c r="AA343" s="138">
        <v>6.0</v>
      </c>
    </row>
    <row r="344">
      <c r="A344" s="332">
        <v>11.0</v>
      </c>
      <c r="B344" s="135" t="s">
        <v>4342</v>
      </c>
      <c r="C344" s="135" t="s">
        <v>4343</v>
      </c>
      <c r="D344" s="332" t="s">
        <v>5952</v>
      </c>
      <c r="E344" s="124" t="s">
        <v>88</v>
      </c>
      <c r="F344" s="332" t="s">
        <v>5953</v>
      </c>
      <c r="G344" s="332" t="s">
        <v>5954</v>
      </c>
      <c r="H344" s="135" t="s">
        <v>142</v>
      </c>
      <c r="I344" s="135" t="s">
        <v>4208</v>
      </c>
      <c r="J344" s="135" t="s">
        <v>89</v>
      </c>
      <c r="K344" s="135" t="s">
        <v>3148</v>
      </c>
      <c r="L344" s="135" t="s">
        <v>64</v>
      </c>
      <c r="M344" s="333">
        <v>38035.0</v>
      </c>
      <c r="N344" s="138" t="s">
        <v>67</v>
      </c>
      <c r="O344" s="348"/>
      <c r="P344" s="135" t="s">
        <v>130</v>
      </c>
      <c r="Q344" s="138"/>
      <c r="R344" s="138">
        <v>8.5184187455E10</v>
      </c>
      <c r="S344" s="135" t="s">
        <v>4344</v>
      </c>
      <c r="T344" s="135" t="s">
        <v>4345</v>
      </c>
      <c r="U344" s="135" t="s">
        <v>4346</v>
      </c>
      <c r="V344" s="135" t="s">
        <v>73</v>
      </c>
      <c r="W344" s="135" t="s">
        <v>74</v>
      </c>
      <c r="X344" s="135" t="s">
        <v>932</v>
      </c>
      <c r="Y344" s="135" t="s">
        <v>933</v>
      </c>
      <c r="Z344" s="138">
        <v>0.0</v>
      </c>
      <c r="AA344" s="138">
        <v>0.0</v>
      </c>
    </row>
    <row r="345">
      <c r="A345" s="332">
        <v>12.0</v>
      </c>
      <c r="B345" s="135" t="s">
        <v>4347</v>
      </c>
      <c r="C345" s="135" t="s">
        <v>4348</v>
      </c>
      <c r="D345" s="332" t="s">
        <v>5952</v>
      </c>
      <c r="E345" s="124" t="s">
        <v>88</v>
      </c>
      <c r="F345" s="332" t="s">
        <v>5953</v>
      </c>
      <c r="G345" s="332" t="s">
        <v>5954</v>
      </c>
      <c r="H345" s="135" t="s">
        <v>142</v>
      </c>
      <c r="I345" s="135" t="s">
        <v>4208</v>
      </c>
      <c r="J345" s="135" t="s">
        <v>89</v>
      </c>
      <c r="K345" s="135" t="s">
        <v>374</v>
      </c>
      <c r="L345" s="135" t="s">
        <v>4349</v>
      </c>
      <c r="M345" s="333">
        <v>38635.0</v>
      </c>
      <c r="N345" s="138" t="s">
        <v>220</v>
      </c>
      <c r="O345" s="348"/>
      <c r="P345" s="135" t="s">
        <v>68</v>
      </c>
      <c r="Q345" s="138"/>
      <c r="R345" s="138">
        <v>8.95365674769E11</v>
      </c>
      <c r="S345" s="135" t="s">
        <v>4350</v>
      </c>
      <c r="T345" s="135" t="s">
        <v>4351</v>
      </c>
      <c r="U345" s="135" t="s">
        <v>4352</v>
      </c>
      <c r="V345" s="135" t="s">
        <v>73</v>
      </c>
      <c r="W345" s="135" t="s">
        <v>74</v>
      </c>
      <c r="X345" s="135" t="s">
        <v>118</v>
      </c>
      <c r="Y345" s="135" t="s">
        <v>4353</v>
      </c>
      <c r="Z345" s="138"/>
      <c r="AA345" s="138"/>
    </row>
    <row r="346">
      <c r="A346" s="358">
        <v>13.0</v>
      </c>
      <c r="B346" s="135" t="s">
        <v>4354</v>
      </c>
      <c r="C346" s="135" t="s">
        <v>4355</v>
      </c>
      <c r="D346" s="332" t="s">
        <v>5952</v>
      </c>
      <c r="E346" s="124" t="s">
        <v>88</v>
      </c>
      <c r="F346" s="332" t="s">
        <v>5953</v>
      </c>
      <c r="G346" s="332" t="s">
        <v>5954</v>
      </c>
      <c r="H346" s="135" t="s">
        <v>142</v>
      </c>
      <c r="I346" s="135" t="s">
        <v>4208</v>
      </c>
      <c r="J346" s="135" t="s">
        <v>89</v>
      </c>
      <c r="K346" s="135" t="s">
        <v>160</v>
      </c>
      <c r="L346" s="135" t="s">
        <v>4356</v>
      </c>
      <c r="M346" s="138" t="s">
        <v>1104</v>
      </c>
      <c r="N346" s="138" t="s">
        <v>67</v>
      </c>
      <c r="O346" s="348"/>
      <c r="P346" s="135" t="s">
        <v>68</v>
      </c>
      <c r="Q346" s="138"/>
      <c r="R346" s="138">
        <v>8.1265564034E10</v>
      </c>
      <c r="S346" s="135" t="s">
        <v>4357</v>
      </c>
      <c r="T346" s="135" t="s">
        <v>4358</v>
      </c>
      <c r="U346" s="135" t="s">
        <v>4359</v>
      </c>
      <c r="V346" s="135" t="s">
        <v>692</v>
      </c>
      <c r="W346" s="135" t="s">
        <v>97</v>
      </c>
      <c r="X346" s="135" t="s">
        <v>546</v>
      </c>
      <c r="Y346" s="135" t="s">
        <v>3958</v>
      </c>
      <c r="Z346" s="138"/>
      <c r="AA346" s="138"/>
    </row>
    <row r="347">
      <c r="A347" s="332">
        <v>14.0</v>
      </c>
      <c r="B347" s="135" t="s">
        <v>4360</v>
      </c>
      <c r="C347" s="135" t="s">
        <v>4361</v>
      </c>
      <c r="D347" s="332" t="s">
        <v>5952</v>
      </c>
      <c r="E347" s="124" t="s">
        <v>88</v>
      </c>
      <c r="F347" s="332" t="s">
        <v>5953</v>
      </c>
      <c r="G347" s="332" t="s">
        <v>5954</v>
      </c>
      <c r="H347" s="135" t="s">
        <v>142</v>
      </c>
      <c r="I347" s="135" t="s">
        <v>4208</v>
      </c>
      <c r="J347" s="135" t="s">
        <v>159</v>
      </c>
      <c r="K347" s="135" t="s">
        <v>4362</v>
      </c>
      <c r="L347" s="135" t="s">
        <v>648</v>
      </c>
      <c r="M347" s="333">
        <v>42931.0</v>
      </c>
      <c r="N347" s="138" t="s">
        <v>67</v>
      </c>
      <c r="O347" s="348"/>
      <c r="P347" s="135" t="s">
        <v>130</v>
      </c>
      <c r="Q347" s="138"/>
      <c r="R347" s="138">
        <v>8.5361722216E10</v>
      </c>
      <c r="S347" s="135" t="s">
        <v>4363</v>
      </c>
      <c r="T347" s="135" t="s">
        <v>4364</v>
      </c>
      <c r="U347" s="135" t="s">
        <v>4365</v>
      </c>
      <c r="V347" s="135" t="s">
        <v>73</v>
      </c>
      <c r="W347" s="135" t="s">
        <v>481</v>
      </c>
      <c r="X347" s="135" t="s">
        <v>360</v>
      </c>
      <c r="Y347" s="135" t="s">
        <v>2897</v>
      </c>
      <c r="Z347" s="138"/>
      <c r="AA347" s="138"/>
    </row>
    <row r="348">
      <c r="A348" s="332">
        <v>15.0</v>
      </c>
      <c r="B348" s="135" t="s">
        <v>4366</v>
      </c>
      <c r="C348" s="135" t="s">
        <v>4367</v>
      </c>
      <c r="D348" s="332" t="s">
        <v>5952</v>
      </c>
      <c r="E348" s="124" t="s">
        <v>88</v>
      </c>
      <c r="F348" s="332" t="s">
        <v>5953</v>
      </c>
      <c r="G348" s="332" t="s">
        <v>5954</v>
      </c>
      <c r="H348" s="135" t="s">
        <v>532</v>
      </c>
      <c r="I348" s="135" t="s">
        <v>4208</v>
      </c>
      <c r="J348" s="135" t="s">
        <v>285</v>
      </c>
      <c r="K348" s="135"/>
      <c r="L348" s="135" t="s">
        <v>4368</v>
      </c>
      <c r="M348" s="333">
        <v>38887.0</v>
      </c>
      <c r="N348" s="138" t="s">
        <v>67</v>
      </c>
      <c r="O348" s="348"/>
      <c r="P348" s="135" t="s">
        <v>68</v>
      </c>
      <c r="Q348" s="138"/>
      <c r="R348" s="138">
        <v>8.1269123005E10</v>
      </c>
      <c r="S348" s="135" t="s">
        <v>4369</v>
      </c>
      <c r="T348" s="135" t="s">
        <v>4370</v>
      </c>
      <c r="U348" s="135"/>
      <c r="V348" s="135" t="s">
        <v>732</v>
      </c>
      <c r="W348" s="135" t="s">
        <v>135</v>
      </c>
      <c r="X348" s="135" t="s">
        <v>98</v>
      </c>
      <c r="Y348" s="135" t="s">
        <v>4371</v>
      </c>
      <c r="Z348" s="138"/>
      <c r="AA348" s="138"/>
    </row>
    <row r="349">
      <c r="A349" s="332">
        <v>16.0</v>
      </c>
      <c r="B349" s="135" t="s">
        <v>4372</v>
      </c>
      <c r="C349" s="135" t="s">
        <v>4373</v>
      </c>
      <c r="D349" s="332" t="s">
        <v>5952</v>
      </c>
      <c r="E349" s="124" t="s">
        <v>88</v>
      </c>
      <c r="F349" s="332" t="s">
        <v>5953</v>
      </c>
      <c r="G349" s="332" t="s">
        <v>5954</v>
      </c>
      <c r="H349" s="135" t="s">
        <v>142</v>
      </c>
      <c r="I349" s="135" t="s">
        <v>4208</v>
      </c>
      <c r="J349" s="135" t="s">
        <v>89</v>
      </c>
      <c r="K349" s="135" t="s">
        <v>795</v>
      </c>
      <c r="L349" s="135" t="s">
        <v>244</v>
      </c>
      <c r="M349" s="333">
        <v>41453.0</v>
      </c>
      <c r="N349" s="138" t="s">
        <v>67</v>
      </c>
      <c r="O349" s="348"/>
      <c r="P349" s="135" t="s">
        <v>68</v>
      </c>
      <c r="Q349" s="138"/>
      <c r="R349" s="138">
        <v>8.5275694991E10</v>
      </c>
      <c r="S349" s="135" t="s">
        <v>4374</v>
      </c>
      <c r="T349" s="135" t="s">
        <v>4375</v>
      </c>
      <c r="U349" s="135" t="s">
        <v>4376</v>
      </c>
      <c r="V349" s="135" t="s">
        <v>73</v>
      </c>
      <c r="W349" s="135" t="s">
        <v>74</v>
      </c>
      <c r="X349" s="135" t="s">
        <v>1291</v>
      </c>
      <c r="Y349" s="135" t="s">
        <v>167</v>
      </c>
      <c r="Z349" s="138" t="s">
        <v>77</v>
      </c>
      <c r="AA349" s="138" t="s">
        <v>77</v>
      </c>
    </row>
    <row r="350">
      <c r="A350" s="358">
        <v>17.0</v>
      </c>
      <c r="B350" s="135" t="s">
        <v>4377</v>
      </c>
      <c r="C350" s="135" t="s">
        <v>4378</v>
      </c>
      <c r="D350" s="332" t="s">
        <v>5952</v>
      </c>
      <c r="E350" s="124" t="s">
        <v>88</v>
      </c>
      <c r="F350" s="332" t="s">
        <v>5953</v>
      </c>
      <c r="G350" s="332" t="s">
        <v>5954</v>
      </c>
      <c r="H350" s="135" t="s">
        <v>142</v>
      </c>
      <c r="I350" s="135" t="s">
        <v>4208</v>
      </c>
      <c r="J350" s="135" t="s">
        <v>89</v>
      </c>
      <c r="K350" s="135" t="s">
        <v>90</v>
      </c>
      <c r="L350" s="135" t="s">
        <v>1215</v>
      </c>
      <c r="M350" s="333">
        <v>43661.0</v>
      </c>
      <c r="N350" s="138" t="s">
        <v>67</v>
      </c>
      <c r="O350" s="348"/>
      <c r="P350" s="135" t="s">
        <v>130</v>
      </c>
      <c r="Q350" s="138"/>
      <c r="R350" s="138">
        <v>8.11606011E9</v>
      </c>
      <c r="S350" s="135" t="s">
        <v>4379</v>
      </c>
      <c r="T350" s="135" t="s">
        <v>4380</v>
      </c>
      <c r="U350" s="135" t="s">
        <v>4381</v>
      </c>
      <c r="V350" s="135" t="s">
        <v>73</v>
      </c>
      <c r="W350" s="135" t="s">
        <v>775</v>
      </c>
      <c r="X350" s="135" t="s">
        <v>4382</v>
      </c>
      <c r="Y350" s="135" t="s">
        <v>4383</v>
      </c>
      <c r="Z350" s="138"/>
      <c r="AA350" s="138"/>
    </row>
    <row r="351">
      <c r="A351" s="332">
        <v>18.0</v>
      </c>
      <c r="B351" s="135" t="s">
        <v>4384</v>
      </c>
      <c r="C351" s="135" t="s">
        <v>4385</v>
      </c>
      <c r="D351" s="332" t="s">
        <v>5952</v>
      </c>
      <c r="E351" s="124" t="s">
        <v>88</v>
      </c>
      <c r="F351" s="332" t="s">
        <v>5953</v>
      </c>
      <c r="G351" s="332" t="s">
        <v>5954</v>
      </c>
      <c r="H351" s="135" t="s">
        <v>142</v>
      </c>
      <c r="I351" s="135" t="s">
        <v>4208</v>
      </c>
      <c r="J351" s="135" t="s">
        <v>89</v>
      </c>
      <c r="K351" s="135"/>
      <c r="L351" s="135" t="s">
        <v>260</v>
      </c>
      <c r="M351" s="333">
        <v>39674.0</v>
      </c>
      <c r="N351" s="138" t="s">
        <v>67</v>
      </c>
      <c r="O351" s="348"/>
      <c r="P351" s="135" t="s">
        <v>68</v>
      </c>
      <c r="Q351" s="138"/>
      <c r="R351" s="138">
        <v>8.2165323134E10</v>
      </c>
      <c r="S351" s="135" t="s">
        <v>4386</v>
      </c>
      <c r="T351" s="135" t="s">
        <v>4387</v>
      </c>
      <c r="U351" s="135" t="s">
        <v>4388</v>
      </c>
      <c r="V351" s="135" t="s">
        <v>73</v>
      </c>
      <c r="W351" s="135" t="s">
        <v>74</v>
      </c>
      <c r="X351" s="135" t="s">
        <v>1047</v>
      </c>
      <c r="Y351" s="135" t="s">
        <v>4389</v>
      </c>
      <c r="Z351" s="138"/>
      <c r="AA351" s="138"/>
    </row>
    <row r="352">
      <c r="A352" s="332">
        <v>19.0</v>
      </c>
      <c r="B352" s="135" t="s">
        <v>4390</v>
      </c>
      <c r="C352" s="135" t="s">
        <v>4391</v>
      </c>
      <c r="D352" s="332" t="s">
        <v>5952</v>
      </c>
      <c r="E352" s="124" t="s">
        <v>88</v>
      </c>
      <c r="F352" s="332" t="s">
        <v>5953</v>
      </c>
      <c r="G352" s="332" t="s">
        <v>5954</v>
      </c>
      <c r="H352" s="135" t="s">
        <v>532</v>
      </c>
      <c r="I352" s="135" t="s">
        <v>4208</v>
      </c>
      <c r="J352" s="135" t="s">
        <v>285</v>
      </c>
      <c r="K352" s="135" t="s">
        <v>374</v>
      </c>
      <c r="L352" s="135" t="s">
        <v>4392</v>
      </c>
      <c r="M352" s="333">
        <v>41418.0</v>
      </c>
      <c r="N352" s="138" t="s">
        <v>67</v>
      </c>
      <c r="O352" s="348"/>
      <c r="P352" s="135" t="s">
        <v>130</v>
      </c>
      <c r="Q352" s="138"/>
      <c r="R352" s="138">
        <v>8.216418828E10</v>
      </c>
      <c r="S352" s="135" t="s">
        <v>4393</v>
      </c>
      <c r="T352" s="135" t="s">
        <v>4394</v>
      </c>
      <c r="U352" s="135" t="s">
        <v>4395</v>
      </c>
      <c r="V352" s="135" t="s">
        <v>73</v>
      </c>
      <c r="W352" s="135" t="s">
        <v>166</v>
      </c>
      <c r="X352" s="135" t="s">
        <v>167</v>
      </c>
      <c r="Y352" s="135" t="s">
        <v>1265</v>
      </c>
      <c r="Z352" s="138" t="s">
        <v>77</v>
      </c>
      <c r="AA352" s="138" t="s">
        <v>77</v>
      </c>
    </row>
    <row r="353">
      <c r="A353" s="332">
        <v>20.0</v>
      </c>
      <c r="B353" s="135" t="s">
        <v>4396</v>
      </c>
      <c r="C353" s="135" t="s">
        <v>4397</v>
      </c>
      <c r="D353" s="332" t="s">
        <v>5952</v>
      </c>
      <c r="E353" s="124" t="s">
        <v>88</v>
      </c>
      <c r="F353" s="332" t="s">
        <v>5953</v>
      </c>
      <c r="G353" s="332" t="s">
        <v>5954</v>
      </c>
      <c r="H353" s="135" t="s">
        <v>142</v>
      </c>
      <c r="I353" s="135" t="s">
        <v>4208</v>
      </c>
      <c r="J353" s="135" t="s">
        <v>89</v>
      </c>
      <c r="K353" s="135" t="s">
        <v>218</v>
      </c>
      <c r="L353" s="135" t="s">
        <v>4398</v>
      </c>
      <c r="M353" s="335">
        <v>39394.0</v>
      </c>
      <c r="N353" s="138" t="s">
        <v>67</v>
      </c>
      <c r="O353" s="348"/>
      <c r="P353" s="135" t="s">
        <v>130</v>
      </c>
      <c r="Q353" s="348"/>
      <c r="R353" s="138">
        <v>8.1260887279E10</v>
      </c>
      <c r="S353" s="135" t="s">
        <v>4399</v>
      </c>
      <c r="T353" s="135" t="s">
        <v>4400</v>
      </c>
      <c r="U353" s="135" t="s">
        <v>4401</v>
      </c>
      <c r="V353" s="135" t="s">
        <v>73</v>
      </c>
      <c r="W353" s="135" t="s">
        <v>74</v>
      </c>
      <c r="X353" s="135" t="s">
        <v>989</v>
      </c>
      <c r="Y353" s="135" t="s">
        <v>538</v>
      </c>
      <c r="Z353" s="138">
        <v>0.0</v>
      </c>
      <c r="AA353" s="138">
        <v>0.0</v>
      </c>
    </row>
    <row r="354">
      <c r="A354" s="358">
        <v>21.0</v>
      </c>
      <c r="B354" s="135" t="s">
        <v>4402</v>
      </c>
      <c r="C354" s="135" t="s">
        <v>4403</v>
      </c>
      <c r="D354" s="332" t="s">
        <v>5952</v>
      </c>
      <c r="E354" s="124" t="s">
        <v>88</v>
      </c>
      <c r="F354" s="332" t="s">
        <v>5953</v>
      </c>
      <c r="G354" s="332" t="s">
        <v>5954</v>
      </c>
      <c r="H354" s="135" t="s">
        <v>142</v>
      </c>
      <c r="I354" s="135" t="s">
        <v>4208</v>
      </c>
      <c r="J354" s="135" t="s">
        <v>89</v>
      </c>
      <c r="K354" s="135" t="s">
        <v>640</v>
      </c>
      <c r="L354" s="135" t="s">
        <v>2786</v>
      </c>
      <c r="M354" s="335">
        <v>42339.0</v>
      </c>
      <c r="N354" s="138" t="s">
        <v>220</v>
      </c>
      <c r="O354" s="348"/>
      <c r="P354" s="135" t="s">
        <v>68</v>
      </c>
      <c r="Q354" s="348"/>
      <c r="R354" s="138">
        <v>8.2368813771E10</v>
      </c>
      <c r="S354" s="135" t="s">
        <v>4404</v>
      </c>
      <c r="T354" s="135" t="s">
        <v>4405</v>
      </c>
      <c r="U354" s="135" t="s">
        <v>4406</v>
      </c>
      <c r="V354" s="135" t="s">
        <v>73</v>
      </c>
      <c r="W354" s="135" t="s">
        <v>481</v>
      </c>
      <c r="X354" s="135" t="s">
        <v>4407</v>
      </c>
      <c r="Y354" s="135" t="s">
        <v>1007</v>
      </c>
      <c r="Z354" s="138"/>
      <c r="AA354" s="138"/>
    </row>
    <row r="355">
      <c r="A355" s="332">
        <v>22.0</v>
      </c>
      <c r="B355" s="135" t="s">
        <v>4408</v>
      </c>
      <c r="C355" s="135" t="s">
        <v>4409</v>
      </c>
      <c r="D355" s="332" t="s">
        <v>5952</v>
      </c>
      <c r="E355" s="124" t="s">
        <v>88</v>
      </c>
      <c r="F355" s="332" t="s">
        <v>5953</v>
      </c>
      <c r="G355" s="332" t="s">
        <v>5954</v>
      </c>
      <c r="H355" s="135" t="s">
        <v>142</v>
      </c>
      <c r="I355" s="135" t="s">
        <v>4208</v>
      </c>
      <c r="J355" s="135" t="s">
        <v>89</v>
      </c>
      <c r="K355" s="135" t="s">
        <v>90</v>
      </c>
      <c r="L355" s="135" t="s">
        <v>1819</v>
      </c>
      <c r="M355" s="333">
        <v>42598.0</v>
      </c>
      <c r="N355" s="138" t="s">
        <v>67</v>
      </c>
      <c r="O355" s="348"/>
      <c r="P355" s="135" t="s">
        <v>130</v>
      </c>
      <c r="Q355" s="348"/>
      <c r="R355" s="138">
        <v>8.1212368618E10</v>
      </c>
      <c r="S355" s="135" t="s">
        <v>4410</v>
      </c>
      <c r="T355" s="135" t="s">
        <v>4411</v>
      </c>
      <c r="U355" s="135" t="s">
        <v>4412</v>
      </c>
      <c r="V355" s="135" t="s">
        <v>73</v>
      </c>
      <c r="W355" s="135" t="s">
        <v>74</v>
      </c>
      <c r="X355" s="135" t="s">
        <v>1047</v>
      </c>
      <c r="Y355" s="135" t="s">
        <v>4413</v>
      </c>
      <c r="Z355" s="138">
        <v>0.0</v>
      </c>
      <c r="AA355" s="138">
        <v>0.0</v>
      </c>
    </row>
    <row r="356">
      <c r="A356" s="332">
        <v>23.0</v>
      </c>
      <c r="B356" s="135" t="s">
        <v>4414</v>
      </c>
      <c r="C356" s="135" t="s">
        <v>4415</v>
      </c>
      <c r="D356" s="332" t="s">
        <v>5952</v>
      </c>
      <c r="E356" s="124" t="s">
        <v>88</v>
      </c>
      <c r="F356" s="332" t="s">
        <v>5953</v>
      </c>
      <c r="G356" s="332" t="s">
        <v>5954</v>
      </c>
      <c r="H356" s="135" t="s">
        <v>519</v>
      </c>
      <c r="I356" s="135" t="s">
        <v>4208</v>
      </c>
      <c r="J356" s="135" t="s">
        <v>267</v>
      </c>
      <c r="K356" s="135" t="s">
        <v>4416</v>
      </c>
      <c r="L356" s="135" t="s">
        <v>231</v>
      </c>
      <c r="M356" s="333">
        <v>39624.0</v>
      </c>
      <c r="N356" s="138" t="s">
        <v>67</v>
      </c>
      <c r="O356" s="348"/>
      <c r="P356" s="135" t="s">
        <v>130</v>
      </c>
      <c r="Q356" s="348"/>
      <c r="R356" s="138">
        <v>8.1266017456E10</v>
      </c>
      <c r="S356" s="135" t="s">
        <v>4417</v>
      </c>
      <c r="T356" s="135" t="s">
        <v>4418</v>
      </c>
      <c r="U356" s="135" t="s">
        <v>4419</v>
      </c>
      <c r="V356" s="135" t="s">
        <v>96</v>
      </c>
      <c r="W356" s="135" t="s">
        <v>97</v>
      </c>
      <c r="X356" s="135" t="s">
        <v>272</v>
      </c>
      <c r="Y356" s="135" t="s">
        <v>334</v>
      </c>
      <c r="Z356" s="138"/>
      <c r="AA356" s="138"/>
    </row>
    <row r="357">
      <c r="A357" s="332">
        <v>24.0</v>
      </c>
      <c r="B357" s="135" t="s">
        <v>4420</v>
      </c>
      <c r="C357" s="135" t="s">
        <v>4421</v>
      </c>
      <c r="D357" s="332" t="s">
        <v>5952</v>
      </c>
      <c r="E357" s="124" t="s">
        <v>88</v>
      </c>
      <c r="F357" s="332" t="s">
        <v>5953</v>
      </c>
      <c r="G357" s="332" t="s">
        <v>5954</v>
      </c>
      <c r="H357" s="135" t="s">
        <v>142</v>
      </c>
      <c r="I357" s="135" t="s">
        <v>4208</v>
      </c>
      <c r="J357" s="135" t="s">
        <v>89</v>
      </c>
      <c r="K357" s="135" t="s">
        <v>1214</v>
      </c>
      <c r="L357" s="135" t="s">
        <v>260</v>
      </c>
      <c r="M357" s="333">
        <v>37032.0</v>
      </c>
      <c r="N357" s="138" t="s">
        <v>67</v>
      </c>
      <c r="O357" s="348"/>
      <c r="P357" s="135" t="s">
        <v>130</v>
      </c>
      <c r="Q357" s="348"/>
      <c r="R357" s="138">
        <v>8.11619111E9</v>
      </c>
      <c r="S357" s="135" t="s">
        <v>4422</v>
      </c>
      <c r="T357" s="135" t="s">
        <v>4423</v>
      </c>
      <c r="U357" s="135" t="s">
        <v>4424</v>
      </c>
      <c r="V357" s="135" t="s">
        <v>73</v>
      </c>
      <c r="W357" s="135" t="s">
        <v>775</v>
      </c>
      <c r="X357" s="135" t="s">
        <v>4425</v>
      </c>
      <c r="Y357" s="135" t="s">
        <v>4426</v>
      </c>
      <c r="Z357" s="138">
        <v>0.0</v>
      </c>
      <c r="AA357" s="138">
        <v>0.0</v>
      </c>
    </row>
    <row r="358">
      <c r="A358" s="358">
        <v>25.0</v>
      </c>
      <c r="B358" s="135" t="s">
        <v>4427</v>
      </c>
      <c r="C358" s="135" t="s">
        <v>4428</v>
      </c>
      <c r="D358" s="332" t="s">
        <v>5952</v>
      </c>
      <c r="E358" s="124" t="s">
        <v>88</v>
      </c>
      <c r="F358" s="332" t="s">
        <v>5953</v>
      </c>
      <c r="G358" s="332" t="s">
        <v>5954</v>
      </c>
      <c r="H358" s="135" t="s">
        <v>142</v>
      </c>
      <c r="I358" s="135" t="s">
        <v>4208</v>
      </c>
      <c r="J358" s="135"/>
      <c r="K358" s="135"/>
      <c r="L358" s="135"/>
      <c r="M358" s="138"/>
      <c r="N358" s="138" t="s">
        <v>67</v>
      </c>
      <c r="O358" s="348"/>
      <c r="P358" s="135" t="s">
        <v>130</v>
      </c>
      <c r="Q358" s="348"/>
      <c r="R358" s="138">
        <v>8.5277704244E10</v>
      </c>
      <c r="S358" s="135" t="s">
        <v>4429</v>
      </c>
      <c r="T358" s="135" t="s">
        <v>4430</v>
      </c>
      <c r="U358" s="135" t="s">
        <v>4431</v>
      </c>
      <c r="V358" s="135" t="s">
        <v>73</v>
      </c>
      <c r="W358" s="135" t="s">
        <v>74</v>
      </c>
      <c r="X358" s="135" t="s">
        <v>454</v>
      </c>
      <c r="Y358" s="135" t="s">
        <v>4432</v>
      </c>
      <c r="Z358" s="138"/>
      <c r="AA358" s="138"/>
    </row>
    <row r="359">
      <c r="A359" s="332">
        <v>26.0</v>
      </c>
      <c r="B359" s="135" t="s">
        <v>4433</v>
      </c>
      <c r="C359" s="135" t="s">
        <v>4434</v>
      </c>
      <c r="D359" s="332" t="s">
        <v>5952</v>
      </c>
      <c r="E359" s="124" t="s">
        <v>88</v>
      </c>
      <c r="F359" s="332" t="s">
        <v>5953</v>
      </c>
      <c r="G359" s="332" t="s">
        <v>5954</v>
      </c>
      <c r="H359" s="135" t="s">
        <v>142</v>
      </c>
      <c r="I359" s="135" t="s">
        <v>4208</v>
      </c>
      <c r="J359" s="135" t="s">
        <v>89</v>
      </c>
      <c r="K359" s="135" t="s">
        <v>230</v>
      </c>
      <c r="L359" s="135" t="s">
        <v>4435</v>
      </c>
      <c r="M359" s="335">
        <v>39483.0</v>
      </c>
      <c r="N359" s="138" t="s">
        <v>67</v>
      </c>
      <c r="O359" s="348"/>
      <c r="P359" s="135" t="s">
        <v>130</v>
      </c>
      <c r="Q359" s="348"/>
      <c r="R359" s="138">
        <v>8.985576802E9</v>
      </c>
      <c r="S359" s="135" t="s">
        <v>4436</v>
      </c>
      <c r="T359" s="135" t="s">
        <v>4437</v>
      </c>
      <c r="U359" s="135" t="s">
        <v>4438</v>
      </c>
      <c r="V359" s="135" t="s">
        <v>96</v>
      </c>
      <c r="W359" s="135" t="s">
        <v>97</v>
      </c>
      <c r="X359" s="135" t="s">
        <v>499</v>
      </c>
      <c r="Y359" s="135" t="s">
        <v>1479</v>
      </c>
      <c r="Z359" s="138">
        <v>0.0</v>
      </c>
      <c r="AA359" s="138">
        <v>0.0</v>
      </c>
    </row>
    <row r="360">
      <c r="A360" s="332">
        <v>27.0</v>
      </c>
      <c r="B360" s="135" t="s">
        <v>4439</v>
      </c>
      <c r="C360" s="135" t="s">
        <v>4440</v>
      </c>
      <c r="D360" s="332" t="s">
        <v>5952</v>
      </c>
      <c r="E360" s="124" t="s">
        <v>88</v>
      </c>
      <c r="F360" s="332" t="s">
        <v>5953</v>
      </c>
      <c r="G360" s="332" t="s">
        <v>5954</v>
      </c>
      <c r="H360" s="135" t="s">
        <v>142</v>
      </c>
      <c r="I360" s="135" t="s">
        <v>4208</v>
      </c>
      <c r="J360" s="135" t="s">
        <v>89</v>
      </c>
      <c r="K360" s="135" t="s">
        <v>418</v>
      </c>
      <c r="L360" s="135" t="s">
        <v>3245</v>
      </c>
      <c r="M360" s="335">
        <v>42315.0</v>
      </c>
      <c r="N360" s="138" t="s">
        <v>67</v>
      </c>
      <c r="O360" s="348"/>
      <c r="P360" s="135" t="s">
        <v>68</v>
      </c>
      <c r="Q360" s="348"/>
      <c r="R360" s="138">
        <v>8.116191105E9</v>
      </c>
      <c r="S360" s="135" t="s">
        <v>4441</v>
      </c>
      <c r="T360" s="135" t="s">
        <v>4442</v>
      </c>
      <c r="U360" s="135" t="s">
        <v>4443</v>
      </c>
      <c r="V360" s="135" t="s">
        <v>96</v>
      </c>
      <c r="W360" s="135" t="s">
        <v>135</v>
      </c>
      <c r="X360" s="135" t="s">
        <v>425</v>
      </c>
      <c r="Y360" s="135" t="s">
        <v>1533</v>
      </c>
      <c r="Z360" s="138" t="s">
        <v>77</v>
      </c>
      <c r="AA360" s="138" t="s">
        <v>77</v>
      </c>
    </row>
    <row r="361">
      <c r="A361" s="332">
        <v>28.0</v>
      </c>
      <c r="B361" s="135" t="s">
        <v>4444</v>
      </c>
      <c r="C361" s="135" t="s">
        <v>4445</v>
      </c>
      <c r="D361" s="332" t="s">
        <v>5952</v>
      </c>
      <c r="E361" s="124" t="s">
        <v>88</v>
      </c>
      <c r="F361" s="332" t="s">
        <v>5953</v>
      </c>
      <c r="G361" s="332" t="s">
        <v>5954</v>
      </c>
      <c r="H361" s="135" t="s">
        <v>142</v>
      </c>
      <c r="I361" s="135" t="s">
        <v>4208</v>
      </c>
      <c r="J361" s="135" t="s">
        <v>89</v>
      </c>
      <c r="K361" s="135" t="s">
        <v>4446</v>
      </c>
      <c r="L361" s="135" t="s">
        <v>4447</v>
      </c>
      <c r="M361" s="335">
        <v>41246.0</v>
      </c>
      <c r="N361" s="138" t="s">
        <v>67</v>
      </c>
      <c r="O361" s="348"/>
      <c r="P361" s="135" t="s">
        <v>68</v>
      </c>
      <c r="Q361" s="348"/>
      <c r="R361" s="138">
        <v>8.22740038005E11</v>
      </c>
      <c r="S361" s="135" t="s">
        <v>4448</v>
      </c>
      <c r="T361" s="135" t="s">
        <v>4449</v>
      </c>
      <c r="U361" s="135" t="s">
        <v>4450</v>
      </c>
      <c r="V361" s="135" t="s">
        <v>2265</v>
      </c>
      <c r="W361" s="135" t="s">
        <v>514</v>
      </c>
      <c r="X361" s="135" t="s">
        <v>4105</v>
      </c>
      <c r="Y361" s="135" t="s">
        <v>4451</v>
      </c>
      <c r="Z361" s="138">
        <v>0.0</v>
      </c>
      <c r="AA361" s="138">
        <v>0.0</v>
      </c>
    </row>
    <row r="362">
      <c r="A362" s="358">
        <v>29.0</v>
      </c>
      <c r="B362" s="135" t="s">
        <v>4452</v>
      </c>
      <c r="C362" s="135" t="s">
        <v>4453</v>
      </c>
      <c r="D362" s="332" t="s">
        <v>5952</v>
      </c>
      <c r="E362" s="124" t="s">
        <v>88</v>
      </c>
      <c r="F362" s="332" t="s">
        <v>5953</v>
      </c>
      <c r="G362" s="332" t="s">
        <v>5954</v>
      </c>
      <c r="H362" s="135" t="s">
        <v>142</v>
      </c>
      <c r="I362" s="135" t="s">
        <v>4208</v>
      </c>
      <c r="J362" s="135" t="s">
        <v>89</v>
      </c>
      <c r="K362" s="135" t="s">
        <v>90</v>
      </c>
      <c r="L362" s="135" t="s">
        <v>4454</v>
      </c>
      <c r="M362" s="333">
        <v>36830.0</v>
      </c>
      <c r="N362" s="138" t="s">
        <v>67</v>
      </c>
      <c r="O362" s="348"/>
      <c r="P362" s="135" t="s">
        <v>130</v>
      </c>
      <c r="Q362" s="348"/>
      <c r="R362" s="138">
        <v>8.1361995E10</v>
      </c>
      <c r="S362" s="135" t="s">
        <v>4455</v>
      </c>
      <c r="T362" s="135" t="s">
        <v>4456</v>
      </c>
      <c r="U362" s="135" t="s">
        <v>4457</v>
      </c>
      <c r="V362" s="135" t="s">
        <v>4458</v>
      </c>
      <c r="W362" s="135" t="s">
        <v>4459</v>
      </c>
      <c r="X362" s="135" t="s">
        <v>4460</v>
      </c>
      <c r="Y362" s="135" t="s">
        <v>4461</v>
      </c>
      <c r="Z362" s="138">
        <v>0.0</v>
      </c>
      <c r="AA362" s="138">
        <v>0.0</v>
      </c>
    </row>
    <row r="363">
      <c r="A363" s="332">
        <v>30.0</v>
      </c>
      <c r="B363" s="135" t="s">
        <v>4462</v>
      </c>
      <c r="C363" s="135" t="s">
        <v>4463</v>
      </c>
      <c r="D363" s="332" t="s">
        <v>5952</v>
      </c>
      <c r="E363" s="124" t="s">
        <v>88</v>
      </c>
      <c r="F363" s="332" t="s">
        <v>5953</v>
      </c>
      <c r="G363" s="332" t="s">
        <v>5954</v>
      </c>
      <c r="H363" s="135" t="s">
        <v>142</v>
      </c>
      <c r="I363" s="135" t="s">
        <v>4208</v>
      </c>
      <c r="J363" s="135" t="s">
        <v>89</v>
      </c>
      <c r="K363" s="135" t="s">
        <v>90</v>
      </c>
      <c r="L363" s="135" t="s">
        <v>1215</v>
      </c>
      <c r="M363" s="335">
        <v>42068.0</v>
      </c>
      <c r="N363" s="138" t="s">
        <v>67</v>
      </c>
      <c r="O363" s="348"/>
      <c r="P363" s="135" t="s">
        <v>130</v>
      </c>
      <c r="Q363" s="348"/>
      <c r="R363" s="138">
        <v>8.116181989E9</v>
      </c>
      <c r="S363" s="135" t="s">
        <v>4464</v>
      </c>
      <c r="T363" s="135" t="s">
        <v>4465</v>
      </c>
      <c r="U363" s="135" t="s">
        <v>1264</v>
      </c>
      <c r="V363" s="135" t="s">
        <v>73</v>
      </c>
      <c r="W363" s="135" t="s">
        <v>166</v>
      </c>
      <c r="X363" s="135" t="s">
        <v>167</v>
      </c>
      <c r="Y363" s="135" t="s">
        <v>1265</v>
      </c>
      <c r="Z363" s="138">
        <v>0.0</v>
      </c>
      <c r="AA363" s="138">
        <v>0.0</v>
      </c>
    </row>
    <row r="364">
      <c r="A364" s="332">
        <v>31.0</v>
      </c>
      <c r="B364" s="135" t="s">
        <v>4466</v>
      </c>
      <c r="C364" s="135" t="s">
        <v>4467</v>
      </c>
      <c r="D364" s="332" t="s">
        <v>5952</v>
      </c>
      <c r="E364" s="124" t="s">
        <v>88</v>
      </c>
      <c r="F364" s="332" t="s">
        <v>5953</v>
      </c>
      <c r="G364" s="332" t="s">
        <v>5954</v>
      </c>
      <c r="H364" s="135" t="s">
        <v>532</v>
      </c>
      <c r="I364" s="135" t="s">
        <v>4208</v>
      </c>
      <c r="J364" s="135" t="s">
        <v>285</v>
      </c>
      <c r="K364" s="135" t="s">
        <v>4468</v>
      </c>
      <c r="L364" s="135" t="s">
        <v>4469</v>
      </c>
      <c r="M364" s="335">
        <v>42857.0</v>
      </c>
      <c r="N364" s="138" t="s">
        <v>67</v>
      </c>
      <c r="O364" s="348"/>
      <c r="P364" s="135" t="s">
        <v>68</v>
      </c>
      <c r="Q364" s="348"/>
      <c r="R364" s="138" t="s">
        <v>4470</v>
      </c>
      <c r="S364" s="135" t="s">
        <v>4471</v>
      </c>
      <c r="T364" s="135" t="s">
        <v>4472</v>
      </c>
      <c r="U364" s="135" t="s">
        <v>4473</v>
      </c>
      <c r="V364" s="135" t="s">
        <v>73</v>
      </c>
      <c r="W364" s="135" t="s">
        <v>1698</v>
      </c>
      <c r="X364" s="135" t="s">
        <v>1291</v>
      </c>
      <c r="Y364" s="135" t="s">
        <v>167</v>
      </c>
      <c r="Z364" s="138"/>
      <c r="AA364" s="138"/>
    </row>
    <row r="365">
      <c r="A365" s="332">
        <v>32.0</v>
      </c>
      <c r="B365" s="135" t="s">
        <v>4474</v>
      </c>
      <c r="C365" s="135" t="s">
        <v>4475</v>
      </c>
      <c r="D365" s="332" t="s">
        <v>5952</v>
      </c>
      <c r="E365" s="124" t="s">
        <v>88</v>
      </c>
      <c r="F365" s="332" t="s">
        <v>5953</v>
      </c>
      <c r="G365" s="332" t="s">
        <v>5954</v>
      </c>
      <c r="H365" s="135" t="s">
        <v>142</v>
      </c>
      <c r="I365" s="135" t="s">
        <v>4208</v>
      </c>
      <c r="J365" s="135" t="s">
        <v>89</v>
      </c>
      <c r="K365" s="135" t="s">
        <v>1214</v>
      </c>
      <c r="L365" s="135" t="s">
        <v>2353</v>
      </c>
      <c r="M365" s="333">
        <v>42112.0</v>
      </c>
      <c r="N365" s="138" t="s">
        <v>220</v>
      </c>
      <c r="O365" s="348"/>
      <c r="P365" s="135" t="s">
        <v>68</v>
      </c>
      <c r="Q365" s="348"/>
      <c r="R365" s="138">
        <v>8.1269952856E10</v>
      </c>
      <c r="S365" s="135" t="s">
        <v>4476</v>
      </c>
      <c r="T365" s="135" t="s">
        <v>4477</v>
      </c>
      <c r="U365" s="135" t="s">
        <v>4478</v>
      </c>
      <c r="V365" s="135" t="s">
        <v>73</v>
      </c>
      <c r="W365" s="135" t="s">
        <v>74</v>
      </c>
      <c r="X365" s="135" t="s">
        <v>989</v>
      </c>
      <c r="Y365" s="135" t="s">
        <v>538</v>
      </c>
      <c r="Z365" s="138"/>
      <c r="AA365" s="138"/>
    </row>
    <row r="366">
      <c r="A366" s="358">
        <v>33.0</v>
      </c>
      <c r="B366" s="135" t="s">
        <v>4479</v>
      </c>
      <c r="C366" s="135" t="s">
        <v>4480</v>
      </c>
      <c r="D366" s="332" t="s">
        <v>5952</v>
      </c>
      <c r="E366" s="124" t="s">
        <v>88</v>
      </c>
      <c r="F366" s="332" t="s">
        <v>5953</v>
      </c>
      <c r="G366" s="332" t="s">
        <v>5954</v>
      </c>
      <c r="H366" s="135" t="s">
        <v>532</v>
      </c>
      <c r="I366" s="135" t="s">
        <v>4208</v>
      </c>
      <c r="J366" s="135" t="s">
        <v>285</v>
      </c>
      <c r="K366" s="135" t="s">
        <v>374</v>
      </c>
      <c r="L366" s="135" t="s">
        <v>4481</v>
      </c>
      <c r="M366" s="333">
        <v>39613.0</v>
      </c>
      <c r="N366" s="138" t="s">
        <v>67</v>
      </c>
      <c r="O366" s="348"/>
      <c r="P366" s="135" t="s">
        <v>130</v>
      </c>
      <c r="Q366" s="348"/>
      <c r="R366" s="138">
        <v>8.2380494766E10</v>
      </c>
      <c r="S366" s="135" t="s">
        <v>4482</v>
      </c>
      <c r="T366" s="135" t="s">
        <v>4483</v>
      </c>
      <c r="U366" s="135" t="s">
        <v>4484</v>
      </c>
      <c r="V366" s="135" t="s">
        <v>96</v>
      </c>
      <c r="W366" s="135" t="s">
        <v>74</v>
      </c>
      <c r="X366" s="135" t="s">
        <v>425</v>
      </c>
      <c r="Y366" s="135" t="s">
        <v>1533</v>
      </c>
      <c r="Z366" s="138">
        <v>0.0</v>
      </c>
      <c r="AA366" s="138">
        <v>0.0</v>
      </c>
    </row>
    <row r="367">
      <c r="A367" s="332">
        <v>34.0</v>
      </c>
      <c r="B367" s="135" t="s">
        <v>4485</v>
      </c>
      <c r="C367" s="135" t="s">
        <v>4486</v>
      </c>
      <c r="D367" s="332" t="s">
        <v>5952</v>
      </c>
      <c r="E367" s="124" t="s">
        <v>88</v>
      </c>
      <c r="F367" s="332" t="s">
        <v>5953</v>
      </c>
      <c r="G367" s="332" t="s">
        <v>5954</v>
      </c>
      <c r="H367" s="135" t="s">
        <v>142</v>
      </c>
      <c r="I367" s="135" t="s">
        <v>4208</v>
      </c>
      <c r="J367" s="135" t="s">
        <v>89</v>
      </c>
      <c r="K367" s="135" t="s">
        <v>4487</v>
      </c>
      <c r="L367" s="135" t="s">
        <v>4488</v>
      </c>
      <c r="M367" s="333">
        <v>40861.0</v>
      </c>
      <c r="N367" s="138" t="s">
        <v>67</v>
      </c>
      <c r="O367" s="348"/>
      <c r="P367" s="135" t="s">
        <v>130</v>
      </c>
      <c r="Q367" s="348"/>
      <c r="R367" s="138">
        <v>8.3125294924E10</v>
      </c>
      <c r="S367" s="135" t="s">
        <v>4489</v>
      </c>
      <c r="T367" s="135" t="s">
        <v>2934</v>
      </c>
      <c r="U367" s="135" t="s">
        <v>4490</v>
      </c>
      <c r="V367" s="135" t="s">
        <v>73</v>
      </c>
      <c r="W367" s="135" t="s">
        <v>74</v>
      </c>
      <c r="X367" s="135" t="s">
        <v>1446</v>
      </c>
      <c r="Y367" s="135" t="s">
        <v>4491</v>
      </c>
      <c r="Z367" s="138"/>
      <c r="AA367" s="138"/>
    </row>
    <row r="368">
      <c r="A368" s="332">
        <v>35.0</v>
      </c>
      <c r="B368" s="135" t="s">
        <v>4492</v>
      </c>
      <c r="C368" s="135" t="s">
        <v>4493</v>
      </c>
      <c r="D368" s="332" t="s">
        <v>5952</v>
      </c>
      <c r="E368" s="124" t="s">
        <v>88</v>
      </c>
      <c r="F368" s="332" t="s">
        <v>5953</v>
      </c>
      <c r="G368" s="332" t="s">
        <v>5954</v>
      </c>
      <c r="H368" s="135" t="s">
        <v>142</v>
      </c>
      <c r="I368" s="135" t="s">
        <v>4208</v>
      </c>
      <c r="J368" s="135" t="s">
        <v>89</v>
      </c>
      <c r="K368" s="135" t="s">
        <v>90</v>
      </c>
      <c r="L368" s="135" t="s">
        <v>1215</v>
      </c>
      <c r="M368" s="333">
        <v>37557.0</v>
      </c>
      <c r="N368" s="138" t="s">
        <v>67</v>
      </c>
      <c r="O368" s="348"/>
      <c r="P368" s="135" t="s">
        <v>130</v>
      </c>
      <c r="Q368" s="348"/>
      <c r="R368" s="138">
        <v>8.2274230499E10</v>
      </c>
      <c r="S368" s="135" t="s">
        <v>4494</v>
      </c>
      <c r="T368" s="135" t="s">
        <v>4495</v>
      </c>
      <c r="U368" s="135" t="s">
        <v>4496</v>
      </c>
      <c r="V368" s="135" t="s">
        <v>96</v>
      </c>
      <c r="W368" s="135" t="s">
        <v>97</v>
      </c>
      <c r="X368" s="135" t="s">
        <v>499</v>
      </c>
      <c r="Y368" s="135" t="s">
        <v>657</v>
      </c>
      <c r="Z368" s="138">
        <v>0.0</v>
      </c>
      <c r="AA368" s="138">
        <v>0.0</v>
      </c>
    </row>
    <row r="369">
      <c r="A369" s="332">
        <v>36.0</v>
      </c>
      <c r="B369" s="135" t="s">
        <v>4497</v>
      </c>
      <c r="C369" s="135" t="s">
        <v>4498</v>
      </c>
      <c r="D369" s="332" t="s">
        <v>5952</v>
      </c>
      <c r="E369" s="124" t="s">
        <v>88</v>
      </c>
      <c r="F369" s="332" t="s">
        <v>5953</v>
      </c>
      <c r="G369" s="332" t="s">
        <v>5954</v>
      </c>
      <c r="H369" s="135" t="s">
        <v>142</v>
      </c>
      <c r="I369" s="135" t="s">
        <v>4208</v>
      </c>
      <c r="J369" s="135" t="s">
        <v>89</v>
      </c>
      <c r="K369" s="135" t="s">
        <v>3312</v>
      </c>
      <c r="L369" s="135" t="s">
        <v>1215</v>
      </c>
      <c r="M369" s="333">
        <v>42426.0</v>
      </c>
      <c r="N369" s="138" t="s">
        <v>67</v>
      </c>
      <c r="O369" s="348"/>
      <c r="P369" s="135" t="s">
        <v>130</v>
      </c>
      <c r="Q369" s="348"/>
      <c r="R369" s="138">
        <v>8.2363013488E10</v>
      </c>
      <c r="S369" s="135" t="s">
        <v>4499</v>
      </c>
      <c r="T369" s="135" t="s">
        <v>4500</v>
      </c>
      <c r="U369" s="135" t="s">
        <v>4501</v>
      </c>
      <c r="V369" s="135" t="s">
        <v>73</v>
      </c>
      <c r="W369" s="135" t="s">
        <v>166</v>
      </c>
      <c r="X369" s="135" t="s">
        <v>167</v>
      </c>
      <c r="Y369" s="135" t="s">
        <v>455</v>
      </c>
      <c r="Z369" s="138" t="s">
        <v>77</v>
      </c>
      <c r="AA369" s="138" t="s">
        <v>77</v>
      </c>
    </row>
    <row r="370">
      <c r="A370" s="358">
        <v>37.0</v>
      </c>
      <c r="B370" s="135" t="s">
        <v>4502</v>
      </c>
      <c r="C370" s="135" t="s">
        <v>4503</v>
      </c>
      <c r="D370" s="332" t="s">
        <v>5952</v>
      </c>
      <c r="E370" s="124" t="s">
        <v>88</v>
      </c>
      <c r="F370" s="332" t="s">
        <v>5953</v>
      </c>
      <c r="G370" s="332" t="s">
        <v>5954</v>
      </c>
      <c r="H370" s="135" t="s">
        <v>142</v>
      </c>
      <c r="I370" s="135" t="s">
        <v>4208</v>
      </c>
      <c r="J370" s="135" t="s">
        <v>89</v>
      </c>
      <c r="K370" s="135" t="s">
        <v>2318</v>
      </c>
      <c r="L370" s="135" t="s">
        <v>1231</v>
      </c>
      <c r="M370" s="333">
        <v>41197.0</v>
      </c>
      <c r="N370" s="138" t="s">
        <v>67</v>
      </c>
      <c r="O370" s="348"/>
      <c r="P370" s="135" t="s">
        <v>68</v>
      </c>
      <c r="Q370" s="348"/>
      <c r="R370" s="138">
        <v>8.5373338249E10</v>
      </c>
      <c r="S370" s="135" t="s">
        <v>4504</v>
      </c>
      <c r="T370" s="135" t="s">
        <v>4505</v>
      </c>
      <c r="U370" s="135" t="s">
        <v>2337</v>
      </c>
      <c r="V370" s="135" t="s">
        <v>73</v>
      </c>
      <c r="W370" s="135" t="s">
        <v>2338</v>
      </c>
      <c r="X370" s="135" t="s">
        <v>2339</v>
      </c>
      <c r="Y370" s="135" t="s">
        <v>2340</v>
      </c>
      <c r="Z370" s="138">
        <v>0.0</v>
      </c>
      <c r="AA370" s="138">
        <v>0.0</v>
      </c>
    </row>
    <row r="371">
      <c r="A371" s="332">
        <v>38.0</v>
      </c>
      <c r="B371" s="135" t="s">
        <v>4506</v>
      </c>
      <c r="C371" s="135" t="s">
        <v>4507</v>
      </c>
      <c r="D371" s="332" t="s">
        <v>5952</v>
      </c>
      <c r="E371" s="124" t="s">
        <v>88</v>
      </c>
      <c r="F371" s="332" t="s">
        <v>5953</v>
      </c>
      <c r="G371" s="332" t="s">
        <v>5954</v>
      </c>
      <c r="H371" s="135" t="s">
        <v>142</v>
      </c>
      <c r="I371" s="135" t="s">
        <v>4208</v>
      </c>
      <c r="J371" s="135" t="s">
        <v>89</v>
      </c>
      <c r="K371" s="135"/>
      <c r="L371" s="135" t="s">
        <v>4508</v>
      </c>
      <c r="M371" s="333">
        <v>40015.0</v>
      </c>
      <c r="N371" s="138" t="s">
        <v>67</v>
      </c>
      <c r="O371" s="348"/>
      <c r="P371" s="135" t="s">
        <v>68</v>
      </c>
      <c r="Q371" s="348"/>
      <c r="R371" s="138">
        <v>8.126464554E9</v>
      </c>
      <c r="S371" s="135" t="s">
        <v>4509</v>
      </c>
      <c r="T371" s="135" t="s">
        <v>4510</v>
      </c>
      <c r="U371" s="135" t="s">
        <v>4511</v>
      </c>
      <c r="V371" s="135" t="s">
        <v>96</v>
      </c>
      <c r="W371" s="135" t="s">
        <v>135</v>
      </c>
      <c r="X371" s="135" t="s">
        <v>272</v>
      </c>
      <c r="Y371" s="135" t="s">
        <v>4512</v>
      </c>
      <c r="Z371" s="138"/>
      <c r="AA371" s="138"/>
    </row>
    <row r="372">
      <c r="A372" s="332">
        <v>39.0</v>
      </c>
      <c r="B372" s="135" t="s">
        <v>4513</v>
      </c>
      <c r="C372" s="135" t="s">
        <v>4514</v>
      </c>
      <c r="D372" s="332" t="s">
        <v>5952</v>
      </c>
      <c r="E372" s="124" t="s">
        <v>88</v>
      </c>
      <c r="F372" s="332" t="s">
        <v>5953</v>
      </c>
      <c r="G372" s="332" t="s">
        <v>5954</v>
      </c>
      <c r="H372" s="135" t="s">
        <v>142</v>
      </c>
      <c r="I372" s="135" t="s">
        <v>4208</v>
      </c>
      <c r="J372" s="135" t="s">
        <v>89</v>
      </c>
      <c r="K372" s="135" t="s">
        <v>374</v>
      </c>
      <c r="L372" s="135" t="s">
        <v>4515</v>
      </c>
      <c r="M372" s="333">
        <v>38138.0</v>
      </c>
      <c r="N372" s="138" t="s">
        <v>67</v>
      </c>
      <c r="O372" s="348"/>
      <c r="P372" s="135" t="s">
        <v>130</v>
      </c>
      <c r="Q372" s="348"/>
      <c r="R372" s="138">
        <v>8.2164819095E10</v>
      </c>
      <c r="S372" s="135" t="s">
        <v>4516</v>
      </c>
      <c r="T372" s="135" t="s">
        <v>4517</v>
      </c>
      <c r="U372" s="135" t="s">
        <v>4518</v>
      </c>
      <c r="V372" s="135" t="s">
        <v>73</v>
      </c>
      <c r="W372" s="135" t="s">
        <v>74</v>
      </c>
      <c r="X372" s="135" t="s">
        <v>932</v>
      </c>
      <c r="Y372" s="135" t="s">
        <v>933</v>
      </c>
      <c r="Z372" s="138">
        <v>0.0</v>
      </c>
      <c r="AA372" s="138">
        <v>0.0</v>
      </c>
    </row>
    <row r="373">
      <c r="A373" s="332">
        <v>40.0</v>
      </c>
      <c r="B373" s="135" t="s">
        <v>4519</v>
      </c>
      <c r="C373" s="135" t="s">
        <v>4520</v>
      </c>
      <c r="D373" s="332" t="s">
        <v>5952</v>
      </c>
      <c r="E373" s="124" t="s">
        <v>88</v>
      </c>
      <c r="F373" s="332" t="s">
        <v>5953</v>
      </c>
      <c r="G373" s="332" t="s">
        <v>5954</v>
      </c>
      <c r="H373" s="135" t="s">
        <v>142</v>
      </c>
      <c r="I373" s="135" t="s">
        <v>4208</v>
      </c>
      <c r="J373" s="135" t="s">
        <v>89</v>
      </c>
      <c r="K373" s="135" t="s">
        <v>4521</v>
      </c>
      <c r="L373" s="135" t="s">
        <v>3449</v>
      </c>
      <c r="M373" s="333">
        <v>39184.0</v>
      </c>
      <c r="N373" s="138" t="s">
        <v>220</v>
      </c>
      <c r="O373" s="348"/>
      <c r="P373" s="135" t="s">
        <v>130</v>
      </c>
      <c r="Q373" s="348"/>
      <c r="R373" s="138">
        <v>8.139664063E10</v>
      </c>
      <c r="S373" s="135" t="s">
        <v>4522</v>
      </c>
      <c r="T373" s="135" t="s">
        <v>4523</v>
      </c>
      <c r="U373" s="135" t="s">
        <v>4524</v>
      </c>
      <c r="V373" s="135" t="s">
        <v>96</v>
      </c>
      <c r="W373" s="135" t="s">
        <v>135</v>
      </c>
      <c r="X373" s="135" t="s">
        <v>1511</v>
      </c>
      <c r="Y373" s="135" t="s">
        <v>4525</v>
      </c>
      <c r="Z373" s="138" t="s">
        <v>77</v>
      </c>
      <c r="AA373" s="138" t="s">
        <v>77</v>
      </c>
    </row>
    <row r="374">
      <c r="A374" s="358">
        <v>41.0</v>
      </c>
      <c r="B374" s="135" t="s">
        <v>4526</v>
      </c>
      <c r="C374" s="135" t="s">
        <v>4527</v>
      </c>
      <c r="D374" s="332" t="s">
        <v>5952</v>
      </c>
      <c r="E374" s="124" t="s">
        <v>88</v>
      </c>
      <c r="F374" s="332" t="s">
        <v>5953</v>
      </c>
      <c r="G374" s="332" t="s">
        <v>5954</v>
      </c>
      <c r="H374" s="135" t="s">
        <v>142</v>
      </c>
      <c r="I374" s="135" t="s">
        <v>4208</v>
      </c>
      <c r="J374" s="135" t="s">
        <v>89</v>
      </c>
      <c r="K374" s="135" t="s">
        <v>4528</v>
      </c>
      <c r="L374" s="135" t="s">
        <v>3034</v>
      </c>
      <c r="M374" s="333">
        <v>38488.0</v>
      </c>
      <c r="N374" s="138" t="s">
        <v>67</v>
      </c>
      <c r="O374" s="348"/>
      <c r="P374" s="135" t="s">
        <v>68</v>
      </c>
      <c r="Q374" s="348"/>
      <c r="R374" s="138">
        <v>8.1263631032E10</v>
      </c>
      <c r="S374" s="135" t="s">
        <v>4529</v>
      </c>
      <c r="T374" s="135" t="s">
        <v>4530</v>
      </c>
      <c r="U374" s="135" t="s">
        <v>4531</v>
      </c>
      <c r="V374" s="135" t="s">
        <v>73</v>
      </c>
      <c r="W374" s="135" t="s">
        <v>74</v>
      </c>
      <c r="X374" s="135" t="s">
        <v>454</v>
      </c>
      <c r="Y374" s="135" t="s">
        <v>1753</v>
      </c>
      <c r="Z374" s="138">
        <v>0.0</v>
      </c>
      <c r="AA374" s="138">
        <v>0.0</v>
      </c>
    </row>
    <row r="375">
      <c r="A375" s="101" t="s">
        <v>4532</v>
      </c>
      <c r="B375" s="141"/>
      <c r="C375" s="345"/>
      <c r="D375" s="124"/>
      <c r="E375" s="124"/>
      <c r="F375" s="124"/>
      <c r="G375" s="124"/>
      <c r="H375" s="141"/>
      <c r="I375" s="141"/>
      <c r="J375" s="141"/>
      <c r="K375" s="141"/>
      <c r="L375" s="141"/>
      <c r="M375" s="124"/>
      <c r="N375" s="346"/>
      <c r="O375" s="346"/>
      <c r="P375" s="347"/>
      <c r="Q375" s="346"/>
      <c r="R375" s="346"/>
      <c r="S375" s="347"/>
      <c r="T375" s="347"/>
      <c r="U375" s="347"/>
      <c r="V375" s="347"/>
      <c r="W375" s="347"/>
      <c r="X375" s="347"/>
      <c r="Y375" s="347"/>
      <c r="Z375" s="346"/>
      <c r="AA375" s="346"/>
    </row>
    <row r="376">
      <c r="A376" s="332">
        <v>1.0</v>
      </c>
      <c r="B376" s="336" t="s">
        <v>4595</v>
      </c>
      <c r="C376" s="336" t="s">
        <v>4596</v>
      </c>
      <c r="D376" s="332" t="s">
        <v>5952</v>
      </c>
      <c r="E376" s="124" t="s">
        <v>88</v>
      </c>
      <c r="F376" s="332" t="s">
        <v>5953</v>
      </c>
      <c r="G376" s="332" t="s">
        <v>5954</v>
      </c>
      <c r="H376" s="135" t="s">
        <v>142</v>
      </c>
      <c r="I376" s="135" t="s">
        <v>4536</v>
      </c>
      <c r="J376" s="336" t="s">
        <v>89</v>
      </c>
      <c r="K376" s="135"/>
      <c r="L376" s="135"/>
      <c r="M376" s="335"/>
      <c r="N376" s="138" t="s">
        <v>67</v>
      </c>
      <c r="O376" s="357"/>
      <c r="P376" s="135" t="s">
        <v>68</v>
      </c>
      <c r="Q376" s="138"/>
      <c r="R376" s="362">
        <v>8.2160706588E10</v>
      </c>
      <c r="S376" s="336" t="s">
        <v>4597</v>
      </c>
      <c r="T376" s="135"/>
      <c r="U376" s="135"/>
      <c r="V376" s="135"/>
      <c r="W376" s="135"/>
      <c r="X376" s="135"/>
      <c r="Y376" s="135"/>
      <c r="Z376" s="138"/>
      <c r="AA376" s="138"/>
    </row>
    <row r="377">
      <c r="A377" s="332">
        <v>2.0</v>
      </c>
      <c r="B377" s="135" t="s">
        <v>4598</v>
      </c>
      <c r="C377" s="135" t="s">
        <v>4599</v>
      </c>
      <c r="D377" s="332" t="s">
        <v>5952</v>
      </c>
      <c r="E377" s="124" t="s">
        <v>88</v>
      </c>
      <c r="F377" s="332" t="s">
        <v>5953</v>
      </c>
      <c r="G377" s="332" t="s">
        <v>5954</v>
      </c>
      <c r="H377" s="135" t="s">
        <v>142</v>
      </c>
      <c r="I377" s="135" t="s">
        <v>4536</v>
      </c>
      <c r="J377" s="135" t="s">
        <v>110</v>
      </c>
      <c r="K377" s="135" t="s">
        <v>1193</v>
      </c>
      <c r="L377" s="135" t="s">
        <v>4600</v>
      </c>
      <c r="M377" s="335">
        <v>44138.0</v>
      </c>
      <c r="N377" s="138" t="s">
        <v>67</v>
      </c>
      <c r="O377" s="357"/>
      <c r="P377" s="135" t="s">
        <v>68</v>
      </c>
      <c r="Q377" s="138"/>
      <c r="R377" s="138">
        <v>8.5269239792E10</v>
      </c>
      <c r="S377" s="135" t="s">
        <v>4601</v>
      </c>
      <c r="T377" s="135" t="s">
        <v>4602</v>
      </c>
      <c r="U377" s="135" t="s">
        <v>4603</v>
      </c>
      <c r="V377" s="135" t="s">
        <v>73</v>
      </c>
      <c r="W377" s="135" t="s">
        <v>74</v>
      </c>
      <c r="X377" s="135" t="s">
        <v>925</v>
      </c>
      <c r="Y377" s="135" t="s">
        <v>4604</v>
      </c>
      <c r="Z377" s="138" t="s">
        <v>77</v>
      </c>
      <c r="AA377" s="138" t="s">
        <v>77</v>
      </c>
    </row>
    <row r="378">
      <c r="A378" s="332">
        <v>3.0</v>
      </c>
      <c r="B378" s="135" t="s">
        <v>4605</v>
      </c>
      <c r="C378" s="135" t="s">
        <v>4606</v>
      </c>
      <c r="D378" s="332" t="s">
        <v>5952</v>
      </c>
      <c r="E378" s="124" t="s">
        <v>88</v>
      </c>
      <c r="F378" s="332" t="s">
        <v>5953</v>
      </c>
      <c r="G378" s="332" t="s">
        <v>5954</v>
      </c>
      <c r="H378" s="135" t="s">
        <v>142</v>
      </c>
      <c r="I378" s="135" t="s">
        <v>4536</v>
      </c>
      <c r="J378" s="135" t="s">
        <v>89</v>
      </c>
      <c r="K378" s="135" t="s">
        <v>218</v>
      </c>
      <c r="L378" s="135" t="s">
        <v>641</v>
      </c>
      <c r="M378" s="335">
        <v>44169.0</v>
      </c>
      <c r="N378" s="138" t="s">
        <v>67</v>
      </c>
      <c r="O378" s="124"/>
      <c r="P378" s="135" t="s">
        <v>68</v>
      </c>
      <c r="Q378" s="138"/>
      <c r="R378" s="138">
        <v>8.2267327242E10</v>
      </c>
      <c r="S378" s="135" t="s">
        <v>4607</v>
      </c>
      <c r="T378" s="135" t="s">
        <v>4608</v>
      </c>
      <c r="U378" s="135" t="s">
        <v>4609</v>
      </c>
      <c r="V378" s="135" t="s">
        <v>96</v>
      </c>
      <c r="W378" s="135" t="s">
        <v>97</v>
      </c>
      <c r="X378" s="135" t="s">
        <v>98</v>
      </c>
      <c r="Y378" s="135" t="s">
        <v>4371</v>
      </c>
      <c r="Z378" s="138">
        <v>7.0</v>
      </c>
      <c r="AA378" s="138">
        <v>7.0</v>
      </c>
    </row>
    <row r="379">
      <c r="A379" s="332">
        <v>4.0</v>
      </c>
      <c r="B379" s="135" t="s">
        <v>4610</v>
      </c>
      <c r="C379" s="135" t="s">
        <v>4611</v>
      </c>
      <c r="D379" s="332" t="s">
        <v>5952</v>
      </c>
      <c r="E379" s="124" t="s">
        <v>88</v>
      </c>
      <c r="F379" s="332" t="s">
        <v>5953</v>
      </c>
      <c r="G379" s="332" t="s">
        <v>5954</v>
      </c>
      <c r="H379" s="135" t="s">
        <v>142</v>
      </c>
      <c r="I379" s="135" t="s">
        <v>4536</v>
      </c>
      <c r="J379" s="135" t="s">
        <v>89</v>
      </c>
      <c r="K379" s="135" t="s">
        <v>374</v>
      </c>
      <c r="L379" s="135" t="s">
        <v>1231</v>
      </c>
      <c r="M379" s="333">
        <v>37307.0</v>
      </c>
      <c r="N379" s="138" t="s">
        <v>67</v>
      </c>
      <c r="O379" s="124"/>
      <c r="P379" s="135" t="s">
        <v>68</v>
      </c>
      <c r="Q379" s="138"/>
      <c r="R379" s="138">
        <v>8.1397808458E10</v>
      </c>
      <c r="S379" s="135" t="s">
        <v>4612</v>
      </c>
      <c r="T379" s="135" t="s">
        <v>4613</v>
      </c>
      <c r="U379" s="135" t="s">
        <v>4614</v>
      </c>
      <c r="V379" s="135" t="s">
        <v>73</v>
      </c>
      <c r="W379" s="135" t="s">
        <v>481</v>
      </c>
      <c r="X379" s="135" t="s">
        <v>860</v>
      </c>
      <c r="Y379" s="135" t="s">
        <v>4615</v>
      </c>
      <c r="Z379" s="138" t="s">
        <v>77</v>
      </c>
      <c r="AA379" s="138" t="s">
        <v>77</v>
      </c>
    </row>
    <row r="380">
      <c r="A380" s="332">
        <v>5.0</v>
      </c>
      <c r="B380" s="135" t="s">
        <v>4616</v>
      </c>
      <c r="C380" s="135" t="s">
        <v>4617</v>
      </c>
      <c r="D380" s="332" t="s">
        <v>5952</v>
      </c>
      <c r="E380" s="124" t="s">
        <v>88</v>
      </c>
      <c r="F380" s="332" t="s">
        <v>5953</v>
      </c>
      <c r="G380" s="332" t="s">
        <v>5954</v>
      </c>
      <c r="H380" s="135" t="s">
        <v>142</v>
      </c>
      <c r="I380" s="135" t="s">
        <v>4536</v>
      </c>
      <c r="J380" s="135" t="s">
        <v>89</v>
      </c>
      <c r="K380" s="135" t="s">
        <v>90</v>
      </c>
      <c r="L380" s="135" t="s">
        <v>2024</v>
      </c>
      <c r="M380" s="333">
        <v>39072.0</v>
      </c>
      <c r="N380" s="138" t="s">
        <v>67</v>
      </c>
      <c r="O380" s="348"/>
      <c r="P380" s="135" t="s">
        <v>130</v>
      </c>
      <c r="Q380" s="138"/>
      <c r="R380" s="138">
        <v>8.2289302922E10</v>
      </c>
      <c r="S380" s="135" t="s">
        <v>4618</v>
      </c>
      <c r="T380" s="135" t="s">
        <v>4619</v>
      </c>
      <c r="U380" s="135" t="s">
        <v>4620</v>
      </c>
      <c r="V380" s="135" t="s">
        <v>732</v>
      </c>
      <c r="W380" s="135" t="s">
        <v>97</v>
      </c>
      <c r="X380" s="135" t="s">
        <v>425</v>
      </c>
      <c r="Y380" s="135" t="s">
        <v>4621</v>
      </c>
      <c r="Z380" s="138">
        <v>0.0</v>
      </c>
      <c r="AA380" s="138">
        <v>0.0</v>
      </c>
    </row>
    <row r="381">
      <c r="A381" s="332">
        <v>6.0</v>
      </c>
      <c r="B381" s="135" t="s">
        <v>4622</v>
      </c>
      <c r="C381" s="135" t="s">
        <v>4623</v>
      </c>
      <c r="D381" s="332" t="s">
        <v>5952</v>
      </c>
      <c r="E381" s="124" t="s">
        <v>88</v>
      </c>
      <c r="F381" s="332" t="s">
        <v>5953</v>
      </c>
      <c r="G381" s="332" t="s">
        <v>5954</v>
      </c>
      <c r="H381" s="135" t="s">
        <v>142</v>
      </c>
      <c r="I381" s="135" t="s">
        <v>4536</v>
      </c>
      <c r="J381" s="135" t="s">
        <v>89</v>
      </c>
      <c r="K381" s="135" t="s">
        <v>4624</v>
      </c>
      <c r="L381" s="135" t="s">
        <v>4625</v>
      </c>
      <c r="M381" s="335">
        <v>40126.0</v>
      </c>
      <c r="N381" s="138" t="s">
        <v>67</v>
      </c>
      <c r="O381" s="348"/>
      <c r="P381" s="135" t="s">
        <v>68</v>
      </c>
      <c r="Q381" s="138"/>
      <c r="R381" s="138">
        <v>8.1224951106E10</v>
      </c>
      <c r="S381" s="135" t="s">
        <v>4626</v>
      </c>
      <c r="T381" s="135" t="s">
        <v>4627</v>
      </c>
      <c r="U381" s="135" t="s">
        <v>4628</v>
      </c>
      <c r="V381" s="135" t="s">
        <v>96</v>
      </c>
      <c r="W381" s="135" t="s">
        <v>135</v>
      </c>
      <c r="X381" s="135" t="s">
        <v>292</v>
      </c>
      <c r="Y381" s="135" t="s">
        <v>683</v>
      </c>
      <c r="Z381" s="138">
        <v>0.0</v>
      </c>
      <c r="AA381" s="138">
        <v>0.0</v>
      </c>
    </row>
    <row r="382">
      <c r="A382" s="332">
        <v>7.0</v>
      </c>
      <c r="B382" s="135" t="s">
        <v>4629</v>
      </c>
      <c r="C382" s="135" t="s">
        <v>4630</v>
      </c>
      <c r="D382" s="332" t="s">
        <v>5952</v>
      </c>
      <c r="E382" s="124" t="s">
        <v>88</v>
      </c>
      <c r="F382" s="332" t="s">
        <v>5953</v>
      </c>
      <c r="G382" s="332" t="s">
        <v>5954</v>
      </c>
      <c r="H382" s="135" t="s">
        <v>142</v>
      </c>
      <c r="I382" s="135" t="s">
        <v>4536</v>
      </c>
      <c r="J382" s="135" t="s">
        <v>89</v>
      </c>
      <c r="K382" s="135" t="s">
        <v>90</v>
      </c>
      <c r="L382" s="135" t="s">
        <v>2482</v>
      </c>
      <c r="M382" s="333">
        <v>41807.0</v>
      </c>
      <c r="N382" s="138" t="s">
        <v>220</v>
      </c>
      <c r="O382" s="348"/>
      <c r="P382" s="135" t="s">
        <v>130</v>
      </c>
      <c r="Q382" s="138"/>
      <c r="R382" s="138">
        <v>8.2168095115E10</v>
      </c>
      <c r="S382" s="135" t="s">
        <v>4631</v>
      </c>
      <c r="T382" s="135" t="s">
        <v>4632</v>
      </c>
      <c r="U382" s="135" t="s">
        <v>4633</v>
      </c>
      <c r="V382" s="135" t="s">
        <v>73</v>
      </c>
      <c r="W382" s="135" t="s">
        <v>74</v>
      </c>
      <c r="X382" s="135" t="s">
        <v>932</v>
      </c>
      <c r="Y382" s="135" t="s">
        <v>4634</v>
      </c>
      <c r="Z382" s="138">
        <v>0.0</v>
      </c>
      <c r="AA382" s="138">
        <v>0.0</v>
      </c>
    </row>
    <row r="383">
      <c r="A383" s="332">
        <v>8.0</v>
      </c>
      <c r="B383" s="135" t="s">
        <v>4635</v>
      </c>
      <c r="C383" s="135" t="s">
        <v>4636</v>
      </c>
      <c r="D383" s="332" t="s">
        <v>5952</v>
      </c>
      <c r="E383" s="124" t="s">
        <v>88</v>
      </c>
      <c r="F383" s="332" t="s">
        <v>5953</v>
      </c>
      <c r="G383" s="332" t="s">
        <v>5954</v>
      </c>
      <c r="H383" s="135" t="s">
        <v>532</v>
      </c>
      <c r="I383" s="135" t="s">
        <v>4536</v>
      </c>
      <c r="J383" s="135" t="s">
        <v>285</v>
      </c>
      <c r="K383" s="135" t="s">
        <v>1035</v>
      </c>
      <c r="L383" s="135" t="s">
        <v>4637</v>
      </c>
      <c r="M383" s="333">
        <v>39249.0</v>
      </c>
      <c r="N383" s="138" t="s">
        <v>67</v>
      </c>
      <c r="O383" s="348"/>
      <c r="P383" s="135" t="s">
        <v>130</v>
      </c>
      <c r="Q383" s="138"/>
      <c r="R383" s="138">
        <v>8.5361112232E10</v>
      </c>
      <c r="S383" s="135" t="s">
        <v>4638</v>
      </c>
      <c r="T383" s="135" t="s">
        <v>4639</v>
      </c>
      <c r="U383" s="135" t="s">
        <v>4640</v>
      </c>
      <c r="V383" s="135" t="s">
        <v>73</v>
      </c>
      <c r="W383" s="135" t="s">
        <v>74</v>
      </c>
      <c r="X383" s="135" t="s">
        <v>932</v>
      </c>
      <c r="Y383" s="135" t="s">
        <v>4634</v>
      </c>
      <c r="Z383" s="138">
        <v>0.0</v>
      </c>
      <c r="AA383" s="138">
        <v>0.0</v>
      </c>
    </row>
    <row r="384">
      <c r="A384" s="332">
        <v>9.0</v>
      </c>
      <c r="B384" s="135" t="s">
        <v>4641</v>
      </c>
      <c r="C384" s="135" t="s">
        <v>4642</v>
      </c>
      <c r="D384" s="332" t="s">
        <v>5952</v>
      </c>
      <c r="E384" s="124" t="s">
        <v>88</v>
      </c>
      <c r="F384" s="332" t="s">
        <v>5953</v>
      </c>
      <c r="G384" s="332" t="s">
        <v>5954</v>
      </c>
      <c r="H384" s="135" t="s">
        <v>142</v>
      </c>
      <c r="I384" s="135" t="s">
        <v>4536</v>
      </c>
      <c r="J384" s="135" t="s">
        <v>89</v>
      </c>
      <c r="K384" s="135" t="s">
        <v>90</v>
      </c>
      <c r="L384" s="135" t="s">
        <v>1819</v>
      </c>
      <c r="M384" s="335">
        <v>41617.0</v>
      </c>
      <c r="N384" s="138" t="s">
        <v>67</v>
      </c>
      <c r="O384" s="348"/>
      <c r="P384" s="135" t="s">
        <v>130</v>
      </c>
      <c r="Q384" s="138"/>
      <c r="R384" s="138">
        <v>8.1269138567E10</v>
      </c>
      <c r="S384" s="135" t="s">
        <v>4643</v>
      </c>
      <c r="T384" s="135" t="s">
        <v>4644</v>
      </c>
      <c r="U384" s="135" t="s">
        <v>4645</v>
      </c>
      <c r="V384" s="135" t="s">
        <v>73</v>
      </c>
      <c r="W384" s="135" t="s">
        <v>74</v>
      </c>
      <c r="X384" s="135" t="s">
        <v>989</v>
      </c>
      <c r="Y384" s="135" t="s">
        <v>1585</v>
      </c>
      <c r="Z384" s="138"/>
      <c r="AA384" s="138"/>
    </row>
    <row r="385">
      <c r="A385" s="332">
        <v>10.0</v>
      </c>
      <c r="B385" s="135" t="s">
        <v>4646</v>
      </c>
      <c r="C385" s="135" t="s">
        <v>4647</v>
      </c>
      <c r="D385" s="332" t="s">
        <v>5952</v>
      </c>
      <c r="E385" s="124" t="s">
        <v>88</v>
      </c>
      <c r="F385" s="332" t="s">
        <v>5953</v>
      </c>
      <c r="G385" s="332" t="s">
        <v>5954</v>
      </c>
      <c r="H385" s="135" t="s">
        <v>142</v>
      </c>
      <c r="I385" s="135" t="s">
        <v>4536</v>
      </c>
      <c r="J385" s="135" t="s">
        <v>89</v>
      </c>
      <c r="K385" s="135" t="s">
        <v>207</v>
      </c>
      <c r="L385" s="135" t="s">
        <v>509</v>
      </c>
      <c r="M385" s="335">
        <v>41548.0</v>
      </c>
      <c r="N385" s="138" t="s">
        <v>67</v>
      </c>
      <c r="O385" s="348"/>
      <c r="P385" s="135" t="s">
        <v>130</v>
      </c>
      <c r="Q385" s="138"/>
      <c r="R385" s="138">
        <v>8.116151611E9</v>
      </c>
      <c r="S385" s="135" t="s">
        <v>4648</v>
      </c>
      <c r="T385" s="135" t="s">
        <v>4649</v>
      </c>
      <c r="U385" s="135" t="s">
        <v>4650</v>
      </c>
      <c r="V385" s="135" t="s">
        <v>96</v>
      </c>
      <c r="W385" s="135" t="s">
        <v>97</v>
      </c>
      <c r="X385" s="135" t="s">
        <v>98</v>
      </c>
      <c r="Y385" s="135" t="s">
        <v>4651</v>
      </c>
      <c r="Z385" s="138"/>
      <c r="AA385" s="138"/>
    </row>
    <row r="386">
      <c r="A386" s="332">
        <v>11.0</v>
      </c>
      <c r="B386" s="135" t="s">
        <v>4652</v>
      </c>
      <c r="C386" s="135" t="s">
        <v>4653</v>
      </c>
      <c r="D386" s="332" t="s">
        <v>5952</v>
      </c>
      <c r="E386" s="124" t="s">
        <v>88</v>
      </c>
      <c r="F386" s="332" t="s">
        <v>5953</v>
      </c>
      <c r="G386" s="332" t="s">
        <v>5954</v>
      </c>
      <c r="H386" s="135" t="s">
        <v>142</v>
      </c>
      <c r="I386" s="135" t="s">
        <v>4536</v>
      </c>
      <c r="J386" s="135" t="s">
        <v>89</v>
      </c>
      <c r="K386" s="135" t="s">
        <v>2132</v>
      </c>
      <c r="L386" s="135" t="s">
        <v>244</v>
      </c>
      <c r="M386" s="333">
        <v>42580.0</v>
      </c>
      <c r="N386" s="138" t="s">
        <v>67</v>
      </c>
      <c r="O386" s="348"/>
      <c r="P386" s="135" t="s">
        <v>68</v>
      </c>
      <c r="Q386" s="138"/>
      <c r="R386" s="138" t="s">
        <v>4654</v>
      </c>
      <c r="S386" s="135" t="s">
        <v>4655</v>
      </c>
      <c r="T386" s="135" t="s">
        <v>4656</v>
      </c>
      <c r="U386" s="135" t="s">
        <v>4657</v>
      </c>
      <c r="V386" s="135" t="s">
        <v>73</v>
      </c>
      <c r="W386" s="135" t="s">
        <v>481</v>
      </c>
      <c r="X386" s="135" t="s">
        <v>178</v>
      </c>
      <c r="Y386" s="135" t="s">
        <v>179</v>
      </c>
      <c r="Z386" s="138"/>
      <c r="AA386" s="138"/>
    </row>
    <row r="387">
      <c r="A387" s="332">
        <v>12.0</v>
      </c>
      <c r="B387" s="135" t="s">
        <v>4658</v>
      </c>
      <c r="C387" s="135" t="s">
        <v>4659</v>
      </c>
      <c r="D387" s="332" t="s">
        <v>5952</v>
      </c>
      <c r="E387" s="124" t="s">
        <v>88</v>
      </c>
      <c r="F387" s="332" t="s">
        <v>5953</v>
      </c>
      <c r="G387" s="332" t="s">
        <v>5954</v>
      </c>
      <c r="H387" s="135" t="s">
        <v>142</v>
      </c>
      <c r="I387" s="135" t="s">
        <v>4536</v>
      </c>
      <c r="J387" s="135" t="s">
        <v>89</v>
      </c>
      <c r="K387" s="135" t="s">
        <v>1193</v>
      </c>
      <c r="L387" s="135" t="s">
        <v>3642</v>
      </c>
      <c r="M387" s="335">
        <v>41428.0</v>
      </c>
      <c r="N387" s="138" t="s">
        <v>67</v>
      </c>
      <c r="O387" s="348"/>
      <c r="P387" s="135" t="s">
        <v>130</v>
      </c>
      <c r="Q387" s="138"/>
      <c r="R387" s="138">
        <v>8.1264414245E10</v>
      </c>
      <c r="S387" s="135" t="s">
        <v>4660</v>
      </c>
      <c r="T387" s="135" t="s">
        <v>4661</v>
      </c>
      <c r="U387" s="135" t="s">
        <v>4662</v>
      </c>
      <c r="V387" s="135" t="s">
        <v>73</v>
      </c>
      <c r="W387" s="135" t="s">
        <v>74</v>
      </c>
      <c r="X387" s="135" t="s">
        <v>860</v>
      </c>
      <c r="Y387" s="135" t="s">
        <v>4663</v>
      </c>
      <c r="Z387" s="138"/>
      <c r="AA387" s="138"/>
    </row>
    <row r="388">
      <c r="A388" s="332">
        <v>13.0</v>
      </c>
      <c r="B388" s="135" t="s">
        <v>4664</v>
      </c>
      <c r="C388" s="135" t="s">
        <v>4665</v>
      </c>
      <c r="D388" s="332" t="s">
        <v>5952</v>
      </c>
      <c r="E388" s="124" t="s">
        <v>88</v>
      </c>
      <c r="F388" s="332" t="s">
        <v>5953</v>
      </c>
      <c r="G388" s="332" t="s">
        <v>5954</v>
      </c>
      <c r="H388" s="135" t="s">
        <v>142</v>
      </c>
      <c r="I388" s="135" t="s">
        <v>4536</v>
      </c>
      <c r="J388" s="135" t="s">
        <v>89</v>
      </c>
      <c r="K388" s="135" t="s">
        <v>90</v>
      </c>
      <c r="L388" s="135" t="s">
        <v>1231</v>
      </c>
      <c r="M388" s="333">
        <v>37307.0</v>
      </c>
      <c r="N388" s="138" t="s">
        <v>67</v>
      </c>
      <c r="O388" s="348"/>
      <c r="P388" s="135" t="s">
        <v>130</v>
      </c>
      <c r="Q388" s="138"/>
      <c r="R388" s="138">
        <v>8.5261153496E10</v>
      </c>
      <c r="S388" s="135" t="s">
        <v>4666</v>
      </c>
      <c r="T388" s="135" t="s">
        <v>4667</v>
      </c>
      <c r="U388" s="135" t="s">
        <v>4668</v>
      </c>
      <c r="V388" s="135" t="s">
        <v>73</v>
      </c>
      <c r="W388" s="135" t="s">
        <v>835</v>
      </c>
      <c r="X388" s="135" t="s">
        <v>925</v>
      </c>
      <c r="Y388" s="135" t="s">
        <v>4669</v>
      </c>
      <c r="Z388" s="138"/>
      <c r="AA388" s="138"/>
    </row>
    <row r="389">
      <c r="A389" s="332">
        <v>14.0</v>
      </c>
      <c r="B389" s="135" t="s">
        <v>4670</v>
      </c>
      <c r="C389" s="135" t="s">
        <v>4671</v>
      </c>
      <c r="D389" s="332" t="s">
        <v>5952</v>
      </c>
      <c r="E389" s="124" t="s">
        <v>88</v>
      </c>
      <c r="F389" s="332" t="s">
        <v>5953</v>
      </c>
      <c r="G389" s="332" t="s">
        <v>5954</v>
      </c>
      <c r="H389" s="135" t="s">
        <v>142</v>
      </c>
      <c r="I389" s="135" t="s">
        <v>4536</v>
      </c>
      <c r="J389" s="135" t="s">
        <v>89</v>
      </c>
      <c r="K389" s="135" t="s">
        <v>207</v>
      </c>
      <c r="L389" s="135" t="s">
        <v>4672</v>
      </c>
      <c r="M389" s="333">
        <v>41200.0</v>
      </c>
      <c r="N389" s="138" t="s">
        <v>220</v>
      </c>
      <c r="O389" s="348"/>
      <c r="P389" s="135" t="s">
        <v>68</v>
      </c>
      <c r="Q389" s="138"/>
      <c r="R389" s="138">
        <v>8.5762122765E10</v>
      </c>
      <c r="S389" s="135" t="s">
        <v>4673</v>
      </c>
      <c r="T389" s="135" t="s">
        <v>4674</v>
      </c>
      <c r="U389" s="135" t="s">
        <v>4675</v>
      </c>
      <c r="V389" s="135" t="s">
        <v>96</v>
      </c>
      <c r="W389" s="135" t="s">
        <v>97</v>
      </c>
      <c r="X389" s="135" t="s">
        <v>213</v>
      </c>
      <c r="Y389" s="135" t="s">
        <v>556</v>
      </c>
      <c r="Z389" s="138">
        <v>0.0</v>
      </c>
      <c r="AA389" s="138">
        <v>0.0</v>
      </c>
    </row>
    <row r="390">
      <c r="A390" s="332">
        <v>15.0</v>
      </c>
      <c r="B390" s="135" t="s">
        <v>4676</v>
      </c>
      <c r="C390" s="135" t="s">
        <v>4677</v>
      </c>
      <c r="D390" s="332" t="s">
        <v>5952</v>
      </c>
      <c r="E390" s="124" t="s">
        <v>88</v>
      </c>
      <c r="F390" s="332" t="s">
        <v>5953</v>
      </c>
      <c r="G390" s="332" t="s">
        <v>5954</v>
      </c>
      <c r="H390" s="135" t="s">
        <v>532</v>
      </c>
      <c r="I390" s="135" t="s">
        <v>4536</v>
      </c>
      <c r="J390" s="135" t="s">
        <v>285</v>
      </c>
      <c r="K390" s="135" t="s">
        <v>399</v>
      </c>
      <c r="L390" s="135" t="s">
        <v>4678</v>
      </c>
      <c r="M390" s="333">
        <v>40679.0</v>
      </c>
      <c r="N390" s="138" t="s">
        <v>67</v>
      </c>
      <c r="O390" s="348"/>
      <c r="P390" s="135" t="s">
        <v>130</v>
      </c>
      <c r="Q390" s="138"/>
      <c r="R390" s="138">
        <v>8.1269423103E10</v>
      </c>
      <c r="S390" s="135" t="s">
        <v>4679</v>
      </c>
      <c r="T390" s="135" t="s">
        <v>4680</v>
      </c>
      <c r="U390" s="135" t="s">
        <v>4681</v>
      </c>
      <c r="V390" s="135" t="s">
        <v>73</v>
      </c>
      <c r="W390" s="135" t="s">
        <v>835</v>
      </c>
      <c r="X390" s="135" t="s">
        <v>1422</v>
      </c>
      <c r="Y390" s="135" t="s">
        <v>3256</v>
      </c>
      <c r="Z390" s="138"/>
      <c r="AA390" s="138"/>
    </row>
    <row r="391">
      <c r="A391" s="332">
        <v>16.0</v>
      </c>
      <c r="B391" s="135" t="s">
        <v>4682</v>
      </c>
      <c r="C391" s="135" t="s">
        <v>4683</v>
      </c>
      <c r="D391" s="332" t="s">
        <v>5952</v>
      </c>
      <c r="E391" s="124" t="s">
        <v>88</v>
      </c>
      <c r="F391" s="332" t="s">
        <v>5953</v>
      </c>
      <c r="G391" s="332" t="s">
        <v>5954</v>
      </c>
      <c r="H391" s="135" t="s">
        <v>142</v>
      </c>
      <c r="I391" s="135" t="s">
        <v>4536</v>
      </c>
      <c r="J391" s="135" t="s">
        <v>89</v>
      </c>
      <c r="K391" s="135" t="s">
        <v>2304</v>
      </c>
      <c r="L391" s="135" t="s">
        <v>2145</v>
      </c>
      <c r="M391" s="333">
        <v>41991.0</v>
      </c>
      <c r="N391" s="138" t="s">
        <v>67</v>
      </c>
      <c r="O391" s="348"/>
      <c r="P391" s="135" t="s">
        <v>68</v>
      </c>
      <c r="Q391" s="138"/>
      <c r="R391" s="138">
        <v>8.1999694662E10</v>
      </c>
      <c r="S391" s="135" t="s">
        <v>4684</v>
      </c>
      <c r="T391" s="135" t="s">
        <v>4685</v>
      </c>
      <c r="U391" s="135" t="s">
        <v>4686</v>
      </c>
      <c r="V391" s="135" t="s">
        <v>73</v>
      </c>
      <c r="W391" s="135" t="s">
        <v>835</v>
      </c>
      <c r="X391" s="135" t="s">
        <v>546</v>
      </c>
      <c r="Y391" s="135" t="s">
        <v>4687</v>
      </c>
      <c r="Z391" s="138"/>
      <c r="AA391" s="138"/>
    </row>
    <row r="392">
      <c r="A392" s="332">
        <v>17.0</v>
      </c>
      <c r="B392" s="135" t="s">
        <v>4688</v>
      </c>
      <c r="C392" s="135" t="s">
        <v>4689</v>
      </c>
      <c r="D392" s="332" t="s">
        <v>5952</v>
      </c>
      <c r="E392" s="124" t="s">
        <v>88</v>
      </c>
      <c r="F392" s="332" t="s">
        <v>5953</v>
      </c>
      <c r="G392" s="332" t="s">
        <v>5954</v>
      </c>
      <c r="H392" s="135" t="s">
        <v>142</v>
      </c>
      <c r="I392" s="135" t="s">
        <v>4536</v>
      </c>
      <c r="J392" s="135" t="s">
        <v>89</v>
      </c>
      <c r="K392" s="135" t="s">
        <v>63</v>
      </c>
      <c r="L392" s="135" t="s">
        <v>4690</v>
      </c>
      <c r="M392" s="335">
        <v>37995.0</v>
      </c>
      <c r="N392" s="138" t="s">
        <v>220</v>
      </c>
      <c r="O392" s="348"/>
      <c r="P392" s="135" t="s">
        <v>130</v>
      </c>
      <c r="Q392" s="138"/>
      <c r="R392" s="138">
        <v>8.1264558129E10</v>
      </c>
      <c r="S392" s="135" t="s">
        <v>4691</v>
      </c>
      <c r="T392" s="135" t="s">
        <v>4692</v>
      </c>
      <c r="U392" s="135" t="s">
        <v>4693</v>
      </c>
      <c r="V392" s="135" t="s">
        <v>96</v>
      </c>
      <c r="W392" s="135" t="s">
        <v>97</v>
      </c>
      <c r="X392" s="135" t="s">
        <v>236</v>
      </c>
      <c r="Y392" s="135" t="s">
        <v>527</v>
      </c>
      <c r="Z392" s="138">
        <v>0.0</v>
      </c>
      <c r="AA392" s="138">
        <v>0.0</v>
      </c>
    </row>
    <row r="393">
      <c r="A393" s="332">
        <v>18.0</v>
      </c>
      <c r="B393" s="135" t="s">
        <v>4694</v>
      </c>
      <c r="C393" s="135" t="s">
        <v>4695</v>
      </c>
      <c r="D393" s="332" t="s">
        <v>5952</v>
      </c>
      <c r="E393" s="124" t="s">
        <v>88</v>
      </c>
      <c r="F393" s="332" t="s">
        <v>5953</v>
      </c>
      <c r="G393" s="332" t="s">
        <v>5954</v>
      </c>
      <c r="H393" s="135" t="s">
        <v>142</v>
      </c>
      <c r="I393" s="135" t="s">
        <v>4536</v>
      </c>
      <c r="J393" s="135" t="s">
        <v>89</v>
      </c>
      <c r="K393" s="135" t="s">
        <v>2493</v>
      </c>
      <c r="L393" s="135" t="s">
        <v>1521</v>
      </c>
      <c r="M393" s="335">
        <v>41611.0</v>
      </c>
      <c r="N393" s="138" t="s">
        <v>67</v>
      </c>
      <c r="O393" s="348"/>
      <c r="P393" s="135" t="s">
        <v>68</v>
      </c>
      <c r="Q393" s="138"/>
      <c r="R393" s="138">
        <v>8.1263836606E10</v>
      </c>
      <c r="S393" s="135" t="s">
        <v>4696</v>
      </c>
      <c r="T393" s="135" t="s">
        <v>4697</v>
      </c>
      <c r="U393" s="135" t="s">
        <v>4698</v>
      </c>
      <c r="V393" s="135" t="s">
        <v>73</v>
      </c>
      <c r="W393" s="135" t="s">
        <v>74</v>
      </c>
      <c r="X393" s="135" t="s">
        <v>925</v>
      </c>
      <c r="Y393" s="135" t="s">
        <v>4699</v>
      </c>
      <c r="Z393" s="138"/>
      <c r="AA393" s="138"/>
    </row>
    <row r="394">
      <c r="A394" s="332">
        <v>19.0</v>
      </c>
      <c r="B394" s="135" t="s">
        <v>4700</v>
      </c>
      <c r="C394" s="135" t="s">
        <v>4701</v>
      </c>
      <c r="D394" s="332" t="s">
        <v>5952</v>
      </c>
      <c r="E394" s="124" t="s">
        <v>88</v>
      </c>
      <c r="F394" s="332" t="s">
        <v>5953</v>
      </c>
      <c r="G394" s="332" t="s">
        <v>5954</v>
      </c>
      <c r="H394" s="135" t="s">
        <v>142</v>
      </c>
      <c r="I394" s="135" t="s">
        <v>4536</v>
      </c>
      <c r="J394" s="135" t="s">
        <v>89</v>
      </c>
      <c r="K394" s="135" t="s">
        <v>1214</v>
      </c>
      <c r="L394" s="135" t="s">
        <v>1929</v>
      </c>
      <c r="M394" s="333">
        <v>38709.0</v>
      </c>
      <c r="N394" s="138" t="s">
        <v>67</v>
      </c>
      <c r="O394" s="348"/>
      <c r="P394" s="135" t="s">
        <v>68</v>
      </c>
      <c r="Q394" s="138"/>
      <c r="R394" s="138">
        <v>8.2175665627E10</v>
      </c>
      <c r="S394" s="135" t="s">
        <v>4702</v>
      </c>
      <c r="T394" s="135" t="s">
        <v>4703</v>
      </c>
      <c r="U394" s="135" t="s">
        <v>4704</v>
      </c>
      <c r="V394" s="135" t="s">
        <v>73</v>
      </c>
      <c r="W394" s="135" t="s">
        <v>4705</v>
      </c>
      <c r="X394" s="135" t="s">
        <v>167</v>
      </c>
      <c r="Y394" s="135" t="s">
        <v>4706</v>
      </c>
      <c r="Z394" s="138"/>
      <c r="AA394" s="138"/>
    </row>
    <row r="395">
      <c r="A395" s="332">
        <v>20.0</v>
      </c>
      <c r="B395" s="135" t="s">
        <v>4707</v>
      </c>
      <c r="C395" s="135" t="s">
        <v>4708</v>
      </c>
      <c r="D395" s="332" t="s">
        <v>5952</v>
      </c>
      <c r="E395" s="124" t="s">
        <v>88</v>
      </c>
      <c r="F395" s="332" t="s">
        <v>5953</v>
      </c>
      <c r="G395" s="332" t="s">
        <v>5954</v>
      </c>
      <c r="H395" s="135" t="s">
        <v>142</v>
      </c>
      <c r="I395" s="135" t="s">
        <v>4536</v>
      </c>
      <c r="J395" s="135" t="s">
        <v>89</v>
      </c>
      <c r="K395" s="135" t="s">
        <v>2304</v>
      </c>
      <c r="L395" s="135" t="s">
        <v>4709</v>
      </c>
      <c r="M395" s="335">
        <v>38869.0</v>
      </c>
      <c r="N395" s="138" t="s">
        <v>67</v>
      </c>
      <c r="O395" s="348"/>
      <c r="P395" s="135" t="s">
        <v>130</v>
      </c>
      <c r="Q395" s="138"/>
      <c r="R395" s="138">
        <v>8.1370833534E10</v>
      </c>
      <c r="S395" s="135" t="s">
        <v>4710</v>
      </c>
      <c r="T395" s="135" t="s">
        <v>4711</v>
      </c>
      <c r="U395" s="135" t="s">
        <v>4712</v>
      </c>
      <c r="V395" s="135" t="s">
        <v>96</v>
      </c>
      <c r="W395" s="135" t="s">
        <v>97</v>
      </c>
      <c r="X395" s="135" t="s">
        <v>236</v>
      </c>
      <c r="Y395" s="135" t="s">
        <v>527</v>
      </c>
      <c r="Z395" s="138">
        <v>0.0</v>
      </c>
      <c r="AA395" s="138">
        <v>0.0</v>
      </c>
    </row>
    <row r="396">
      <c r="A396" s="332">
        <v>21.0</v>
      </c>
      <c r="B396" s="135" t="s">
        <v>4713</v>
      </c>
      <c r="C396" s="135" t="s">
        <v>4714</v>
      </c>
      <c r="D396" s="332" t="s">
        <v>5952</v>
      </c>
      <c r="E396" s="124" t="s">
        <v>88</v>
      </c>
      <c r="F396" s="332" t="s">
        <v>5953</v>
      </c>
      <c r="G396" s="332" t="s">
        <v>5954</v>
      </c>
      <c r="H396" s="135" t="s">
        <v>142</v>
      </c>
      <c r="I396" s="135" t="s">
        <v>4536</v>
      </c>
      <c r="J396" s="135" t="s">
        <v>89</v>
      </c>
      <c r="K396" s="135" t="s">
        <v>647</v>
      </c>
      <c r="L396" s="135" t="s">
        <v>4715</v>
      </c>
      <c r="M396" s="333">
        <v>40844.0</v>
      </c>
      <c r="N396" s="138" t="s">
        <v>67</v>
      </c>
      <c r="O396" s="348"/>
      <c r="P396" s="135" t="s">
        <v>68</v>
      </c>
      <c r="Q396" s="138"/>
      <c r="R396" s="138">
        <v>8.5158630054E10</v>
      </c>
      <c r="S396" s="135" t="s">
        <v>4716</v>
      </c>
      <c r="T396" s="135" t="s">
        <v>4717</v>
      </c>
      <c r="U396" s="135" t="s">
        <v>4718</v>
      </c>
      <c r="V396" s="135" t="s">
        <v>96</v>
      </c>
      <c r="W396" s="135" t="s">
        <v>97</v>
      </c>
      <c r="X396" s="135" t="s">
        <v>1422</v>
      </c>
      <c r="Y396" s="135" t="s">
        <v>4719</v>
      </c>
      <c r="Z396" s="138" t="s">
        <v>77</v>
      </c>
      <c r="AA396" s="138" t="s">
        <v>77</v>
      </c>
    </row>
    <row r="397">
      <c r="A397" s="332">
        <v>22.0</v>
      </c>
      <c r="B397" s="135" t="s">
        <v>4720</v>
      </c>
      <c r="C397" s="135" t="s">
        <v>4721</v>
      </c>
      <c r="D397" s="332" t="s">
        <v>5952</v>
      </c>
      <c r="E397" s="124" t="s">
        <v>88</v>
      </c>
      <c r="F397" s="332" t="s">
        <v>5953</v>
      </c>
      <c r="G397" s="332" t="s">
        <v>5954</v>
      </c>
      <c r="H397" s="135" t="s">
        <v>142</v>
      </c>
      <c r="I397" s="135" t="s">
        <v>4536</v>
      </c>
      <c r="J397" s="135" t="s">
        <v>89</v>
      </c>
      <c r="K397" s="135" t="s">
        <v>374</v>
      </c>
      <c r="L397" s="135" t="s">
        <v>938</v>
      </c>
      <c r="M397" s="333">
        <v>43089.0</v>
      </c>
      <c r="N397" s="138" t="s">
        <v>67</v>
      </c>
      <c r="O397" s="348"/>
      <c r="P397" s="135" t="s">
        <v>130</v>
      </c>
      <c r="Q397" s="348"/>
      <c r="R397" s="138">
        <v>8.520650424E10</v>
      </c>
      <c r="S397" s="135" t="s">
        <v>4722</v>
      </c>
      <c r="T397" s="135" t="s">
        <v>4723</v>
      </c>
      <c r="U397" s="135" t="s">
        <v>4724</v>
      </c>
      <c r="V397" s="135" t="s">
        <v>73</v>
      </c>
      <c r="W397" s="135" t="s">
        <v>166</v>
      </c>
      <c r="X397" s="135" t="s">
        <v>596</v>
      </c>
      <c r="Y397" s="135" t="s">
        <v>4725</v>
      </c>
      <c r="Z397" s="138"/>
      <c r="AA397" s="138"/>
    </row>
    <row r="398">
      <c r="A398" s="332">
        <v>23.0</v>
      </c>
      <c r="B398" s="135" t="s">
        <v>4726</v>
      </c>
      <c r="C398" s="135" t="s">
        <v>4727</v>
      </c>
      <c r="D398" s="332" t="s">
        <v>5952</v>
      </c>
      <c r="E398" s="124" t="s">
        <v>88</v>
      </c>
      <c r="F398" s="332" t="s">
        <v>5953</v>
      </c>
      <c r="G398" s="332" t="s">
        <v>5954</v>
      </c>
      <c r="H398" s="135" t="s">
        <v>142</v>
      </c>
      <c r="I398" s="135" t="s">
        <v>4536</v>
      </c>
      <c r="J398" s="135" t="s">
        <v>89</v>
      </c>
      <c r="K398" s="135" t="s">
        <v>90</v>
      </c>
      <c r="L398" s="135" t="s">
        <v>1231</v>
      </c>
      <c r="M398" s="333">
        <v>41384.0</v>
      </c>
      <c r="N398" s="138" t="s">
        <v>67</v>
      </c>
      <c r="O398" s="348"/>
      <c r="P398" s="135" t="s">
        <v>130</v>
      </c>
      <c r="Q398" s="348"/>
      <c r="R398" s="138">
        <v>8.5270282323E10</v>
      </c>
      <c r="S398" s="135" t="s">
        <v>4728</v>
      </c>
      <c r="T398" s="135" t="s">
        <v>4729</v>
      </c>
      <c r="U398" s="135" t="s">
        <v>4730</v>
      </c>
      <c r="V398" s="135" t="s">
        <v>73</v>
      </c>
      <c r="W398" s="135" t="s">
        <v>835</v>
      </c>
      <c r="X398" s="135" t="s">
        <v>454</v>
      </c>
      <c r="Y398" s="135" t="s">
        <v>605</v>
      </c>
      <c r="Z398" s="138"/>
      <c r="AA398" s="138"/>
    </row>
    <row r="399">
      <c r="A399" s="332">
        <v>24.0</v>
      </c>
      <c r="B399" s="135" t="s">
        <v>4731</v>
      </c>
      <c r="C399" s="135" t="s">
        <v>4732</v>
      </c>
      <c r="D399" s="332" t="s">
        <v>5952</v>
      </c>
      <c r="E399" s="124" t="s">
        <v>88</v>
      </c>
      <c r="F399" s="332" t="s">
        <v>5953</v>
      </c>
      <c r="G399" s="332" t="s">
        <v>5954</v>
      </c>
      <c r="H399" s="135" t="s">
        <v>142</v>
      </c>
      <c r="I399" s="135" t="s">
        <v>4536</v>
      </c>
      <c r="J399" s="135" t="s">
        <v>89</v>
      </c>
      <c r="K399" s="135" t="s">
        <v>1214</v>
      </c>
      <c r="L399" s="135" t="s">
        <v>244</v>
      </c>
      <c r="M399" s="333">
        <v>44193.0</v>
      </c>
      <c r="N399" s="138" t="s">
        <v>67</v>
      </c>
      <c r="O399" s="348"/>
      <c r="P399" s="135" t="s">
        <v>68</v>
      </c>
      <c r="Q399" s="348"/>
      <c r="R399" s="138">
        <v>8.1232377761E10</v>
      </c>
      <c r="S399" s="135" t="s">
        <v>4733</v>
      </c>
      <c r="T399" s="135" t="s">
        <v>4734</v>
      </c>
      <c r="U399" s="135" t="s">
        <v>4735</v>
      </c>
      <c r="V399" s="135" t="s">
        <v>73</v>
      </c>
      <c r="W399" s="135" t="s">
        <v>835</v>
      </c>
      <c r="X399" s="135" t="s">
        <v>191</v>
      </c>
      <c r="Y399" s="135" t="s">
        <v>836</v>
      </c>
      <c r="Z399" s="138">
        <v>0.0</v>
      </c>
      <c r="AA399" s="138">
        <v>0.0</v>
      </c>
    </row>
    <row r="400">
      <c r="A400" s="332">
        <v>25.0</v>
      </c>
      <c r="B400" s="135" t="s">
        <v>4736</v>
      </c>
      <c r="C400" s="135" t="s">
        <v>4737</v>
      </c>
      <c r="D400" s="332" t="s">
        <v>5952</v>
      </c>
      <c r="E400" s="124" t="s">
        <v>88</v>
      </c>
      <c r="F400" s="332" t="s">
        <v>5953</v>
      </c>
      <c r="G400" s="332" t="s">
        <v>5954</v>
      </c>
      <c r="H400" s="135" t="s">
        <v>532</v>
      </c>
      <c r="I400" s="135" t="s">
        <v>4536</v>
      </c>
      <c r="J400" s="135" t="s">
        <v>285</v>
      </c>
      <c r="K400" s="135" t="s">
        <v>4738</v>
      </c>
      <c r="L400" s="135" t="s">
        <v>4739</v>
      </c>
      <c r="M400" s="333">
        <v>43598.0</v>
      </c>
      <c r="N400" s="138" t="s">
        <v>67</v>
      </c>
      <c r="O400" s="348"/>
      <c r="P400" s="135" t="s">
        <v>130</v>
      </c>
      <c r="Q400" s="348"/>
      <c r="R400" s="138">
        <v>8.2294308808E10</v>
      </c>
      <c r="S400" s="135" t="s">
        <v>4740</v>
      </c>
      <c r="T400" s="135" t="s">
        <v>4741</v>
      </c>
      <c r="U400" s="135" t="s">
        <v>4742</v>
      </c>
      <c r="V400" s="135" t="s">
        <v>96</v>
      </c>
      <c r="W400" s="135" t="s">
        <v>135</v>
      </c>
      <c r="X400" s="135" t="s">
        <v>98</v>
      </c>
      <c r="Y400" s="135" t="s">
        <v>4743</v>
      </c>
      <c r="Z400" s="138"/>
      <c r="AA400" s="138"/>
    </row>
    <row r="401">
      <c r="A401" s="332">
        <v>26.0</v>
      </c>
      <c r="B401" s="135" t="s">
        <v>4744</v>
      </c>
      <c r="C401" s="135" t="s">
        <v>4745</v>
      </c>
      <c r="D401" s="332" t="s">
        <v>5952</v>
      </c>
      <c r="E401" s="124" t="s">
        <v>88</v>
      </c>
      <c r="F401" s="332" t="s">
        <v>5953</v>
      </c>
      <c r="G401" s="332" t="s">
        <v>5954</v>
      </c>
      <c r="H401" s="135" t="s">
        <v>532</v>
      </c>
      <c r="I401" s="135" t="s">
        <v>4536</v>
      </c>
      <c r="J401" s="135" t="s">
        <v>285</v>
      </c>
      <c r="K401" s="135"/>
      <c r="L401" s="135" t="s">
        <v>4746</v>
      </c>
      <c r="M401" s="335">
        <v>37777.0</v>
      </c>
      <c r="N401" s="138" t="s">
        <v>67</v>
      </c>
      <c r="O401" s="348"/>
      <c r="P401" s="135" t="s">
        <v>130</v>
      </c>
      <c r="Q401" s="348"/>
      <c r="R401" s="138">
        <v>8.1377202189E10</v>
      </c>
      <c r="S401" s="135" t="s">
        <v>4747</v>
      </c>
      <c r="T401" s="135" t="s">
        <v>4748</v>
      </c>
      <c r="U401" s="135" t="s">
        <v>4749</v>
      </c>
      <c r="V401" s="135" t="s">
        <v>73</v>
      </c>
      <c r="W401" s="135" t="s">
        <v>74</v>
      </c>
      <c r="X401" s="135" t="s">
        <v>454</v>
      </c>
      <c r="Y401" s="135" t="s">
        <v>491</v>
      </c>
      <c r="Z401" s="138"/>
      <c r="AA401" s="138"/>
    </row>
    <row r="402">
      <c r="A402" s="332">
        <v>27.0</v>
      </c>
      <c r="B402" s="135" t="s">
        <v>4750</v>
      </c>
      <c r="C402" s="135" t="s">
        <v>4751</v>
      </c>
      <c r="D402" s="332" t="s">
        <v>5952</v>
      </c>
      <c r="E402" s="124" t="s">
        <v>88</v>
      </c>
      <c r="F402" s="332" t="s">
        <v>5953</v>
      </c>
      <c r="G402" s="332" t="s">
        <v>5954</v>
      </c>
      <c r="H402" s="135" t="s">
        <v>142</v>
      </c>
      <c r="I402" s="135" t="s">
        <v>4536</v>
      </c>
      <c r="J402" s="135" t="s">
        <v>89</v>
      </c>
      <c r="K402" s="135" t="s">
        <v>1214</v>
      </c>
      <c r="L402" s="135" t="s">
        <v>1231</v>
      </c>
      <c r="M402" s="335">
        <v>37074.0</v>
      </c>
      <c r="N402" s="138" t="s">
        <v>67</v>
      </c>
      <c r="O402" s="348"/>
      <c r="P402" s="135" t="s">
        <v>68</v>
      </c>
      <c r="Q402" s="348"/>
      <c r="R402" s="138">
        <v>8.52760548E10</v>
      </c>
      <c r="S402" s="135" t="s">
        <v>4752</v>
      </c>
      <c r="T402" s="135" t="s">
        <v>4753</v>
      </c>
      <c r="U402" s="135" t="s">
        <v>4754</v>
      </c>
      <c r="V402" s="135" t="s">
        <v>73</v>
      </c>
      <c r="W402" s="135" t="s">
        <v>74</v>
      </c>
      <c r="X402" s="135" t="s">
        <v>454</v>
      </c>
      <c r="Y402" s="135" t="s">
        <v>725</v>
      </c>
      <c r="Z402" s="138"/>
      <c r="AA402" s="138"/>
    </row>
    <row r="403">
      <c r="A403" s="332">
        <v>28.0</v>
      </c>
      <c r="B403" s="135" t="s">
        <v>4755</v>
      </c>
      <c r="C403" s="135" t="s">
        <v>4756</v>
      </c>
      <c r="D403" s="332" t="s">
        <v>5952</v>
      </c>
      <c r="E403" s="124" t="s">
        <v>88</v>
      </c>
      <c r="F403" s="332" t="s">
        <v>5953</v>
      </c>
      <c r="G403" s="332" t="s">
        <v>5954</v>
      </c>
      <c r="H403" s="135" t="s">
        <v>142</v>
      </c>
      <c r="I403" s="135" t="s">
        <v>4536</v>
      </c>
      <c r="J403" s="135" t="s">
        <v>89</v>
      </c>
      <c r="K403" s="135" t="s">
        <v>218</v>
      </c>
      <c r="L403" s="135" t="s">
        <v>3305</v>
      </c>
      <c r="M403" s="333">
        <v>43732.0</v>
      </c>
      <c r="N403" s="138" t="s">
        <v>220</v>
      </c>
      <c r="O403" s="348"/>
      <c r="P403" s="135" t="s">
        <v>130</v>
      </c>
      <c r="Q403" s="348"/>
      <c r="R403" s="138">
        <v>8.7855921814E10</v>
      </c>
      <c r="S403" s="135" t="s">
        <v>4757</v>
      </c>
      <c r="T403" s="135" t="s">
        <v>4758</v>
      </c>
      <c r="U403" s="135" t="s">
        <v>4759</v>
      </c>
      <c r="V403" s="135" t="s">
        <v>96</v>
      </c>
      <c r="W403" s="135" t="s">
        <v>97</v>
      </c>
      <c r="X403" s="135" t="s">
        <v>98</v>
      </c>
      <c r="Y403" s="135" t="s">
        <v>1376</v>
      </c>
      <c r="Z403" s="138"/>
      <c r="AA403" s="138"/>
    </row>
    <row r="404">
      <c r="A404" s="332">
        <v>29.0</v>
      </c>
      <c r="B404" s="135" t="s">
        <v>4760</v>
      </c>
      <c r="C404" s="135" t="s">
        <v>4761</v>
      </c>
      <c r="D404" s="332" t="s">
        <v>5952</v>
      </c>
      <c r="E404" s="124" t="s">
        <v>88</v>
      </c>
      <c r="F404" s="332" t="s">
        <v>5953</v>
      </c>
      <c r="G404" s="332" t="s">
        <v>5954</v>
      </c>
      <c r="H404" s="135" t="s">
        <v>142</v>
      </c>
      <c r="I404" s="135" t="s">
        <v>4536</v>
      </c>
      <c r="J404" s="135" t="s">
        <v>89</v>
      </c>
      <c r="K404" s="135" t="s">
        <v>90</v>
      </c>
      <c r="L404" s="135" t="s">
        <v>449</v>
      </c>
      <c r="M404" s="333">
        <v>44132.0</v>
      </c>
      <c r="N404" s="138" t="s">
        <v>67</v>
      </c>
      <c r="O404" s="348"/>
      <c r="P404" s="135" t="s">
        <v>68</v>
      </c>
      <c r="Q404" s="348"/>
      <c r="R404" s="138">
        <v>8.2366590345E10</v>
      </c>
      <c r="S404" s="135" t="s">
        <v>4762</v>
      </c>
      <c r="T404" s="135" t="s">
        <v>4763</v>
      </c>
      <c r="U404" s="135" t="s">
        <v>2368</v>
      </c>
      <c r="V404" s="135" t="s">
        <v>73</v>
      </c>
      <c r="W404" s="135" t="s">
        <v>481</v>
      </c>
      <c r="X404" s="135" t="s">
        <v>454</v>
      </c>
      <c r="Y404" s="135" t="s">
        <v>455</v>
      </c>
      <c r="Z404" s="138">
        <v>0.0</v>
      </c>
      <c r="AA404" s="138">
        <v>0.0</v>
      </c>
    </row>
    <row r="405">
      <c r="A405" s="332">
        <v>30.0</v>
      </c>
      <c r="B405" s="135" t="s">
        <v>4764</v>
      </c>
      <c r="C405" s="135" t="s">
        <v>4765</v>
      </c>
      <c r="D405" s="332" t="s">
        <v>5952</v>
      </c>
      <c r="E405" s="124" t="s">
        <v>88</v>
      </c>
      <c r="F405" s="332" t="s">
        <v>5953</v>
      </c>
      <c r="G405" s="332" t="s">
        <v>5954</v>
      </c>
      <c r="H405" s="135" t="s">
        <v>142</v>
      </c>
      <c r="I405" s="135" t="s">
        <v>4536</v>
      </c>
      <c r="J405" s="135" t="s">
        <v>89</v>
      </c>
      <c r="K405" s="135" t="s">
        <v>90</v>
      </c>
      <c r="L405" s="135" t="s">
        <v>1819</v>
      </c>
      <c r="M405" s="333">
        <v>42360.0</v>
      </c>
      <c r="N405" s="138" t="s">
        <v>67</v>
      </c>
      <c r="O405" s="348"/>
      <c r="P405" s="135" t="s">
        <v>130</v>
      </c>
      <c r="Q405" s="348"/>
      <c r="R405" s="138">
        <v>8.95095716E10</v>
      </c>
      <c r="S405" s="135" t="s">
        <v>4766</v>
      </c>
      <c r="T405" s="135" t="s">
        <v>4767</v>
      </c>
      <c r="U405" s="135" t="s">
        <v>4768</v>
      </c>
      <c r="V405" s="135" t="s">
        <v>73</v>
      </c>
      <c r="W405" s="135" t="s">
        <v>74</v>
      </c>
      <c r="X405" s="135" t="s">
        <v>1047</v>
      </c>
      <c r="Y405" s="135" t="s">
        <v>2512</v>
      </c>
      <c r="Z405" s="138"/>
      <c r="AA405" s="138"/>
    </row>
    <row r="406">
      <c r="A406" s="332">
        <v>31.0</v>
      </c>
      <c r="B406" s="135" t="s">
        <v>4769</v>
      </c>
      <c r="C406" s="135" t="s">
        <v>4770</v>
      </c>
      <c r="D406" s="332" t="s">
        <v>5952</v>
      </c>
      <c r="E406" s="124" t="s">
        <v>88</v>
      </c>
      <c r="F406" s="332" t="s">
        <v>5953</v>
      </c>
      <c r="G406" s="332" t="s">
        <v>5954</v>
      </c>
      <c r="H406" s="135" t="s">
        <v>142</v>
      </c>
      <c r="I406" s="135" t="s">
        <v>4536</v>
      </c>
      <c r="J406" s="135" t="s">
        <v>89</v>
      </c>
      <c r="K406" s="135" t="s">
        <v>90</v>
      </c>
      <c r="L406" s="135" t="s">
        <v>1819</v>
      </c>
      <c r="M406" s="335">
        <v>41617.0</v>
      </c>
      <c r="N406" s="138" t="s">
        <v>67</v>
      </c>
      <c r="O406" s="348"/>
      <c r="P406" s="135" t="s">
        <v>130</v>
      </c>
      <c r="Q406" s="348"/>
      <c r="R406" s="138">
        <v>8.1260556599E10</v>
      </c>
      <c r="S406" s="135" t="s">
        <v>4771</v>
      </c>
      <c r="T406" s="135" t="s">
        <v>4772</v>
      </c>
      <c r="U406" s="135" t="s">
        <v>4773</v>
      </c>
      <c r="V406" s="135" t="s">
        <v>96</v>
      </c>
      <c r="W406" s="135" t="s">
        <v>135</v>
      </c>
      <c r="X406" s="135" t="s">
        <v>292</v>
      </c>
      <c r="Y406" s="135" t="s">
        <v>1711</v>
      </c>
      <c r="Z406" s="138"/>
      <c r="AA406" s="138"/>
    </row>
    <row r="407">
      <c r="A407" s="332">
        <v>32.0</v>
      </c>
      <c r="B407" s="135" t="s">
        <v>4774</v>
      </c>
      <c r="C407" s="135" t="s">
        <v>4775</v>
      </c>
      <c r="D407" s="332" t="s">
        <v>5952</v>
      </c>
      <c r="E407" s="124" t="s">
        <v>88</v>
      </c>
      <c r="F407" s="332" t="s">
        <v>5953</v>
      </c>
      <c r="G407" s="332" t="s">
        <v>5954</v>
      </c>
      <c r="H407" s="135" t="s">
        <v>142</v>
      </c>
      <c r="I407" s="135" t="s">
        <v>4536</v>
      </c>
      <c r="J407" s="135" t="s">
        <v>89</v>
      </c>
      <c r="K407" s="135" t="s">
        <v>4776</v>
      </c>
      <c r="L407" s="135" t="s">
        <v>509</v>
      </c>
      <c r="M407" s="335">
        <v>38146.0</v>
      </c>
      <c r="N407" s="138" t="s">
        <v>67</v>
      </c>
      <c r="O407" s="348"/>
      <c r="P407" s="135" t="s">
        <v>130</v>
      </c>
      <c r="Q407" s="348"/>
      <c r="R407" s="138">
        <v>8.9679040308E10</v>
      </c>
      <c r="S407" s="135" t="s">
        <v>4777</v>
      </c>
      <c r="T407" s="135" t="s">
        <v>4778</v>
      </c>
      <c r="U407" s="135" t="s">
        <v>4779</v>
      </c>
      <c r="V407" s="135" t="s">
        <v>96</v>
      </c>
      <c r="W407" s="135" t="s">
        <v>97</v>
      </c>
      <c r="X407" s="135" t="s">
        <v>546</v>
      </c>
      <c r="Y407" s="135" t="s">
        <v>2001</v>
      </c>
      <c r="Z407" s="138"/>
      <c r="AA407" s="138"/>
    </row>
    <row r="408">
      <c r="A408" s="332">
        <v>33.0</v>
      </c>
      <c r="B408" s="135" t="s">
        <v>4780</v>
      </c>
      <c r="C408" s="135" t="s">
        <v>4781</v>
      </c>
      <c r="D408" s="332" t="s">
        <v>5952</v>
      </c>
      <c r="E408" s="124" t="s">
        <v>88</v>
      </c>
      <c r="F408" s="332" t="s">
        <v>5953</v>
      </c>
      <c r="G408" s="332" t="s">
        <v>5954</v>
      </c>
      <c r="H408" s="135" t="s">
        <v>142</v>
      </c>
      <c r="I408" s="135" t="s">
        <v>4536</v>
      </c>
      <c r="J408" s="135" t="s">
        <v>89</v>
      </c>
      <c r="K408" s="135" t="s">
        <v>1214</v>
      </c>
      <c r="L408" s="135" t="s">
        <v>1231</v>
      </c>
      <c r="M408" s="333">
        <v>40099.0</v>
      </c>
      <c r="N408" s="138" t="s">
        <v>67</v>
      </c>
      <c r="O408" s="348"/>
      <c r="P408" s="135" t="s">
        <v>130</v>
      </c>
      <c r="Q408" s="348"/>
      <c r="R408" s="138">
        <v>8.1362593499E10</v>
      </c>
      <c r="S408" s="135" t="s">
        <v>4782</v>
      </c>
      <c r="T408" s="135" t="s">
        <v>4783</v>
      </c>
      <c r="U408" s="135" t="s">
        <v>4784</v>
      </c>
      <c r="V408" s="135" t="s">
        <v>73</v>
      </c>
      <c r="W408" s="135" t="s">
        <v>835</v>
      </c>
      <c r="X408" s="135" t="s">
        <v>925</v>
      </c>
      <c r="Y408" s="135" t="s">
        <v>2751</v>
      </c>
      <c r="Z408" s="138"/>
      <c r="AA408" s="138"/>
    </row>
    <row r="409">
      <c r="A409" s="332">
        <v>34.0</v>
      </c>
      <c r="B409" s="135" t="s">
        <v>4785</v>
      </c>
      <c r="C409" s="135" t="s">
        <v>4786</v>
      </c>
      <c r="D409" s="332" t="s">
        <v>5952</v>
      </c>
      <c r="E409" s="124" t="s">
        <v>88</v>
      </c>
      <c r="F409" s="332" t="s">
        <v>5953</v>
      </c>
      <c r="G409" s="332" t="s">
        <v>5954</v>
      </c>
      <c r="H409" s="135" t="s">
        <v>142</v>
      </c>
      <c r="I409" s="135" t="s">
        <v>4536</v>
      </c>
      <c r="J409" s="135" t="s">
        <v>89</v>
      </c>
      <c r="K409" s="135" t="s">
        <v>207</v>
      </c>
      <c r="L409" s="135" t="s">
        <v>509</v>
      </c>
      <c r="M409" s="333">
        <v>40480.0</v>
      </c>
      <c r="N409" s="138" t="s">
        <v>67</v>
      </c>
      <c r="O409" s="348"/>
      <c r="P409" s="135" t="s">
        <v>130</v>
      </c>
      <c r="Q409" s="348"/>
      <c r="R409" s="138">
        <v>8.2161361931E10</v>
      </c>
      <c r="S409" s="135" t="s">
        <v>4787</v>
      </c>
      <c r="T409" s="135" t="s">
        <v>4788</v>
      </c>
      <c r="U409" s="135" t="s">
        <v>4789</v>
      </c>
      <c r="V409" s="135" t="s">
        <v>96</v>
      </c>
      <c r="W409" s="135" t="s">
        <v>97</v>
      </c>
      <c r="X409" s="135" t="s">
        <v>292</v>
      </c>
      <c r="Y409" s="135" t="s">
        <v>683</v>
      </c>
      <c r="Z409" s="138">
        <v>0.0</v>
      </c>
      <c r="AA409" s="138">
        <v>0.0</v>
      </c>
    </row>
    <row r="410">
      <c r="A410" s="332">
        <v>35.0</v>
      </c>
      <c r="B410" s="135" t="s">
        <v>4790</v>
      </c>
      <c r="C410" s="135" t="s">
        <v>4791</v>
      </c>
      <c r="D410" s="332" t="s">
        <v>5952</v>
      </c>
      <c r="E410" s="124" t="s">
        <v>88</v>
      </c>
      <c r="F410" s="332" t="s">
        <v>5953</v>
      </c>
      <c r="G410" s="332" t="s">
        <v>5954</v>
      </c>
      <c r="H410" s="135" t="s">
        <v>142</v>
      </c>
      <c r="I410" s="135" t="s">
        <v>4536</v>
      </c>
      <c r="J410" s="135" t="s">
        <v>89</v>
      </c>
      <c r="K410" s="135"/>
      <c r="L410" s="135" t="s">
        <v>4792</v>
      </c>
      <c r="M410" s="335">
        <v>35317.0</v>
      </c>
      <c r="N410" s="138" t="s">
        <v>220</v>
      </c>
      <c r="O410" s="348"/>
      <c r="P410" s="135" t="s">
        <v>68</v>
      </c>
      <c r="Q410" s="348"/>
      <c r="R410" s="138">
        <v>8.1265429144E10</v>
      </c>
      <c r="S410" s="135" t="s">
        <v>4793</v>
      </c>
      <c r="T410" s="135" t="s">
        <v>4794</v>
      </c>
      <c r="U410" s="135" t="s">
        <v>4795</v>
      </c>
      <c r="V410" s="135" t="s">
        <v>96</v>
      </c>
      <c r="W410" s="135" t="s">
        <v>97</v>
      </c>
      <c r="X410" s="135" t="s">
        <v>292</v>
      </c>
      <c r="Y410" s="135" t="s">
        <v>293</v>
      </c>
      <c r="Z410" s="138"/>
      <c r="AA410" s="138"/>
    </row>
    <row r="411">
      <c r="A411" s="332">
        <v>36.0</v>
      </c>
      <c r="B411" s="135" t="s">
        <v>4796</v>
      </c>
      <c r="C411" s="135" t="s">
        <v>4797</v>
      </c>
      <c r="D411" s="332" t="s">
        <v>5952</v>
      </c>
      <c r="E411" s="124" t="s">
        <v>88</v>
      </c>
      <c r="F411" s="332" t="s">
        <v>5953</v>
      </c>
      <c r="G411" s="332" t="s">
        <v>5954</v>
      </c>
      <c r="H411" s="135" t="s">
        <v>519</v>
      </c>
      <c r="I411" s="135" t="s">
        <v>4536</v>
      </c>
      <c r="J411" s="135" t="s">
        <v>267</v>
      </c>
      <c r="K411" s="135" t="s">
        <v>4798</v>
      </c>
      <c r="L411" s="135" t="s">
        <v>2543</v>
      </c>
      <c r="M411" s="333">
        <v>45442.0</v>
      </c>
      <c r="N411" s="138" t="s">
        <v>67</v>
      </c>
      <c r="O411" s="348"/>
      <c r="P411" s="135" t="s">
        <v>130</v>
      </c>
      <c r="Q411" s="348"/>
      <c r="R411" s="138">
        <v>8.8261185698E10</v>
      </c>
      <c r="S411" s="135" t="s">
        <v>4799</v>
      </c>
      <c r="T411" s="135" t="s">
        <v>4800</v>
      </c>
      <c r="U411" s="135" t="s">
        <v>4801</v>
      </c>
      <c r="V411" s="135" t="s">
        <v>73</v>
      </c>
      <c r="W411" s="135" t="s">
        <v>74</v>
      </c>
      <c r="X411" s="135" t="s">
        <v>932</v>
      </c>
      <c r="Y411" s="135" t="s">
        <v>2250</v>
      </c>
      <c r="Z411" s="138">
        <v>0.0</v>
      </c>
      <c r="AA411" s="138">
        <v>0.0</v>
      </c>
    </row>
    <row r="412">
      <c r="A412" s="332">
        <v>37.0</v>
      </c>
      <c r="B412" s="135" t="s">
        <v>4802</v>
      </c>
      <c r="C412" s="135" t="s">
        <v>4803</v>
      </c>
      <c r="D412" s="332" t="s">
        <v>5952</v>
      </c>
      <c r="E412" s="124" t="s">
        <v>88</v>
      </c>
      <c r="F412" s="332" t="s">
        <v>5953</v>
      </c>
      <c r="G412" s="332" t="s">
        <v>5954</v>
      </c>
      <c r="H412" s="135" t="s">
        <v>532</v>
      </c>
      <c r="I412" s="135" t="s">
        <v>4536</v>
      </c>
      <c r="J412" s="135" t="s">
        <v>285</v>
      </c>
      <c r="K412" s="135" t="s">
        <v>807</v>
      </c>
      <c r="L412" s="135" t="s">
        <v>4804</v>
      </c>
      <c r="M412" s="335">
        <v>42857.0</v>
      </c>
      <c r="N412" s="138" t="s">
        <v>67</v>
      </c>
      <c r="O412" s="348"/>
      <c r="P412" s="135" t="s">
        <v>68</v>
      </c>
      <c r="Q412" s="348"/>
      <c r="R412" s="138">
        <v>8.1263825067E10</v>
      </c>
      <c r="S412" s="135" t="s">
        <v>4805</v>
      </c>
      <c r="T412" s="135" t="s">
        <v>4806</v>
      </c>
      <c r="U412" s="135" t="s">
        <v>4807</v>
      </c>
      <c r="V412" s="135" t="s">
        <v>96</v>
      </c>
      <c r="W412" s="135" t="s">
        <v>97</v>
      </c>
      <c r="X412" s="135" t="s">
        <v>379</v>
      </c>
      <c r="Y412" s="135" t="s">
        <v>389</v>
      </c>
      <c r="Z412" s="138">
        <v>0.0</v>
      </c>
      <c r="AA412" s="138">
        <v>0.0</v>
      </c>
    </row>
    <row r="413">
      <c r="A413" s="332">
        <v>38.0</v>
      </c>
      <c r="B413" s="135" t="s">
        <v>4808</v>
      </c>
      <c r="C413" s="135" t="s">
        <v>4809</v>
      </c>
      <c r="D413" s="332" t="s">
        <v>5952</v>
      </c>
      <c r="E413" s="124" t="s">
        <v>88</v>
      </c>
      <c r="F413" s="332" t="s">
        <v>5953</v>
      </c>
      <c r="G413" s="332" t="s">
        <v>5954</v>
      </c>
      <c r="H413" s="135" t="s">
        <v>142</v>
      </c>
      <c r="I413" s="135" t="s">
        <v>4536</v>
      </c>
      <c r="J413" s="135" t="s">
        <v>89</v>
      </c>
      <c r="K413" s="135" t="s">
        <v>1520</v>
      </c>
      <c r="L413" s="135" t="s">
        <v>4810</v>
      </c>
      <c r="M413" s="333">
        <v>42758.0</v>
      </c>
      <c r="N413" s="138" t="s">
        <v>67</v>
      </c>
      <c r="O413" s="348"/>
      <c r="P413" s="135" t="s">
        <v>68</v>
      </c>
      <c r="Q413" s="348"/>
      <c r="R413" s="138">
        <v>8.1360162111E10</v>
      </c>
      <c r="S413" s="135" t="s">
        <v>4811</v>
      </c>
      <c r="T413" s="135" t="s">
        <v>4812</v>
      </c>
      <c r="U413" s="135" t="s">
        <v>4813</v>
      </c>
      <c r="V413" s="135" t="s">
        <v>73</v>
      </c>
      <c r="W413" s="135" t="s">
        <v>481</v>
      </c>
      <c r="X413" s="135" t="s">
        <v>360</v>
      </c>
      <c r="Y413" s="135" t="s">
        <v>893</v>
      </c>
      <c r="Z413" s="138">
        <v>0.0</v>
      </c>
      <c r="AA413" s="138">
        <v>0.0</v>
      </c>
    </row>
    <row r="414">
      <c r="A414" s="332">
        <v>39.0</v>
      </c>
      <c r="B414" s="135" t="s">
        <v>4814</v>
      </c>
      <c r="C414" s="135" t="s">
        <v>4815</v>
      </c>
      <c r="D414" s="332" t="s">
        <v>5952</v>
      </c>
      <c r="E414" s="124" t="s">
        <v>88</v>
      </c>
      <c r="F414" s="332" t="s">
        <v>5953</v>
      </c>
      <c r="G414" s="332" t="s">
        <v>5954</v>
      </c>
      <c r="H414" s="135" t="s">
        <v>142</v>
      </c>
      <c r="I414" s="135" t="s">
        <v>4536</v>
      </c>
      <c r="J414" s="135" t="s">
        <v>89</v>
      </c>
      <c r="K414" s="135" t="s">
        <v>4816</v>
      </c>
      <c r="L414" s="135" t="s">
        <v>260</v>
      </c>
      <c r="M414" s="333">
        <v>38860.0</v>
      </c>
      <c r="N414" s="138" t="s">
        <v>67</v>
      </c>
      <c r="O414" s="348"/>
      <c r="P414" s="135" t="s">
        <v>130</v>
      </c>
      <c r="Q414" s="348"/>
      <c r="R414" s="138">
        <v>8.2164877971E10</v>
      </c>
      <c r="S414" s="135" t="s">
        <v>4817</v>
      </c>
      <c r="T414" s="135" t="s">
        <v>4818</v>
      </c>
      <c r="U414" s="135" t="s">
        <v>4819</v>
      </c>
      <c r="V414" s="135" t="s">
        <v>96</v>
      </c>
      <c r="W414" s="135" t="s">
        <v>135</v>
      </c>
      <c r="X414" s="135" t="s">
        <v>136</v>
      </c>
      <c r="Y414" s="135" t="s">
        <v>1404</v>
      </c>
      <c r="Z414" s="138">
        <v>0.0</v>
      </c>
      <c r="AA414" s="138">
        <v>0.0</v>
      </c>
    </row>
    <row r="415">
      <c r="A415" s="332">
        <v>40.0</v>
      </c>
      <c r="B415" s="135" t="s">
        <v>4820</v>
      </c>
      <c r="C415" s="135" t="s">
        <v>4821</v>
      </c>
      <c r="D415" s="332" t="s">
        <v>5952</v>
      </c>
      <c r="E415" s="124" t="s">
        <v>88</v>
      </c>
      <c r="F415" s="332" t="s">
        <v>5953</v>
      </c>
      <c r="G415" s="332" t="s">
        <v>5954</v>
      </c>
      <c r="H415" s="135" t="s">
        <v>532</v>
      </c>
      <c r="I415" s="135" t="s">
        <v>4536</v>
      </c>
      <c r="J415" s="135" t="s">
        <v>285</v>
      </c>
      <c r="K415" s="135"/>
      <c r="L415" s="135" t="s">
        <v>4822</v>
      </c>
      <c r="M415" s="333">
        <v>40294.0</v>
      </c>
      <c r="N415" s="138" t="s">
        <v>67</v>
      </c>
      <c r="O415" s="348"/>
      <c r="P415" s="135" t="s">
        <v>68</v>
      </c>
      <c r="Q415" s="348"/>
      <c r="R415" s="138">
        <v>8.2167775055E10</v>
      </c>
      <c r="S415" s="135" t="s">
        <v>4823</v>
      </c>
      <c r="T415" s="135" t="s">
        <v>4824</v>
      </c>
      <c r="U415" s="135" t="s">
        <v>4825</v>
      </c>
      <c r="V415" s="135" t="s">
        <v>73</v>
      </c>
      <c r="W415" s="135" t="s">
        <v>4826</v>
      </c>
      <c r="X415" s="135" t="s">
        <v>4827</v>
      </c>
      <c r="Y415" s="135" t="s">
        <v>4828</v>
      </c>
      <c r="Z415" s="138">
        <v>0.0</v>
      </c>
      <c r="AA415" s="138">
        <v>0.0</v>
      </c>
    </row>
    <row r="416">
      <c r="A416" s="332">
        <v>41.0</v>
      </c>
      <c r="B416" s="135" t="s">
        <v>4829</v>
      </c>
      <c r="C416" s="135" t="s">
        <v>4830</v>
      </c>
      <c r="D416" s="332" t="s">
        <v>5952</v>
      </c>
      <c r="E416" s="124" t="s">
        <v>88</v>
      </c>
      <c r="F416" s="332" t="s">
        <v>5953</v>
      </c>
      <c r="G416" s="332" t="s">
        <v>5954</v>
      </c>
      <c r="H416" s="135" t="s">
        <v>142</v>
      </c>
      <c r="I416" s="135" t="s">
        <v>4536</v>
      </c>
      <c r="J416" s="135" t="s">
        <v>89</v>
      </c>
      <c r="K416" s="135" t="s">
        <v>1214</v>
      </c>
      <c r="L416" s="135" t="s">
        <v>4831</v>
      </c>
      <c r="M416" s="333">
        <v>43661.0</v>
      </c>
      <c r="N416" s="138" t="s">
        <v>67</v>
      </c>
      <c r="O416" s="348"/>
      <c r="P416" s="135" t="s">
        <v>68</v>
      </c>
      <c r="Q416" s="348"/>
      <c r="R416" s="138">
        <v>8.1375848013E10</v>
      </c>
      <c r="S416" s="135" t="s">
        <v>4832</v>
      </c>
      <c r="T416" s="135" t="s">
        <v>4833</v>
      </c>
      <c r="U416" s="135" t="s">
        <v>4834</v>
      </c>
      <c r="V416" s="135" t="s">
        <v>73</v>
      </c>
      <c r="W416" s="135" t="s">
        <v>74</v>
      </c>
      <c r="X416" s="135" t="s">
        <v>178</v>
      </c>
      <c r="Y416" s="135" t="s">
        <v>179</v>
      </c>
      <c r="Z416" s="138"/>
      <c r="AA416" s="138"/>
    </row>
    <row r="417">
      <c r="A417" s="332">
        <v>42.0</v>
      </c>
      <c r="B417" s="135" t="s">
        <v>4835</v>
      </c>
      <c r="C417" s="135" t="s">
        <v>4836</v>
      </c>
      <c r="D417" s="332" t="s">
        <v>5952</v>
      </c>
      <c r="E417" s="124" t="s">
        <v>88</v>
      </c>
      <c r="F417" s="332" t="s">
        <v>5953</v>
      </c>
      <c r="G417" s="332" t="s">
        <v>5954</v>
      </c>
      <c r="H417" s="135" t="s">
        <v>142</v>
      </c>
      <c r="I417" s="135" t="s">
        <v>4536</v>
      </c>
      <c r="J417" s="135" t="s">
        <v>89</v>
      </c>
      <c r="K417" s="135" t="s">
        <v>218</v>
      </c>
      <c r="L417" s="135" t="s">
        <v>1490</v>
      </c>
      <c r="M417" s="333">
        <v>42695.0</v>
      </c>
      <c r="N417" s="138" t="s">
        <v>67</v>
      </c>
      <c r="O417" s="348"/>
      <c r="P417" s="135" t="s">
        <v>68</v>
      </c>
      <c r="Q417" s="348"/>
      <c r="R417" s="138">
        <v>8.1949260956E10</v>
      </c>
      <c r="S417" s="135" t="s">
        <v>4837</v>
      </c>
      <c r="T417" s="135" t="s">
        <v>4838</v>
      </c>
      <c r="U417" s="135" t="s">
        <v>4839</v>
      </c>
      <c r="V417" s="135" t="s">
        <v>96</v>
      </c>
      <c r="W417" s="135" t="s">
        <v>135</v>
      </c>
      <c r="X417" s="135" t="s">
        <v>1422</v>
      </c>
      <c r="Y417" s="135" t="s">
        <v>4840</v>
      </c>
      <c r="Z417" s="138">
        <v>0.0</v>
      </c>
      <c r="AA417" s="138">
        <v>0.0</v>
      </c>
    </row>
    <row r="418">
      <c r="A418" s="332">
        <v>43.0</v>
      </c>
      <c r="B418" s="135" t="s">
        <v>4841</v>
      </c>
      <c r="C418" s="135" t="s">
        <v>4842</v>
      </c>
      <c r="D418" s="332" t="s">
        <v>5952</v>
      </c>
      <c r="E418" s="124" t="s">
        <v>88</v>
      </c>
      <c r="F418" s="332" t="s">
        <v>5953</v>
      </c>
      <c r="G418" s="332" t="s">
        <v>5954</v>
      </c>
      <c r="H418" s="135" t="s">
        <v>142</v>
      </c>
      <c r="I418" s="135" t="s">
        <v>4536</v>
      </c>
      <c r="J418" s="135" t="s">
        <v>89</v>
      </c>
      <c r="K418" s="135" t="s">
        <v>4843</v>
      </c>
      <c r="L418" s="135" t="s">
        <v>4844</v>
      </c>
      <c r="M418" s="333">
        <v>42721.0</v>
      </c>
      <c r="N418" s="138" t="s">
        <v>67</v>
      </c>
      <c r="O418" s="348"/>
      <c r="P418" s="135" t="s">
        <v>130</v>
      </c>
      <c r="Q418" s="348"/>
      <c r="R418" s="138">
        <v>8.9513615802E10</v>
      </c>
      <c r="S418" s="135" t="s">
        <v>4845</v>
      </c>
      <c r="T418" s="135" t="s">
        <v>4846</v>
      </c>
      <c r="U418" s="135" t="s">
        <v>4847</v>
      </c>
      <c r="V418" s="135" t="s">
        <v>73</v>
      </c>
      <c r="W418" s="135" t="s">
        <v>74</v>
      </c>
      <c r="X418" s="135" t="s">
        <v>191</v>
      </c>
      <c r="Y418" s="135" t="s">
        <v>1558</v>
      </c>
      <c r="Z418" s="138">
        <v>0.0</v>
      </c>
      <c r="AA418" s="138">
        <v>0.0</v>
      </c>
    </row>
    <row r="419">
      <c r="A419" s="332">
        <v>44.0</v>
      </c>
      <c r="B419" s="135" t="s">
        <v>4848</v>
      </c>
      <c r="C419" s="135" t="s">
        <v>4849</v>
      </c>
      <c r="D419" s="332" t="s">
        <v>5952</v>
      </c>
      <c r="E419" s="124" t="s">
        <v>88</v>
      </c>
      <c r="F419" s="332" t="s">
        <v>5953</v>
      </c>
      <c r="G419" s="332" t="s">
        <v>5954</v>
      </c>
      <c r="H419" s="135" t="s">
        <v>142</v>
      </c>
      <c r="I419" s="135" t="s">
        <v>4536</v>
      </c>
      <c r="J419" s="135" t="s">
        <v>89</v>
      </c>
      <c r="K419" s="135" t="s">
        <v>1214</v>
      </c>
      <c r="L419" s="135" t="s">
        <v>4850</v>
      </c>
      <c r="M419" s="333">
        <v>42359.0</v>
      </c>
      <c r="N419" s="138" t="s">
        <v>67</v>
      </c>
      <c r="O419" s="348"/>
      <c r="P419" s="135" t="s">
        <v>68</v>
      </c>
      <c r="Q419" s="348"/>
      <c r="R419" s="138">
        <v>8.1994148824E10</v>
      </c>
      <c r="S419" s="135" t="s">
        <v>4851</v>
      </c>
      <c r="T419" s="135" t="s">
        <v>4852</v>
      </c>
      <c r="U419" s="135" t="s">
        <v>4853</v>
      </c>
      <c r="V419" s="135" t="s">
        <v>73</v>
      </c>
      <c r="W419" s="135" t="s">
        <v>835</v>
      </c>
      <c r="X419" s="135" t="s">
        <v>932</v>
      </c>
      <c r="Y419" s="135" t="s">
        <v>1074</v>
      </c>
      <c r="Z419" s="138">
        <v>0.0</v>
      </c>
      <c r="AA419" s="138">
        <v>0.0</v>
      </c>
    </row>
    <row r="420">
      <c r="A420" s="332">
        <v>45.0</v>
      </c>
      <c r="B420" s="135" t="s">
        <v>4854</v>
      </c>
      <c r="C420" s="135" t="s">
        <v>4855</v>
      </c>
      <c r="D420" s="332" t="s">
        <v>5952</v>
      </c>
      <c r="E420" s="124" t="s">
        <v>88</v>
      </c>
      <c r="F420" s="332" t="s">
        <v>5953</v>
      </c>
      <c r="G420" s="332" t="s">
        <v>5954</v>
      </c>
      <c r="H420" s="135" t="s">
        <v>142</v>
      </c>
      <c r="I420" s="135" t="s">
        <v>4536</v>
      </c>
      <c r="J420" s="135" t="s">
        <v>89</v>
      </c>
      <c r="K420" s="135" t="s">
        <v>90</v>
      </c>
      <c r="L420" s="135" t="s">
        <v>1819</v>
      </c>
      <c r="M420" s="335">
        <v>42982.0</v>
      </c>
      <c r="N420" s="138" t="s">
        <v>67</v>
      </c>
      <c r="O420" s="348"/>
      <c r="P420" s="135" t="s">
        <v>130</v>
      </c>
      <c r="Q420" s="348"/>
      <c r="R420" s="138">
        <v>8.5351689788E10</v>
      </c>
      <c r="S420" s="135" t="s">
        <v>4856</v>
      </c>
      <c r="T420" s="135" t="s">
        <v>4857</v>
      </c>
      <c r="U420" s="135" t="s">
        <v>4858</v>
      </c>
      <c r="V420" s="135" t="s">
        <v>73</v>
      </c>
      <c r="W420" s="135" t="s">
        <v>166</v>
      </c>
      <c r="X420" s="135" t="s">
        <v>596</v>
      </c>
      <c r="Y420" s="135" t="s">
        <v>4135</v>
      </c>
      <c r="Z420" s="138">
        <v>0.0</v>
      </c>
      <c r="AA420" s="138">
        <v>0.0</v>
      </c>
    </row>
    <row r="421">
      <c r="A421" s="332">
        <v>46.0</v>
      </c>
      <c r="B421" s="135" t="s">
        <v>4859</v>
      </c>
      <c r="C421" s="135" t="s">
        <v>4860</v>
      </c>
      <c r="D421" s="332" t="s">
        <v>5952</v>
      </c>
      <c r="E421" s="124" t="s">
        <v>88</v>
      </c>
      <c r="F421" s="332" t="s">
        <v>5953</v>
      </c>
      <c r="G421" s="332" t="s">
        <v>5954</v>
      </c>
      <c r="H421" s="135" t="s">
        <v>142</v>
      </c>
      <c r="I421" s="135" t="s">
        <v>4536</v>
      </c>
      <c r="J421" s="135" t="s">
        <v>89</v>
      </c>
      <c r="K421" s="135"/>
      <c r="L421" s="135" t="s">
        <v>1119</v>
      </c>
      <c r="M421" s="335">
        <v>44810.0</v>
      </c>
      <c r="N421" s="138" t="s">
        <v>220</v>
      </c>
      <c r="O421" s="348"/>
      <c r="P421" s="135" t="s">
        <v>130</v>
      </c>
      <c r="Q421" s="348"/>
      <c r="R421" s="138">
        <v>8.7769000873E10</v>
      </c>
      <c r="S421" s="135" t="s">
        <v>4861</v>
      </c>
      <c r="T421" s="135" t="s">
        <v>4862</v>
      </c>
      <c r="U421" s="135" t="s">
        <v>4863</v>
      </c>
      <c r="V421" s="135" t="s">
        <v>73</v>
      </c>
      <c r="W421" s="135" t="s">
        <v>74</v>
      </c>
      <c r="X421" s="135" t="s">
        <v>203</v>
      </c>
      <c r="Y421" s="135" t="s">
        <v>575</v>
      </c>
      <c r="Z421" s="138" t="s">
        <v>77</v>
      </c>
      <c r="AA421" s="138" t="s">
        <v>77</v>
      </c>
    </row>
    <row r="422">
      <c r="A422" s="332">
        <v>47.0</v>
      </c>
      <c r="B422" s="135" t="s">
        <v>4864</v>
      </c>
      <c r="C422" s="135" t="s">
        <v>4865</v>
      </c>
      <c r="D422" s="332" t="s">
        <v>5952</v>
      </c>
      <c r="E422" s="124" t="s">
        <v>88</v>
      </c>
      <c r="F422" s="332" t="s">
        <v>5953</v>
      </c>
      <c r="G422" s="332" t="s">
        <v>5954</v>
      </c>
      <c r="H422" s="135" t="s">
        <v>532</v>
      </c>
      <c r="I422" s="135" t="s">
        <v>4536</v>
      </c>
      <c r="J422" s="135" t="s">
        <v>285</v>
      </c>
      <c r="K422" s="135"/>
      <c r="L422" s="135" t="s">
        <v>4866</v>
      </c>
      <c r="M422" s="333">
        <v>39613.0</v>
      </c>
      <c r="N422" s="138" t="s">
        <v>67</v>
      </c>
      <c r="O422" s="348"/>
      <c r="P422" s="135" t="s">
        <v>130</v>
      </c>
      <c r="Q422" s="348"/>
      <c r="R422" s="138">
        <v>8.216124184E10</v>
      </c>
      <c r="S422" s="135" t="s">
        <v>4867</v>
      </c>
      <c r="T422" s="135" t="s">
        <v>4868</v>
      </c>
      <c r="U422" s="135" t="s">
        <v>4869</v>
      </c>
      <c r="V422" s="135" t="s">
        <v>73</v>
      </c>
      <c r="W422" s="135" t="s">
        <v>74</v>
      </c>
      <c r="X422" s="135" t="s">
        <v>932</v>
      </c>
      <c r="Y422" s="135" t="s">
        <v>933</v>
      </c>
      <c r="Z422" s="138" t="s">
        <v>77</v>
      </c>
      <c r="AA422" s="138" t="s">
        <v>77</v>
      </c>
    </row>
    <row r="423">
      <c r="A423" s="332">
        <v>48.0</v>
      </c>
      <c r="B423" s="135" t="s">
        <v>4870</v>
      </c>
      <c r="C423" s="135" t="s">
        <v>4871</v>
      </c>
      <c r="D423" s="332" t="s">
        <v>5952</v>
      </c>
      <c r="E423" s="124" t="s">
        <v>88</v>
      </c>
      <c r="F423" s="332" t="s">
        <v>5953</v>
      </c>
      <c r="G423" s="332" t="s">
        <v>5954</v>
      </c>
      <c r="H423" s="135" t="s">
        <v>532</v>
      </c>
      <c r="I423" s="135" t="s">
        <v>4536</v>
      </c>
      <c r="J423" s="135" t="s">
        <v>285</v>
      </c>
      <c r="K423" s="135" t="s">
        <v>4872</v>
      </c>
      <c r="L423" s="135" t="s">
        <v>4873</v>
      </c>
      <c r="M423" s="333">
        <v>32641.0</v>
      </c>
      <c r="N423" s="138" t="s">
        <v>67</v>
      </c>
      <c r="O423" s="348"/>
      <c r="P423" s="135" t="s">
        <v>68</v>
      </c>
      <c r="Q423" s="348"/>
      <c r="R423" s="138">
        <v>8.5362486303E10</v>
      </c>
      <c r="S423" s="135" t="s">
        <v>4874</v>
      </c>
      <c r="T423" s="135" t="s">
        <v>4875</v>
      </c>
      <c r="U423" s="135" t="s">
        <v>4876</v>
      </c>
      <c r="V423" s="135" t="s">
        <v>96</v>
      </c>
      <c r="W423" s="135" t="s">
        <v>135</v>
      </c>
      <c r="X423" s="135" t="s">
        <v>292</v>
      </c>
      <c r="Y423" s="135" t="s">
        <v>4877</v>
      </c>
      <c r="Z423" s="138"/>
      <c r="AA423" s="138"/>
    </row>
    <row r="424">
      <c r="A424" s="101" t="s">
        <v>4878</v>
      </c>
      <c r="B424" s="141"/>
      <c r="C424" s="345"/>
      <c r="D424" s="124"/>
      <c r="E424" s="124"/>
      <c r="F424" s="124"/>
      <c r="G424" s="124"/>
      <c r="H424" s="141"/>
      <c r="I424" s="141"/>
      <c r="J424" s="141"/>
      <c r="K424" s="141"/>
      <c r="L424" s="141"/>
      <c r="M424" s="124"/>
      <c r="N424" s="346"/>
      <c r="O424" s="346"/>
      <c r="P424" s="347"/>
      <c r="Q424" s="346"/>
      <c r="R424" s="346"/>
      <c r="S424" s="347"/>
      <c r="T424" s="347"/>
      <c r="U424" s="347"/>
      <c r="V424" s="347"/>
      <c r="W424" s="347"/>
      <c r="X424" s="347"/>
      <c r="Y424" s="347"/>
      <c r="Z424" s="346"/>
      <c r="AA424" s="346"/>
    </row>
    <row r="425">
      <c r="A425" s="332">
        <v>1.0</v>
      </c>
      <c r="B425" s="135" t="s">
        <v>4937</v>
      </c>
      <c r="C425" s="135" t="s">
        <v>4938</v>
      </c>
      <c r="D425" s="332" t="s">
        <v>5952</v>
      </c>
      <c r="E425" s="124" t="s">
        <v>88</v>
      </c>
      <c r="F425" s="332" t="s">
        <v>5953</v>
      </c>
      <c r="G425" s="332" t="s">
        <v>5954</v>
      </c>
      <c r="H425" s="135" t="s">
        <v>142</v>
      </c>
      <c r="I425" s="135" t="s">
        <v>4882</v>
      </c>
      <c r="J425" s="135" t="s">
        <v>89</v>
      </c>
      <c r="K425" s="135" t="s">
        <v>218</v>
      </c>
      <c r="L425" s="135" t="s">
        <v>4939</v>
      </c>
      <c r="M425" s="335">
        <v>40856.0</v>
      </c>
      <c r="N425" s="138" t="s">
        <v>220</v>
      </c>
      <c r="O425" s="348"/>
      <c r="P425" s="135" t="s">
        <v>130</v>
      </c>
      <c r="Q425" s="138"/>
      <c r="R425" s="138">
        <v>8.1231111524E10</v>
      </c>
      <c r="S425" s="135" t="s">
        <v>4940</v>
      </c>
      <c r="T425" s="135" t="s">
        <v>4941</v>
      </c>
      <c r="U425" s="135" t="s">
        <v>4942</v>
      </c>
      <c r="V425" s="135" t="s">
        <v>96</v>
      </c>
      <c r="W425" s="135" t="s">
        <v>135</v>
      </c>
      <c r="X425" s="135" t="s">
        <v>213</v>
      </c>
      <c r="Y425" s="135" t="s">
        <v>4943</v>
      </c>
      <c r="Z425" s="138"/>
      <c r="AA425" s="138"/>
    </row>
    <row r="426">
      <c r="A426" s="332">
        <v>2.0</v>
      </c>
      <c r="B426" s="135" t="s">
        <v>4944</v>
      </c>
      <c r="C426" s="135" t="s">
        <v>4945</v>
      </c>
      <c r="D426" s="332" t="s">
        <v>5952</v>
      </c>
      <c r="E426" s="124" t="s">
        <v>88</v>
      </c>
      <c r="F426" s="332" t="s">
        <v>5953</v>
      </c>
      <c r="G426" s="332" t="s">
        <v>5954</v>
      </c>
      <c r="H426" s="135" t="s">
        <v>532</v>
      </c>
      <c r="I426" s="135" t="s">
        <v>4882</v>
      </c>
      <c r="J426" s="135" t="s">
        <v>285</v>
      </c>
      <c r="K426" s="135" t="s">
        <v>1035</v>
      </c>
      <c r="L426" s="135" t="s">
        <v>4946</v>
      </c>
      <c r="M426" s="333">
        <v>40294.0</v>
      </c>
      <c r="N426" s="138" t="s">
        <v>67</v>
      </c>
      <c r="O426" s="357"/>
      <c r="P426" s="135" t="s">
        <v>68</v>
      </c>
      <c r="Q426" s="138"/>
      <c r="R426" s="138">
        <v>8.5372991926E10</v>
      </c>
      <c r="S426" s="135" t="s">
        <v>4947</v>
      </c>
      <c r="T426" s="135" t="s">
        <v>4948</v>
      </c>
      <c r="U426" s="135" t="s">
        <v>4949</v>
      </c>
      <c r="V426" s="135" t="s">
        <v>73</v>
      </c>
      <c r="W426" s="135" t="s">
        <v>166</v>
      </c>
      <c r="X426" s="135" t="s">
        <v>167</v>
      </c>
      <c r="Y426" s="135" t="s">
        <v>1265</v>
      </c>
      <c r="Z426" s="138" t="s">
        <v>77</v>
      </c>
      <c r="AA426" s="138" t="s">
        <v>77</v>
      </c>
    </row>
    <row r="427">
      <c r="A427" s="332">
        <v>3.0</v>
      </c>
      <c r="B427" s="135" t="s">
        <v>4950</v>
      </c>
      <c r="C427" s="135" t="s">
        <v>4951</v>
      </c>
      <c r="D427" s="332" t="s">
        <v>5952</v>
      </c>
      <c r="E427" s="124" t="s">
        <v>88</v>
      </c>
      <c r="F427" s="332" t="s">
        <v>5953</v>
      </c>
      <c r="G427" s="332" t="s">
        <v>5954</v>
      </c>
      <c r="H427" s="135" t="s">
        <v>532</v>
      </c>
      <c r="I427" s="135" t="s">
        <v>4882</v>
      </c>
      <c r="J427" s="135" t="s">
        <v>285</v>
      </c>
      <c r="K427" s="135" t="s">
        <v>1017</v>
      </c>
      <c r="L427" s="135" t="s">
        <v>4952</v>
      </c>
      <c r="M427" s="333">
        <v>39249.0</v>
      </c>
      <c r="N427" s="138" t="s">
        <v>67</v>
      </c>
      <c r="O427" s="124"/>
      <c r="P427" s="135" t="s">
        <v>68</v>
      </c>
      <c r="Q427" s="138"/>
      <c r="R427" s="138">
        <v>8.1269214838E10</v>
      </c>
      <c r="S427" s="135" t="s">
        <v>4953</v>
      </c>
      <c r="T427" s="135" t="s">
        <v>4954</v>
      </c>
      <c r="U427" s="135" t="s">
        <v>4955</v>
      </c>
      <c r="V427" s="135" t="s">
        <v>96</v>
      </c>
      <c r="W427" s="135" t="s">
        <v>97</v>
      </c>
      <c r="X427" s="135" t="s">
        <v>499</v>
      </c>
      <c r="Y427" s="135" t="s">
        <v>657</v>
      </c>
      <c r="Z427" s="138">
        <v>0.0</v>
      </c>
      <c r="AA427" s="138">
        <v>0.0</v>
      </c>
    </row>
    <row r="428">
      <c r="A428" s="332">
        <v>4.0</v>
      </c>
      <c r="B428" s="135" t="s">
        <v>4956</v>
      </c>
      <c r="C428" s="135" t="s">
        <v>4957</v>
      </c>
      <c r="D428" s="332" t="s">
        <v>5952</v>
      </c>
      <c r="E428" s="124" t="s">
        <v>88</v>
      </c>
      <c r="F428" s="332" t="s">
        <v>5953</v>
      </c>
      <c r="G428" s="332" t="s">
        <v>5954</v>
      </c>
      <c r="H428" s="135" t="s">
        <v>142</v>
      </c>
      <c r="I428" s="135" t="s">
        <v>4882</v>
      </c>
      <c r="J428" s="135" t="s">
        <v>89</v>
      </c>
      <c r="K428" s="135" t="s">
        <v>4958</v>
      </c>
      <c r="L428" s="135" t="s">
        <v>4959</v>
      </c>
      <c r="M428" s="333">
        <v>44211.0</v>
      </c>
      <c r="N428" s="138" t="s">
        <v>67</v>
      </c>
      <c r="O428" s="357"/>
      <c r="P428" s="135" t="s">
        <v>130</v>
      </c>
      <c r="Q428" s="138"/>
      <c r="R428" s="138">
        <v>8.1262159839E10</v>
      </c>
      <c r="S428" s="135" t="s">
        <v>4960</v>
      </c>
      <c r="T428" s="135" t="s">
        <v>4961</v>
      </c>
      <c r="U428" s="135" t="s">
        <v>4962</v>
      </c>
      <c r="V428" s="135" t="s">
        <v>96</v>
      </c>
      <c r="W428" s="135" t="s">
        <v>135</v>
      </c>
      <c r="X428" s="135" t="s">
        <v>1511</v>
      </c>
      <c r="Y428" s="135" t="s">
        <v>4963</v>
      </c>
      <c r="Z428" s="138">
        <v>0.0</v>
      </c>
      <c r="AA428" s="138">
        <v>0.0</v>
      </c>
    </row>
    <row r="429">
      <c r="A429" s="332">
        <v>5.0</v>
      </c>
      <c r="B429" s="135" t="s">
        <v>4964</v>
      </c>
      <c r="C429" s="135" t="s">
        <v>4965</v>
      </c>
      <c r="D429" s="332" t="s">
        <v>5952</v>
      </c>
      <c r="E429" s="124" t="s">
        <v>88</v>
      </c>
      <c r="F429" s="332" t="s">
        <v>5953</v>
      </c>
      <c r="G429" s="332" t="s">
        <v>5954</v>
      </c>
      <c r="H429" s="135" t="s">
        <v>142</v>
      </c>
      <c r="I429" s="135" t="s">
        <v>4882</v>
      </c>
      <c r="J429" s="135" t="s">
        <v>89</v>
      </c>
      <c r="K429" s="135" t="s">
        <v>374</v>
      </c>
      <c r="L429" s="135" t="s">
        <v>244</v>
      </c>
      <c r="M429" s="333">
        <v>41319.0</v>
      </c>
      <c r="N429" s="138" t="s">
        <v>67</v>
      </c>
      <c r="O429" s="348"/>
      <c r="P429" s="135" t="s">
        <v>130</v>
      </c>
      <c r="Q429" s="138"/>
      <c r="R429" s="138">
        <v>8.1361032425E10</v>
      </c>
      <c r="S429" s="135" t="s">
        <v>4966</v>
      </c>
      <c r="T429" s="135" t="s">
        <v>4967</v>
      </c>
      <c r="U429" s="135" t="s">
        <v>4968</v>
      </c>
      <c r="V429" s="135" t="s">
        <v>73</v>
      </c>
      <c r="W429" s="135" t="s">
        <v>74</v>
      </c>
      <c r="X429" s="135" t="s">
        <v>360</v>
      </c>
      <c r="Y429" s="135" t="s">
        <v>566</v>
      </c>
      <c r="Z429" s="138">
        <v>0.0</v>
      </c>
      <c r="AA429" s="138">
        <v>0.0</v>
      </c>
    </row>
    <row r="430">
      <c r="A430" s="332">
        <v>6.0</v>
      </c>
      <c r="B430" s="135" t="s">
        <v>4969</v>
      </c>
      <c r="C430" s="135" t="s">
        <v>4970</v>
      </c>
      <c r="D430" s="332" t="s">
        <v>5952</v>
      </c>
      <c r="E430" s="124" t="s">
        <v>88</v>
      </c>
      <c r="F430" s="332" t="s">
        <v>5953</v>
      </c>
      <c r="G430" s="332" t="s">
        <v>5954</v>
      </c>
      <c r="H430" s="135" t="s">
        <v>142</v>
      </c>
      <c r="I430" s="135" t="s">
        <v>4882</v>
      </c>
      <c r="J430" s="135" t="s">
        <v>89</v>
      </c>
      <c r="K430" s="135" t="s">
        <v>1520</v>
      </c>
      <c r="L430" s="135" t="s">
        <v>244</v>
      </c>
      <c r="M430" s="333">
        <v>40997.0</v>
      </c>
      <c r="N430" s="138" t="s">
        <v>67</v>
      </c>
      <c r="O430" s="348"/>
      <c r="P430" s="135" t="s">
        <v>130</v>
      </c>
      <c r="Q430" s="138"/>
      <c r="R430" s="138">
        <v>8.7744758468E10</v>
      </c>
      <c r="S430" s="135" t="s">
        <v>4971</v>
      </c>
      <c r="T430" s="135" t="s">
        <v>4972</v>
      </c>
      <c r="U430" s="135" t="s">
        <v>4973</v>
      </c>
      <c r="V430" s="135" t="s">
        <v>73</v>
      </c>
      <c r="W430" s="135" t="s">
        <v>74</v>
      </c>
      <c r="X430" s="135" t="s">
        <v>360</v>
      </c>
      <c r="Y430" s="135" t="s">
        <v>4974</v>
      </c>
      <c r="Z430" s="138"/>
      <c r="AA430" s="138"/>
    </row>
    <row r="431">
      <c r="A431" s="332">
        <v>7.0</v>
      </c>
      <c r="B431" s="135" t="s">
        <v>4975</v>
      </c>
      <c r="C431" s="135" t="s">
        <v>4976</v>
      </c>
      <c r="D431" s="332" t="s">
        <v>5952</v>
      </c>
      <c r="E431" s="124" t="s">
        <v>88</v>
      </c>
      <c r="F431" s="332" t="s">
        <v>5953</v>
      </c>
      <c r="G431" s="332" t="s">
        <v>5954</v>
      </c>
      <c r="H431" s="135" t="s">
        <v>142</v>
      </c>
      <c r="I431" s="135" t="s">
        <v>4882</v>
      </c>
      <c r="J431" s="135" t="s">
        <v>89</v>
      </c>
      <c r="K431" s="135" t="s">
        <v>4977</v>
      </c>
      <c r="L431" s="135" t="s">
        <v>244</v>
      </c>
      <c r="M431" s="333">
        <v>41233.0</v>
      </c>
      <c r="N431" s="138" t="s">
        <v>220</v>
      </c>
      <c r="O431" s="348"/>
      <c r="P431" s="135" t="s">
        <v>68</v>
      </c>
      <c r="Q431" s="138"/>
      <c r="R431" s="138">
        <v>8.116581212E9</v>
      </c>
      <c r="S431" s="135" t="s">
        <v>4978</v>
      </c>
      <c r="T431" s="135" t="s">
        <v>4979</v>
      </c>
      <c r="U431" s="135" t="s">
        <v>4980</v>
      </c>
      <c r="V431" s="135" t="s">
        <v>73</v>
      </c>
      <c r="W431" s="135" t="s">
        <v>74</v>
      </c>
      <c r="X431" s="135" t="s">
        <v>989</v>
      </c>
      <c r="Y431" s="135" t="s">
        <v>4981</v>
      </c>
      <c r="Z431" s="138">
        <v>0.0</v>
      </c>
      <c r="AA431" s="138">
        <v>0.0</v>
      </c>
    </row>
    <row r="432">
      <c r="A432" s="332">
        <v>8.0</v>
      </c>
      <c r="B432" s="135" t="s">
        <v>4982</v>
      </c>
      <c r="C432" s="135" t="s">
        <v>4983</v>
      </c>
      <c r="D432" s="332" t="s">
        <v>5952</v>
      </c>
      <c r="E432" s="124" t="s">
        <v>88</v>
      </c>
      <c r="F432" s="332" t="s">
        <v>5953</v>
      </c>
      <c r="G432" s="332" t="s">
        <v>5954</v>
      </c>
      <c r="H432" s="135" t="s">
        <v>532</v>
      </c>
      <c r="I432" s="135" t="s">
        <v>4882</v>
      </c>
      <c r="J432" s="135" t="s">
        <v>285</v>
      </c>
      <c r="K432" s="135"/>
      <c r="L432" s="135" t="s">
        <v>4984</v>
      </c>
      <c r="M432" s="333">
        <v>39613.0</v>
      </c>
      <c r="N432" s="138" t="s">
        <v>311</v>
      </c>
      <c r="O432" s="348"/>
      <c r="P432" s="135" t="s">
        <v>68</v>
      </c>
      <c r="Q432" s="138"/>
      <c r="R432" s="138">
        <v>8.1366963793E10</v>
      </c>
      <c r="S432" s="135" t="s">
        <v>4985</v>
      </c>
      <c r="T432" s="135" t="s">
        <v>4986</v>
      </c>
      <c r="U432" s="135" t="s">
        <v>4987</v>
      </c>
      <c r="V432" s="135" t="s">
        <v>73</v>
      </c>
      <c r="W432" s="135" t="s">
        <v>481</v>
      </c>
      <c r="X432" s="135" t="s">
        <v>360</v>
      </c>
      <c r="Y432" s="135" t="s">
        <v>2897</v>
      </c>
      <c r="Z432" s="138">
        <v>0.0</v>
      </c>
      <c r="AA432" s="138">
        <v>0.0</v>
      </c>
    </row>
    <row r="433">
      <c r="A433" s="332">
        <v>9.0</v>
      </c>
      <c r="B433" s="135" t="s">
        <v>4988</v>
      </c>
      <c r="C433" s="135" t="s">
        <v>4989</v>
      </c>
      <c r="D433" s="332" t="s">
        <v>5952</v>
      </c>
      <c r="E433" s="124" t="s">
        <v>88</v>
      </c>
      <c r="F433" s="332" t="s">
        <v>5953</v>
      </c>
      <c r="G433" s="332" t="s">
        <v>5954</v>
      </c>
      <c r="H433" s="135" t="s">
        <v>142</v>
      </c>
      <c r="I433" s="135" t="s">
        <v>4882</v>
      </c>
      <c r="J433" s="135" t="s">
        <v>89</v>
      </c>
      <c r="K433" s="135" t="s">
        <v>4990</v>
      </c>
      <c r="L433" s="135" t="s">
        <v>745</v>
      </c>
      <c r="M433" s="333">
        <v>39244.0</v>
      </c>
      <c r="N433" s="138" t="s">
        <v>67</v>
      </c>
      <c r="O433" s="348"/>
      <c r="P433" s="135" t="s">
        <v>130</v>
      </c>
      <c r="Q433" s="138"/>
      <c r="R433" s="138">
        <v>8.1397558552E10</v>
      </c>
      <c r="S433" s="135" t="s">
        <v>4991</v>
      </c>
      <c r="T433" s="135" t="s">
        <v>4992</v>
      </c>
      <c r="U433" s="135" t="s">
        <v>4993</v>
      </c>
      <c r="V433" s="135" t="s">
        <v>73</v>
      </c>
      <c r="W433" s="135" t="s">
        <v>481</v>
      </c>
      <c r="X433" s="135" t="s">
        <v>989</v>
      </c>
      <c r="Y433" s="135" t="s">
        <v>1585</v>
      </c>
      <c r="Z433" s="138">
        <v>0.0</v>
      </c>
      <c r="AA433" s="138">
        <v>0.0</v>
      </c>
    </row>
    <row r="434">
      <c r="A434" s="332">
        <v>10.0</v>
      </c>
      <c r="B434" s="135" t="s">
        <v>4994</v>
      </c>
      <c r="C434" s="135" t="s">
        <v>4995</v>
      </c>
      <c r="D434" s="332" t="s">
        <v>5952</v>
      </c>
      <c r="E434" s="124" t="s">
        <v>88</v>
      </c>
      <c r="F434" s="332" t="s">
        <v>5953</v>
      </c>
      <c r="G434" s="332" t="s">
        <v>5954</v>
      </c>
      <c r="H434" s="135" t="s">
        <v>142</v>
      </c>
      <c r="I434" s="135" t="s">
        <v>4882</v>
      </c>
      <c r="J434" s="135" t="s">
        <v>89</v>
      </c>
      <c r="K434" s="135" t="s">
        <v>4996</v>
      </c>
      <c r="L434" s="135" t="s">
        <v>3022</v>
      </c>
      <c r="M434" s="335">
        <v>42340.0</v>
      </c>
      <c r="N434" s="138" t="s">
        <v>67</v>
      </c>
      <c r="O434" s="348"/>
      <c r="P434" s="135" t="s">
        <v>130</v>
      </c>
      <c r="Q434" s="138"/>
      <c r="R434" s="138">
        <v>8.2369287494E10</v>
      </c>
      <c r="S434" s="135" t="s">
        <v>4997</v>
      </c>
      <c r="T434" s="135" t="s">
        <v>4998</v>
      </c>
      <c r="U434" s="135" t="s">
        <v>4999</v>
      </c>
      <c r="V434" s="135" t="s">
        <v>96</v>
      </c>
      <c r="W434" s="135" t="s">
        <v>97</v>
      </c>
      <c r="X434" s="135" t="s">
        <v>236</v>
      </c>
      <c r="Y434" s="135" t="s">
        <v>852</v>
      </c>
      <c r="Z434" s="138">
        <v>0.0</v>
      </c>
      <c r="AA434" s="138">
        <v>0.0</v>
      </c>
    </row>
    <row r="435">
      <c r="A435" s="332">
        <v>11.0</v>
      </c>
      <c r="B435" s="135" t="s">
        <v>5000</v>
      </c>
      <c r="C435" s="135" t="s">
        <v>5001</v>
      </c>
      <c r="D435" s="332" t="s">
        <v>5952</v>
      </c>
      <c r="E435" s="124" t="s">
        <v>88</v>
      </c>
      <c r="F435" s="332" t="s">
        <v>5953</v>
      </c>
      <c r="G435" s="332" t="s">
        <v>5954</v>
      </c>
      <c r="H435" s="135" t="s">
        <v>142</v>
      </c>
      <c r="I435" s="135" t="s">
        <v>4882</v>
      </c>
      <c r="J435" s="135" t="s">
        <v>89</v>
      </c>
      <c r="K435" s="135" t="s">
        <v>218</v>
      </c>
      <c r="L435" s="135" t="s">
        <v>1496</v>
      </c>
      <c r="M435" s="335">
        <v>41519.0</v>
      </c>
      <c r="N435" s="138" t="s">
        <v>67</v>
      </c>
      <c r="O435" s="348"/>
      <c r="P435" s="135" t="s">
        <v>68</v>
      </c>
      <c r="Q435" s="138"/>
      <c r="R435" s="138">
        <v>8.217458821E10</v>
      </c>
      <c r="S435" s="135" t="s">
        <v>5002</v>
      </c>
      <c r="T435" s="135" t="s">
        <v>5003</v>
      </c>
      <c r="U435" s="135" t="s">
        <v>5004</v>
      </c>
      <c r="V435" s="135" t="s">
        <v>96</v>
      </c>
      <c r="W435" s="135" t="s">
        <v>97</v>
      </c>
      <c r="X435" s="135" t="s">
        <v>136</v>
      </c>
      <c r="Y435" s="135" t="s">
        <v>1404</v>
      </c>
      <c r="Z435" s="138"/>
      <c r="AA435" s="138"/>
    </row>
    <row r="436">
      <c r="A436" s="332">
        <v>12.0</v>
      </c>
      <c r="B436" s="135" t="s">
        <v>5005</v>
      </c>
      <c r="C436" s="135" t="s">
        <v>5006</v>
      </c>
      <c r="D436" s="332" t="s">
        <v>5952</v>
      </c>
      <c r="E436" s="124" t="s">
        <v>88</v>
      </c>
      <c r="F436" s="332" t="s">
        <v>5953</v>
      </c>
      <c r="G436" s="332" t="s">
        <v>5954</v>
      </c>
      <c r="H436" s="135" t="s">
        <v>142</v>
      </c>
      <c r="I436" s="135" t="s">
        <v>4882</v>
      </c>
      <c r="J436" s="135" t="s">
        <v>89</v>
      </c>
      <c r="K436" s="135" t="s">
        <v>5007</v>
      </c>
      <c r="L436" s="135" t="s">
        <v>161</v>
      </c>
      <c r="M436" s="333">
        <v>40719.0</v>
      </c>
      <c r="N436" s="138" t="s">
        <v>220</v>
      </c>
      <c r="O436" s="348"/>
      <c r="P436" s="135" t="s">
        <v>130</v>
      </c>
      <c r="Q436" s="138"/>
      <c r="R436" s="138">
        <v>8.2365607877E10</v>
      </c>
      <c r="S436" s="135" t="s">
        <v>5008</v>
      </c>
      <c r="T436" s="135" t="s">
        <v>5009</v>
      </c>
      <c r="U436" s="135" t="s">
        <v>5010</v>
      </c>
      <c r="V436" s="135" t="s">
        <v>1029</v>
      </c>
      <c r="W436" s="135" t="s">
        <v>97</v>
      </c>
      <c r="X436" s="135" t="s">
        <v>272</v>
      </c>
      <c r="Y436" s="135" t="s">
        <v>5011</v>
      </c>
      <c r="Z436" s="138"/>
      <c r="AA436" s="138"/>
    </row>
    <row r="437">
      <c r="A437" s="332">
        <v>13.0</v>
      </c>
      <c r="B437" s="135" t="s">
        <v>5012</v>
      </c>
      <c r="C437" s="135" t="s">
        <v>5013</v>
      </c>
      <c r="D437" s="332" t="s">
        <v>5952</v>
      </c>
      <c r="E437" s="124" t="s">
        <v>88</v>
      </c>
      <c r="F437" s="332" t="s">
        <v>5953</v>
      </c>
      <c r="G437" s="332" t="s">
        <v>5954</v>
      </c>
      <c r="H437" s="135" t="s">
        <v>519</v>
      </c>
      <c r="I437" s="135" t="s">
        <v>4882</v>
      </c>
      <c r="J437" s="135" t="s">
        <v>267</v>
      </c>
      <c r="K437" s="135" t="s">
        <v>374</v>
      </c>
      <c r="L437" s="135" t="s">
        <v>5014</v>
      </c>
      <c r="M437" s="333">
        <v>39644.0</v>
      </c>
      <c r="N437" s="138" t="s">
        <v>220</v>
      </c>
      <c r="O437" s="348"/>
      <c r="P437" s="135" t="s">
        <v>130</v>
      </c>
      <c r="Q437" s="138"/>
      <c r="R437" s="138">
        <v>8.8201668209E11</v>
      </c>
      <c r="S437" s="135" t="s">
        <v>5015</v>
      </c>
      <c r="T437" s="135" t="s">
        <v>5016</v>
      </c>
      <c r="U437" s="135" t="s">
        <v>5017</v>
      </c>
      <c r="V437" s="135" t="s">
        <v>73</v>
      </c>
      <c r="W437" s="135" t="s">
        <v>74</v>
      </c>
      <c r="X437" s="135" t="s">
        <v>360</v>
      </c>
      <c r="Y437" s="135" t="s">
        <v>2897</v>
      </c>
      <c r="Z437" s="138">
        <v>0.0</v>
      </c>
      <c r="AA437" s="138">
        <v>0.0</v>
      </c>
    </row>
    <row r="438">
      <c r="A438" s="332">
        <v>14.0</v>
      </c>
      <c r="B438" s="135" t="s">
        <v>5018</v>
      </c>
      <c r="C438" s="135" t="s">
        <v>5019</v>
      </c>
      <c r="D438" s="332" t="s">
        <v>5952</v>
      </c>
      <c r="E438" s="124" t="s">
        <v>88</v>
      </c>
      <c r="F438" s="332" t="s">
        <v>5953</v>
      </c>
      <c r="G438" s="332" t="s">
        <v>5954</v>
      </c>
      <c r="H438" s="135" t="s">
        <v>532</v>
      </c>
      <c r="I438" s="135" t="s">
        <v>4882</v>
      </c>
      <c r="J438" s="135" t="s">
        <v>285</v>
      </c>
      <c r="K438" s="135" t="s">
        <v>77</v>
      </c>
      <c r="L438" s="135" t="s">
        <v>5020</v>
      </c>
      <c r="M438" s="333">
        <v>38887.0</v>
      </c>
      <c r="N438" s="138" t="s">
        <v>67</v>
      </c>
      <c r="O438" s="348"/>
      <c r="P438" s="135" t="s">
        <v>68</v>
      </c>
      <c r="Q438" s="138"/>
      <c r="R438" s="138">
        <v>8.1280029588E10</v>
      </c>
      <c r="S438" s="135" t="s">
        <v>5021</v>
      </c>
      <c r="T438" s="135" t="s">
        <v>5022</v>
      </c>
      <c r="U438" s="135" t="s">
        <v>5023</v>
      </c>
      <c r="V438" s="135" t="s">
        <v>96</v>
      </c>
      <c r="W438" s="135" t="s">
        <v>135</v>
      </c>
      <c r="X438" s="135" t="s">
        <v>379</v>
      </c>
      <c r="Y438" s="135" t="s">
        <v>389</v>
      </c>
      <c r="Z438" s="138">
        <v>0.0</v>
      </c>
      <c r="AA438" s="138">
        <v>0.0</v>
      </c>
    </row>
    <row r="439">
      <c r="A439" s="332">
        <v>15.0</v>
      </c>
      <c r="B439" s="135" t="s">
        <v>5024</v>
      </c>
      <c r="C439" s="135" t="s">
        <v>5025</v>
      </c>
      <c r="D439" s="332" t="s">
        <v>5952</v>
      </c>
      <c r="E439" s="124" t="s">
        <v>88</v>
      </c>
      <c r="F439" s="332" t="s">
        <v>5953</v>
      </c>
      <c r="G439" s="332" t="s">
        <v>5954</v>
      </c>
      <c r="H439" s="135" t="s">
        <v>142</v>
      </c>
      <c r="I439" s="135" t="s">
        <v>4882</v>
      </c>
      <c r="J439" s="135" t="s">
        <v>89</v>
      </c>
      <c r="K439" s="135" t="s">
        <v>337</v>
      </c>
      <c r="L439" s="135" t="s">
        <v>5026</v>
      </c>
      <c r="M439" s="333">
        <v>43080.0</v>
      </c>
      <c r="N439" s="138" t="s">
        <v>67</v>
      </c>
      <c r="O439" s="348"/>
      <c r="P439" s="135" t="s">
        <v>68</v>
      </c>
      <c r="Q439" s="138"/>
      <c r="R439" s="138">
        <v>8.2272807777E10</v>
      </c>
      <c r="S439" s="135" t="s">
        <v>5027</v>
      </c>
      <c r="T439" s="135" t="s">
        <v>4783</v>
      </c>
      <c r="U439" s="135" t="s">
        <v>5028</v>
      </c>
      <c r="V439" s="135" t="s">
        <v>732</v>
      </c>
      <c r="W439" s="135" t="s">
        <v>556</v>
      </c>
      <c r="X439" s="135" t="s">
        <v>5029</v>
      </c>
      <c r="Y439" s="135" t="s">
        <v>5030</v>
      </c>
      <c r="Z439" s="138"/>
      <c r="AA439" s="138"/>
    </row>
    <row r="440">
      <c r="A440" s="332">
        <v>16.0</v>
      </c>
      <c r="B440" s="135" t="s">
        <v>5031</v>
      </c>
      <c r="C440" s="135" t="s">
        <v>5032</v>
      </c>
      <c r="D440" s="332" t="s">
        <v>5952</v>
      </c>
      <c r="E440" s="124" t="s">
        <v>88</v>
      </c>
      <c r="F440" s="332" t="s">
        <v>5953</v>
      </c>
      <c r="G440" s="332" t="s">
        <v>5954</v>
      </c>
      <c r="H440" s="135" t="s">
        <v>142</v>
      </c>
      <c r="I440" s="135" t="s">
        <v>4882</v>
      </c>
      <c r="J440" s="135" t="s">
        <v>89</v>
      </c>
      <c r="K440" s="135" t="s">
        <v>1520</v>
      </c>
      <c r="L440" s="135" t="s">
        <v>145</v>
      </c>
      <c r="M440" s="138" t="s">
        <v>1104</v>
      </c>
      <c r="N440" s="138" t="s">
        <v>67</v>
      </c>
      <c r="O440" s="348"/>
      <c r="P440" s="135" t="s">
        <v>68</v>
      </c>
      <c r="Q440" s="138"/>
      <c r="R440" s="138">
        <v>8.537265687E10</v>
      </c>
      <c r="S440" s="135" t="s">
        <v>5033</v>
      </c>
      <c r="T440" s="135" t="s">
        <v>5034</v>
      </c>
      <c r="U440" s="135" t="s">
        <v>5035</v>
      </c>
      <c r="V440" s="135" t="s">
        <v>73</v>
      </c>
      <c r="W440" s="135" t="s">
        <v>74</v>
      </c>
      <c r="X440" s="135" t="s">
        <v>989</v>
      </c>
      <c r="Y440" s="135" t="s">
        <v>1585</v>
      </c>
      <c r="Z440" s="138">
        <v>24.0</v>
      </c>
      <c r="AA440" s="138">
        <v>7.0</v>
      </c>
    </row>
    <row r="441">
      <c r="A441" s="332">
        <v>17.0</v>
      </c>
      <c r="B441" s="135" t="s">
        <v>5036</v>
      </c>
      <c r="C441" s="135" t="s">
        <v>5037</v>
      </c>
      <c r="D441" s="332" t="s">
        <v>5952</v>
      </c>
      <c r="E441" s="124" t="s">
        <v>88</v>
      </c>
      <c r="F441" s="332" t="s">
        <v>5953</v>
      </c>
      <c r="G441" s="332" t="s">
        <v>5954</v>
      </c>
      <c r="H441" s="135" t="s">
        <v>142</v>
      </c>
      <c r="I441" s="135" t="s">
        <v>4882</v>
      </c>
      <c r="J441" s="135" t="s">
        <v>89</v>
      </c>
      <c r="K441" s="135" t="s">
        <v>1214</v>
      </c>
      <c r="L441" s="135" t="s">
        <v>244</v>
      </c>
      <c r="M441" s="333">
        <v>39813.0</v>
      </c>
      <c r="N441" s="138" t="s">
        <v>67</v>
      </c>
      <c r="O441" s="348"/>
      <c r="P441" s="135" t="s">
        <v>68</v>
      </c>
      <c r="Q441" s="138"/>
      <c r="R441" s="138">
        <v>8.1375619607E10</v>
      </c>
      <c r="S441" s="135" t="s">
        <v>5038</v>
      </c>
      <c r="T441" s="135" t="s">
        <v>5039</v>
      </c>
      <c r="U441" s="135" t="s">
        <v>5040</v>
      </c>
      <c r="V441" s="135" t="s">
        <v>73</v>
      </c>
      <c r="W441" s="135" t="s">
        <v>481</v>
      </c>
      <c r="X441" s="135" t="s">
        <v>1698</v>
      </c>
      <c r="Y441" s="135" t="s">
        <v>5041</v>
      </c>
      <c r="Z441" s="138">
        <v>21.0</v>
      </c>
      <c r="AA441" s="138">
        <v>11.0</v>
      </c>
    </row>
    <row r="442">
      <c r="A442" s="332">
        <v>18.0</v>
      </c>
      <c r="B442" s="135" t="s">
        <v>5042</v>
      </c>
      <c r="C442" s="135" t="s">
        <v>5043</v>
      </c>
      <c r="D442" s="332" t="s">
        <v>5952</v>
      </c>
      <c r="E442" s="124" t="s">
        <v>88</v>
      </c>
      <c r="F442" s="332" t="s">
        <v>5953</v>
      </c>
      <c r="G442" s="332" t="s">
        <v>5954</v>
      </c>
      <c r="H442" s="135" t="s">
        <v>142</v>
      </c>
      <c r="I442" s="135" t="s">
        <v>4882</v>
      </c>
      <c r="J442" s="135" t="s">
        <v>89</v>
      </c>
      <c r="K442" s="135" t="s">
        <v>90</v>
      </c>
      <c r="L442" s="135" t="s">
        <v>5014</v>
      </c>
      <c r="M442" s="333">
        <v>38457.0</v>
      </c>
      <c r="N442" s="138" t="s">
        <v>220</v>
      </c>
      <c r="O442" s="348"/>
      <c r="P442" s="135" t="s">
        <v>130</v>
      </c>
      <c r="Q442" s="138"/>
      <c r="R442" s="138">
        <v>8.5296382231E10</v>
      </c>
      <c r="S442" s="135" t="s">
        <v>5044</v>
      </c>
      <c r="T442" s="135" t="s">
        <v>5045</v>
      </c>
      <c r="U442" s="135" t="s">
        <v>5046</v>
      </c>
      <c r="V442" s="135" t="s">
        <v>73</v>
      </c>
      <c r="W442" s="135" t="s">
        <v>74</v>
      </c>
      <c r="X442" s="135" t="s">
        <v>360</v>
      </c>
      <c r="Y442" s="135" t="s">
        <v>2897</v>
      </c>
      <c r="Z442" s="138" t="s">
        <v>77</v>
      </c>
      <c r="AA442" s="138" t="s">
        <v>77</v>
      </c>
    </row>
    <row r="443">
      <c r="A443" s="332">
        <v>19.0</v>
      </c>
      <c r="B443" s="135" t="s">
        <v>5047</v>
      </c>
      <c r="C443" s="135" t="s">
        <v>5048</v>
      </c>
      <c r="D443" s="332" t="s">
        <v>5952</v>
      </c>
      <c r="E443" s="124" t="s">
        <v>88</v>
      </c>
      <c r="F443" s="332" t="s">
        <v>5953</v>
      </c>
      <c r="G443" s="332" t="s">
        <v>5954</v>
      </c>
      <c r="H443" s="135" t="s">
        <v>532</v>
      </c>
      <c r="I443" s="135" t="s">
        <v>4882</v>
      </c>
      <c r="J443" s="135" t="s">
        <v>285</v>
      </c>
      <c r="K443" s="135"/>
      <c r="L443" s="135" t="s">
        <v>5049</v>
      </c>
      <c r="M443" s="333">
        <v>41055.0</v>
      </c>
      <c r="N443" s="138" t="s">
        <v>220</v>
      </c>
      <c r="O443" s="348"/>
      <c r="P443" s="135" t="s">
        <v>68</v>
      </c>
      <c r="Q443" s="138"/>
      <c r="R443" s="138">
        <v>8.218571482E10</v>
      </c>
      <c r="S443" s="135" t="s">
        <v>5050</v>
      </c>
      <c r="T443" s="135" t="s">
        <v>5051</v>
      </c>
      <c r="U443" s="135" t="s">
        <v>5052</v>
      </c>
      <c r="V443" s="135" t="s">
        <v>73</v>
      </c>
      <c r="W443" s="135" t="s">
        <v>2985</v>
      </c>
      <c r="X443" s="135" t="s">
        <v>5053</v>
      </c>
      <c r="Y443" s="135" t="s">
        <v>5054</v>
      </c>
      <c r="Z443" s="138">
        <v>0.0</v>
      </c>
      <c r="AA443" s="138">
        <v>0.0</v>
      </c>
    </row>
    <row r="444">
      <c r="A444" s="332">
        <v>20.0</v>
      </c>
      <c r="B444" s="135" t="s">
        <v>5055</v>
      </c>
      <c r="C444" s="135" t="s">
        <v>5056</v>
      </c>
      <c r="D444" s="332" t="s">
        <v>5952</v>
      </c>
      <c r="E444" s="124" t="s">
        <v>88</v>
      </c>
      <c r="F444" s="332" t="s">
        <v>5953</v>
      </c>
      <c r="G444" s="332" t="s">
        <v>5954</v>
      </c>
      <c r="H444" s="135" t="s">
        <v>519</v>
      </c>
      <c r="I444" s="135" t="s">
        <v>4882</v>
      </c>
      <c r="J444" s="135" t="s">
        <v>267</v>
      </c>
      <c r="K444" s="135" t="s">
        <v>5057</v>
      </c>
      <c r="L444" s="135" t="s">
        <v>5058</v>
      </c>
      <c r="M444" s="335">
        <v>40455.0</v>
      </c>
      <c r="N444" s="138" t="s">
        <v>67</v>
      </c>
      <c r="O444" s="348"/>
      <c r="P444" s="135" t="s">
        <v>68</v>
      </c>
      <c r="Q444" s="138" t="s">
        <v>69</v>
      </c>
      <c r="R444" s="138">
        <v>8.116075472E9</v>
      </c>
      <c r="S444" s="135" t="s">
        <v>5059</v>
      </c>
      <c r="T444" s="135" t="s">
        <v>5060</v>
      </c>
      <c r="U444" s="135" t="s">
        <v>5061</v>
      </c>
      <c r="V444" s="135" t="s">
        <v>96</v>
      </c>
      <c r="W444" s="135" t="s">
        <v>97</v>
      </c>
      <c r="X444" s="135" t="s">
        <v>98</v>
      </c>
      <c r="Y444" s="135" t="s">
        <v>2220</v>
      </c>
      <c r="Z444" s="138" t="s">
        <v>77</v>
      </c>
      <c r="AA444" s="138" t="s">
        <v>77</v>
      </c>
    </row>
    <row r="445">
      <c r="A445" s="332">
        <v>21.0</v>
      </c>
      <c r="B445" s="135" t="s">
        <v>5062</v>
      </c>
      <c r="C445" s="135" t="s">
        <v>5063</v>
      </c>
      <c r="D445" s="332" t="s">
        <v>5952</v>
      </c>
      <c r="E445" s="124" t="s">
        <v>88</v>
      </c>
      <c r="F445" s="332" t="s">
        <v>5953</v>
      </c>
      <c r="G445" s="332" t="s">
        <v>5954</v>
      </c>
      <c r="H445" s="135" t="s">
        <v>142</v>
      </c>
      <c r="I445" s="135" t="s">
        <v>4882</v>
      </c>
      <c r="J445" s="135" t="s">
        <v>89</v>
      </c>
      <c r="K445" s="135" t="s">
        <v>374</v>
      </c>
      <c r="L445" s="135" t="s">
        <v>761</v>
      </c>
      <c r="M445" s="333">
        <v>42721.0</v>
      </c>
      <c r="N445" s="138" t="s">
        <v>67</v>
      </c>
      <c r="O445" s="348"/>
      <c r="P445" s="135" t="s">
        <v>130</v>
      </c>
      <c r="Q445" s="348"/>
      <c r="R445" s="138">
        <v>8.116575656E9</v>
      </c>
      <c r="S445" s="135" t="s">
        <v>5064</v>
      </c>
      <c r="T445" s="135" t="s">
        <v>5065</v>
      </c>
      <c r="U445" s="135" t="s">
        <v>5066</v>
      </c>
      <c r="V445" s="135" t="s">
        <v>73</v>
      </c>
      <c r="W445" s="135" t="s">
        <v>74</v>
      </c>
      <c r="X445" s="135" t="s">
        <v>191</v>
      </c>
      <c r="Y445" s="135" t="s">
        <v>1558</v>
      </c>
      <c r="Z445" s="138"/>
      <c r="AA445" s="138"/>
    </row>
    <row r="446">
      <c r="A446" s="332">
        <v>22.0</v>
      </c>
      <c r="B446" s="135" t="s">
        <v>5067</v>
      </c>
      <c r="C446" s="135" t="s">
        <v>5068</v>
      </c>
      <c r="D446" s="332" t="s">
        <v>5952</v>
      </c>
      <c r="E446" s="124" t="s">
        <v>88</v>
      </c>
      <c r="F446" s="332" t="s">
        <v>5953</v>
      </c>
      <c r="G446" s="332" t="s">
        <v>5954</v>
      </c>
      <c r="H446" s="135" t="s">
        <v>532</v>
      </c>
      <c r="I446" s="135" t="s">
        <v>4882</v>
      </c>
      <c r="J446" s="135" t="s">
        <v>285</v>
      </c>
      <c r="K446" s="135"/>
      <c r="L446" s="135" t="s">
        <v>5069</v>
      </c>
      <c r="M446" s="333">
        <v>39613.0</v>
      </c>
      <c r="N446" s="138" t="s">
        <v>67</v>
      </c>
      <c r="O446" s="348"/>
      <c r="P446" s="135" t="s">
        <v>130</v>
      </c>
      <c r="Q446" s="348"/>
      <c r="R446" s="138">
        <v>8.116091447E9</v>
      </c>
      <c r="S446" s="135" t="s">
        <v>5070</v>
      </c>
      <c r="T446" s="135" t="s">
        <v>5071</v>
      </c>
      <c r="U446" s="135" t="s">
        <v>5072</v>
      </c>
      <c r="V446" s="135" t="s">
        <v>96</v>
      </c>
      <c r="W446" s="135" t="s">
        <v>97</v>
      </c>
      <c r="X446" s="135" t="s">
        <v>136</v>
      </c>
      <c r="Y446" s="135" t="s">
        <v>1404</v>
      </c>
      <c r="Z446" s="138" t="s">
        <v>77</v>
      </c>
      <c r="AA446" s="138" t="s">
        <v>77</v>
      </c>
    </row>
    <row r="447">
      <c r="A447" s="332">
        <v>23.0</v>
      </c>
      <c r="B447" s="135" t="s">
        <v>5073</v>
      </c>
      <c r="C447" s="135" t="s">
        <v>5074</v>
      </c>
      <c r="D447" s="332" t="s">
        <v>5952</v>
      </c>
      <c r="E447" s="124" t="s">
        <v>88</v>
      </c>
      <c r="F447" s="332" t="s">
        <v>5953</v>
      </c>
      <c r="G447" s="332" t="s">
        <v>5954</v>
      </c>
      <c r="H447" s="135" t="s">
        <v>142</v>
      </c>
      <c r="I447" s="135" t="s">
        <v>4882</v>
      </c>
      <c r="J447" s="135" t="s">
        <v>89</v>
      </c>
      <c r="K447" s="135" t="s">
        <v>1520</v>
      </c>
      <c r="L447" s="135" t="s">
        <v>2082</v>
      </c>
      <c r="M447" s="333">
        <v>40927.0</v>
      </c>
      <c r="N447" s="138" t="s">
        <v>67</v>
      </c>
      <c r="O447" s="348"/>
      <c r="P447" s="135" t="s">
        <v>130</v>
      </c>
      <c r="Q447" s="348"/>
      <c r="R447" s="138">
        <v>8.2184753373E10</v>
      </c>
      <c r="S447" s="135" t="s">
        <v>5075</v>
      </c>
      <c r="T447" s="135" t="s">
        <v>5076</v>
      </c>
      <c r="U447" s="135" t="s">
        <v>5077</v>
      </c>
      <c r="V447" s="135" t="s">
        <v>96</v>
      </c>
      <c r="W447" s="135" t="s">
        <v>97</v>
      </c>
      <c r="X447" s="135" t="s">
        <v>236</v>
      </c>
      <c r="Y447" s="135" t="s">
        <v>237</v>
      </c>
      <c r="Z447" s="138" t="s">
        <v>5078</v>
      </c>
      <c r="AA447" s="138" t="s">
        <v>5078</v>
      </c>
    </row>
    <row r="448">
      <c r="A448" s="332">
        <v>24.0</v>
      </c>
      <c r="B448" s="135" t="s">
        <v>5079</v>
      </c>
      <c r="C448" s="135" t="s">
        <v>5080</v>
      </c>
      <c r="D448" s="332" t="s">
        <v>5952</v>
      </c>
      <c r="E448" s="124" t="s">
        <v>88</v>
      </c>
      <c r="F448" s="332" t="s">
        <v>5953</v>
      </c>
      <c r="G448" s="332" t="s">
        <v>5954</v>
      </c>
      <c r="H448" s="135" t="s">
        <v>532</v>
      </c>
      <c r="I448" s="135" t="s">
        <v>4882</v>
      </c>
      <c r="J448" s="135" t="s">
        <v>285</v>
      </c>
      <c r="K448" s="135"/>
      <c r="L448" s="135" t="s">
        <v>5081</v>
      </c>
      <c r="M448" s="138" t="s">
        <v>1104</v>
      </c>
      <c r="N448" s="138" t="s">
        <v>67</v>
      </c>
      <c r="O448" s="348"/>
      <c r="P448" s="135" t="s">
        <v>68</v>
      </c>
      <c r="Q448" s="348"/>
      <c r="R448" s="138">
        <v>8.1264887034E10</v>
      </c>
      <c r="S448" s="135" t="s">
        <v>5082</v>
      </c>
      <c r="T448" s="135" t="s">
        <v>5083</v>
      </c>
      <c r="U448" s="135" t="s">
        <v>5084</v>
      </c>
      <c r="V448" s="135" t="s">
        <v>96</v>
      </c>
      <c r="W448" s="135" t="s">
        <v>150</v>
      </c>
      <c r="X448" s="135" t="s">
        <v>5085</v>
      </c>
      <c r="Y448" s="135" t="s">
        <v>5086</v>
      </c>
      <c r="Z448" s="138">
        <v>0.0</v>
      </c>
      <c r="AA448" s="138">
        <v>0.0</v>
      </c>
    </row>
    <row r="449">
      <c r="A449" s="332">
        <v>25.0</v>
      </c>
      <c r="B449" s="135" t="s">
        <v>5087</v>
      </c>
      <c r="C449" s="135" t="s">
        <v>5088</v>
      </c>
      <c r="D449" s="332" t="s">
        <v>5952</v>
      </c>
      <c r="E449" s="124" t="s">
        <v>88</v>
      </c>
      <c r="F449" s="332" t="s">
        <v>5953</v>
      </c>
      <c r="G449" s="332" t="s">
        <v>5954</v>
      </c>
      <c r="H449" s="135" t="s">
        <v>142</v>
      </c>
      <c r="I449" s="135" t="s">
        <v>4882</v>
      </c>
      <c r="J449" s="135" t="s">
        <v>89</v>
      </c>
      <c r="K449" s="135" t="s">
        <v>5089</v>
      </c>
      <c r="L449" s="135" t="s">
        <v>260</v>
      </c>
      <c r="M449" s="333">
        <v>41059.0</v>
      </c>
      <c r="N449" s="138" t="s">
        <v>67</v>
      </c>
      <c r="O449" s="348"/>
      <c r="P449" s="135" t="s">
        <v>68</v>
      </c>
      <c r="Q449" s="348"/>
      <c r="R449" s="138">
        <v>8.1260337771E10</v>
      </c>
      <c r="S449" s="135" t="s">
        <v>5090</v>
      </c>
      <c r="T449" s="135" t="s">
        <v>5091</v>
      </c>
      <c r="U449" s="135" t="s">
        <v>5092</v>
      </c>
      <c r="V449" s="135" t="s">
        <v>73</v>
      </c>
      <c r="W449" s="135" t="s">
        <v>74</v>
      </c>
      <c r="X449" s="135" t="s">
        <v>454</v>
      </c>
      <c r="Y449" s="135" t="s">
        <v>455</v>
      </c>
      <c r="Z449" s="138"/>
      <c r="AA449" s="138"/>
    </row>
    <row r="450">
      <c r="A450" s="332">
        <v>26.0</v>
      </c>
      <c r="B450" s="135" t="s">
        <v>5093</v>
      </c>
      <c r="C450" s="135" t="s">
        <v>5094</v>
      </c>
      <c r="D450" s="332" t="s">
        <v>5952</v>
      </c>
      <c r="E450" s="124" t="s">
        <v>88</v>
      </c>
      <c r="F450" s="332" t="s">
        <v>5953</v>
      </c>
      <c r="G450" s="332" t="s">
        <v>5954</v>
      </c>
      <c r="H450" s="135" t="s">
        <v>142</v>
      </c>
      <c r="I450" s="135" t="s">
        <v>4882</v>
      </c>
      <c r="J450" s="135" t="s">
        <v>89</v>
      </c>
      <c r="K450" s="135" t="s">
        <v>2016</v>
      </c>
      <c r="L450" s="135" t="s">
        <v>4600</v>
      </c>
      <c r="M450" s="333">
        <v>42334.0</v>
      </c>
      <c r="N450" s="138" t="s">
        <v>67</v>
      </c>
      <c r="O450" s="348"/>
      <c r="P450" s="135" t="s">
        <v>68</v>
      </c>
      <c r="Q450" s="348"/>
      <c r="R450" s="138">
        <v>8.2165458145E10</v>
      </c>
      <c r="S450" s="135" t="s">
        <v>5095</v>
      </c>
      <c r="T450" s="135" t="s">
        <v>5096</v>
      </c>
      <c r="U450" s="135" t="s">
        <v>5097</v>
      </c>
      <c r="V450" s="135" t="s">
        <v>73</v>
      </c>
      <c r="W450" s="135" t="s">
        <v>74</v>
      </c>
      <c r="X450" s="135" t="s">
        <v>774</v>
      </c>
      <c r="Y450" s="135" t="s">
        <v>4036</v>
      </c>
      <c r="Z450" s="138" t="s">
        <v>77</v>
      </c>
      <c r="AA450" s="138" t="s">
        <v>77</v>
      </c>
    </row>
    <row r="451">
      <c r="A451" s="332">
        <v>27.0</v>
      </c>
      <c r="B451" s="135" t="s">
        <v>1040</v>
      </c>
      <c r="C451" s="135" t="s">
        <v>5098</v>
      </c>
      <c r="D451" s="332" t="s">
        <v>5952</v>
      </c>
      <c r="E451" s="124" t="s">
        <v>88</v>
      </c>
      <c r="F451" s="332" t="s">
        <v>5953</v>
      </c>
      <c r="G451" s="332" t="s">
        <v>5954</v>
      </c>
      <c r="H451" s="135" t="s">
        <v>142</v>
      </c>
      <c r="I451" s="135" t="s">
        <v>4882</v>
      </c>
      <c r="J451" s="135" t="s">
        <v>89</v>
      </c>
      <c r="K451" s="135" t="s">
        <v>5099</v>
      </c>
      <c r="L451" s="135" t="s">
        <v>865</v>
      </c>
      <c r="M451" s="333">
        <v>43050.0</v>
      </c>
      <c r="N451" s="138" t="s">
        <v>67</v>
      </c>
      <c r="O451" s="348"/>
      <c r="P451" s="135" t="s">
        <v>68</v>
      </c>
      <c r="Q451" s="348"/>
      <c r="R451" s="138">
        <v>8.1260212596E10</v>
      </c>
      <c r="S451" s="135" t="s">
        <v>5100</v>
      </c>
      <c r="T451" s="135" t="s">
        <v>5101</v>
      </c>
      <c r="U451" s="135" t="s">
        <v>5102</v>
      </c>
      <c r="V451" s="135" t="s">
        <v>73</v>
      </c>
      <c r="W451" s="135" t="s">
        <v>166</v>
      </c>
      <c r="X451" s="135" t="s">
        <v>596</v>
      </c>
      <c r="Y451" s="135" t="s">
        <v>2743</v>
      </c>
      <c r="Z451" s="138">
        <v>2.0</v>
      </c>
      <c r="AA451" s="138">
        <v>2.0</v>
      </c>
    </row>
    <row r="452">
      <c r="A452" s="332">
        <v>28.0</v>
      </c>
      <c r="B452" s="135" t="s">
        <v>5103</v>
      </c>
      <c r="C452" s="135" t="s">
        <v>5104</v>
      </c>
      <c r="D452" s="332" t="s">
        <v>5952</v>
      </c>
      <c r="E452" s="124" t="s">
        <v>88</v>
      </c>
      <c r="F452" s="332" t="s">
        <v>5953</v>
      </c>
      <c r="G452" s="332" t="s">
        <v>5954</v>
      </c>
      <c r="H452" s="135" t="s">
        <v>532</v>
      </c>
      <c r="I452" s="135" t="s">
        <v>4882</v>
      </c>
      <c r="J452" s="135" t="s">
        <v>285</v>
      </c>
      <c r="K452" s="135" t="s">
        <v>5105</v>
      </c>
      <c r="L452" s="135" t="s">
        <v>5106</v>
      </c>
      <c r="M452" s="333">
        <v>41779.0</v>
      </c>
      <c r="N452" s="138" t="s">
        <v>67</v>
      </c>
      <c r="O452" s="348"/>
      <c r="P452" s="135" t="s">
        <v>68</v>
      </c>
      <c r="Q452" s="348"/>
      <c r="R452" s="138">
        <v>8.7711779595E10</v>
      </c>
      <c r="S452" s="135" t="s">
        <v>5107</v>
      </c>
      <c r="T452" s="135" t="s">
        <v>5108</v>
      </c>
      <c r="U452" s="135" t="s">
        <v>167</v>
      </c>
      <c r="V452" s="135" t="s">
        <v>73</v>
      </c>
      <c r="W452" s="135" t="s">
        <v>74</v>
      </c>
      <c r="X452" s="135" t="s">
        <v>167</v>
      </c>
      <c r="Y452" s="135" t="s">
        <v>167</v>
      </c>
      <c r="Z452" s="138" t="s">
        <v>77</v>
      </c>
      <c r="AA452" s="138" t="s">
        <v>77</v>
      </c>
    </row>
    <row r="453">
      <c r="A453" s="332">
        <v>29.0</v>
      </c>
      <c r="B453" s="135" t="s">
        <v>5109</v>
      </c>
      <c r="C453" s="135" t="s">
        <v>5110</v>
      </c>
      <c r="D453" s="332" t="s">
        <v>5952</v>
      </c>
      <c r="E453" s="124" t="s">
        <v>88</v>
      </c>
      <c r="F453" s="332" t="s">
        <v>5953</v>
      </c>
      <c r="G453" s="332" t="s">
        <v>5954</v>
      </c>
      <c r="H453" s="135" t="s">
        <v>142</v>
      </c>
      <c r="I453" s="135" t="s">
        <v>4882</v>
      </c>
      <c r="J453" s="135" t="s">
        <v>89</v>
      </c>
      <c r="K453" s="135" t="s">
        <v>90</v>
      </c>
      <c r="L453" s="135" t="s">
        <v>1119</v>
      </c>
      <c r="M453" s="333">
        <v>44089.0</v>
      </c>
      <c r="N453" s="138" t="s">
        <v>67</v>
      </c>
      <c r="O453" s="348"/>
      <c r="P453" s="135" t="s">
        <v>68</v>
      </c>
      <c r="Q453" s="348"/>
      <c r="R453" s="138">
        <v>8.7878495856E10</v>
      </c>
      <c r="S453" s="135" t="s">
        <v>5111</v>
      </c>
      <c r="T453" s="135" t="s">
        <v>5112</v>
      </c>
      <c r="U453" s="135" t="s">
        <v>5113</v>
      </c>
      <c r="V453" s="135" t="s">
        <v>73</v>
      </c>
      <c r="W453" s="135" t="s">
        <v>74</v>
      </c>
      <c r="X453" s="135" t="s">
        <v>989</v>
      </c>
      <c r="Y453" s="135" t="s">
        <v>2411</v>
      </c>
      <c r="Z453" s="138"/>
      <c r="AA453" s="138"/>
    </row>
    <row r="454">
      <c r="A454" s="332">
        <v>30.0</v>
      </c>
      <c r="B454" s="135" t="s">
        <v>5114</v>
      </c>
      <c r="C454" s="135" t="s">
        <v>5115</v>
      </c>
      <c r="D454" s="332" t="s">
        <v>5952</v>
      </c>
      <c r="E454" s="124" t="s">
        <v>88</v>
      </c>
      <c r="F454" s="332" t="s">
        <v>5953</v>
      </c>
      <c r="G454" s="332" t="s">
        <v>5954</v>
      </c>
      <c r="H454" s="135" t="s">
        <v>142</v>
      </c>
      <c r="I454" s="135" t="s">
        <v>4882</v>
      </c>
      <c r="J454" s="135" t="s">
        <v>89</v>
      </c>
      <c r="K454" s="135" t="s">
        <v>640</v>
      </c>
      <c r="L454" s="135" t="s">
        <v>2849</v>
      </c>
      <c r="M454" s="333">
        <v>42355.0</v>
      </c>
      <c r="N454" s="138" t="s">
        <v>220</v>
      </c>
      <c r="O454" s="348"/>
      <c r="P454" s="135" t="s">
        <v>130</v>
      </c>
      <c r="Q454" s="348"/>
      <c r="R454" s="138">
        <v>8.5276712866E10</v>
      </c>
      <c r="S454" s="135" t="s">
        <v>5116</v>
      </c>
      <c r="T454" s="135" t="s">
        <v>5117</v>
      </c>
      <c r="U454" s="135" t="s">
        <v>5118</v>
      </c>
      <c r="V454" s="135" t="s">
        <v>96</v>
      </c>
      <c r="W454" s="135" t="s">
        <v>97</v>
      </c>
      <c r="X454" s="135" t="s">
        <v>546</v>
      </c>
      <c r="Y454" s="135" t="s">
        <v>5119</v>
      </c>
      <c r="Z454" s="138">
        <v>0.0</v>
      </c>
      <c r="AA454" s="138">
        <v>0.0</v>
      </c>
    </row>
    <row r="455">
      <c r="A455" s="332">
        <v>31.0</v>
      </c>
      <c r="B455" s="135" t="s">
        <v>5120</v>
      </c>
      <c r="C455" s="135" t="s">
        <v>5121</v>
      </c>
      <c r="D455" s="332" t="s">
        <v>5952</v>
      </c>
      <c r="E455" s="124" t="s">
        <v>88</v>
      </c>
      <c r="F455" s="332" t="s">
        <v>5953</v>
      </c>
      <c r="G455" s="332" t="s">
        <v>5954</v>
      </c>
      <c r="H455" s="135" t="s">
        <v>142</v>
      </c>
      <c r="I455" s="135" t="s">
        <v>4882</v>
      </c>
      <c r="J455" s="135" t="s">
        <v>89</v>
      </c>
      <c r="K455" s="135" t="s">
        <v>374</v>
      </c>
      <c r="L455" s="135" t="s">
        <v>761</v>
      </c>
      <c r="M455" s="335">
        <v>40878.0</v>
      </c>
      <c r="N455" s="138" t="s">
        <v>67</v>
      </c>
      <c r="O455" s="348"/>
      <c r="P455" s="135" t="s">
        <v>130</v>
      </c>
      <c r="Q455" s="348"/>
      <c r="R455" s="138">
        <v>8.2274593001E10</v>
      </c>
      <c r="S455" s="135" t="s">
        <v>5122</v>
      </c>
      <c r="T455" s="135" t="s">
        <v>5123</v>
      </c>
      <c r="U455" s="135" t="s">
        <v>5124</v>
      </c>
      <c r="V455" s="135" t="s">
        <v>73</v>
      </c>
      <c r="W455" s="135" t="s">
        <v>74</v>
      </c>
      <c r="X455" s="135" t="s">
        <v>118</v>
      </c>
      <c r="Y455" s="135" t="s">
        <v>1848</v>
      </c>
      <c r="Z455" s="138"/>
      <c r="AA455" s="138"/>
    </row>
    <row r="456">
      <c r="A456" s="332">
        <v>32.0</v>
      </c>
      <c r="B456" s="135" t="s">
        <v>5125</v>
      </c>
      <c r="C456" s="135" t="s">
        <v>5126</v>
      </c>
      <c r="D456" s="332" t="s">
        <v>5952</v>
      </c>
      <c r="E456" s="124" t="s">
        <v>88</v>
      </c>
      <c r="F456" s="332" t="s">
        <v>5953</v>
      </c>
      <c r="G456" s="332" t="s">
        <v>5954</v>
      </c>
      <c r="H456" s="135" t="s">
        <v>142</v>
      </c>
      <c r="I456" s="135" t="s">
        <v>4882</v>
      </c>
      <c r="J456" s="135" t="s">
        <v>89</v>
      </c>
      <c r="K456" s="135" t="s">
        <v>218</v>
      </c>
      <c r="L456" s="135" t="s">
        <v>5127</v>
      </c>
      <c r="M456" s="333">
        <v>43767.0</v>
      </c>
      <c r="N456" s="138" t="s">
        <v>67</v>
      </c>
      <c r="O456" s="348"/>
      <c r="P456" s="135" t="s">
        <v>130</v>
      </c>
      <c r="Q456" s="348"/>
      <c r="R456" s="138">
        <v>8.126090906E10</v>
      </c>
      <c r="S456" s="135" t="s">
        <v>5128</v>
      </c>
      <c r="T456" s="135" t="s">
        <v>5129</v>
      </c>
      <c r="U456" s="135" t="s">
        <v>5023</v>
      </c>
      <c r="V456" s="135" t="s">
        <v>96</v>
      </c>
      <c r="W456" s="135" t="s">
        <v>135</v>
      </c>
      <c r="X456" s="135" t="s">
        <v>379</v>
      </c>
      <c r="Y456" s="135" t="s">
        <v>389</v>
      </c>
      <c r="Z456" s="138">
        <v>0.0</v>
      </c>
      <c r="AA456" s="138">
        <v>0.0</v>
      </c>
    </row>
    <row r="457">
      <c r="A457" s="332">
        <v>33.0</v>
      </c>
      <c r="B457" s="135" t="s">
        <v>5130</v>
      </c>
      <c r="C457" s="135" t="s">
        <v>5131</v>
      </c>
      <c r="D457" s="332" t="s">
        <v>5952</v>
      </c>
      <c r="E457" s="124" t="s">
        <v>88</v>
      </c>
      <c r="F457" s="332" t="s">
        <v>5953</v>
      </c>
      <c r="G457" s="332" t="s">
        <v>5954</v>
      </c>
      <c r="H457" s="135" t="s">
        <v>142</v>
      </c>
      <c r="I457" s="135" t="s">
        <v>4882</v>
      </c>
      <c r="J457" s="135" t="s">
        <v>89</v>
      </c>
      <c r="K457" s="135" t="s">
        <v>374</v>
      </c>
      <c r="L457" s="135" t="s">
        <v>1231</v>
      </c>
      <c r="M457" s="333">
        <v>42080.0</v>
      </c>
      <c r="N457" s="138" t="s">
        <v>67</v>
      </c>
      <c r="O457" s="348"/>
      <c r="P457" s="135" t="s">
        <v>130</v>
      </c>
      <c r="Q457" s="348"/>
      <c r="R457" s="138">
        <v>8.5207440468E10</v>
      </c>
      <c r="S457" s="135" t="s">
        <v>5132</v>
      </c>
      <c r="T457" s="135" t="s">
        <v>5133</v>
      </c>
      <c r="U457" s="135" t="s">
        <v>5134</v>
      </c>
      <c r="V457" s="135" t="s">
        <v>73</v>
      </c>
      <c r="W457" s="135" t="s">
        <v>74</v>
      </c>
      <c r="X457" s="135" t="s">
        <v>203</v>
      </c>
      <c r="Y457" s="135" t="s">
        <v>2506</v>
      </c>
      <c r="Z457" s="138"/>
      <c r="AA457" s="138"/>
    </row>
    <row r="458">
      <c r="A458" s="332">
        <v>34.0</v>
      </c>
      <c r="B458" s="135" t="s">
        <v>5135</v>
      </c>
      <c r="C458" s="135" t="s">
        <v>5136</v>
      </c>
      <c r="D458" s="332" t="s">
        <v>5952</v>
      </c>
      <c r="E458" s="124" t="s">
        <v>88</v>
      </c>
      <c r="F458" s="332" t="s">
        <v>5953</v>
      </c>
      <c r="G458" s="332" t="s">
        <v>5954</v>
      </c>
      <c r="H458" s="135" t="s">
        <v>532</v>
      </c>
      <c r="I458" s="135" t="s">
        <v>4882</v>
      </c>
      <c r="J458" s="135" t="s">
        <v>285</v>
      </c>
      <c r="K458" s="135" t="s">
        <v>1035</v>
      </c>
      <c r="L458" s="135" t="s">
        <v>5137</v>
      </c>
      <c r="M458" s="333">
        <v>39613.0</v>
      </c>
      <c r="N458" s="138" t="s">
        <v>67</v>
      </c>
      <c r="O458" s="348"/>
      <c r="P458" s="135" t="s">
        <v>68</v>
      </c>
      <c r="Q458" s="348"/>
      <c r="R458" s="138">
        <v>8.1377331151E10</v>
      </c>
      <c r="S458" s="135" t="s">
        <v>5138</v>
      </c>
      <c r="T458" s="135" t="s">
        <v>5139</v>
      </c>
      <c r="U458" s="135" t="s">
        <v>5140</v>
      </c>
      <c r="V458" s="135" t="s">
        <v>73</v>
      </c>
      <c r="W458" s="135" t="s">
        <v>74</v>
      </c>
      <c r="X458" s="135" t="s">
        <v>360</v>
      </c>
      <c r="Y458" s="135" t="s">
        <v>566</v>
      </c>
      <c r="Z458" s="138"/>
      <c r="AA458" s="138"/>
    </row>
    <row r="459">
      <c r="A459" s="332">
        <v>35.0</v>
      </c>
      <c r="B459" s="135" t="s">
        <v>5141</v>
      </c>
      <c r="C459" s="135" t="s">
        <v>5142</v>
      </c>
      <c r="D459" s="332" t="s">
        <v>5952</v>
      </c>
      <c r="E459" s="124" t="s">
        <v>88</v>
      </c>
      <c r="F459" s="332" t="s">
        <v>5953</v>
      </c>
      <c r="G459" s="332" t="s">
        <v>5954</v>
      </c>
      <c r="H459" s="135" t="s">
        <v>142</v>
      </c>
      <c r="I459" s="135" t="s">
        <v>4882</v>
      </c>
      <c r="J459" s="135" t="s">
        <v>89</v>
      </c>
      <c r="K459" s="135" t="s">
        <v>374</v>
      </c>
      <c r="L459" s="135" t="s">
        <v>1231</v>
      </c>
      <c r="M459" s="333">
        <v>40108.0</v>
      </c>
      <c r="N459" s="138" t="s">
        <v>67</v>
      </c>
      <c r="O459" s="348"/>
      <c r="P459" s="135" t="s">
        <v>130</v>
      </c>
      <c r="Q459" s="348"/>
      <c r="R459" s="138">
        <v>8.1376351667E10</v>
      </c>
      <c r="S459" s="135" t="s">
        <v>5143</v>
      </c>
      <c r="T459" s="135" t="s">
        <v>5144</v>
      </c>
      <c r="U459" s="135" t="s">
        <v>5145</v>
      </c>
      <c r="V459" s="135" t="s">
        <v>73</v>
      </c>
      <c r="W459" s="135" t="s">
        <v>166</v>
      </c>
      <c r="X459" s="135" t="s">
        <v>167</v>
      </c>
      <c r="Y459" s="135" t="s">
        <v>204</v>
      </c>
      <c r="Z459" s="138">
        <v>0.0</v>
      </c>
      <c r="AA459" s="138">
        <v>0.0</v>
      </c>
    </row>
    <row r="460">
      <c r="A460" s="332">
        <v>36.0</v>
      </c>
      <c r="B460" s="135" t="s">
        <v>5146</v>
      </c>
      <c r="C460" s="135" t="s">
        <v>5147</v>
      </c>
      <c r="D460" s="332" t="s">
        <v>5952</v>
      </c>
      <c r="E460" s="124" t="s">
        <v>88</v>
      </c>
      <c r="F460" s="332" t="s">
        <v>5953</v>
      </c>
      <c r="G460" s="332" t="s">
        <v>5954</v>
      </c>
      <c r="H460" s="135" t="s">
        <v>532</v>
      </c>
      <c r="I460" s="135" t="s">
        <v>4882</v>
      </c>
      <c r="J460" s="135" t="s">
        <v>285</v>
      </c>
      <c r="K460" s="135" t="s">
        <v>374</v>
      </c>
      <c r="L460" s="135" t="s">
        <v>5148</v>
      </c>
      <c r="M460" s="333">
        <v>41779.0</v>
      </c>
      <c r="N460" s="138" t="s">
        <v>67</v>
      </c>
      <c r="O460" s="348"/>
      <c r="P460" s="135" t="s">
        <v>130</v>
      </c>
      <c r="Q460" s="348"/>
      <c r="R460" s="138">
        <v>8.2236794902E10</v>
      </c>
      <c r="S460" s="135" t="s">
        <v>5149</v>
      </c>
      <c r="T460" s="135" t="s">
        <v>5150</v>
      </c>
      <c r="U460" s="135" t="s">
        <v>5151</v>
      </c>
      <c r="V460" s="135" t="s">
        <v>73</v>
      </c>
      <c r="W460" s="135" t="s">
        <v>74</v>
      </c>
      <c r="X460" s="135" t="s">
        <v>741</v>
      </c>
      <c r="Y460" s="135" t="s">
        <v>5152</v>
      </c>
      <c r="Z460" s="138"/>
      <c r="AA460" s="138"/>
    </row>
    <row r="461">
      <c r="A461" s="332">
        <v>37.0</v>
      </c>
      <c r="B461" s="135" t="s">
        <v>5153</v>
      </c>
      <c r="C461" s="135" t="s">
        <v>5154</v>
      </c>
      <c r="D461" s="332" t="s">
        <v>5952</v>
      </c>
      <c r="E461" s="124" t="s">
        <v>88</v>
      </c>
      <c r="F461" s="332" t="s">
        <v>5953</v>
      </c>
      <c r="G461" s="332" t="s">
        <v>5954</v>
      </c>
      <c r="H461" s="135" t="s">
        <v>142</v>
      </c>
      <c r="I461" s="135" t="s">
        <v>4882</v>
      </c>
      <c r="J461" s="135" t="s">
        <v>89</v>
      </c>
      <c r="K461" s="135" t="s">
        <v>5155</v>
      </c>
      <c r="L461" s="135" t="s">
        <v>5156</v>
      </c>
      <c r="M461" s="333">
        <v>41501.0</v>
      </c>
      <c r="N461" s="138" t="s">
        <v>67</v>
      </c>
      <c r="O461" s="348"/>
      <c r="P461" s="135" t="s">
        <v>68</v>
      </c>
      <c r="Q461" s="348"/>
      <c r="R461" s="138">
        <v>8.5360435822E10</v>
      </c>
      <c r="S461" s="135" t="s">
        <v>5157</v>
      </c>
      <c r="T461" s="135" t="s">
        <v>5158</v>
      </c>
      <c r="U461" s="135" t="s">
        <v>5159</v>
      </c>
      <c r="V461" s="135" t="s">
        <v>96</v>
      </c>
      <c r="W461" s="135" t="s">
        <v>97</v>
      </c>
      <c r="X461" s="135" t="s">
        <v>2699</v>
      </c>
      <c r="Y461" s="135" t="s">
        <v>2826</v>
      </c>
      <c r="Z461" s="138">
        <v>0.0</v>
      </c>
      <c r="AA461" s="138">
        <v>0.0</v>
      </c>
    </row>
    <row r="462">
      <c r="A462" s="332">
        <v>38.0</v>
      </c>
      <c r="B462" s="135" t="s">
        <v>5160</v>
      </c>
      <c r="C462" s="135" t="s">
        <v>5161</v>
      </c>
      <c r="D462" s="332" t="s">
        <v>5952</v>
      </c>
      <c r="E462" s="124" t="s">
        <v>88</v>
      </c>
      <c r="F462" s="332" t="s">
        <v>5953</v>
      </c>
      <c r="G462" s="332" t="s">
        <v>5954</v>
      </c>
      <c r="H462" s="135" t="s">
        <v>519</v>
      </c>
      <c r="I462" s="135" t="s">
        <v>4882</v>
      </c>
      <c r="J462" s="135" t="s">
        <v>267</v>
      </c>
      <c r="K462" s="135" t="s">
        <v>374</v>
      </c>
      <c r="L462" s="135" t="s">
        <v>5058</v>
      </c>
      <c r="M462" s="333">
        <v>42548.0</v>
      </c>
      <c r="N462" s="138" t="s">
        <v>67</v>
      </c>
      <c r="O462" s="348"/>
      <c r="P462" s="135" t="s">
        <v>130</v>
      </c>
      <c r="Q462" s="348"/>
      <c r="R462" s="138">
        <v>8.2168111961E10</v>
      </c>
      <c r="S462" s="135" t="s">
        <v>5162</v>
      </c>
      <c r="T462" s="135" t="s">
        <v>5163</v>
      </c>
      <c r="U462" s="135" t="s">
        <v>5164</v>
      </c>
      <c r="V462" s="135" t="s">
        <v>73</v>
      </c>
      <c r="W462" s="135" t="s">
        <v>166</v>
      </c>
      <c r="X462" s="135" t="s">
        <v>167</v>
      </c>
      <c r="Y462" s="135" t="s">
        <v>5165</v>
      </c>
      <c r="Z462" s="138">
        <v>0.0</v>
      </c>
      <c r="AA462" s="138">
        <v>0.0</v>
      </c>
    </row>
    <row r="463">
      <c r="A463" s="332">
        <v>39.0</v>
      </c>
      <c r="B463" s="135" t="s">
        <v>5166</v>
      </c>
      <c r="C463" s="135" t="s">
        <v>5167</v>
      </c>
      <c r="D463" s="332" t="s">
        <v>5952</v>
      </c>
      <c r="E463" s="124" t="s">
        <v>88</v>
      </c>
      <c r="F463" s="332" t="s">
        <v>5953</v>
      </c>
      <c r="G463" s="332" t="s">
        <v>5954</v>
      </c>
      <c r="H463" s="135" t="s">
        <v>532</v>
      </c>
      <c r="I463" s="135" t="s">
        <v>4882</v>
      </c>
      <c r="J463" s="135" t="s">
        <v>285</v>
      </c>
      <c r="K463" s="135"/>
      <c r="L463" s="135" t="s">
        <v>5168</v>
      </c>
      <c r="M463" s="335">
        <v>44319.0</v>
      </c>
      <c r="N463" s="138" t="s">
        <v>67</v>
      </c>
      <c r="O463" s="348"/>
      <c r="P463" s="135" t="s">
        <v>130</v>
      </c>
      <c r="Q463" s="348"/>
      <c r="R463" s="138">
        <v>8.1311544435E10</v>
      </c>
      <c r="S463" s="135" t="s">
        <v>5169</v>
      </c>
      <c r="T463" s="135" t="s">
        <v>5170</v>
      </c>
      <c r="U463" s="135" t="s">
        <v>5171</v>
      </c>
      <c r="V463" s="135" t="s">
        <v>73</v>
      </c>
      <c r="W463" s="135" t="s">
        <v>481</v>
      </c>
      <c r="X463" s="135" t="s">
        <v>1047</v>
      </c>
      <c r="Y463" s="135" t="s">
        <v>2512</v>
      </c>
      <c r="Z463" s="138"/>
      <c r="AA463" s="138"/>
    </row>
    <row r="464">
      <c r="A464" s="332">
        <v>40.0</v>
      </c>
      <c r="B464" s="135" t="s">
        <v>5172</v>
      </c>
      <c r="C464" s="135" t="s">
        <v>5173</v>
      </c>
      <c r="D464" s="332" t="s">
        <v>5952</v>
      </c>
      <c r="E464" s="124" t="s">
        <v>88</v>
      </c>
      <c r="F464" s="332" t="s">
        <v>5953</v>
      </c>
      <c r="G464" s="332" t="s">
        <v>5954</v>
      </c>
      <c r="H464" s="135" t="s">
        <v>142</v>
      </c>
      <c r="I464" s="135" t="s">
        <v>4882</v>
      </c>
      <c r="J464" s="135" t="s">
        <v>89</v>
      </c>
      <c r="K464" s="135" t="s">
        <v>5174</v>
      </c>
      <c r="L464" s="135" t="s">
        <v>5175</v>
      </c>
      <c r="M464" s="333">
        <v>39223.0</v>
      </c>
      <c r="N464" s="138" t="s">
        <v>220</v>
      </c>
      <c r="O464" s="348"/>
      <c r="P464" s="135" t="s">
        <v>130</v>
      </c>
      <c r="Q464" s="348"/>
      <c r="R464" s="138">
        <v>8.1366339058E10</v>
      </c>
      <c r="S464" s="135" t="s">
        <v>5176</v>
      </c>
      <c r="T464" s="135" t="s">
        <v>5177</v>
      </c>
      <c r="U464" s="135" t="s">
        <v>5178</v>
      </c>
      <c r="V464" s="135" t="s">
        <v>96</v>
      </c>
      <c r="W464" s="135" t="s">
        <v>97</v>
      </c>
      <c r="X464" s="135" t="s">
        <v>236</v>
      </c>
      <c r="Y464" s="135" t="s">
        <v>237</v>
      </c>
      <c r="Z464" s="138" t="s">
        <v>77</v>
      </c>
      <c r="AA464" s="138" t="s">
        <v>77</v>
      </c>
    </row>
    <row r="465">
      <c r="A465" s="332">
        <v>41.0</v>
      </c>
      <c r="B465" s="135" t="s">
        <v>5179</v>
      </c>
      <c r="C465" s="135" t="s">
        <v>5180</v>
      </c>
      <c r="D465" s="332" t="s">
        <v>5952</v>
      </c>
      <c r="E465" s="124" t="s">
        <v>88</v>
      </c>
      <c r="F465" s="332" t="s">
        <v>5953</v>
      </c>
      <c r="G465" s="332" t="s">
        <v>5954</v>
      </c>
      <c r="H465" s="135" t="s">
        <v>142</v>
      </c>
      <c r="I465" s="135" t="s">
        <v>4882</v>
      </c>
      <c r="J465" s="135" t="s">
        <v>89</v>
      </c>
      <c r="K465" s="135" t="s">
        <v>218</v>
      </c>
      <c r="L465" s="135" t="s">
        <v>509</v>
      </c>
      <c r="M465" s="333">
        <v>43388.0</v>
      </c>
      <c r="N465" s="138" t="s">
        <v>67</v>
      </c>
      <c r="O465" s="348"/>
      <c r="P465" s="135" t="s">
        <v>68</v>
      </c>
      <c r="Q465" s="348"/>
      <c r="R465" s="138">
        <v>8.2160051881E10</v>
      </c>
      <c r="S465" s="135"/>
      <c r="T465" s="135" t="s">
        <v>5181</v>
      </c>
      <c r="U465" s="135" t="s">
        <v>5182</v>
      </c>
      <c r="V465" s="135" t="s">
        <v>96</v>
      </c>
      <c r="W465" s="135" t="s">
        <v>97</v>
      </c>
      <c r="X465" s="135" t="s">
        <v>445</v>
      </c>
      <c r="Y465" s="135" t="s">
        <v>657</v>
      </c>
      <c r="Z465" s="138" t="s">
        <v>77</v>
      </c>
      <c r="AA465" s="138" t="s">
        <v>77</v>
      </c>
    </row>
    <row r="466">
      <c r="A466" s="332">
        <v>42.0</v>
      </c>
      <c r="B466" s="135" t="s">
        <v>5183</v>
      </c>
      <c r="C466" s="135" t="s">
        <v>5184</v>
      </c>
      <c r="D466" s="332" t="s">
        <v>5952</v>
      </c>
      <c r="E466" s="124" t="s">
        <v>88</v>
      </c>
      <c r="F466" s="332" t="s">
        <v>5953</v>
      </c>
      <c r="G466" s="332" t="s">
        <v>5954</v>
      </c>
      <c r="H466" s="135" t="s">
        <v>142</v>
      </c>
      <c r="I466" s="135" t="s">
        <v>4882</v>
      </c>
      <c r="J466" s="135"/>
      <c r="K466" s="135"/>
      <c r="L466" s="135"/>
      <c r="M466" s="138"/>
      <c r="N466" s="138" t="s">
        <v>67</v>
      </c>
      <c r="O466" s="348"/>
      <c r="P466" s="135" t="s">
        <v>130</v>
      </c>
      <c r="Q466" s="348"/>
      <c r="R466" s="138">
        <v>8.2165512426E10</v>
      </c>
      <c r="S466" s="135"/>
      <c r="T466" s="135" t="s">
        <v>5185</v>
      </c>
      <c r="U466" s="135" t="s">
        <v>5186</v>
      </c>
      <c r="V466" s="135" t="s">
        <v>96</v>
      </c>
      <c r="W466" s="135" t="s">
        <v>135</v>
      </c>
      <c r="X466" s="135" t="s">
        <v>272</v>
      </c>
      <c r="Y466" s="135" t="s">
        <v>334</v>
      </c>
      <c r="Z466" s="138"/>
      <c r="AA466" s="138"/>
    </row>
    <row r="467">
      <c r="A467" s="332">
        <v>43.0</v>
      </c>
      <c r="B467" s="135" t="s">
        <v>5187</v>
      </c>
      <c r="C467" s="135" t="s">
        <v>5188</v>
      </c>
      <c r="D467" s="332" t="s">
        <v>5952</v>
      </c>
      <c r="E467" s="124" t="s">
        <v>88</v>
      </c>
      <c r="F467" s="332" t="s">
        <v>5953</v>
      </c>
      <c r="G467" s="332" t="s">
        <v>5954</v>
      </c>
      <c r="H467" s="135" t="s">
        <v>519</v>
      </c>
      <c r="I467" s="135" t="s">
        <v>4882</v>
      </c>
      <c r="J467" s="135" t="s">
        <v>267</v>
      </c>
      <c r="K467" s="135" t="s">
        <v>346</v>
      </c>
      <c r="L467" s="135" t="s">
        <v>5189</v>
      </c>
      <c r="M467" s="333">
        <v>38255.0</v>
      </c>
      <c r="N467" s="138" t="s">
        <v>67</v>
      </c>
      <c r="O467" s="348"/>
      <c r="P467" s="135" t="s">
        <v>130</v>
      </c>
      <c r="Q467" s="348"/>
      <c r="R467" s="138">
        <v>8.1265025677E10</v>
      </c>
      <c r="S467" s="135" t="s">
        <v>5190</v>
      </c>
      <c r="T467" s="135" t="s">
        <v>5191</v>
      </c>
      <c r="U467" s="135" t="s">
        <v>5192</v>
      </c>
      <c r="V467" s="135" t="s">
        <v>96</v>
      </c>
      <c r="W467" s="135" t="s">
        <v>97</v>
      </c>
      <c r="X467" s="135" t="s">
        <v>236</v>
      </c>
      <c r="Y467" s="135" t="s">
        <v>666</v>
      </c>
      <c r="Z467" s="138">
        <v>0.0</v>
      </c>
      <c r="AA467" s="138">
        <v>0.0</v>
      </c>
    </row>
    <row r="468">
      <c r="A468" s="332">
        <v>44.0</v>
      </c>
      <c r="B468" s="135" t="s">
        <v>5193</v>
      </c>
      <c r="C468" s="135" t="s">
        <v>5194</v>
      </c>
      <c r="D468" s="332" t="s">
        <v>5952</v>
      </c>
      <c r="E468" s="124" t="s">
        <v>88</v>
      </c>
      <c r="F468" s="332" t="s">
        <v>5953</v>
      </c>
      <c r="G468" s="332" t="s">
        <v>5954</v>
      </c>
      <c r="H468" s="135" t="s">
        <v>142</v>
      </c>
      <c r="I468" s="135" t="s">
        <v>4882</v>
      </c>
      <c r="J468" s="135" t="s">
        <v>89</v>
      </c>
      <c r="K468" s="135" t="s">
        <v>2710</v>
      </c>
      <c r="L468" s="135" t="s">
        <v>244</v>
      </c>
      <c r="M468" s="335">
        <v>42044.0</v>
      </c>
      <c r="N468" s="138" t="s">
        <v>67</v>
      </c>
      <c r="O468" s="348"/>
      <c r="P468" s="135" t="s">
        <v>130</v>
      </c>
      <c r="Q468" s="348"/>
      <c r="R468" s="138">
        <v>8.1397000093E10</v>
      </c>
      <c r="S468" s="135" t="s">
        <v>5195</v>
      </c>
      <c r="T468" s="135" t="s">
        <v>5196</v>
      </c>
      <c r="U468" s="135" t="s">
        <v>5197</v>
      </c>
      <c r="V468" s="135" t="s">
        <v>96</v>
      </c>
      <c r="W468" s="135" t="s">
        <v>97</v>
      </c>
      <c r="X468" s="135" t="s">
        <v>272</v>
      </c>
      <c r="Y468" s="135" t="s">
        <v>273</v>
      </c>
      <c r="Z468" s="138" t="s">
        <v>77</v>
      </c>
      <c r="AA468" s="138" t="s">
        <v>77</v>
      </c>
    </row>
    <row r="469">
      <c r="A469" s="332">
        <v>45.0</v>
      </c>
      <c r="B469" s="135" t="s">
        <v>5198</v>
      </c>
      <c r="C469" s="135" t="s">
        <v>5199</v>
      </c>
      <c r="D469" s="332" t="s">
        <v>5952</v>
      </c>
      <c r="E469" s="124" t="s">
        <v>88</v>
      </c>
      <c r="F469" s="332" t="s">
        <v>5953</v>
      </c>
      <c r="G469" s="332" t="s">
        <v>5954</v>
      </c>
      <c r="H469" s="135" t="s">
        <v>142</v>
      </c>
      <c r="I469" s="135" t="s">
        <v>4882</v>
      </c>
      <c r="J469" s="135" t="s">
        <v>89</v>
      </c>
      <c r="K469" s="135" t="s">
        <v>3908</v>
      </c>
      <c r="L469" s="135" t="s">
        <v>244</v>
      </c>
      <c r="M469" s="333">
        <v>40543.0</v>
      </c>
      <c r="N469" s="138" t="s">
        <v>67</v>
      </c>
      <c r="O469" s="348"/>
      <c r="P469" s="135" t="s">
        <v>130</v>
      </c>
      <c r="Q469" s="348"/>
      <c r="R469" s="138">
        <v>8.1361471988E10</v>
      </c>
      <c r="S469" s="135" t="s">
        <v>5200</v>
      </c>
      <c r="T469" s="135" t="s">
        <v>5201</v>
      </c>
      <c r="U469" s="135" t="s">
        <v>5202</v>
      </c>
      <c r="V469" s="135" t="s">
        <v>73</v>
      </c>
      <c r="W469" s="135" t="s">
        <v>74</v>
      </c>
      <c r="X469" s="135" t="s">
        <v>178</v>
      </c>
      <c r="Y469" s="135" t="s">
        <v>179</v>
      </c>
      <c r="Z469" s="138"/>
      <c r="AA469" s="138"/>
    </row>
    <row r="470">
      <c r="A470" s="332">
        <v>46.0</v>
      </c>
      <c r="B470" s="135" t="s">
        <v>5203</v>
      </c>
      <c r="C470" s="135" t="s">
        <v>5204</v>
      </c>
      <c r="D470" s="332" t="s">
        <v>5952</v>
      </c>
      <c r="E470" s="124" t="s">
        <v>88</v>
      </c>
      <c r="F470" s="332" t="s">
        <v>5953</v>
      </c>
      <c r="G470" s="332" t="s">
        <v>5954</v>
      </c>
      <c r="H470" s="135" t="s">
        <v>532</v>
      </c>
      <c r="I470" s="135" t="s">
        <v>4882</v>
      </c>
      <c r="J470" s="135"/>
      <c r="K470" s="135"/>
      <c r="L470" s="135"/>
      <c r="M470" s="138"/>
      <c r="N470" s="138" t="s">
        <v>67</v>
      </c>
      <c r="O470" s="348"/>
      <c r="P470" s="135" t="s">
        <v>68</v>
      </c>
      <c r="Q470" s="348"/>
      <c r="R470" s="138">
        <v>8.5831277204E10</v>
      </c>
      <c r="S470" s="135" t="s">
        <v>5205</v>
      </c>
      <c r="T470" s="135" t="s">
        <v>5206</v>
      </c>
      <c r="U470" s="135" t="s">
        <v>5207</v>
      </c>
      <c r="V470" s="135" t="s">
        <v>96</v>
      </c>
      <c r="W470" s="135" t="s">
        <v>150</v>
      </c>
      <c r="X470" s="135" t="s">
        <v>5085</v>
      </c>
      <c r="Y470" s="135" t="s">
        <v>5208</v>
      </c>
      <c r="Z470" s="138">
        <v>0.0</v>
      </c>
      <c r="AA470" s="138">
        <v>0.0</v>
      </c>
    </row>
    <row r="471">
      <c r="A471" s="332">
        <v>47.0</v>
      </c>
      <c r="B471" s="135" t="s">
        <v>5209</v>
      </c>
      <c r="C471" s="135" t="s">
        <v>5210</v>
      </c>
      <c r="D471" s="332" t="s">
        <v>5952</v>
      </c>
      <c r="E471" s="124" t="s">
        <v>88</v>
      </c>
      <c r="F471" s="332" t="s">
        <v>5953</v>
      </c>
      <c r="G471" s="332" t="s">
        <v>5954</v>
      </c>
      <c r="H471" s="135" t="s">
        <v>142</v>
      </c>
      <c r="I471" s="135" t="s">
        <v>4882</v>
      </c>
      <c r="J471" s="135" t="s">
        <v>89</v>
      </c>
      <c r="K471" s="135" t="s">
        <v>5211</v>
      </c>
      <c r="L471" s="135" t="s">
        <v>745</v>
      </c>
      <c r="M471" s="333">
        <v>40022.0</v>
      </c>
      <c r="N471" s="138" t="s">
        <v>67</v>
      </c>
      <c r="O471" s="348"/>
      <c r="P471" s="135" t="s">
        <v>68</v>
      </c>
      <c r="Q471" s="348"/>
      <c r="R471" s="138">
        <v>8.1396313424E10</v>
      </c>
      <c r="S471" s="135" t="s">
        <v>5212</v>
      </c>
      <c r="T471" s="135" t="s">
        <v>858</v>
      </c>
      <c r="U471" s="135" t="s">
        <v>5213</v>
      </c>
      <c r="V471" s="135" t="s">
        <v>96</v>
      </c>
      <c r="W471" s="135" t="s">
        <v>97</v>
      </c>
      <c r="X471" s="135" t="s">
        <v>236</v>
      </c>
      <c r="Y471" s="135" t="s">
        <v>5214</v>
      </c>
      <c r="Z471" s="138"/>
      <c r="AA471" s="138"/>
    </row>
    <row r="472">
      <c r="A472" s="101" t="s">
        <v>5215</v>
      </c>
      <c r="B472" s="141"/>
      <c r="C472" s="345"/>
      <c r="D472" s="124"/>
      <c r="E472" s="124"/>
      <c r="F472" s="124"/>
      <c r="G472" s="124"/>
      <c r="H472" s="141"/>
      <c r="I472" s="141"/>
      <c r="J472" s="141"/>
      <c r="K472" s="141"/>
      <c r="L472" s="141"/>
      <c r="M472" s="124"/>
      <c r="N472" s="346"/>
      <c r="O472" s="346"/>
      <c r="P472" s="347"/>
      <c r="Q472" s="346"/>
      <c r="R472" s="346"/>
      <c r="S472" s="347"/>
      <c r="T472" s="347"/>
      <c r="U472" s="347"/>
      <c r="V472" s="347"/>
      <c r="W472" s="347"/>
      <c r="X472" s="347"/>
      <c r="Y472" s="347"/>
      <c r="Z472" s="346"/>
      <c r="AA472" s="346"/>
    </row>
    <row r="473">
      <c r="A473" s="332">
        <v>1.0</v>
      </c>
      <c r="B473" s="135" t="s">
        <v>5312</v>
      </c>
      <c r="C473" s="135" t="s">
        <v>5313</v>
      </c>
      <c r="D473" s="332" t="s">
        <v>5952</v>
      </c>
      <c r="E473" s="124" t="s">
        <v>88</v>
      </c>
      <c r="F473" s="332" t="s">
        <v>5953</v>
      </c>
      <c r="G473" s="332" t="s">
        <v>5954</v>
      </c>
      <c r="H473" s="135" t="s">
        <v>142</v>
      </c>
      <c r="I473" s="135" t="s">
        <v>5219</v>
      </c>
      <c r="J473" s="135" t="s">
        <v>89</v>
      </c>
      <c r="K473" s="135" t="s">
        <v>160</v>
      </c>
      <c r="L473" s="135" t="s">
        <v>745</v>
      </c>
      <c r="M473" s="335">
        <v>40271.0</v>
      </c>
      <c r="N473" s="138" t="s">
        <v>67</v>
      </c>
      <c r="O473" s="124"/>
      <c r="P473" s="135" t="s">
        <v>68</v>
      </c>
      <c r="Q473" s="138"/>
      <c r="R473" s="138">
        <v>8.5207374242E10</v>
      </c>
      <c r="S473" s="135" t="s">
        <v>5314</v>
      </c>
      <c r="T473" s="135" t="s">
        <v>5315</v>
      </c>
      <c r="U473" s="135" t="s">
        <v>5316</v>
      </c>
      <c r="V473" s="135" t="s">
        <v>96</v>
      </c>
      <c r="W473" s="135" t="s">
        <v>135</v>
      </c>
      <c r="X473" s="135" t="s">
        <v>272</v>
      </c>
      <c r="Y473" s="135" t="s">
        <v>5317</v>
      </c>
      <c r="Z473" s="138">
        <v>0.0</v>
      </c>
      <c r="AA473" s="138">
        <v>0.0</v>
      </c>
    </row>
    <row r="474">
      <c r="A474" s="332">
        <v>2.0</v>
      </c>
      <c r="B474" s="135" t="s">
        <v>5318</v>
      </c>
      <c r="C474" s="135" t="s">
        <v>5319</v>
      </c>
      <c r="D474" s="332" t="s">
        <v>5952</v>
      </c>
      <c r="E474" s="124" t="s">
        <v>88</v>
      </c>
      <c r="F474" s="332" t="s">
        <v>5953</v>
      </c>
      <c r="G474" s="332" t="s">
        <v>5954</v>
      </c>
      <c r="H474" s="135" t="s">
        <v>142</v>
      </c>
      <c r="I474" s="135" t="s">
        <v>5219</v>
      </c>
      <c r="J474" s="135" t="s">
        <v>89</v>
      </c>
      <c r="K474" s="135" t="s">
        <v>90</v>
      </c>
      <c r="L474" s="135" t="s">
        <v>648</v>
      </c>
      <c r="M474" s="333">
        <v>42427.0</v>
      </c>
      <c r="N474" s="138" t="s">
        <v>67</v>
      </c>
      <c r="O474" s="348"/>
      <c r="P474" s="135" t="s">
        <v>130</v>
      </c>
      <c r="Q474" s="138"/>
      <c r="R474" s="138">
        <v>8.5189443053E10</v>
      </c>
      <c r="S474" s="135" t="s">
        <v>5320</v>
      </c>
      <c r="T474" s="135" t="s">
        <v>5321</v>
      </c>
      <c r="U474" s="135" t="s">
        <v>5113</v>
      </c>
      <c r="V474" s="135" t="s">
        <v>73</v>
      </c>
      <c r="W474" s="135" t="s">
        <v>74</v>
      </c>
      <c r="X474" s="135" t="s">
        <v>989</v>
      </c>
      <c r="Y474" s="135" t="s">
        <v>2411</v>
      </c>
      <c r="Z474" s="138"/>
      <c r="AA474" s="138"/>
    </row>
    <row r="475">
      <c r="A475" s="332">
        <v>3.0</v>
      </c>
      <c r="B475" s="135" t="s">
        <v>5322</v>
      </c>
      <c r="C475" s="135" t="s">
        <v>5323</v>
      </c>
      <c r="D475" s="332" t="s">
        <v>5952</v>
      </c>
      <c r="E475" s="124" t="s">
        <v>88</v>
      </c>
      <c r="F475" s="332" t="s">
        <v>5953</v>
      </c>
      <c r="G475" s="332" t="s">
        <v>5954</v>
      </c>
      <c r="H475" s="135" t="s">
        <v>142</v>
      </c>
      <c r="I475" s="135" t="s">
        <v>5219</v>
      </c>
      <c r="J475" s="135" t="s">
        <v>159</v>
      </c>
      <c r="K475" s="135" t="s">
        <v>374</v>
      </c>
      <c r="L475" s="135" t="s">
        <v>244</v>
      </c>
      <c r="M475" s="333">
        <v>42212.0</v>
      </c>
      <c r="N475" s="138" t="s">
        <v>67</v>
      </c>
      <c r="O475" s="357"/>
      <c r="P475" s="135" t="s">
        <v>130</v>
      </c>
      <c r="Q475" s="138"/>
      <c r="R475" s="138">
        <v>8.116199098E9</v>
      </c>
      <c r="S475" s="135" t="s">
        <v>5324</v>
      </c>
      <c r="T475" s="135" t="s">
        <v>5325</v>
      </c>
      <c r="U475" s="135" t="s">
        <v>5326</v>
      </c>
      <c r="V475" s="135" t="s">
        <v>73</v>
      </c>
      <c r="W475" s="135" t="s">
        <v>74</v>
      </c>
      <c r="X475" s="135" t="s">
        <v>360</v>
      </c>
      <c r="Y475" s="135" t="s">
        <v>4974</v>
      </c>
      <c r="Z475" s="138">
        <v>0.0</v>
      </c>
      <c r="AA475" s="138">
        <v>0.0</v>
      </c>
    </row>
    <row r="476">
      <c r="A476" s="332">
        <v>4.0</v>
      </c>
      <c r="B476" s="135" t="s">
        <v>5327</v>
      </c>
      <c r="C476" s="135" t="s">
        <v>5328</v>
      </c>
      <c r="D476" s="332" t="s">
        <v>5952</v>
      </c>
      <c r="E476" s="124" t="s">
        <v>88</v>
      </c>
      <c r="F476" s="332" t="s">
        <v>5953</v>
      </c>
      <c r="G476" s="332" t="s">
        <v>5954</v>
      </c>
      <c r="H476" s="135" t="s">
        <v>142</v>
      </c>
      <c r="I476" s="135" t="s">
        <v>5219</v>
      </c>
      <c r="J476" s="135"/>
      <c r="K476" s="135"/>
      <c r="L476" s="135"/>
      <c r="M476" s="138"/>
      <c r="N476" s="138"/>
      <c r="O476" s="124"/>
      <c r="P476" s="135" t="s">
        <v>68</v>
      </c>
      <c r="Q476" s="138"/>
      <c r="R476" s="138"/>
      <c r="S476" s="135"/>
      <c r="T476" s="135" t="s">
        <v>5329</v>
      </c>
      <c r="U476" s="135"/>
      <c r="V476" s="135"/>
      <c r="W476" s="135"/>
      <c r="X476" s="135"/>
      <c r="Y476" s="135"/>
      <c r="Z476" s="138"/>
      <c r="AA476" s="138"/>
    </row>
    <row r="477">
      <c r="A477" s="332">
        <v>5.0</v>
      </c>
      <c r="B477" s="135" t="s">
        <v>5330</v>
      </c>
      <c r="C477" s="135" t="s">
        <v>5331</v>
      </c>
      <c r="D477" s="332" t="s">
        <v>5952</v>
      </c>
      <c r="E477" s="124" t="s">
        <v>88</v>
      </c>
      <c r="F477" s="332" t="s">
        <v>5953</v>
      </c>
      <c r="G477" s="332" t="s">
        <v>5954</v>
      </c>
      <c r="H477" s="135" t="s">
        <v>142</v>
      </c>
      <c r="I477" s="135" t="s">
        <v>5219</v>
      </c>
      <c r="J477" s="135" t="s">
        <v>89</v>
      </c>
      <c r="K477" s="135" t="s">
        <v>160</v>
      </c>
      <c r="L477" s="135" t="s">
        <v>1010</v>
      </c>
      <c r="M477" s="333">
        <v>40898.0</v>
      </c>
      <c r="N477" s="138" t="s">
        <v>67</v>
      </c>
      <c r="O477" s="124"/>
      <c r="P477" s="135" t="s">
        <v>68</v>
      </c>
      <c r="Q477" s="138"/>
      <c r="R477" s="138">
        <v>8.216459202E10</v>
      </c>
      <c r="S477" s="135" t="s">
        <v>5332</v>
      </c>
      <c r="T477" s="135" t="s">
        <v>5333</v>
      </c>
      <c r="U477" s="135" t="s">
        <v>5334</v>
      </c>
      <c r="V477" s="135" t="s">
        <v>96</v>
      </c>
      <c r="W477" s="135" t="s">
        <v>150</v>
      </c>
      <c r="X477" s="135" t="s">
        <v>281</v>
      </c>
      <c r="Y477" s="135" t="s">
        <v>657</v>
      </c>
      <c r="Z477" s="138">
        <v>2.0</v>
      </c>
      <c r="AA477" s="138">
        <v>3.0</v>
      </c>
    </row>
    <row r="478">
      <c r="A478" s="332">
        <v>6.0</v>
      </c>
      <c r="B478" s="135" t="s">
        <v>5335</v>
      </c>
      <c r="C478" s="135" t="s">
        <v>5336</v>
      </c>
      <c r="D478" s="332" t="s">
        <v>5952</v>
      </c>
      <c r="E478" s="124" t="s">
        <v>88</v>
      </c>
      <c r="F478" s="332" t="s">
        <v>5953</v>
      </c>
      <c r="G478" s="332" t="s">
        <v>5954</v>
      </c>
      <c r="H478" s="135" t="s">
        <v>142</v>
      </c>
      <c r="I478" s="135" t="s">
        <v>5219</v>
      </c>
      <c r="J478" s="135"/>
      <c r="K478" s="135"/>
      <c r="L478" s="135"/>
      <c r="M478" s="138"/>
      <c r="N478" s="138" t="s">
        <v>67</v>
      </c>
      <c r="O478" s="348"/>
      <c r="P478" s="135" t="s">
        <v>130</v>
      </c>
      <c r="Q478" s="138"/>
      <c r="R478" s="138">
        <v>8.2246394633E10</v>
      </c>
      <c r="S478" s="135" t="s">
        <v>5337</v>
      </c>
      <c r="T478" s="135" t="s">
        <v>5338</v>
      </c>
      <c r="U478" s="135" t="s">
        <v>5339</v>
      </c>
      <c r="V478" s="135" t="s">
        <v>73</v>
      </c>
      <c r="W478" s="135" t="s">
        <v>74</v>
      </c>
      <c r="X478" s="135" t="s">
        <v>203</v>
      </c>
      <c r="Y478" s="135" t="s">
        <v>204</v>
      </c>
      <c r="Z478" s="138"/>
      <c r="AA478" s="138"/>
    </row>
    <row r="479">
      <c r="A479" s="332">
        <v>7.0</v>
      </c>
      <c r="B479" s="135" t="s">
        <v>5340</v>
      </c>
      <c r="C479" s="135" t="s">
        <v>5341</v>
      </c>
      <c r="D479" s="332" t="s">
        <v>5952</v>
      </c>
      <c r="E479" s="124" t="s">
        <v>88</v>
      </c>
      <c r="F479" s="332" t="s">
        <v>5953</v>
      </c>
      <c r="G479" s="332" t="s">
        <v>5954</v>
      </c>
      <c r="H479" s="135" t="s">
        <v>142</v>
      </c>
      <c r="I479" s="135" t="s">
        <v>5219</v>
      </c>
      <c r="J479" s="135" t="s">
        <v>89</v>
      </c>
      <c r="K479" s="135" t="s">
        <v>1214</v>
      </c>
      <c r="L479" s="135" t="s">
        <v>260</v>
      </c>
      <c r="M479" s="333">
        <v>40022.0</v>
      </c>
      <c r="N479" s="138" t="s">
        <v>67</v>
      </c>
      <c r="O479" s="348"/>
      <c r="P479" s="135" t="s">
        <v>68</v>
      </c>
      <c r="Q479" s="138"/>
      <c r="R479" s="138">
        <v>8.11627877E8</v>
      </c>
      <c r="S479" s="135" t="s">
        <v>5342</v>
      </c>
      <c r="T479" s="135" t="s">
        <v>5343</v>
      </c>
      <c r="U479" s="135" t="s">
        <v>5344</v>
      </c>
      <c r="V479" s="135" t="s">
        <v>73</v>
      </c>
      <c r="W479" s="135" t="s">
        <v>74</v>
      </c>
      <c r="X479" s="135" t="s">
        <v>454</v>
      </c>
      <c r="Y479" s="135" t="s">
        <v>1753</v>
      </c>
      <c r="Z479" s="138">
        <v>0.0</v>
      </c>
      <c r="AA479" s="138">
        <v>0.0</v>
      </c>
    </row>
    <row r="480">
      <c r="A480" s="332">
        <v>8.0</v>
      </c>
      <c r="B480" s="135" t="s">
        <v>5345</v>
      </c>
      <c r="C480" s="135" t="s">
        <v>5346</v>
      </c>
      <c r="D480" s="332" t="s">
        <v>5952</v>
      </c>
      <c r="E480" s="124" t="s">
        <v>88</v>
      </c>
      <c r="F480" s="332" t="s">
        <v>5953</v>
      </c>
      <c r="G480" s="332" t="s">
        <v>5954</v>
      </c>
      <c r="H480" s="135" t="s">
        <v>532</v>
      </c>
      <c r="I480" s="135" t="s">
        <v>5219</v>
      </c>
      <c r="J480" s="135" t="s">
        <v>285</v>
      </c>
      <c r="K480" s="135" t="s">
        <v>5347</v>
      </c>
      <c r="L480" s="135" t="s">
        <v>5348</v>
      </c>
      <c r="M480" s="333">
        <v>35212.0</v>
      </c>
      <c r="N480" s="138" t="s">
        <v>67</v>
      </c>
      <c r="O480" s="348"/>
      <c r="P480" s="135" t="s">
        <v>68</v>
      </c>
      <c r="Q480" s="138"/>
      <c r="R480" s="138">
        <v>8.2381105856E10</v>
      </c>
      <c r="S480" s="135" t="s">
        <v>5349</v>
      </c>
      <c r="T480" s="135" t="s">
        <v>5350</v>
      </c>
      <c r="U480" s="135" t="s">
        <v>5351</v>
      </c>
      <c r="V480" s="135" t="s">
        <v>96</v>
      </c>
      <c r="W480" s="135" t="s">
        <v>150</v>
      </c>
      <c r="X480" s="135" t="s">
        <v>693</v>
      </c>
      <c r="Y480" s="135" t="s">
        <v>1764</v>
      </c>
      <c r="Z480" s="138" t="s">
        <v>77</v>
      </c>
      <c r="AA480" s="138" t="s">
        <v>77</v>
      </c>
    </row>
    <row r="481">
      <c r="A481" s="332">
        <v>9.0</v>
      </c>
      <c r="B481" s="135" t="s">
        <v>5352</v>
      </c>
      <c r="C481" s="135" t="s">
        <v>5353</v>
      </c>
      <c r="D481" s="332" t="s">
        <v>5952</v>
      </c>
      <c r="E481" s="124" t="s">
        <v>88</v>
      </c>
      <c r="F481" s="332" t="s">
        <v>5953</v>
      </c>
      <c r="G481" s="332" t="s">
        <v>5954</v>
      </c>
      <c r="H481" s="135" t="s">
        <v>142</v>
      </c>
      <c r="I481" s="135" t="s">
        <v>5219</v>
      </c>
      <c r="J481" s="135" t="s">
        <v>89</v>
      </c>
      <c r="K481" s="135" t="s">
        <v>230</v>
      </c>
      <c r="L481" s="135" t="s">
        <v>4792</v>
      </c>
      <c r="M481" s="333">
        <v>38640.0</v>
      </c>
      <c r="N481" s="138" t="s">
        <v>220</v>
      </c>
      <c r="O481" s="348"/>
      <c r="P481" s="135" t="s">
        <v>130</v>
      </c>
      <c r="Q481" s="138"/>
      <c r="R481" s="138">
        <v>8.2165098448E10</v>
      </c>
      <c r="S481" s="135" t="s">
        <v>5354</v>
      </c>
      <c r="T481" s="135" t="s">
        <v>5355</v>
      </c>
      <c r="U481" s="135" t="s">
        <v>5356</v>
      </c>
      <c r="V481" s="135" t="s">
        <v>96</v>
      </c>
      <c r="W481" s="135" t="s">
        <v>97</v>
      </c>
      <c r="X481" s="135" t="s">
        <v>546</v>
      </c>
      <c r="Y481" s="135" t="s">
        <v>5119</v>
      </c>
      <c r="Z481" s="138"/>
      <c r="AA481" s="138"/>
    </row>
    <row r="482">
      <c r="A482" s="332">
        <v>10.0</v>
      </c>
      <c r="B482" s="135" t="s">
        <v>5357</v>
      </c>
      <c r="C482" s="135" t="s">
        <v>5358</v>
      </c>
      <c r="D482" s="332" t="s">
        <v>5952</v>
      </c>
      <c r="E482" s="124" t="s">
        <v>88</v>
      </c>
      <c r="F482" s="332" t="s">
        <v>5953</v>
      </c>
      <c r="G482" s="332" t="s">
        <v>5954</v>
      </c>
      <c r="H482" s="135" t="s">
        <v>142</v>
      </c>
      <c r="I482" s="135" t="s">
        <v>5219</v>
      </c>
      <c r="J482" s="135" t="s">
        <v>89</v>
      </c>
      <c r="K482" s="135" t="s">
        <v>230</v>
      </c>
      <c r="L482" s="135" t="s">
        <v>648</v>
      </c>
      <c r="M482" s="333">
        <v>42245.0</v>
      </c>
      <c r="N482" s="138" t="s">
        <v>220</v>
      </c>
      <c r="O482" s="348"/>
      <c r="P482" s="135" t="s">
        <v>130</v>
      </c>
      <c r="Q482" s="138"/>
      <c r="R482" s="138">
        <v>8.5261545978E10</v>
      </c>
      <c r="S482" s="135" t="s">
        <v>5359</v>
      </c>
      <c r="T482" s="135" t="s">
        <v>5360</v>
      </c>
      <c r="U482" s="135" t="s">
        <v>5361</v>
      </c>
      <c r="V482" s="135" t="s">
        <v>96</v>
      </c>
      <c r="W482" s="135" t="s">
        <v>97</v>
      </c>
      <c r="X482" s="135" t="s">
        <v>236</v>
      </c>
      <c r="Y482" s="135" t="s">
        <v>527</v>
      </c>
      <c r="Z482" s="138"/>
      <c r="AA482" s="138"/>
    </row>
    <row r="483">
      <c r="A483" s="332">
        <v>11.0</v>
      </c>
      <c r="B483" s="135" t="s">
        <v>5362</v>
      </c>
      <c r="C483" s="135" t="s">
        <v>5363</v>
      </c>
      <c r="D483" s="332" t="s">
        <v>5952</v>
      </c>
      <c r="E483" s="124" t="s">
        <v>88</v>
      </c>
      <c r="F483" s="332" t="s">
        <v>5953</v>
      </c>
      <c r="G483" s="332" t="s">
        <v>5954</v>
      </c>
      <c r="H483" s="135" t="s">
        <v>532</v>
      </c>
      <c r="I483" s="135" t="s">
        <v>5219</v>
      </c>
      <c r="J483" s="135" t="s">
        <v>285</v>
      </c>
      <c r="K483" s="135" t="s">
        <v>1035</v>
      </c>
      <c r="L483" s="135" t="s">
        <v>5364</v>
      </c>
      <c r="M483" s="333">
        <v>39613.0</v>
      </c>
      <c r="N483" s="138" t="s">
        <v>220</v>
      </c>
      <c r="O483" s="348"/>
      <c r="P483" s="135" t="s">
        <v>68</v>
      </c>
      <c r="Q483" s="138"/>
      <c r="R483" s="138">
        <v>8.1263125898E10</v>
      </c>
      <c r="S483" s="135" t="s">
        <v>5365</v>
      </c>
      <c r="T483" s="135" t="s">
        <v>5366</v>
      </c>
      <c r="U483" s="135" t="s">
        <v>5367</v>
      </c>
      <c r="V483" s="135" t="s">
        <v>96</v>
      </c>
      <c r="W483" s="135" t="s">
        <v>97</v>
      </c>
      <c r="X483" s="135" t="s">
        <v>272</v>
      </c>
      <c r="Y483" s="135" t="s">
        <v>5011</v>
      </c>
      <c r="Z483" s="138"/>
      <c r="AA483" s="138"/>
    </row>
    <row r="484">
      <c r="A484" s="332">
        <v>12.0</v>
      </c>
      <c r="B484" s="135" t="s">
        <v>5368</v>
      </c>
      <c r="C484" s="135" t="s">
        <v>5369</v>
      </c>
      <c r="D484" s="332" t="s">
        <v>5952</v>
      </c>
      <c r="E484" s="124" t="s">
        <v>88</v>
      </c>
      <c r="F484" s="332" t="s">
        <v>5953</v>
      </c>
      <c r="G484" s="332" t="s">
        <v>5954</v>
      </c>
      <c r="H484" s="135" t="s">
        <v>142</v>
      </c>
      <c r="I484" s="135" t="s">
        <v>5219</v>
      </c>
      <c r="J484" s="135" t="s">
        <v>89</v>
      </c>
      <c r="K484" s="135" t="s">
        <v>1562</v>
      </c>
      <c r="L484" s="135" t="s">
        <v>244</v>
      </c>
      <c r="M484" s="333">
        <v>38042.0</v>
      </c>
      <c r="N484" s="138" t="s">
        <v>220</v>
      </c>
      <c r="O484" s="348"/>
      <c r="P484" s="135" t="s">
        <v>130</v>
      </c>
      <c r="Q484" s="138"/>
      <c r="R484" s="138">
        <v>8.1370813676E10</v>
      </c>
      <c r="S484" s="135" t="s">
        <v>5370</v>
      </c>
      <c r="T484" s="135" t="s">
        <v>5371</v>
      </c>
      <c r="U484" s="135" t="s">
        <v>5372</v>
      </c>
      <c r="V484" s="135" t="s">
        <v>96</v>
      </c>
      <c r="W484" s="135" t="s">
        <v>135</v>
      </c>
      <c r="X484" s="135" t="s">
        <v>203</v>
      </c>
      <c r="Y484" s="135" t="s">
        <v>2128</v>
      </c>
      <c r="Z484" s="138"/>
      <c r="AA484" s="138"/>
    </row>
    <row r="485">
      <c r="A485" s="332">
        <v>13.0</v>
      </c>
      <c r="B485" s="135" t="s">
        <v>5373</v>
      </c>
      <c r="C485" s="135" t="s">
        <v>5374</v>
      </c>
      <c r="D485" s="332" t="s">
        <v>5952</v>
      </c>
      <c r="E485" s="124" t="s">
        <v>88</v>
      </c>
      <c r="F485" s="332" t="s">
        <v>5953</v>
      </c>
      <c r="G485" s="332" t="s">
        <v>5954</v>
      </c>
      <c r="H485" s="135" t="s">
        <v>142</v>
      </c>
      <c r="I485" s="135" t="s">
        <v>5219</v>
      </c>
      <c r="J485" s="135" t="s">
        <v>89</v>
      </c>
      <c r="K485" s="135" t="s">
        <v>647</v>
      </c>
      <c r="L485" s="135" t="s">
        <v>745</v>
      </c>
      <c r="M485" s="333">
        <v>40022.0</v>
      </c>
      <c r="N485" s="138" t="s">
        <v>67</v>
      </c>
      <c r="O485" s="348"/>
      <c r="P485" s="135" t="s">
        <v>130</v>
      </c>
      <c r="Q485" s="138"/>
      <c r="R485" s="138">
        <v>8.1396858575E10</v>
      </c>
      <c r="S485" s="135" t="s">
        <v>5375</v>
      </c>
      <c r="T485" s="135" t="s">
        <v>5376</v>
      </c>
      <c r="U485" s="135" t="s">
        <v>5377</v>
      </c>
      <c r="V485" s="135" t="s">
        <v>96</v>
      </c>
      <c r="W485" s="135" t="s">
        <v>97</v>
      </c>
      <c r="X485" s="135" t="s">
        <v>272</v>
      </c>
      <c r="Y485" s="135" t="s">
        <v>5269</v>
      </c>
      <c r="Z485" s="138">
        <v>1.0</v>
      </c>
      <c r="AA485" s="138">
        <v>1.0</v>
      </c>
    </row>
    <row r="486">
      <c r="A486" s="332">
        <v>14.0</v>
      </c>
      <c r="B486" s="135" t="s">
        <v>5378</v>
      </c>
      <c r="C486" s="135" t="s">
        <v>5379</v>
      </c>
      <c r="D486" s="332" t="s">
        <v>5952</v>
      </c>
      <c r="E486" s="124" t="s">
        <v>88</v>
      </c>
      <c r="F486" s="332" t="s">
        <v>5953</v>
      </c>
      <c r="G486" s="332" t="s">
        <v>5954</v>
      </c>
      <c r="H486" s="135" t="s">
        <v>142</v>
      </c>
      <c r="I486" s="135" t="s">
        <v>5219</v>
      </c>
      <c r="J486" s="135" t="s">
        <v>89</v>
      </c>
      <c r="K486" s="135" t="s">
        <v>5380</v>
      </c>
      <c r="L486" s="135" t="s">
        <v>5381</v>
      </c>
      <c r="M486" s="333">
        <v>39184.0</v>
      </c>
      <c r="N486" s="138" t="s">
        <v>67</v>
      </c>
      <c r="O486" s="348"/>
      <c r="P486" s="135" t="s">
        <v>68</v>
      </c>
      <c r="Q486" s="138"/>
      <c r="R486" s="138">
        <v>8.1377052653E10</v>
      </c>
      <c r="S486" s="135" t="s">
        <v>5382</v>
      </c>
      <c r="T486" s="135" t="s">
        <v>5383</v>
      </c>
      <c r="U486" s="135" t="s">
        <v>5384</v>
      </c>
      <c r="V486" s="135" t="s">
        <v>96</v>
      </c>
      <c r="W486" s="135" t="s">
        <v>97</v>
      </c>
      <c r="X486" s="135" t="s">
        <v>1784</v>
      </c>
      <c r="Y486" s="135" t="s">
        <v>1785</v>
      </c>
      <c r="Z486" s="138">
        <v>0.0</v>
      </c>
      <c r="AA486" s="138">
        <v>0.0</v>
      </c>
    </row>
    <row r="487">
      <c r="A487" s="332">
        <v>15.0</v>
      </c>
      <c r="B487" s="135" t="s">
        <v>5385</v>
      </c>
      <c r="C487" s="135" t="s">
        <v>5386</v>
      </c>
      <c r="D487" s="332" t="s">
        <v>5952</v>
      </c>
      <c r="E487" s="124" t="s">
        <v>88</v>
      </c>
      <c r="F487" s="332" t="s">
        <v>5953</v>
      </c>
      <c r="G487" s="332" t="s">
        <v>5954</v>
      </c>
      <c r="H487" s="135" t="s">
        <v>142</v>
      </c>
      <c r="I487" s="135" t="s">
        <v>5219</v>
      </c>
      <c r="J487" s="135" t="s">
        <v>89</v>
      </c>
      <c r="K487" s="135" t="s">
        <v>1562</v>
      </c>
      <c r="L487" s="135" t="s">
        <v>244</v>
      </c>
      <c r="M487" s="335">
        <v>43168.0</v>
      </c>
      <c r="N487" s="138" t="s">
        <v>67</v>
      </c>
      <c r="O487" s="348"/>
      <c r="P487" s="135" t="s">
        <v>68</v>
      </c>
      <c r="Q487" s="138"/>
      <c r="R487" s="138">
        <v>8.2386312862E10</v>
      </c>
      <c r="S487" s="135" t="s">
        <v>5387</v>
      </c>
      <c r="T487" s="135" t="s">
        <v>5388</v>
      </c>
      <c r="U487" s="135" t="s">
        <v>5389</v>
      </c>
      <c r="V487" s="135" t="s">
        <v>73</v>
      </c>
      <c r="W487" s="135" t="s">
        <v>74</v>
      </c>
      <c r="X487" s="135" t="s">
        <v>360</v>
      </c>
      <c r="Y487" s="135" t="s">
        <v>827</v>
      </c>
      <c r="Z487" s="138">
        <v>0.0</v>
      </c>
      <c r="AA487" s="138">
        <v>0.0</v>
      </c>
    </row>
    <row r="488">
      <c r="A488" s="332">
        <v>16.0</v>
      </c>
      <c r="B488" s="135" t="s">
        <v>5390</v>
      </c>
      <c r="C488" s="135" t="s">
        <v>5391</v>
      </c>
      <c r="D488" s="332" t="s">
        <v>5952</v>
      </c>
      <c r="E488" s="124" t="s">
        <v>88</v>
      </c>
      <c r="F488" s="332" t="s">
        <v>5953</v>
      </c>
      <c r="G488" s="332" t="s">
        <v>5954</v>
      </c>
      <c r="H488" s="135" t="s">
        <v>142</v>
      </c>
      <c r="I488" s="135" t="s">
        <v>5219</v>
      </c>
      <c r="J488" s="135" t="s">
        <v>89</v>
      </c>
      <c r="K488" s="135" t="s">
        <v>90</v>
      </c>
      <c r="L488" s="135" t="s">
        <v>260</v>
      </c>
      <c r="M488" s="333">
        <v>39674.0</v>
      </c>
      <c r="N488" s="138" t="s">
        <v>67</v>
      </c>
      <c r="O488" s="348"/>
      <c r="P488" s="135" t="s">
        <v>68</v>
      </c>
      <c r="Q488" s="138"/>
      <c r="R488" s="138">
        <v>8.2360356725E10</v>
      </c>
      <c r="S488" s="135" t="s">
        <v>5392</v>
      </c>
      <c r="T488" s="135" t="s">
        <v>5393</v>
      </c>
      <c r="U488" s="135" t="s">
        <v>5394</v>
      </c>
      <c r="V488" s="135" t="s">
        <v>73</v>
      </c>
      <c r="W488" s="135" t="s">
        <v>74</v>
      </c>
      <c r="X488" s="135" t="s">
        <v>191</v>
      </c>
      <c r="Y488" s="135" t="s">
        <v>2010</v>
      </c>
      <c r="Z488" s="138">
        <v>0.0</v>
      </c>
      <c r="AA488" s="138">
        <v>0.0</v>
      </c>
    </row>
    <row r="489">
      <c r="A489" s="332">
        <v>17.0</v>
      </c>
      <c r="B489" s="135" t="s">
        <v>5395</v>
      </c>
      <c r="C489" s="135" t="s">
        <v>5396</v>
      </c>
      <c r="D489" s="332" t="s">
        <v>5952</v>
      </c>
      <c r="E489" s="124" t="s">
        <v>88</v>
      </c>
      <c r="F489" s="332" t="s">
        <v>5953</v>
      </c>
      <c r="G489" s="332" t="s">
        <v>5954</v>
      </c>
      <c r="H489" s="135" t="s">
        <v>142</v>
      </c>
      <c r="I489" s="135" t="s">
        <v>5219</v>
      </c>
      <c r="J489" s="135" t="s">
        <v>89</v>
      </c>
      <c r="K489" s="135" t="s">
        <v>218</v>
      </c>
      <c r="L489" s="135" t="s">
        <v>5397</v>
      </c>
      <c r="M489" s="335">
        <v>44810.0</v>
      </c>
      <c r="N489" s="138" t="s">
        <v>220</v>
      </c>
      <c r="O489" s="348"/>
      <c r="P489" s="135" t="s">
        <v>68</v>
      </c>
      <c r="Q489" s="138"/>
      <c r="R489" s="138">
        <v>8.1362718862E10</v>
      </c>
      <c r="S489" s="135" t="s">
        <v>5398</v>
      </c>
      <c r="T489" s="135" t="s">
        <v>5399</v>
      </c>
      <c r="U489" s="135" t="s">
        <v>4080</v>
      </c>
      <c r="V489" s="135" t="s">
        <v>73</v>
      </c>
      <c r="W489" s="135" t="s">
        <v>74</v>
      </c>
      <c r="X489" s="135" t="s">
        <v>925</v>
      </c>
      <c r="Y489" s="135" t="s">
        <v>4081</v>
      </c>
      <c r="Z489" s="138">
        <v>0.0</v>
      </c>
      <c r="AA489" s="138">
        <v>0.0</v>
      </c>
    </row>
    <row r="490">
      <c r="A490" s="332">
        <v>18.0</v>
      </c>
      <c r="B490" s="135" t="s">
        <v>5400</v>
      </c>
      <c r="C490" s="135" t="s">
        <v>5401</v>
      </c>
      <c r="D490" s="332" t="s">
        <v>5952</v>
      </c>
      <c r="E490" s="124" t="s">
        <v>88</v>
      </c>
      <c r="F490" s="332" t="s">
        <v>5953</v>
      </c>
      <c r="G490" s="332" t="s">
        <v>5954</v>
      </c>
      <c r="H490" s="135" t="s">
        <v>519</v>
      </c>
      <c r="I490" s="135" t="s">
        <v>5219</v>
      </c>
      <c r="J490" s="135" t="s">
        <v>267</v>
      </c>
      <c r="K490" s="135" t="s">
        <v>1071</v>
      </c>
      <c r="L490" s="135" t="s">
        <v>231</v>
      </c>
      <c r="M490" s="333">
        <v>39899.0</v>
      </c>
      <c r="N490" s="138" t="s">
        <v>220</v>
      </c>
      <c r="O490" s="348"/>
      <c r="P490" s="135" t="s">
        <v>68</v>
      </c>
      <c r="Q490" s="138"/>
      <c r="R490" s="138">
        <v>8.13753612E10</v>
      </c>
      <c r="S490" s="135" t="s">
        <v>5402</v>
      </c>
      <c r="T490" s="135" t="s">
        <v>5403</v>
      </c>
      <c r="U490" s="135" t="s">
        <v>5404</v>
      </c>
      <c r="V490" s="135" t="s">
        <v>96</v>
      </c>
      <c r="W490" s="135" t="s">
        <v>97</v>
      </c>
      <c r="X490" s="135" t="s">
        <v>236</v>
      </c>
      <c r="Y490" s="135" t="s">
        <v>1898</v>
      </c>
      <c r="Z490" s="138">
        <v>0.0</v>
      </c>
      <c r="AA490" s="138">
        <v>0.0</v>
      </c>
    </row>
    <row r="491">
      <c r="A491" s="332">
        <v>19.0</v>
      </c>
      <c r="B491" s="135" t="s">
        <v>5405</v>
      </c>
      <c r="C491" s="135" t="s">
        <v>5406</v>
      </c>
      <c r="D491" s="332" t="s">
        <v>5952</v>
      </c>
      <c r="E491" s="124" t="s">
        <v>88</v>
      </c>
      <c r="F491" s="332" t="s">
        <v>5953</v>
      </c>
      <c r="G491" s="332" t="s">
        <v>5954</v>
      </c>
      <c r="H491" s="135" t="s">
        <v>142</v>
      </c>
      <c r="I491" s="135" t="s">
        <v>5219</v>
      </c>
      <c r="J491" s="135" t="s">
        <v>285</v>
      </c>
      <c r="K491" s="135"/>
      <c r="L491" s="135" t="s">
        <v>5407</v>
      </c>
      <c r="M491" s="333">
        <v>38152.0</v>
      </c>
      <c r="N491" s="138" t="s">
        <v>67</v>
      </c>
      <c r="O491" s="348"/>
      <c r="P491" s="135" t="s">
        <v>130</v>
      </c>
      <c r="Q491" s="138"/>
      <c r="R491" s="138">
        <v>8.1263346152E10</v>
      </c>
      <c r="S491" s="135" t="s">
        <v>5408</v>
      </c>
      <c r="T491" s="135" t="s">
        <v>5409</v>
      </c>
      <c r="U491" s="135" t="s">
        <v>5410</v>
      </c>
      <c r="V491" s="135" t="s">
        <v>96</v>
      </c>
      <c r="W491" s="135" t="s">
        <v>135</v>
      </c>
      <c r="X491" s="135" t="s">
        <v>1802</v>
      </c>
      <c r="Y491" s="135" t="s">
        <v>1803</v>
      </c>
      <c r="Z491" s="138"/>
      <c r="AA491" s="138"/>
    </row>
    <row r="492">
      <c r="A492" s="332">
        <v>20.0</v>
      </c>
      <c r="B492" s="135" t="s">
        <v>5411</v>
      </c>
      <c r="C492" s="135" t="s">
        <v>5412</v>
      </c>
      <c r="D492" s="332" t="s">
        <v>5952</v>
      </c>
      <c r="E492" s="124" t="s">
        <v>88</v>
      </c>
      <c r="F492" s="332" t="s">
        <v>5953</v>
      </c>
      <c r="G492" s="332" t="s">
        <v>5954</v>
      </c>
      <c r="H492" s="135" t="s">
        <v>519</v>
      </c>
      <c r="I492" s="135" t="s">
        <v>5219</v>
      </c>
      <c r="J492" s="135" t="s">
        <v>267</v>
      </c>
      <c r="K492" s="135" t="s">
        <v>5413</v>
      </c>
      <c r="L492" s="135" t="s">
        <v>231</v>
      </c>
      <c r="M492" s="333">
        <v>42943.0</v>
      </c>
      <c r="N492" s="138" t="s">
        <v>311</v>
      </c>
      <c r="O492" s="348"/>
      <c r="P492" s="135" t="s">
        <v>68</v>
      </c>
      <c r="Q492" s="138"/>
      <c r="R492" s="138">
        <v>8.2167853194E10</v>
      </c>
      <c r="S492" s="135" t="s">
        <v>5414</v>
      </c>
      <c r="T492" s="135" t="s">
        <v>5415</v>
      </c>
      <c r="U492" s="135" t="s">
        <v>5416</v>
      </c>
      <c r="V492" s="135" t="s">
        <v>96</v>
      </c>
      <c r="W492" s="135" t="s">
        <v>97</v>
      </c>
      <c r="X492" s="135" t="s">
        <v>272</v>
      </c>
      <c r="Y492" s="135" t="s">
        <v>5011</v>
      </c>
      <c r="Z492" s="138"/>
      <c r="AA492" s="138"/>
    </row>
    <row r="493">
      <c r="A493" s="332">
        <v>21.0</v>
      </c>
      <c r="B493" s="135" t="s">
        <v>5417</v>
      </c>
      <c r="C493" s="135" t="s">
        <v>5418</v>
      </c>
      <c r="D493" s="332" t="s">
        <v>5952</v>
      </c>
      <c r="E493" s="124" t="s">
        <v>88</v>
      </c>
      <c r="F493" s="332" t="s">
        <v>5953</v>
      </c>
      <c r="G493" s="332" t="s">
        <v>5954</v>
      </c>
      <c r="H493" s="135" t="s">
        <v>142</v>
      </c>
      <c r="I493" s="135" t="s">
        <v>5219</v>
      </c>
      <c r="J493" s="135" t="s">
        <v>159</v>
      </c>
      <c r="K493" s="135" t="s">
        <v>4362</v>
      </c>
      <c r="L493" s="135" t="s">
        <v>648</v>
      </c>
      <c r="M493" s="333">
        <v>41811.0</v>
      </c>
      <c r="N493" s="138" t="s">
        <v>67</v>
      </c>
      <c r="O493" s="348"/>
      <c r="P493" s="135" t="s">
        <v>130</v>
      </c>
      <c r="Q493" s="138"/>
      <c r="R493" s="138">
        <v>8.116711589E9</v>
      </c>
      <c r="S493" s="135" t="s">
        <v>5419</v>
      </c>
      <c r="T493" s="135" t="s">
        <v>5420</v>
      </c>
      <c r="U493" s="135" t="s">
        <v>5421</v>
      </c>
      <c r="V493" s="135" t="s">
        <v>73</v>
      </c>
      <c r="W493" s="135" t="s">
        <v>74</v>
      </c>
      <c r="X493" s="135" t="s">
        <v>1698</v>
      </c>
      <c r="Y493" s="135" t="s">
        <v>5422</v>
      </c>
      <c r="Z493" s="138">
        <v>0.0</v>
      </c>
      <c r="AA493" s="138">
        <v>0.0</v>
      </c>
    </row>
    <row r="494">
      <c r="A494" s="332">
        <v>22.0</v>
      </c>
      <c r="B494" s="135" t="s">
        <v>5423</v>
      </c>
      <c r="C494" s="135" t="s">
        <v>5424</v>
      </c>
      <c r="D494" s="332" t="s">
        <v>5952</v>
      </c>
      <c r="E494" s="124" t="s">
        <v>88</v>
      </c>
      <c r="F494" s="332" t="s">
        <v>5953</v>
      </c>
      <c r="G494" s="332" t="s">
        <v>5954</v>
      </c>
      <c r="H494" s="135" t="s">
        <v>142</v>
      </c>
      <c r="I494" s="135" t="s">
        <v>5219</v>
      </c>
      <c r="J494" s="135" t="s">
        <v>89</v>
      </c>
      <c r="K494" s="135" t="s">
        <v>1214</v>
      </c>
      <c r="L494" s="135" t="s">
        <v>3493</v>
      </c>
      <c r="M494" s="335">
        <v>39995.0</v>
      </c>
      <c r="N494" s="138" t="s">
        <v>220</v>
      </c>
      <c r="O494" s="348"/>
      <c r="P494" s="135" t="s">
        <v>130</v>
      </c>
      <c r="Q494" s="348"/>
      <c r="R494" s="138">
        <v>8.11643411E8</v>
      </c>
      <c r="S494" s="135" t="s">
        <v>5425</v>
      </c>
      <c r="T494" s="135" t="s">
        <v>5426</v>
      </c>
      <c r="U494" s="135" t="s">
        <v>5427</v>
      </c>
      <c r="V494" s="135" t="s">
        <v>73</v>
      </c>
      <c r="W494" s="135" t="s">
        <v>74</v>
      </c>
      <c r="X494" s="135" t="s">
        <v>75</v>
      </c>
      <c r="Y494" s="135" t="s">
        <v>1236</v>
      </c>
      <c r="Z494" s="138"/>
      <c r="AA494" s="138"/>
    </row>
    <row r="495">
      <c r="A495" s="332">
        <v>23.0</v>
      </c>
      <c r="B495" s="135" t="s">
        <v>5428</v>
      </c>
      <c r="C495" s="135" t="s">
        <v>5429</v>
      </c>
      <c r="D495" s="332" t="s">
        <v>5952</v>
      </c>
      <c r="E495" s="124" t="s">
        <v>88</v>
      </c>
      <c r="F495" s="332" t="s">
        <v>5953</v>
      </c>
      <c r="G495" s="332" t="s">
        <v>5954</v>
      </c>
      <c r="H495" s="135" t="s">
        <v>519</v>
      </c>
      <c r="I495" s="135" t="s">
        <v>5219</v>
      </c>
      <c r="J495" s="135" t="s">
        <v>267</v>
      </c>
      <c r="K495" s="135" t="s">
        <v>5430</v>
      </c>
      <c r="L495" s="135" t="s">
        <v>5431</v>
      </c>
      <c r="M495" s="335">
        <v>38626.0</v>
      </c>
      <c r="N495" s="138" t="s">
        <v>311</v>
      </c>
      <c r="O495" s="348"/>
      <c r="P495" s="135" t="s">
        <v>68</v>
      </c>
      <c r="Q495" s="348"/>
      <c r="R495" s="138">
        <v>8.5262262602E10</v>
      </c>
      <c r="S495" s="135" t="s">
        <v>5432</v>
      </c>
      <c r="T495" s="135" t="s">
        <v>5433</v>
      </c>
      <c r="U495" s="135" t="s">
        <v>5434</v>
      </c>
      <c r="V495" s="135" t="s">
        <v>73</v>
      </c>
      <c r="W495" s="135" t="s">
        <v>481</v>
      </c>
      <c r="X495" s="135" t="s">
        <v>75</v>
      </c>
      <c r="Y495" s="135" t="s">
        <v>315</v>
      </c>
      <c r="Z495" s="138">
        <v>0.0</v>
      </c>
      <c r="AA495" s="138">
        <v>0.0</v>
      </c>
    </row>
    <row r="496">
      <c r="A496" s="332">
        <v>24.0</v>
      </c>
      <c r="B496" s="135" t="s">
        <v>5435</v>
      </c>
      <c r="C496" s="135" t="s">
        <v>5436</v>
      </c>
      <c r="D496" s="332" t="s">
        <v>5952</v>
      </c>
      <c r="E496" s="124" t="s">
        <v>88</v>
      </c>
      <c r="F496" s="332" t="s">
        <v>5953</v>
      </c>
      <c r="G496" s="332" t="s">
        <v>5954</v>
      </c>
      <c r="H496" s="135" t="s">
        <v>532</v>
      </c>
      <c r="I496" s="135" t="s">
        <v>5219</v>
      </c>
      <c r="J496" s="135" t="s">
        <v>285</v>
      </c>
      <c r="K496" s="135" t="s">
        <v>1017</v>
      </c>
      <c r="L496" s="135" t="s">
        <v>5437</v>
      </c>
      <c r="M496" s="333">
        <v>36309.0</v>
      </c>
      <c r="N496" s="138" t="s">
        <v>220</v>
      </c>
      <c r="O496" s="348"/>
      <c r="P496" s="135" t="s">
        <v>130</v>
      </c>
      <c r="Q496" s="348"/>
      <c r="R496" s="138">
        <v>8.2168575881E10</v>
      </c>
      <c r="S496" s="135" t="s">
        <v>5438</v>
      </c>
      <c r="T496" s="135" t="s">
        <v>5439</v>
      </c>
      <c r="U496" s="135" t="s">
        <v>5440</v>
      </c>
      <c r="V496" s="135" t="s">
        <v>96</v>
      </c>
      <c r="W496" s="135" t="s">
        <v>97</v>
      </c>
      <c r="X496" s="135" t="s">
        <v>272</v>
      </c>
      <c r="Y496" s="135" t="s">
        <v>5441</v>
      </c>
      <c r="Z496" s="138"/>
      <c r="AA496" s="138"/>
    </row>
    <row r="497">
      <c r="A497" s="332">
        <v>25.0</v>
      </c>
      <c r="B497" s="135" t="s">
        <v>5442</v>
      </c>
      <c r="C497" s="135" t="s">
        <v>5443</v>
      </c>
      <c r="D497" s="332" t="s">
        <v>5952</v>
      </c>
      <c r="E497" s="124" t="s">
        <v>88</v>
      </c>
      <c r="F497" s="332" t="s">
        <v>5953</v>
      </c>
      <c r="G497" s="332" t="s">
        <v>5954</v>
      </c>
      <c r="H497" s="135" t="s">
        <v>532</v>
      </c>
      <c r="I497" s="135" t="s">
        <v>5219</v>
      </c>
      <c r="J497" s="135" t="s">
        <v>285</v>
      </c>
      <c r="K497" s="135" t="s">
        <v>2493</v>
      </c>
      <c r="L497" s="135" t="s">
        <v>5444</v>
      </c>
      <c r="M497" s="333">
        <v>39613.0</v>
      </c>
      <c r="N497" s="138" t="s">
        <v>67</v>
      </c>
      <c r="O497" s="348"/>
      <c r="P497" s="135" t="s">
        <v>68</v>
      </c>
      <c r="Q497" s="348"/>
      <c r="R497" s="138">
        <v>8.2277048558E10</v>
      </c>
      <c r="S497" s="135" t="s">
        <v>5445</v>
      </c>
      <c r="T497" s="135" t="s">
        <v>5446</v>
      </c>
      <c r="U497" s="135" t="s">
        <v>5447</v>
      </c>
      <c r="V497" s="135" t="s">
        <v>96</v>
      </c>
      <c r="W497" s="135" t="s">
        <v>97</v>
      </c>
      <c r="X497" s="135" t="s">
        <v>499</v>
      </c>
      <c r="Y497" s="135" t="s">
        <v>1479</v>
      </c>
      <c r="Z497" s="138" t="s">
        <v>77</v>
      </c>
      <c r="AA497" s="138" t="s">
        <v>77</v>
      </c>
    </row>
    <row r="498">
      <c r="A498" s="332">
        <v>26.0</v>
      </c>
      <c r="B498" s="135" t="s">
        <v>5448</v>
      </c>
      <c r="C498" s="135" t="s">
        <v>5449</v>
      </c>
      <c r="D498" s="332" t="s">
        <v>5952</v>
      </c>
      <c r="E498" s="124" t="s">
        <v>88</v>
      </c>
      <c r="F498" s="332" t="s">
        <v>5953</v>
      </c>
      <c r="G498" s="332" t="s">
        <v>5954</v>
      </c>
      <c r="H498" s="135" t="s">
        <v>142</v>
      </c>
      <c r="I498" s="135" t="s">
        <v>5219</v>
      </c>
      <c r="J498" s="135" t="s">
        <v>89</v>
      </c>
      <c r="K498" s="135" t="s">
        <v>2132</v>
      </c>
      <c r="L498" s="135" t="s">
        <v>231</v>
      </c>
      <c r="M498" s="333">
        <v>39622.0</v>
      </c>
      <c r="N498" s="138" t="s">
        <v>220</v>
      </c>
      <c r="O498" s="348"/>
      <c r="P498" s="135" t="s">
        <v>130</v>
      </c>
      <c r="Q498" s="348"/>
      <c r="R498" s="138">
        <v>8.1377494777E10</v>
      </c>
      <c r="S498" s="135" t="s">
        <v>5450</v>
      </c>
      <c r="T498" s="135" t="s">
        <v>5451</v>
      </c>
      <c r="U498" s="135" t="s">
        <v>5452</v>
      </c>
      <c r="V498" s="135" t="s">
        <v>96</v>
      </c>
      <c r="W498" s="135" t="s">
        <v>97</v>
      </c>
      <c r="X498" s="135" t="s">
        <v>272</v>
      </c>
      <c r="Y498" s="135" t="s">
        <v>5453</v>
      </c>
      <c r="Z498" s="138"/>
      <c r="AA498" s="138"/>
    </row>
    <row r="499">
      <c r="A499" s="332">
        <v>27.0</v>
      </c>
      <c r="B499" s="135" t="s">
        <v>5454</v>
      </c>
      <c r="C499" s="135" t="s">
        <v>5455</v>
      </c>
      <c r="D499" s="332" t="s">
        <v>5952</v>
      </c>
      <c r="E499" s="124" t="s">
        <v>88</v>
      </c>
      <c r="F499" s="332" t="s">
        <v>5953</v>
      </c>
      <c r="G499" s="332" t="s">
        <v>5954</v>
      </c>
      <c r="H499" s="135" t="s">
        <v>142</v>
      </c>
      <c r="I499" s="135" t="s">
        <v>5219</v>
      </c>
      <c r="J499" s="135" t="s">
        <v>89</v>
      </c>
      <c r="K499" s="135" t="s">
        <v>5456</v>
      </c>
      <c r="L499" s="135" t="s">
        <v>648</v>
      </c>
      <c r="M499" s="333">
        <v>39949.0</v>
      </c>
      <c r="N499" s="138" t="s">
        <v>311</v>
      </c>
      <c r="O499" s="348"/>
      <c r="P499" s="135" t="s">
        <v>130</v>
      </c>
      <c r="Q499" s="348"/>
      <c r="R499" s="138">
        <v>8.52701386E10</v>
      </c>
      <c r="S499" s="135" t="s">
        <v>5457</v>
      </c>
      <c r="T499" s="135" t="s">
        <v>5458</v>
      </c>
      <c r="U499" s="135" t="s">
        <v>5459</v>
      </c>
      <c r="V499" s="135" t="s">
        <v>73</v>
      </c>
      <c r="W499" s="135" t="s">
        <v>166</v>
      </c>
      <c r="X499" s="135" t="s">
        <v>167</v>
      </c>
      <c r="Y499" s="135" t="s">
        <v>982</v>
      </c>
      <c r="Z499" s="138">
        <v>1.0</v>
      </c>
      <c r="AA499" s="138">
        <v>1.0</v>
      </c>
    </row>
    <row r="500">
      <c r="A500" s="332">
        <v>28.0</v>
      </c>
      <c r="B500" s="135" t="s">
        <v>5460</v>
      </c>
      <c r="C500" s="135" t="s">
        <v>5461</v>
      </c>
      <c r="D500" s="332" t="s">
        <v>5952</v>
      </c>
      <c r="E500" s="124" t="s">
        <v>88</v>
      </c>
      <c r="F500" s="332" t="s">
        <v>5953</v>
      </c>
      <c r="G500" s="332" t="s">
        <v>5954</v>
      </c>
      <c r="H500" s="135" t="s">
        <v>142</v>
      </c>
      <c r="I500" s="135" t="s">
        <v>5219</v>
      </c>
      <c r="J500" s="135" t="s">
        <v>89</v>
      </c>
      <c r="K500" s="135" t="s">
        <v>218</v>
      </c>
      <c r="L500" s="135" t="s">
        <v>419</v>
      </c>
      <c r="M500" s="333">
        <v>41020.0</v>
      </c>
      <c r="N500" s="138" t="s">
        <v>67</v>
      </c>
      <c r="O500" s="348"/>
      <c r="P500" s="135" t="s">
        <v>68</v>
      </c>
      <c r="Q500" s="348"/>
      <c r="R500" s="138">
        <v>8.1370304413E10</v>
      </c>
      <c r="S500" s="135" t="s">
        <v>5462</v>
      </c>
      <c r="T500" s="135" t="s">
        <v>5463</v>
      </c>
      <c r="U500" s="135" t="s">
        <v>5464</v>
      </c>
      <c r="V500" s="135" t="s">
        <v>96</v>
      </c>
      <c r="W500" s="135" t="s">
        <v>97</v>
      </c>
      <c r="X500" s="135" t="s">
        <v>136</v>
      </c>
      <c r="Y500" s="135" t="s">
        <v>151</v>
      </c>
      <c r="Z500" s="138"/>
      <c r="AA500" s="138"/>
    </row>
    <row r="501">
      <c r="A501" s="332">
        <v>29.0</v>
      </c>
      <c r="B501" s="135" t="s">
        <v>5465</v>
      </c>
      <c r="C501" s="135" t="s">
        <v>5466</v>
      </c>
      <c r="D501" s="332" t="s">
        <v>5952</v>
      </c>
      <c r="E501" s="124" t="s">
        <v>88</v>
      </c>
      <c r="F501" s="332" t="s">
        <v>5953</v>
      </c>
      <c r="G501" s="332" t="s">
        <v>5954</v>
      </c>
      <c r="H501" s="135" t="s">
        <v>142</v>
      </c>
      <c r="I501" s="135" t="s">
        <v>5219</v>
      </c>
      <c r="J501" s="135" t="s">
        <v>89</v>
      </c>
      <c r="K501" s="135" t="s">
        <v>90</v>
      </c>
      <c r="L501" s="135" t="s">
        <v>5467</v>
      </c>
      <c r="M501" s="333">
        <v>40873.0</v>
      </c>
      <c r="N501" s="138" t="s">
        <v>67</v>
      </c>
      <c r="O501" s="348"/>
      <c r="P501" s="135" t="s">
        <v>68</v>
      </c>
      <c r="Q501" s="348"/>
      <c r="R501" s="138">
        <v>8.534009401E10</v>
      </c>
      <c r="S501" s="135" t="s">
        <v>5468</v>
      </c>
      <c r="T501" s="135" t="s">
        <v>5469</v>
      </c>
      <c r="U501" s="135" t="s">
        <v>5470</v>
      </c>
      <c r="V501" s="135" t="s">
        <v>73</v>
      </c>
      <c r="W501" s="135" t="s">
        <v>481</v>
      </c>
      <c r="X501" s="135" t="s">
        <v>1698</v>
      </c>
      <c r="Y501" s="135" t="s">
        <v>5041</v>
      </c>
      <c r="Z501" s="138"/>
      <c r="AA501" s="138"/>
    </row>
    <row r="502">
      <c r="A502" s="332">
        <v>30.0</v>
      </c>
      <c r="B502" s="135" t="s">
        <v>5471</v>
      </c>
      <c r="C502" s="135" t="s">
        <v>5472</v>
      </c>
      <c r="D502" s="332" t="s">
        <v>5952</v>
      </c>
      <c r="E502" s="124" t="s">
        <v>88</v>
      </c>
      <c r="F502" s="332" t="s">
        <v>5953</v>
      </c>
      <c r="G502" s="332" t="s">
        <v>5954</v>
      </c>
      <c r="H502" s="135" t="s">
        <v>142</v>
      </c>
      <c r="I502" s="135" t="s">
        <v>5219</v>
      </c>
      <c r="J502" s="135" t="s">
        <v>89</v>
      </c>
      <c r="K502" s="135" t="s">
        <v>160</v>
      </c>
      <c r="L502" s="135" t="s">
        <v>745</v>
      </c>
      <c r="M502" s="333">
        <v>39903.0</v>
      </c>
      <c r="N502" s="138" t="s">
        <v>67</v>
      </c>
      <c r="O502" s="348"/>
      <c r="P502" s="135" t="s">
        <v>68</v>
      </c>
      <c r="Q502" s="348"/>
      <c r="R502" s="138">
        <v>8.1263126006E10</v>
      </c>
      <c r="S502" s="135" t="s">
        <v>5473</v>
      </c>
      <c r="T502" s="135" t="s">
        <v>5474</v>
      </c>
      <c r="U502" s="135" t="s">
        <v>5475</v>
      </c>
      <c r="V502" s="135" t="s">
        <v>96</v>
      </c>
      <c r="W502" s="135" t="s">
        <v>97</v>
      </c>
      <c r="X502" s="135" t="s">
        <v>1429</v>
      </c>
      <c r="Y502" s="135" t="s">
        <v>1960</v>
      </c>
      <c r="Z502" s="138"/>
      <c r="AA502" s="138"/>
    </row>
    <row r="503">
      <c r="A503" s="332">
        <v>31.0</v>
      </c>
      <c r="B503" s="135" t="s">
        <v>5476</v>
      </c>
      <c r="C503" s="135" t="s">
        <v>5477</v>
      </c>
      <c r="D503" s="332" t="s">
        <v>5952</v>
      </c>
      <c r="E503" s="124" t="s">
        <v>88</v>
      </c>
      <c r="F503" s="332" t="s">
        <v>5953</v>
      </c>
      <c r="G503" s="332" t="s">
        <v>5954</v>
      </c>
      <c r="H503" s="135" t="s">
        <v>142</v>
      </c>
      <c r="I503" s="135" t="s">
        <v>5219</v>
      </c>
      <c r="J503" s="135" t="s">
        <v>89</v>
      </c>
      <c r="K503" s="135" t="s">
        <v>418</v>
      </c>
      <c r="L503" s="135" t="s">
        <v>5478</v>
      </c>
      <c r="M503" s="333">
        <v>41547.0</v>
      </c>
      <c r="N503" s="138" t="s">
        <v>67</v>
      </c>
      <c r="O503" s="348"/>
      <c r="P503" s="135" t="s">
        <v>68</v>
      </c>
      <c r="Q503" s="348"/>
      <c r="R503" s="138">
        <v>8.1375072841E10</v>
      </c>
      <c r="S503" s="135" t="s">
        <v>5479</v>
      </c>
      <c r="T503" s="135" t="s">
        <v>5480</v>
      </c>
      <c r="U503" s="135" t="s">
        <v>5481</v>
      </c>
      <c r="V503" s="135" t="s">
        <v>96</v>
      </c>
      <c r="W503" s="135" t="s">
        <v>97</v>
      </c>
      <c r="X503" s="135" t="s">
        <v>1511</v>
      </c>
      <c r="Y503" s="135" t="s">
        <v>5482</v>
      </c>
      <c r="Z503" s="138"/>
      <c r="AA503" s="138"/>
    </row>
    <row r="504">
      <c r="A504" s="332">
        <v>32.0</v>
      </c>
      <c r="B504" s="135" t="s">
        <v>5483</v>
      </c>
      <c r="C504" s="135" t="s">
        <v>5484</v>
      </c>
      <c r="D504" s="332" t="s">
        <v>5952</v>
      </c>
      <c r="E504" s="124" t="s">
        <v>88</v>
      </c>
      <c r="F504" s="332" t="s">
        <v>5953</v>
      </c>
      <c r="G504" s="332" t="s">
        <v>5954</v>
      </c>
      <c r="H504" s="135" t="s">
        <v>142</v>
      </c>
      <c r="I504" s="135" t="s">
        <v>5219</v>
      </c>
      <c r="J504" s="135" t="s">
        <v>89</v>
      </c>
      <c r="K504" s="135" t="s">
        <v>230</v>
      </c>
      <c r="L504" s="135" t="s">
        <v>2856</v>
      </c>
      <c r="M504" s="333">
        <v>44195.0</v>
      </c>
      <c r="N504" s="138" t="s">
        <v>67</v>
      </c>
      <c r="O504" s="348"/>
      <c r="P504" s="135" t="s">
        <v>130</v>
      </c>
      <c r="Q504" s="348"/>
      <c r="R504" s="138">
        <v>8.1262251195E10</v>
      </c>
      <c r="S504" s="135" t="s">
        <v>5485</v>
      </c>
      <c r="T504" s="135" t="s">
        <v>5486</v>
      </c>
      <c r="U504" s="135" t="s">
        <v>5487</v>
      </c>
      <c r="V504" s="135" t="s">
        <v>73</v>
      </c>
      <c r="W504" s="135" t="s">
        <v>481</v>
      </c>
      <c r="X504" s="135" t="s">
        <v>1291</v>
      </c>
      <c r="Y504" s="135" t="s">
        <v>3383</v>
      </c>
      <c r="Z504" s="138"/>
      <c r="AA504" s="138"/>
    </row>
    <row r="505">
      <c r="A505" s="332">
        <v>33.0</v>
      </c>
      <c r="B505" s="135" t="s">
        <v>5488</v>
      </c>
      <c r="C505" s="135" t="s">
        <v>5489</v>
      </c>
      <c r="D505" s="332" t="s">
        <v>5952</v>
      </c>
      <c r="E505" s="124" t="s">
        <v>88</v>
      </c>
      <c r="F505" s="332" t="s">
        <v>5953</v>
      </c>
      <c r="G505" s="332" t="s">
        <v>5954</v>
      </c>
      <c r="H505" s="135" t="s">
        <v>519</v>
      </c>
      <c r="I505" s="135" t="s">
        <v>5219</v>
      </c>
      <c r="J505" s="135" t="s">
        <v>89</v>
      </c>
      <c r="K505" s="135" t="s">
        <v>5490</v>
      </c>
      <c r="L505" s="135" t="s">
        <v>5491</v>
      </c>
      <c r="M505" s="333">
        <v>44968.0</v>
      </c>
      <c r="N505" s="138" t="s">
        <v>67</v>
      </c>
      <c r="O505" s="348"/>
      <c r="P505" s="135" t="s">
        <v>68</v>
      </c>
      <c r="Q505" s="348"/>
      <c r="R505" s="138">
        <v>8.1366390492E10</v>
      </c>
      <c r="S505" s="135" t="s">
        <v>5492</v>
      </c>
      <c r="T505" s="135" t="s">
        <v>5493</v>
      </c>
      <c r="U505" s="135" t="s">
        <v>5494</v>
      </c>
      <c r="V505" s="135" t="s">
        <v>96</v>
      </c>
      <c r="W505" s="135" t="s">
        <v>97</v>
      </c>
      <c r="X505" s="135" t="s">
        <v>272</v>
      </c>
      <c r="Y505" s="135" t="s">
        <v>5269</v>
      </c>
      <c r="Z505" s="138">
        <v>0.0</v>
      </c>
      <c r="AA505" s="138">
        <v>0.0</v>
      </c>
    </row>
    <row r="506">
      <c r="A506" s="332">
        <v>34.0</v>
      </c>
      <c r="B506" s="135" t="s">
        <v>5495</v>
      </c>
      <c r="C506" s="135" t="s">
        <v>5496</v>
      </c>
      <c r="D506" s="332" t="s">
        <v>5952</v>
      </c>
      <c r="E506" s="124" t="s">
        <v>88</v>
      </c>
      <c r="F506" s="332" t="s">
        <v>5953</v>
      </c>
      <c r="G506" s="332" t="s">
        <v>5954</v>
      </c>
      <c r="H506" s="135" t="s">
        <v>519</v>
      </c>
      <c r="I506" s="135" t="s">
        <v>5219</v>
      </c>
      <c r="J506" s="135" t="s">
        <v>267</v>
      </c>
      <c r="K506" s="135"/>
      <c r="L506" s="135" t="s">
        <v>244</v>
      </c>
      <c r="M506" s="335">
        <v>35648.0</v>
      </c>
      <c r="N506" s="138" t="s">
        <v>220</v>
      </c>
      <c r="O506" s="348"/>
      <c r="P506" s="135" t="s">
        <v>130</v>
      </c>
      <c r="Q506" s="348"/>
      <c r="R506" s="138">
        <v>8.2363264109E10</v>
      </c>
      <c r="S506" s="135" t="s">
        <v>5497</v>
      </c>
      <c r="T506" s="135" t="s">
        <v>5498</v>
      </c>
      <c r="U506" s="135" t="s">
        <v>5499</v>
      </c>
      <c r="V506" s="135" t="s">
        <v>73</v>
      </c>
      <c r="W506" s="135" t="s">
        <v>481</v>
      </c>
      <c r="X506" s="135" t="s">
        <v>75</v>
      </c>
      <c r="Y506" s="135" t="s">
        <v>315</v>
      </c>
      <c r="Z506" s="138">
        <v>0.0</v>
      </c>
      <c r="AA506" s="138">
        <v>0.0</v>
      </c>
    </row>
    <row r="507">
      <c r="A507" s="332">
        <v>35.0</v>
      </c>
      <c r="B507" s="135" t="s">
        <v>5500</v>
      </c>
      <c r="C507" s="135" t="s">
        <v>5501</v>
      </c>
      <c r="D507" s="332" t="s">
        <v>5952</v>
      </c>
      <c r="E507" s="124" t="s">
        <v>88</v>
      </c>
      <c r="F507" s="332" t="s">
        <v>5953</v>
      </c>
      <c r="G507" s="332" t="s">
        <v>5954</v>
      </c>
      <c r="H507" s="135" t="s">
        <v>519</v>
      </c>
      <c r="I507" s="135" t="s">
        <v>5219</v>
      </c>
      <c r="J507" s="135" t="s">
        <v>267</v>
      </c>
      <c r="K507" s="135" t="s">
        <v>752</v>
      </c>
      <c r="L507" s="135" t="s">
        <v>5502</v>
      </c>
      <c r="M507" s="333">
        <v>41200.0</v>
      </c>
      <c r="N507" s="138" t="s">
        <v>67</v>
      </c>
      <c r="O507" s="348"/>
      <c r="P507" s="135" t="s">
        <v>130</v>
      </c>
      <c r="Q507" s="348"/>
      <c r="R507" s="138">
        <v>8.1375445549E10</v>
      </c>
      <c r="S507" s="135" t="s">
        <v>5503</v>
      </c>
      <c r="T507" s="135" t="s">
        <v>5504</v>
      </c>
      <c r="U507" s="135" t="s">
        <v>5505</v>
      </c>
      <c r="V507" s="135" t="s">
        <v>96</v>
      </c>
      <c r="W507" s="135" t="s">
        <v>97</v>
      </c>
      <c r="X507" s="135" t="s">
        <v>1511</v>
      </c>
      <c r="Y507" s="135" t="s">
        <v>1145</v>
      </c>
      <c r="Z507" s="138"/>
      <c r="AA507" s="138"/>
    </row>
    <row r="508">
      <c r="A508" s="332">
        <v>36.0</v>
      </c>
      <c r="B508" s="135" t="s">
        <v>5506</v>
      </c>
      <c r="C508" s="135" t="s">
        <v>5507</v>
      </c>
      <c r="D508" s="332" t="s">
        <v>5952</v>
      </c>
      <c r="E508" s="124" t="s">
        <v>88</v>
      </c>
      <c r="F508" s="332" t="s">
        <v>5953</v>
      </c>
      <c r="G508" s="332" t="s">
        <v>5954</v>
      </c>
      <c r="H508" s="135" t="s">
        <v>142</v>
      </c>
      <c r="I508" s="135" t="s">
        <v>5219</v>
      </c>
      <c r="J508" s="135" t="s">
        <v>89</v>
      </c>
      <c r="K508" s="135" t="s">
        <v>90</v>
      </c>
      <c r="L508" s="135" t="s">
        <v>2005</v>
      </c>
      <c r="M508" s="333">
        <v>41624.0</v>
      </c>
      <c r="N508" s="138" t="s">
        <v>67</v>
      </c>
      <c r="O508" s="348"/>
      <c r="P508" s="135" t="s">
        <v>130</v>
      </c>
      <c r="Q508" s="348"/>
      <c r="R508" s="138">
        <v>8.1264674192E10</v>
      </c>
      <c r="S508" s="135" t="s">
        <v>5508</v>
      </c>
      <c r="T508" s="135" t="s">
        <v>5509</v>
      </c>
      <c r="U508" s="135" t="s">
        <v>5510</v>
      </c>
      <c r="V508" s="135" t="s">
        <v>73</v>
      </c>
      <c r="W508" s="135" t="s">
        <v>74</v>
      </c>
      <c r="X508" s="135" t="s">
        <v>203</v>
      </c>
      <c r="Y508" s="135" t="s">
        <v>3153</v>
      </c>
      <c r="Z508" s="138">
        <v>0.0</v>
      </c>
      <c r="AA508" s="138">
        <v>0.0</v>
      </c>
    </row>
    <row r="509">
      <c r="A509" s="332">
        <v>37.0</v>
      </c>
      <c r="B509" s="135" t="s">
        <v>5511</v>
      </c>
      <c r="C509" s="135" t="s">
        <v>5512</v>
      </c>
      <c r="D509" s="332" t="s">
        <v>5952</v>
      </c>
      <c r="E509" s="124" t="s">
        <v>88</v>
      </c>
      <c r="F509" s="332" t="s">
        <v>5953</v>
      </c>
      <c r="G509" s="332" t="s">
        <v>5954</v>
      </c>
      <c r="H509" s="135" t="s">
        <v>142</v>
      </c>
      <c r="I509" s="135" t="s">
        <v>5219</v>
      </c>
      <c r="J509" s="135" t="s">
        <v>89</v>
      </c>
      <c r="K509" s="135" t="s">
        <v>5513</v>
      </c>
      <c r="L509" s="135" t="s">
        <v>5514</v>
      </c>
      <c r="M509" s="333">
        <v>41197.0</v>
      </c>
      <c r="N509" s="138" t="s">
        <v>67</v>
      </c>
      <c r="O509" s="348"/>
      <c r="P509" s="135" t="s">
        <v>130</v>
      </c>
      <c r="Q509" s="348"/>
      <c r="R509" s="138">
        <v>8.126012346E10</v>
      </c>
      <c r="S509" s="135" t="s">
        <v>5515</v>
      </c>
      <c r="T509" s="135" t="s">
        <v>5516</v>
      </c>
      <c r="U509" s="135" t="s">
        <v>5517</v>
      </c>
      <c r="V509" s="135" t="s">
        <v>96</v>
      </c>
      <c r="W509" s="135" t="s">
        <v>97</v>
      </c>
      <c r="X509" s="135" t="s">
        <v>1511</v>
      </c>
      <c r="Y509" s="135" t="s">
        <v>5482</v>
      </c>
      <c r="Z509" s="138"/>
      <c r="AA509" s="138"/>
    </row>
    <row r="510">
      <c r="A510" s="332">
        <v>38.0</v>
      </c>
      <c r="B510" s="135" t="s">
        <v>5518</v>
      </c>
      <c r="C510" s="135" t="s">
        <v>5519</v>
      </c>
      <c r="D510" s="332" t="s">
        <v>5952</v>
      </c>
      <c r="E510" s="124" t="s">
        <v>88</v>
      </c>
      <c r="F510" s="332" t="s">
        <v>5953</v>
      </c>
      <c r="G510" s="332" t="s">
        <v>5954</v>
      </c>
      <c r="H510" s="135" t="s">
        <v>142</v>
      </c>
      <c r="I510" s="135" t="s">
        <v>5219</v>
      </c>
      <c r="J510" s="135" t="s">
        <v>89</v>
      </c>
      <c r="K510" s="135" t="s">
        <v>1520</v>
      </c>
      <c r="L510" s="135" t="s">
        <v>1119</v>
      </c>
      <c r="M510" s="335">
        <v>44169.0</v>
      </c>
      <c r="N510" s="138" t="s">
        <v>67</v>
      </c>
      <c r="O510" s="348"/>
      <c r="P510" s="135" t="s">
        <v>130</v>
      </c>
      <c r="Q510" s="348"/>
      <c r="R510" s="138">
        <v>8.2168487771E10</v>
      </c>
      <c r="S510" s="135" t="s">
        <v>5520</v>
      </c>
      <c r="T510" s="135" t="s">
        <v>5521</v>
      </c>
      <c r="U510" s="135" t="s">
        <v>5522</v>
      </c>
      <c r="V510" s="135" t="s">
        <v>2265</v>
      </c>
      <c r="W510" s="135" t="s">
        <v>97</v>
      </c>
      <c r="X510" s="135" t="s">
        <v>1501</v>
      </c>
      <c r="Y510" s="135" t="s">
        <v>5523</v>
      </c>
      <c r="Z510" s="138"/>
      <c r="AA510" s="138"/>
    </row>
    <row r="511">
      <c r="A511" s="332">
        <v>39.0</v>
      </c>
      <c r="B511" s="135" t="s">
        <v>5524</v>
      </c>
      <c r="C511" s="135" t="s">
        <v>5525</v>
      </c>
      <c r="D511" s="332" t="s">
        <v>5952</v>
      </c>
      <c r="E511" s="124" t="s">
        <v>88</v>
      </c>
      <c r="F511" s="332" t="s">
        <v>5953</v>
      </c>
      <c r="G511" s="332" t="s">
        <v>5954</v>
      </c>
      <c r="H511" s="135" t="s">
        <v>142</v>
      </c>
      <c r="I511" s="135" t="s">
        <v>5219</v>
      </c>
      <c r="J511" s="135" t="s">
        <v>89</v>
      </c>
      <c r="K511" s="135" t="s">
        <v>218</v>
      </c>
      <c r="L511" s="135" t="s">
        <v>5526</v>
      </c>
      <c r="M511" s="333">
        <v>41991.0</v>
      </c>
      <c r="N511" s="138" t="s">
        <v>67</v>
      </c>
      <c r="O511" s="348"/>
      <c r="P511" s="135" t="s">
        <v>68</v>
      </c>
      <c r="Q511" s="348"/>
      <c r="R511" s="138">
        <v>8.216510005E10</v>
      </c>
      <c r="S511" s="135" t="s">
        <v>5527</v>
      </c>
      <c r="T511" s="135" t="s">
        <v>5528</v>
      </c>
      <c r="U511" s="135" t="s">
        <v>5529</v>
      </c>
      <c r="V511" s="135" t="s">
        <v>73</v>
      </c>
      <c r="W511" s="135" t="s">
        <v>835</v>
      </c>
      <c r="X511" s="135" t="s">
        <v>360</v>
      </c>
      <c r="Y511" s="135" t="s">
        <v>566</v>
      </c>
      <c r="Z511" s="138">
        <v>0.0</v>
      </c>
      <c r="AA511" s="138">
        <v>0.0</v>
      </c>
    </row>
    <row r="512">
      <c r="A512" s="332">
        <v>40.0</v>
      </c>
      <c r="B512" s="135" t="s">
        <v>5530</v>
      </c>
      <c r="C512" s="135" t="s">
        <v>5531</v>
      </c>
      <c r="D512" s="332" t="s">
        <v>5952</v>
      </c>
      <c r="E512" s="124" t="s">
        <v>88</v>
      </c>
      <c r="F512" s="332" t="s">
        <v>5953</v>
      </c>
      <c r="G512" s="332" t="s">
        <v>5954</v>
      </c>
      <c r="H512" s="135" t="s">
        <v>532</v>
      </c>
      <c r="I512" s="135" t="s">
        <v>5219</v>
      </c>
      <c r="J512" s="135" t="s">
        <v>285</v>
      </c>
      <c r="K512" s="135" t="s">
        <v>1017</v>
      </c>
      <c r="L512" s="135" t="s">
        <v>5532</v>
      </c>
      <c r="M512" s="333">
        <v>38152.0</v>
      </c>
      <c r="N512" s="138" t="s">
        <v>67</v>
      </c>
      <c r="O512" s="348"/>
      <c r="P512" s="135" t="s">
        <v>68</v>
      </c>
      <c r="Q512" s="348"/>
      <c r="R512" s="138">
        <v>8.2362094804E10</v>
      </c>
      <c r="S512" s="135" t="s">
        <v>5533</v>
      </c>
      <c r="T512" s="135" t="s">
        <v>5534</v>
      </c>
      <c r="U512" s="135" t="s">
        <v>5535</v>
      </c>
      <c r="V512" s="135" t="s">
        <v>732</v>
      </c>
      <c r="W512" s="135" t="s">
        <v>150</v>
      </c>
      <c r="X512" s="135" t="s">
        <v>5536</v>
      </c>
      <c r="Y512" s="135" t="s">
        <v>5537</v>
      </c>
      <c r="Z512" s="138"/>
      <c r="AA512" s="138"/>
    </row>
    <row r="513">
      <c r="A513" s="332">
        <v>41.0</v>
      </c>
      <c r="B513" s="135" t="s">
        <v>5538</v>
      </c>
      <c r="C513" s="135" t="s">
        <v>5539</v>
      </c>
      <c r="D513" s="332" t="s">
        <v>5952</v>
      </c>
      <c r="E513" s="124" t="s">
        <v>88</v>
      </c>
      <c r="F513" s="332" t="s">
        <v>5953</v>
      </c>
      <c r="G513" s="332" t="s">
        <v>5954</v>
      </c>
      <c r="H513" s="135" t="s">
        <v>142</v>
      </c>
      <c r="I513" s="135" t="s">
        <v>5219</v>
      </c>
      <c r="J513" s="135" t="s">
        <v>89</v>
      </c>
      <c r="K513" s="135" t="s">
        <v>5540</v>
      </c>
      <c r="L513" s="135" t="s">
        <v>3281</v>
      </c>
      <c r="M513" s="333">
        <v>42721.0</v>
      </c>
      <c r="N513" s="138" t="s">
        <v>220</v>
      </c>
      <c r="O513" s="348"/>
      <c r="P513" s="135" t="s">
        <v>130</v>
      </c>
      <c r="Q513" s="348"/>
      <c r="R513" s="138">
        <v>8.2165138909E10</v>
      </c>
      <c r="S513" s="135" t="s">
        <v>5541</v>
      </c>
      <c r="T513" s="135" t="s">
        <v>5542</v>
      </c>
      <c r="U513" s="135" t="s">
        <v>5543</v>
      </c>
      <c r="V513" s="135" t="s">
        <v>96</v>
      </c>
      <c r="W513" s="135" t="s">
        <v>74</v>
      </c>
      <c r="X513" s="135" t="s">
        <v>203</v>
      </c>
      <c r="Y513" s="135" t="s">
        <v>575</v>
      </c>
      <c r="Z513" s="138"/>
      <c r="AA513" s="138"/>
    </row>
    <row r="514">
      <c r="A514" s="332">
        <v>42.0</v>
      </c>
      <c r="B514" s="135" t="s">
        <v>5544</v>
      </c>
      <c r="C514" s="135" t="s">
        <v>5545</v>
      </c>
      <c r="D514" s="332" t="s">
        <v>5952</v>
      </c>
      <c r="E514" s="124" t="s">
        <v>88</v>
      </c>
      <c r="F514" s="332" t="s">
        <v>5953</v>
      </c>
      <c r="G514" s="332" t="s">
        <v>5954</v>
      </c>
      <c r="H514" s="135" t="s">
        <v>142</v>
      </c>
      <c r="I514" s="135" t="s">
        <v>5219</v>
      </c>
      <c r="J514" s="135" t="s">
        <v>89</v>
      </c>
      <c r="K514" s="135" t="s">
        <v>1214</v>
      </c>
      <c r="L514" s="135" t="s">
        <v>1528</v>
      </c>
      <c r="M514" s="333">
        <v>40410.0</v>
      </c>
      <c r="N514" s="138" t="s">
        <v>67</v>
      </c>
      <c r="O514" s="348"/>
      <c r="P514" s="135" t="s">
        <v>68</v>
      </c>
      <c r="Q514" s="348"/>
      <c r="R514" s="138">
        <v>8.5372766064E10</v>
      </c>
      <c r="S514" s="135" t="s">
        <v>5546</v>
      </c>
      <c r="T514" s="135" t="s">
        <v>5547</v>
      </c>
      <c r="U514" s="135" t="s">
        <v>5548</v>
      </c>
      <c r="V514" s="135" t="s">
        <v>692</v>
      </c>
      <c r="W514" s="135" t="s">
        <v>135</v>
      </c>
      <c r="X514" s="135" t="s">
        <v>236</v>
      </c>
      <c r="Y514" s="135" t="s">
        <v>152</v>
      </c>
      <c r="Z514" s="138">
        <v>0.0</v>
      </c>
      <c r="AA514" s="138">
        <v>0.0</v>
      </c>
    </row>
    <row r="515">
      <c r="A515" s="332">
        <v>43.0</v>
      </c>
      <c r="B515" s="135" t="s">
        <v>5549</v>
      </c>
      <c r="C515" s="135" t="s">
        <v>5550</v>
      </c>
      <c r="D515" s="332" t="s">
        <v>5952</v>
      </c>
      <c r="E515" s="124" t="s">
        <v>88</v>
      </c>
      <c r="F515" s="332" t="s">
        <v>5953</v>
      </c>
      <c r="G515" s="332" t="s">
        <v>5954</v>
      </c>
      <c r="H515" s="135" t="s">
        <v>142</v>
      </c>
      <c r="I515" s="135" t="s">
        <v>5219</v>
      </c>
      <c r="J515" s="135" t="s">
        <v>89</v>
      </c>
      <c r="K515" s="135" t="s">
        <v>218</v>
      </c>
      <c r="L515" s="135" t="s">
        <v>1010</v>
      </c>
      <c r="M515" s="333">
        <v>42427.0</v>
      </c>
      <c r="N515" s="138" t="s">
        <v>67</v>
      </c>
      <c r="O515" s="348"/>
      <c r="P515" s="135" t="s">
        <v>130</v>
      </c>
      <c r="Q515" s="348"/>
      <c r="R515" s="138">
        <v>8.5362408951E10</v>
      </c>
      <c r="S515" s="135" t="s">
        <v>5551</v>
      </c>
      <c r="T515" s="135" t="s">
        <v>4862</v>
      </c>
      <c r="U515" s="135" t="s">
        <v>5481</v>
      </c>
      <c r="V515" s="135" t="s">
        <v>96</v>
      </c>
      <c r="W515" s="135" t="s">
        <v>97</v>
      </c>
      <c r="X515" s="135" t="s">
        <v>1511</v>
      </c>
      <c r="Y515" s="135" t="s">
        <v>5482</v>
      </c>
      <c r="Z515" s="138"/>
      <c r="AA515" s="138"/>
    </row>
    <row r="516">
      <c r="A516" s="332">
        <v>44.0</v>
      </c>
      <c r="B516" s="135" t="s">
        <v>5552</v>
      </c>
      <c r="C516" s="135" t="s">
        <v>5553</v>
      </c>
      <c r="D516" s="332" t="s">
        <v>5952</v>
      </c>
      <c r="E516" s="124" t="s">
        <v>88</v>
      </c>
      <c r="F516" s="332" t="s">
        <v>5953</v>
      </c>
      <c r="G516" s="332" t="s">
        <v>5954</v>
      </c>
      <c r="H516" s="135" t="s">
        <v>142</v>
      </c>
      <c r="I516" s="135" t="s">
        <v>5219</v>
      </c>
      <c r="J516" s="135" t="s">
        <v>89</v>
      </c>
      <c r="K516" s="135"/>
      <c r="L516" s="135" t="s">
        <v>244</v>
      </c>
      <c r="M516" s="335">
        <v>42586.0</v>
      </c>
      <c r="N516" s="138" t="s">
        <v>67</v>
      </c>
      <c r="O516" s="348"/>
      <c r="P516" s="135" t="s">
        <v>130</v>
      </c>
      <c r="Q516" s="348"/>
      <c r="R516" s="138">
        <v>8.13629341E10</v>
      </c>
      <c r="S516" s="135" t="s">
        <v>5554</v>
      </c>
      <c r="T516" s="135" t="s">
        <v>5555</v>
      </c>
      <c r="U516" s="135" t="s">
        <v>4813</v>
      </c>
      <c r="V516" s="135" t="s">
        <v>73</v>
      </c>
      <c r="W516" s="135" t="s">
        <v>481</v>
      </c>
      <c r="X516" s="135" t="s">
        <v>360</v>
      </c>
      <c r="Y516" s="135" t="s">
        <v>893</v>
      </c>
      <c r="Z516" s="138">
        <v>0.0</v>
      </c>
      <c r="AA516" s="138">
        <v>0.0</v>
      </c>
    </row>
    <row r="517">
      <c r="A517" s="332">
        <v>45.0</v>
      </c>
      <c r="B517" s="135" t="s">
        <v>5556</v>
      </c>
      <c r="C517" s="135" t="s">
        <v>5557</v>
      </c>
      <c r="D517" s="332" t="s">
        <v>5952</v>
      </c>
      <c r="E517" s="124" t="s">
        <v>88</v>
      </c>
      <c r="F517" s="332" t="s">
        <v>5953</v>
      </c>
      <c r="G517" s="332" t="s">
        <v>5954</v>
      </c>
      <c r="H517" s="135" t="s">
        <v>142</v>
      </c>
      <c r="I517" s="135" t="s">
        <v>5219</v>
      </c>
      <c r="J517" s="135"/>
      <c r="K517" s="135"/>
      <c r="L517" s="135"/>
      <c r="M517" s="138"/>
      <c r="N517" s="138"/>
      <c r="O517" s="348"/>
      <c r="P517" s="135" t="s">
        <v>130</v>
      </c>
      <c r="Q517" s="348"/>
      <c r="R517" s="138"/>
      <c r="S517" s="135"/>
      <c r="T517" s="135" t="s">
        <v>5558</v>
      </c>
      <c r="U517" s="135"/>
      <c r="V517" s="135"/>
      <c r="W517" s="135"/>
      <c r="X517" s="135"/>
      <c r="Y517" s="135"/>
      <c r="Z517" s="138"/>
      <c r="AA517" s="138"/>
    </row>
    <row r="518">
      <c r="A518" s="332">
        <v>46.0</v>
      </c>
      <c r="B518" s="135" t="s">
        <v>5559</v>
      </c>
      <c r="C518" s="135" t="s">
        <v>5560</v>
      </c>
      <c r="D518" s="332" t="s">
        <v>5952</v>
      </c>
      <c r="E518" s="124" t="s">
        <v>88</v>
      </c>
      <c r="F518" s="332" t="s">
        <v>5953</v>
      </c>
      <c r="G518" s="332" t="s">
        <v>5954</v>
      </c>
      <c r="H518" s="135" t="s">
        <v>142</v>
      </c>
      <c r="I518" s="135" t="s">
        <v>5219</v>
      </c>
      <c r="J518" s="135" t="s">
        <v>89</v>
      </c>
      <c r="K518" s="135" t="s">
        <v>160</v>
      </c>
      <c r="L518" s="135" t="s">
        <v>219</v>
      </c>
      <c r="M518" s="335">
        <v>40238.0</v>
      </c>
      <c r="N518" s="138" t="s">
        <v>67</v>
      </c>
      <c r="O518" s="348"/>
      <c r="P518" s="135" t="s">
        <v>68</v>
      </c>
      <c r="Q518" s="348"/>
      <c r="R518" s="138">
        <v>8.1360504055E10</v>
      </c>
      <c r="S518" s="135" t="s">
        <v>5561</v>
      </c>
      <c r="T518" s="135" t="s">
        <v>5562</v>
      </c>
      <c r="U518" s="135" t="s">
        <v>5563</v>
      </c>
      <c r="V518" s="135" t="s">
        <v>96</v>
      </c>
      <c r="W518" s="135" t="s">
        <v>97</v>
      </c>
      <c r="X518" s="135" t="s">
        <v>379</v>
      </c>
      <c r="Y518" s="135" t="s">
        <v>2205</v>
      </c>
      <c r="Z518" s="138" t="s">
        <v>77</v>
      </c>
      <c r="AA518" s="138" t="s">
        <v>77</v>
      </c>
    </row>
    <row r="519">
      <c r="A519" s="332">
        <v>47.0</v>
      </c>
      <c r="B519" s="135" t="s">
        <v>5564</v>
      </c>
      <c r="C519" s="135" t="s">
        <v>5565</v>
      </c>
      <c r="D519" s="332" t="s">
        <v>5952</v>
      </c>
      <c r="E519" s="124" t="s">
        <v>88</v>
      </c>
      <c r="F519" s="332" t="s">
        <v>5953</v>
      </c>
      <c r="G519" s="332" t="s">
        <v>5954</v>
      </c>
      <c r="H519" s="135" t="s">
        <v>519</v>
      </c>
      <c r="I519" s="135" t="s">
        <v>5219</v>
      </c>
      <c r="J519" s="135" t="s">
        <v>267</v>
      </c>
      <c r="K519" s="135" t="s">
        <v>5566</v>
      </c>
      <c r="L519" s="135" t="s">
        <v>592</v>
      </c>
      <c r="M519" s="333">
        <v>39711.0</v>
      </c>
      <c r="N519" s="138" t="s">
        <v>220</v>
      </c>
      <c r="O519" s="348"/>
      <c r="P519" s="135" t="s">
        <v>68</v>
      </c>
      <c r="Q519" s="348"/>
      <c r="R519" s="138">
        <v>8.1265888028E10</v>
      </c>
      <c r="S519" s="135" t="s">
        <v>5567</v>
      </c>
      <c r="T519" s="135" t="s">
        <v>5568</v>
      </c>
      <c r="U519" s="135" t="s">
        <v>5569</v>
      </c>
      <c r="V519" s="135" t="s">
        <v>73</v>
      </c>
      <c r="W519" s="135" t="s">
        <v>74</v>
      </c>
      <c r="X519" s="135" t="s">
        <v>75</v>
      </c>
      <c r="Y519" s="135" t="s">
        <v>1198</v>
      </c>
      <c r="Z519" s="138"/>
      <c r="AA519" s="138"/>
    </row>
    <row r="520">
      <c r="A520" s="332">
        <v>48.0</v>
      </c>
      <c r="B520" s="135" t="s">
        <v>5570</v>
      </c>
      <c r="C520" s="135" t="s">
        <v>5571</v>
      </c>
      <c r="D520" s="332" t="s">
        <v>5952</v>
      </c>
      <c r="E520" s="124" t="s">
        <v>88</v>
      </c>
      <c r="F520" s="332" t="s">
        <v>5953</v>
      </c>
      <c r="G520" s="332" t="s">
        <v>5954</v>
      </c>
      <c r="H520" s="135" t="s">
        <v>142</v>
      </c>
      <c r="I520" s="135" t="s">
        <v>5219</v>
      </c>
      <c r="J520" s="135" t="s">
        <v>89</v>
      </c>
      <c r="K520" s="135" t="s">
        <v>218</v>
      </c>
      <c r="L520" s="135" t="s">
        <v>231</v>
      </c>
      <c r="M520" s="333">
        <v>39245.0</v>
      </c>
      <c r="N520" s="138" t="s">
        <v>67</v>
      </c>
      <c r="O520" s="348"/>
      <c r="P520" s="135" t="s">
        <v>130</v>
      </c>
      <c r="Q520" s="348"/>
      <c r="R520" s="138">
        <v>8.5261581212E10</v>
      </c>
      <c r="S520" s="135" t="s">
        <v>5572</v>
      </c>
      <c r="T520" s="135" t="s">
        <v>5573</v>
      </c>
      <c r="U520" s="135" t="s">
        <v>5574</v>
      </c>
      <c r="V520" s="135" t="s">
        <v>96</v>
      </c>
      <c r="W520" s="135" t="s">
        <v>97</v>
      </c>
      <c r="X520" s="135" t="s">
        <v>1511</v>
      </c>
      <c r="Y520" s="135" t="s">
        <v>2942</v>
      </c>
      <c r="Z520" s="138"/>
      <c r="AA520" s="138"/>
    </row>
    <row r="521">
      <c r="A521" s="332">
        <v>49.0</v>
      </c>
      <c r="B521" s="135" t="s">
        <v>5575</v>
      </c>
      <c r="C521" s="135" t="s">
        <v>5576</v>
      </c>
      <c r="D521" s="332" t="s">
        <v>5952</v>
      </c>
      <c r="E521" s="124" t="s">
        <v>88</v>
      </c>
      <c r="F521" s="332" t="s">
        <v>5953</v>
      </c>
      <c r="G521" s="332" t="s">
        <v>5954</v>
      </c>
      <c r="H521" s="135" t="s">
        <v>142</v>
      </c>
      <c r="I521" s="135" t="s">
        <v>5219</v>
      </c>
      <c r="J521" s="135" t="s">
        <v>89</v>
      </c>
      <c r="K521" s="135" t="s">
        <v>218</v>
      </c>
      <c r="L521" s="135" t="s">
        <v>4184</v>
      </c>
      <c r="M521" s="335">
        <v>41764.0</v>
      </c>
      <c r="N521" s="138" t="s">
        <v>67</v>
      </c>
      <c r="O521" s="348"/>
      <c r="P521" s="135" t="s">
        <v>130</v>
      </c>
      <c r="Q521" s="348"/>
      <c r="R521" s="138">
        <v>8.5207378585E10</v>
      </c>
      <c r="S521" s="135" t="s">
        <v>5577</v>
      </c>
      <c r="T521" s="135" t="s">
        <v>5578</v>
      </c>
      <c r="U521" s="135" t="s">
        <v>5316</v>
      </c>
      <c r="V521" s="135" t="s">
        <v>96</v>
      </c>
      <c r="W521" s="135" t="s">
        <v>135</v>
      </c>
      <c r="X521" s="135" t="s">
        <v>272</v>
      </c>
      <c r="Y521" s="135" t="s">
        <v>5317</v>
      </c>
      <c r="Z521" s="138">
        <v>0.0</v>
      </c>
      <c r="AA521" s="138">
        <v>0.0</v>
      </c>
    </row>
    <row r="522">
      <c r="A522" s="332">
        <v>50.0</v>
      </c>
      <c r="B522" s="135" t="s">
        <v>5579</v>
      </c>
      <c r="C522" s="135" t="s">
        <v>5580</v>
      </c>
      <c r="D522" s="332" t="s">
        <v>5952</v>
      </c>
      <c r="E522" s="124" t="s">
        <v>88</v>
      </c>
      <c r="F522" s="332" t="s">
        <v>5953</v>
      </c>
      <c r="G522" s="332" t="s">
        <v>5954</v>
      </c>
      <c r="H522" s="135" t="s">
        <v>142</v>
      </c>
      <c r="I522" s="135" t="s">
        <v>5219</v>
      </c>
      <c r="J522" s="135" t="s">
        <v>89</v>
      </c>
      <c r="K522" s="135" t="s">
        <v>678</v>
      </c>
      <c r="L522" s="135" t="s">
        <v>5581</v>
      </c>
      <c r="M522" s="335">
        <v>42312.0</v>
      </c>
      <c r="N522" s="138"/>
      <c r="O522" s="348"/>
      <c r="P522" s="135" t="s">
        <v>130</v>
      </c>
      <c r="Q522" s="348"/>
      <c r="R522" s="138"/>
      <c r="S522" s="135"/>
      <c r="T522" s="135" t="s">
        <v>5582</v>
      </c>
      <c r="U522" s="135"/>
      <c r="V522" s="135"/>
      <c r="W522" s="135"/>
      <c r="X522" s="135"/>
      <c r="Y522" s="135"/>
      <c r="Z522" s="138"/>
      <c r="AA522" s="138"/>
    </row>
    <row r="523">
      <c r="A523" s="101" t="s">
        <v>5583</v>
      </c>
      <c r="B523" s="141"/>
      <c r="C523" s="345"/>
      <c r="D523" s="124"/>
      <c r="E523" s="124"/>
      <c r="F523" s="124"/>
      <c r="G523" s="124"/>
      <c r="H523" s="141"/>
      <c r="I523" s="141"/>
      <c r="J523" s="141"/>
      <c r="K523" s="141"/>
      <c r="L523" s="141"/>
      <c r="M523" s="124"/>
      <c r="N523" s="346"/>
      <c r="O523" s="346"/>
      <c r="P523" s="347"/>
      <c r="Q523" s="346"/>
      <c r="R523" s="346"/>
      <c r="S523" s="347"/>
      <c r="T523" s="347"/>
      <c r="U523" s="347"/>
      <c r="V523" s="347"/>
      <c r="W523" s="347"/>
      <c r="X523" s="347"/>
      <c r="Y523" s="347"/>
      <c r="Z523" s="346"/>
      <c r="AA523" s="346"/>
    </row>
    <row r="524">
      <c r="A524" s="332">
        <v>1.0</v>
      </c>
      <c r="B524" s="135" t="s">
        <v>5645</v>
      </c>
      <c r="C524" s="135" t="s">
        <v>5646</v>
      </c>
      <c r="D524" s="332" t="s">
        <v>5952</v>
      </c>
      <c r="E524" s="124" t="s">
        <v>88</v>
      </c>
      <c r="F524" s="332" t="s">
        <v>5953</v>
      </c>
      <c r="G524" s="332" t="s">
        <v>5954</v>
      </c>
      <c r="H524" s="135" t="s">
        <v>532</v>
      </c>
      <c r="I524" s="135" t="s">
        <v>5587</v>
      </c>
      <c r="J524" s="135" t="s">
        <v>285</v>
      </c>
      <c r="K524" s="135" t="s">
        <v>1035</v>
      </c>
      <c r="L524" s="135" t="s">
        <v>5647</v>
      </c>
      <c r="M524" s="333">
        <v>31585.0</v>
      </c>
      <c r="N524" s="138" t="s">
        <v>67</v>
      </c>
      <c r="O524" s="348"/>
      <c r="P524" s="135" t="s">
        <v>68</v>
      </c>
      <c r="Q524" s="138"/>
      <c r="R524" s="138" t="s">
        <v>5648</v>
      </c>
      <c r="S524" s="135" t="s">
        <v>5649</v>
      </c>
      <c r="T524" s="135" t="s">
        <v>5650</v>
      </c>
      <c r="U524" s="135" t="s">
        <v>5651</v>
      </c>
      <c r="V524" s="135" t="s">
        <v>96</v>
      </c>
      <c r="W524" s="135" t="s">
        <v>166</v>
      </c>
      <c r="X524" s="135" t="s">
        <v>5652</v>
      </c>
      <c r="Y524" s="135" t="s">
        <v>2506</v>
      </c>
      <c r="Z524" s="138">
        <v>0.0</v>
      </c>
      <c r="AA524" s="138">
        <v>0.0</v>
      </c>
    </row>
    <row r="525">
      <c r="A525" s="332">
        <v>2.0</v>
      </c>
      <c r="B525" s="135" t="s">
        <v>5653</v>
      </c>
      <c r="C525" s="135" t="s">
        <v>5654</v>
      </c>
      <c r="D525" s="332" t="s">
        <v>5952</v>
      </c>
      <c r="E525" s="124" t="s">
        <v>88</v>
      </c>
      <c r="F525" s="332" t="s">
        <v>5953</v>
      </c>
      <c r="G525" s="332" t="s">
        <v>5954</v>
      </c>
      <c r="H525" s="135" t="s">
        <v>142</v>
      </c>
      <c r="I525" s="135" t="s">
        <v>5587</v>
      </c>
      <c r="J525" s="135" t="s">
        <v>89</v>
      </c>
      <c r="K525" s="135" t="s">
        <v>5655</v>
      </c>
      <c r="L525" s="135" t="s">
        <v>5656</v>
      </c>
      <c r="M525" s="333">
        <v>40147.0</v>
      </c>
      <c r="N525" s="138" t="s">
        <v>67</v>
      </c>
      <c r="O525" s="124"/>
      <c r="P525" s="135" t="s">
        <v>68</v>
      </c>
      <c r="Q525" s="138"/>
      <c r="R525" s="138">
        <v>8.5270708517E10</v>
      </c>
      <c r="S525" s="135" t="s">
        <v>5657</v>
      </c>
      <c r="T525" s="135" t="s">
        <v>5658</v>
      </c>
      <c r="U525" s="135" t="s">
        <v>5659</v>
      </c>
      <c r="V525" s="135" t="s">
        <v>73</v>
      </c>
      <c r="W525" s="135" t="s">
        <v>481</v>
      </c>
      <c r="X525" s="135" t="s">
        <v>203</v>
      </c>
      <c r="Y525" s="135" t="s">
        <v>3014</v>
      </c>
      <c r="Z525" s="138"/>
      <c r="AA525" s="138"/>
    </row>
    <row r="526">
      <c r="A526" s="332">
        <v>3.0</v>
      </c>
      <c r="B526" s="135" t="s">
        <v>5660</v>
      </c>
      <c r="C526" s="135" t="s">
        <v>5661</v>
      </c>
      <c r="D526" s="332" t="s">
        <v>5952</v>
      </c>
      <c r="E526" s="124" t="s">
        <v>88</v>
      </c>
      <c r="F526" s="332" t="s">
        <v>5953</v>
      </c>
      <c r="G526" s="332" t="s">
        <v>5954</v>
      </c>
      <c r="H526" s="135" t="s">
        <v>532</v>
      </c>
      <c r="I526" s="135" t="s">
        <v>5587</v>
      </c>
      <c r="J526" s="135" t="s">
        <v>285</v>
      </c>
      <c r="K526" s="135" t="s">
        <v>1035</v>
      </c>
      <c r="L526" s="135" t="s">
        <v>5662</v>
      </c>
      <c r="M526" s="333">
        <v>41779.0</v>
      </c>
      <c r="N526" s="138" t="s">
        <v>67</v>
      </c>
      <c r="O526" s="348"/>
      <c r="P526" s="135" t="s">
        <v>68</v>
      </c>
      <c r="Q526" s="138"/>
      <c r="R526" s="138">
        <v>8.1277572224E10</v>
      </c>
      <c r="S526" s="135" t="s">
        <v>5663</v>
      </c>
      <c r="T526" s="135" t="s">
        <v>5664</v>
      </c>
      <c r="U526" s="135" t="s">
        <v>5665</v>
      </c>
      <c r="V526" s="135" t="s">
        <v>73</v>
      </c>
      <c r="W526" s="135" t="s">
        <v>74</v>
      </c>
      <c r="X526" s="135" t="s">
        <v>1082</v>
      </c>
      <c r="Y526" s="135" t="s">
        <v>1083</v>
      </c>
      <c r="Z526" s="138"/>
      <c r="AA526" s="138"/>
    </row>
    <row r="527">
      <c r="A527" s="332">
        <v>4.0</v>
      </c>
      <c r="B527" s="135" t="s">
        <v>5666</v>
      </c>
      <c r="C527" s="135" t="s">
        <v>5667</v>
      </c>
      <c r="D527" s="332" t="s">
        <v>5952</v>
      </c>
      <c r="E527" s="124" t="s">
        <v>88</v>
      </c>
      <c r="F527" s="332" t="s">
        <v>5953</v>
      </c>
      <c r="G527" s="332" t="s">
        <v>5954</v>
      </c>
      <c r="H527" s="135" t="s">
        <v>142</v>
      </c>
      <c r="I527" s="135" t="s">
        <v>5587</v>
      </c>
      <c r="J527" s="135" t="s">
        <v>89</v>
      </c>
      <c r="K527" s="135" t="s">
        <v>3312</v>
      </c>
      <c r="L527" s="135" t="s">
        <v>1215</v>
      </c>
      <c r="M527" s="333">
        <v>39763.0</v>
      </c>
      <c r="N527" s="138" t="s">
        <v>67</v>
      </c>
      <c r="O527" s="357"/>
      <c r="P527" s="135" t="s">
        <v>130</v>
      </c>
      <c r="Q527" s="138"/>
      <c r="R527" s="138">
        <v>8.1397220085E10</v>
      </c>
      <c r="S527" s="135" t="s">
        <v>5668</v>
      </c>
      <c r="T527" s="135" t="s">
        <v>5669</v>
      </c>
      <c r="U527" s="135" t="s">
        <v>5670</v>
      </c>
      <c r="V527" s="135" t="s">
        <v>73</v>
      </c>
      <c r="W527" s="135" t="s">
        <v>74</v>
      </c>
      <c r="X527" s="135" t="s">
        <v>925</v>
      </c>
      <c r="Y527" s="135" t="s">
        <v>926</v>
      </c>
      <c r="Z527" s="138"/>
      <c r="AA527" s="138"/>
    </row>
    <row r="528">
      <c r="A528" s="332">
        <v>5.0</v>
      </c>
      <c r="B528" s="135" t="s">
        <v>5671</v>
      </c>
      <c r="C528" s="135" t="s">
        <v>5672</v>
      </c>
      <c r="D528" s="332" t="s">
        <v>5952</v>
      </c>
      <c r="E528" s="124" t="s">
        <v>88</v>
      </c>
      <c r="F528" s="332" t="s">
        <v>5953</v>
      </c>
      <c r="G528" s="332" t="s">
        <v>5954</v>
      </c>
      <c r="H528" s="135" t="s">
        <v>532</v>
      </c>
      <c r="I528" s="135" t="s">
        <v>5587</v>
      </c>
      <c r="J528" s="135" t="s">
        <v>285</v>
      </c>
      <c r="K528" s="135" t="s">
        <v>1035</v>
      </c>
      <c r="L528" s="135" t="s">
        <v>5673</v>
      </c>
      <c r="M528" s="333">
        <v>39977.0</v>
      </c>
      <c r="N528" s="138" t="s">
        <v>67</v>
      </c>
      <c r="O528" s="357"/>
      <c r="P528" s="135" t="s">
        <v>68</v>
      </c>
      <c r="Q528" s="138"/>
      <c r="R528" s="138">
        <v>8.1375522069E10</v>
      </c>
      <c r="S528" s="135" t="s">
        <v>5674</v>
      </c>
      <c r="T528" s="135" t="s">
        <v>5675</v>
      </c>
      <c r="U528" s="135" t="s">
        <v>5676</v>
      </c>
      <c r="V528" s="135" t="s">
        <v>73</v>
      </c>
      <c r="W528" s="135" t="s">
        <v>2338</v>
      </c>
      <c r="X528" s="135" t="s">
        <v>5677</v>
      </c>
      <c r="Y528" s="135" t="s">
        <v>5678</v>
      </c>
      <c r="Z528" s="138"/>
      <c r="AA528" s="138"/>
    </row>
    <row r="529">
      <c r="A529" s="332">
        <v>6.0</v>
      </c>
      <c r="B529" s="135" t="s">
        <v>5679</v>
      </c>
      <c r="C529" s="135" t="s">
        <v>5680</v>
      </c>
      <c r="D529" s="332" t="s">
        <v>5952</v>
      </c>
      <c r="E529" s="124" t="s">
        <v>88</v>
      </c>
      <c r="F529" s="332" t="s">
        <v>5953</v>
      </c>
      <c r="G529" s="332" t="s">
        <v>5954</v>
      </c>
      <c r="H529" s="135" t="s">
        <v>142</v>
      </c>
      <c r="I529" s="135" t="s">
        <v>5587</v>
      </c>
      <c r="J529" s="135" t="s">
        <v>89</v>
      </c>
      <c r="K529" s="135" t="s">
        <v>5681</v>
      </c>
      <c r="L529" s="135" t="s">
        <v>2064</v>
      </c>
      <c r="M529" s="333">
        <v>41206.0</v>
      </c>
      <c r="N529" s="138" t="s">
        <v>67</v>
      </c>
      <c r="O529" s="348"/>
      <c r="P529" s="135" t="s">
        <v>130</v>
      </c>
      <c r="Q529" s="138"/>
      <c r="R529" s="138">
        <v>8.5262726029E10</v>
      </c>
      <c r="S529" s="135" t="s">
        <v>5682</v>
      </c>
      <c r="T529" s="135" t="s">
        <v>5683</v>
      </c>
      <c r="U529" s="135" t="s">
        <v>5684</v>
      </c>
      <c r="V529" s="135" t="s">
        <v>96</v>
      </c>
      <c r="W529" s="135" t="s">
        <v>135</v>
      </c>
      <c r="X529" s="135" t="s">
        <v>1136</v>
      </c>
      <c r="Y529" s="135" t="s">
        <v>1137</v>
      </c>
      <c r="Z529" s="138"/>
      <c r="AA529" s="138"/>
    </row>
    <row r="530">
      <c r="A530" s="332">
        <v>7.0</v>
      </c>
      <c r="B530" s="135" t="s">
        <v>5685</v>
      </c>
      <c r="C530" s="135" t="s">
        <v>5686</v>
      </c>
      <c r="D530" s="332" t="s">
        <v>5952</v>
      </c>
      <c r="E530" s="124" t="s">
        <v>88</v>
      </c>
      <c r="F530" s="332" t="s">
        <v>5953</v>
      </c>
      <c r="G530" s="332" t="s">
        <v>5954</v>
      </c>
      <c r="H530" s="135" t="s">
        <v>532</v>
      </c>
      <c r="I530" s="135" t="s">
        <v>5587</v>
      </c>
      <c r="J530" s="135" t="s">
        <v>285</v>
      </c>
      <c r="K530" s="135" t="s">
        <v>1077</v>
      </c>
      <c r="L530" s="135" t="s">
        <v>5687</v>
      </c>
      <c r="M530" s="333">
        <v>39977.0</v>
      </c>
      <c r="N530" s="138" t="s">
        <v>67</v>
      </c>
      <c r="O530" s="348"/>
      <c r="P530" s="135" t="s">
        <v>130</v>
      </c>
      <c r="Q530" s="138"/>
      <c r="R530" s="138" t="s">
        <v>5688</v>
      </c>
      <c r="S530" s="135" t="s">
        <v>5689</v>
      </c>
      <c r="T530" s="135" t="s">
        <v>5690</v>
      </c>
      <c r="U530" s="135" t="s">
        <v>5691</v>
      </c>
      <c r="V530" s="135" t="s">
        <v>96</v>
      </c>
      <c r="W530" s="135" t="s">
        <v>97</v>
      </c>
      <c r="X530" s="135" t="s">
        <v>425</v>
      </c>
      <c r="Y530" s="135" t="s">
        <v>5692</v>
      </c>
      <c r="Z530" s="138">
        <v>0.0</v>
      </c>
      <c r="AA530" s="138">
        <v>0.0</v>
      </c>
    </row>
    <row r="531">
      <c r="A531" s="332">
        <v>8.0</v>
      </c>
      <c r="B531" s="135" t="s">
        <v>5693</v>
      </c>
      <c r="C531" s="135" t="s">
        <v>5694</v>
      </c>
      <c r="D531" s="332" t="s">
        <v>5952</v>
      </c>
      <c r="E531" s="124" t="s">
        <v>88</v>
      </c>
      <c r="F531" s="332" t="s">
        <v>5953</v>
      </c>
      <c r="G531" s="332" t="s">
        <v>5954</v>
      </c>
      <c r="H531" s="135" t="s">
        <v>532</v>
      </c>
      <c r="I531" s="135" t="s">
        <v>5587</v>
      </c>
      <c r="J531" s="135" t="s">
        <v>285</v>
      </c>
      <c r="K531" s="135" t="s">
        <v>5695</v>
      </c>
      <c r="L531" s="135" t="s">
        <v>5696</v>
      </c>
      <c r="M531" s="333">
        <v>38152.0</v>
      </c>
      <c r="N531" s="138" t="s">
        <v>67</v>
      </c>
      <c r="O531" s="348"/>
      <c r="P531" s="135" t="s">
        <v>68</v>
      </c>
      <c r="Q531" s="138"/>
      <c r="R531" s="138">
        <v>8.5361235533E10</v>
      </c>
      <c r="S531" s="135" t="s">
        <v>5697</v>
      </c>
      <c r="T531" s="135" t="s">
        <v>5698</v>
      </c>
      <c r="U531" s="135" t="s">
        <v>5699</v>
      </c>
      <c r="V531" s="135" t="s">
        <v>73</v>
      </c>
      <c r="W531" s="135" t="s">
        <v>74</v>
      </c>
      <c r="X531" s="135" t="s">
        <v>1220</v>
      </c>
      <c r="Y531" s="135" t="s">
        <v>5700</v>
      </c>
      <c r="Z531" s="138"/>
      <c r="AA531" s="138"/>
    </row>
    <row r="532">
      <c r="A532" s="332">
        <v>9.0</v>
      </c>
      <c r="B532" s="135" t="s">
        <v>5701</v>
      </c>
      <c r="C532" s="135" t="s">
        <v>5702</v>
      </c>
      <c r="D532" s="332" t="s">
        <v>5952</v>
      </c>
      <c r="E532" s="124" t="s">
        <v>88</v>
      </c>
      <c r="F532" s="332" t="s">
        <v>5953</v>
      </c>
      <c r="G532" s="332" t="s">
        <v>5954</v>
      </c>
      <c r="H532" s="135" t="s">
        <v>142</v>
      </c>
      <c r="I532" s="135" t="s">
        <v>5587</v>
      </c>
      <c r="J532" s="135" t="s">
        <v>89</v>
      </c>
      <c r="K532" s="135" t="s">
        <v>5703</v>
      </c>
      <c r="L532" s="135" t="s">
        <v>244</v>
      </c>
      <c r="M532" s="333">
        <v>43082.0</v>
      </c>
      <c r="N532" s="138" t="s">
        <v>67</v>
      </c>
      <c r="O532" s="348"/>
      <c r="P532" s="135" t="s">
        <v>68</v>
      </c>
      <c r="Q532" s="138"/>
      <c r="R532" s="138">
        <v>8.213882402E10</v>
      </c>
      <c r="S532" s="135" t="s">
        <v>5704</v>
      </c>
      <c r="T532" s="135" t="s">
        <v>5705</v>
      </c>
      <c r="U532" s="135" t="s">
        <v>5706</v>
      </c>
      <c r="V532" s="135" t="s">
        <v>73</v>
      </c>
      <c r="W532" s="135" t="s">
        <v>74</v>
      </c>
      <c r="X532" s="135" t="s">
        <v>5707</v>
      </c>
      <c r="Y532" s="135" t="s">
        <v>5708</v>
      </c>
      <c r="Z532" s="138"/>
      <c r="AA532" s="138"/>
    </row>
    <row r="533">
      <c r="A533" s="332">
        <v>10.0</v>
      </c>
      <c r="B533" s="135" t="s">
        <v>5709</v>
      </c>
      <c r="C533" s="135" t="s">
        <v>5710</v>
      </c>
      <c r="D533" s="332" t="s">
        <v>5952</v>
      </c>
      <c r="E533" s="124" t="s">
        <v>88</v>
      </c>
      <c r="F533" s="332" t="s">
        <v>5953</v>
      </c>
      <c r="G533" s="332" t="s">
        <v>5954</v>
      </c>
      <c r="H533" s="135" t="s">
        <v>142</v>
      </c>
      <c r="I533" s="135" t="s">
        <v>5587</v>
      </c>
      <c r="J533" s="135" t="s">
        <v>89</v>
      </c>
      <c r="K533" s="135" t="s">
        <v>5711</v>
      </c>
      <c r="L533" s="135" t="s">
        <v>260</v>
      </c>
      <c r="M533" s="335">
        <v>37961.0</v>
      </c>
      <c r="N533" s="138" t="s">
        <v>67</v>
      </c>
      <c r="O533" s="348"/>
      <c r="P533" s="135" t="s">
        <v>68</v>
      </c>
      <c r="Q533" s="138"/>
      <c r="R533" s="138">
        <v>8.5296651321E10</v>
      </c>
      <c r="S533" s="135" t="s">
        <v>5712</v>
      </c>
      <c r="T533" s="135" t="s">
        <v>5713</v>
      </c>
      <c r="U533" s="135" t="s">
        <v>5714</v>
      </c>
      <c r="V533" s="135" t="s">
        <v>692</v>
      </c>
      <c r="W533" s="135" t="s">
        <v>97</v>
      </c>
      <c r="X533" s="135" t="s">
        <v>1136</v>
      </c>
      <c r="Y533" s="135" t="s">
        <v>5715</v>
      </c>
      <c r="Z533" s="138"/>
      <c r="AA533" s="138"/>
    </row>
    <row r="534">
      <c r="A534" s="332">
        <v>11.0</v>
      </c>
      <c r="B534" s="135" t="s">
        <v>5716</v>
      </c>
      <c r="C534" s="135" t="s">
        <v>5717</v>
      </c>
      <c r="D534" s="332" t="s">
        <v>5952</v>
      </c>
      <c r="E534" s="124" t="s">
        <v>88</v>
      </c>
      <c r="F534" s="332" t="s">
        <v>5953</v>
      </c>
      <c r="G534" s="332" t="s">
        <v>5954</v>
      </c>
      <c r="H534" s="135" t="s">
        <v>142</v>
      </c>
      <c r="I534" s="135" t="s">
        <v>5587</v>
      </c>
      <c r="J534" s="135" t="s">
        <v>89</v>
      </c>
      <c r="K534" s="135" t="s">
        <v>5718</v>
      </c>
      <c r="L534" s="135" t="s">
        <v>745</v>
      </c>
      <c r="M534" s="333">
        <v>39427.0</v>
      </c>
      <c r="N534" s="138" t="s">
        <v>220</v>
      </c>
      <c r="O534" s="348"/>
      <c r="P534" s="135" t="s">
        <v>130</v>
      </c>
      <c r="Q534" s="138"/>
      <c r="R534" s="138">
        <v>8.5276677613E10</v>
      </c>
      <c r="S534" s="135" t="s">
        <v>5719</v>
      </c>
      <c r="T534" s="135" t="s">
        <v>5720</v>
      </c>
      <c r="U534" s="135" t="s">
        <v>5721</v>
      </c>
      <c r="V534" s="135" t="s">
        <v>96</v>
      </c>
      <c r="W534" s="135" t="s">
        <v>97</v>
      </c>
      <c r="X534" s="135" t="s">
        <v>1136</v>
      </c>
      <c r="Y534" s="135" t="s">
        <v>1137</v>
      </c>
      <c r="Z534" s="138"/>
      <c r="AA534" s="138"/>
    </row>
    <row r="535">
      <c r="A535" s="332">
        <v>12.0</v>
      </c>
      <c r="B535" s="135" t="s">
        <v>5722</v>
      </c>
      <c r="C535" s="135" t="s">
        <v>5723</v>
      </c>
      <c r="D535" s="332" t="s">
        <v>5952</v>
      </c>
      <c r="E535" s="124" t="s">
        <v>88</v>
      </c>
      <c r="F535" s="332" t="s">
        <v>5953</v>
      </c>
      <c r="G535" s="332" t="s">
        <v>5954</v>
      </c>
      <c r="H535" s="135" t="s">
        <v>142</v>
      </c>
      <c r="I535" s="135" t="s">
        <v>5587</v>
      </c>
      <c r="J535" s="135" t="s">
        <v>89</v>
      </c>
      <c r="K535" s="135" t="s">
        <v>374</v>
      </c>
      <c r="L535" s="135" t="s">
        <v>648</v>
      </c>
      <c r="M535" s="333">
        <v>42028.0</v>
      </c>
      <c r="N535" s="138" t="s">
        <v>220</v>
      </c>
      <c r="O535" s="348"/>
      <c r="P535" s="135" t="s">
        <v>130</v>
      </c>
      <c r="Q535" s="138"/>
      <c r="R535" s="138">
        <v>8.5358584087E10</v>
      </c>
      <c r="S535" s="135" t="s">
        <v>5724</v>
      </c>
      <c r="T535" s="135" t="s">
        <v>5725</v>
      </c>
      <c r="U535" s="135" t="s">
        <v>5726</v>
      </c>
      <c r="V535" s="135" t="s">
        <v>73</v>
      </c>
      <c r="W535" s="135" t="s">
        <v>74</v>
      </c>
      <c r="X535" s="135" t="s">
        <v>1047</v>
      </c>
      <c r="Y535" s="135" t="s">
        <v>4573</v>
      </c>
      <c r="Z535" s="138"/>
      <c r="AA535" s="138"/>
    </row>
    <row r="536">
      <c r="A536" s="332">
        <v>13.0</v>
      </c>
      <c r="B536" s="135" t="s">
        <v>5727</v>
      </c>
      <c r="C536" s="135" t="s">
        <v>5728</v>
      </c>
      <c r="D536" s="332" t="s">
        <v>5952</v>
      </c>
      <c r="E536" s="124" t="s">
        <v>88</v>
      </c>
      <c r="F536" s="332" t="s">
        <v>5953</v>
      </c>
      <c r="G536" s="332" t="s">
        <v>5954</v>
      </c>
      <c r="H536" s="135" t="s">
        <v>142</v>
      </c>
      <c r="I536" s="135" t="s">
        <v>5587</v>
      </c>
      <c r="J536" s="135" t="s">
        <v>89</v>
      </c>
      <c r="K536" s="135" t="s">
        <v>1214</v>
      </c>
      <c r="L536" s="135" t="s">
        <v>1231</v>
      </c>
      <c r="M536" s="333">
        <v>39133.0</v>
      </c>
      <c r="N536" s="138" t="s">
        <v>67</v>
      </c>
      <c r="O536" s="348"/>
      <c r="P536" s="135" t="s">
        <v>68</v>
      </c>
      <c r="Q536" s="138"/>
      <c r="R536" s="138">
        <v>8.2168685481E10</v>
      </c>
      <c r="S536" s="135" t="s">
        <v>5729</v>
      </c>
      <c r="T536" s="135" t="s">
        <v>5730</v>
      </c>
      <c r="U536" s="135" t="s">
        <v>5731</v>
      </c>
      <c r="V536" s="135" t="s">
        <v>5732</v>
      </c>
      <c r="W536" s="135"/>
      <c r="X536" s="135" t="s">
        <v>1082</v>
      </c>
      <c r="Y536" s="135" t="s">
        <v>1602</v>
      </c>
      <c r="Z536" s="138"/>
      <c r="AA536" s="138"/>
    </row>
    <row r="537">
      <c r="A537" s="332">
        <v>14.0</v>
      </c>
      <c r="B537" s="135" t="s">
        <v>5733</v>
      </c>
      <c r="C537" s="135" t="s">
        <v>5734</v>
      </c>
      <c r="D537" s="332" t="s">
        <v>5952</v>
      </c>
      <c r="E537" s="124" t="s">
        <v>88</v>
      </c>
      <c r="F537" s="332" t="s">
        <v>5953</v>
      </c>
      <c r="G537" s="332" t="s">
        <v>5954</v>
      </c>
      <c r="H537" s="135" t="s">
        <v>532</v>
      </c>
      <c r="I537" s="135" t="s">
        <v>5587</v>
      </c>
      <c r="J537" s="135" t="s">
        <v>285</v>
      </c>
      <c r="K537" s="135" t="s">
        <v>1035</v>
      </c>
      <c r="L537" s="135" t="s">
        <v>5735</v>
      </c>
      <c r="M537" s="333">
        <v>38152.0</v>
      </c>
      <c r="N537" s="138" t="s">
        <v>67</v>
      </c>
      <c r="O537" s="348"/>
      <c r="P537" s="135" t="s">
        <v>68</v>
      </c>
      <c r="Q537" s="138"/>
      <c r="R537" s="138">
        <v>8.1376194915E10</v>
      </c>
      <c r="S537" s="135" t="s">
        <v>5736</v>
      </c>
      <c r="T537" s="135" t="s">
        <v>5737</v>
      </c>
      <c r="U537" s="135" t="s">
        <v>5738</v>
      </c>
      <c r="V537" s="135" t="s">
        <v>96</v>
      </c>
      <c r="W537" s="135" t="s">
        <v>514</v>
      </c>
      <c r="X537" s="135" t="s">
        <v>1136</v>
      </c>
      <c r="Y537" s="135" t="s">
        <v>5739</v>
      </c>
      <c r="Z537" s="138"/>
      <c r="AA537" s="138"/>
    </row>
    <row r="538">
      <c r="A538" s="332">
        <v>15.0</v>
      </c>
      <c r="B538" s="135" t="s">
        <v>5740</v>
      </c>
      <c r="C538" s="135" t="s">
        <v>5741</v>
      </c>
      <c r="D538" s="332" t="s">
        <v>5952</v>
      </c>
      <c r="E538" s="124" t="s">
        <v>88</v>
      </c>
      <c r="F538" s="332" t="s">
        <v>5953</v>
      </c>
      <c r="G538" s="332" t="s">
        <v>5954</v>
      </c>
      <c r="H538" s="135" t="s">
        <v>142</v>
      </c>
      <c r="I538" s="135" t="s">
        <v>5587</v>
      </c>
      <c r="J538" s="135" t="s">
        <v>89</v>
      </c>
      <c r="K538" s="135" t="s">
        <v>2030</v>
      </c>
      <c r="L538" s="135" t="s">
        <v>260</v>
      </c>
      <c r="M538" s="333">
        <v>40161.0</v>
      </c>
      <c r="N538" s="138" t="s">
        <v>67</v>
      </c>
      <c r="O538" s="348"/>
      <c r="P538" s="135" t="s">
        <v>130</v>
      </c>
      <c r="Q538" s="138"/>
      <c r="R538" s="138">
        <v>8.2282317198E10</v>
      </c>
      <c r="S538" s="135" t="s">
        <v>5742</v>
      </c>
      <c r="T538" s="135" t="s">
        <v>5743</v>
      </c>
      <c r="U538" s="135" t="s">
        <v>5744</v>
      </c>
      <c r="V538" s="135" t="s">
        <v>732</v>
      </c>
      <c r="W538" s="135" t="s">
        <v>97</v>
      </c>
      <c r="X538" s="135" t="s">
        <v>5745</v>
      </c>
      <c r="Y538" s="135" t="s">
        <v>5746</v>
      </c>
      <c r="Z538" s="138"/>
      <c r="AA538" s="138"/>
    </row>
    <row r="539">
      <c r="A539" s="332">
        <v>16.0</v>
      </c>
      <c r="B539" s="135" t="s">
        <v>5747</v>
      </c>
      <c r="C539" s="135" t="s">
        <v>5748</v>
      </c>
      <c r="D539" s="332" t="s">
        <v>5952</v>
      </c>
      <c r="E539" s="124" t="s">
        <v>88</v>
      </c>
      <c r="F539" s="332" t="s">
        <v>5953</v>
      </c>
      <c r="G539" s="332" t="s">
        <v>5954</v>
      </c>
      <c r="H539" s="135" t="s">
        <v>519</v>
      </c>
      <c r="I539" s="135" t="s">
        <v>5587</v>
      </c>
      <c r="J539" s="135" t="s">
        <v>267</v>
      </c>
      <c r="K539" s="135" t="s">
        <v>346</v>
      </c>
      <c r="L539" s="135" t="s">
        <v>2082</v>
      </c>
      <c r="M539" s="333">
        <v>42002.0</v>
      </c>
      <c r="N539" s="138" t="s">
        <v>67</v>
      </c>
      <c r="O539" s="348"/>
      <c r="P539" s="135" t="s">
        <v>68</v>
      </c>
      <c r="Q539" s="138"/>
      <c r="R539" s="138">
        <v>8.1361783819E10</v>
      </c>
      <c r="S539" s="135" t="s">
        <v>5749</v>
      </c>
      <c r="T539" s="135" t="s">
        <v>5750</v>
      </c>
      <c r="U539" s="135" t="s">
        <v>5751</v>
      </c>
      <c r="V539" s="135" t="s">
        <v>73</v>
      </c>
      <c r="W539" s="135" t="s">
        <v>74</v>
      </c>
      <c r="X539" s="135" t="s">
        <v>1047</v>
      </c>
      <c r="Y539" s="135" t="s">
        <v>5752</v>
      </c>
      <c r="Z539" s="138"/>
      <c r="AA539" s="138"/>
    </row>
    <row r="540">
      <c r="A540" s="332">
        <v>17.0</v>
      </c>
      <c r="B540" s="135" t="s">
        <v>5753</v>
      </c>
      <c r="C540" s="135" t="s">
        <v>5754</v>
      </c>
      <c r="D540" s="332" t="s">
        <v>5952</v>
      </c>
      <c r="E540" s="124" t="s">
        <v>88</v>
      </c>
      <c r="F540" s="332" t="s">
        <v>5953</v>
      </c>
      <c r="G540" s="332" t="s">
        <v>5954</v>
      </c>
      <c r="H540" s="135" t="s">
        <v>532</v>
      </c>
      <c r="I540" s="135" t="s">
        <v>5587</v>
      </c>
      <c r="J540" s="135" t="s">
        <v>285</v>
      </c>
      <c r="K540" s="135" t="s">
        <v>5755</v>
      </c>
      <c r="L540" s="135" t="s">
        <v>5756</v>
      </c>
      <c r="M540" s="335">
        <v>44810.0</v>
      </c>
      <c r="N540" s="138" t="s">
        <v>67</v>
      </c>
      <c r="O540" s="348"/>
      <c r="P540" s="135" t="s">
        <v>68</v>
      </c>
      <c r="Q540" s="138"/>
      <c r="R540" s="138">
        <v>8.237070092E10</v>
      </c>
      <c r="S540" s="135" t="s">
        <v>5757</v>
      </c>
      <c r="T540" s="135" t="s">
        <v>5758</v>
      </c>
      <c r="U540" s="135" t="s">
        <v>5759</v>
      </c>
      <c r="V540" s="135" t="s">
        <v>73</v>
      </c>
      <c r="W540" s="135" t="s">
        <v>74</v>
      </c>
      <c r="X540" s="135" t="s">
        <v>1082</v>
      </c>
      <c r="Y540" s="135" t="s">
        <v>5760</v>
      </c>
      <c r="Z540" s="138"/>
      <c r="AA540" s="138"/>
    </row>
    <row r="541">
      <c r="A541" s="332">
        <v>18.0</v>
      </c>
      <c r="B541" s="135" t="s">
        <v>5761</v>
      </c>
      <c r="C541" s="135" t="s">
        <v>5762</v>
      </c>
      <c r="D541" s="332" t="s">
        <v>5952</v>
      </c>
      <c r="E541" s="124" t="s">
        <v>88</v>
      </c>
      <c r="F541" s="332" t="s">
        <v>5953</v>
      </c>
      <c r="G541" s="332" t="s">
        <v>5954</v>
      </c>
      <c r="H541" s="135" t="s">
        <v>519</v>
      </c>
      <c r="I541" s="135" t="s">
        <v>5587</v>
      </c>
      <c r="J541" s="135" t="s">
        <v>267</v>
      </c>
      <c r="K541" s="135" t="s">
        <v>4100</v>
      </c>
      <c r="L541" s="135" t="s">
        <v>5763</v>
      </c>
      <c r="M541" s="333">
        <v>40107.0</v>
      </c>
      <c r="N541" s="138" t="s">
        <v>67</v>
      </c>
      <c r="O541" s="348"/>
      <c r="P541" s="135" t="s">
        <v>68</v>
      </c>
      <c r="Q541" s="138"/>
      <c r="R541" s="138">
        <v>8.2365063839E10</v>
      </c>
      <c r="S541" s="135" t="s">
        <v>5764</v>
      </c>
      <c r="T541" s="135" t="s">
        <v>5765</v>
      </c>
      <c r="U541" s="135" t="s">
        <v>5766</v>
      </c>
      <c r="V541" s="135" t="s">
        <v>96</v>
      </c>
      <c r="W541" s="135" t="s">
        <v>414</v>
      </c>
      <c r="X541" s="135" t="s">
        <v>5767</v>
      </c>
      <c r="Y541" s="135" t="s">
        <v>556</v>
      </c>
      <c r="Z541" s="138"/>
      <c r="AA541" s="138"/>
    </row>
    <row r="542">
      <c r="A542" s="332">
        <v>19.0</v>
      </c>
      <c r="B542" s="135" t="s">
        <v>5768</v>
      </c>
      <c r="C542" s="135" t="s">
        <v>5769</v>
      </c>
      <c r="D542" s="332" t="s">
        <v>5952</v>
      </c>
      <c r="E542" s="124" t="s">
        <v>88</v>
      </c>
      <c r="F542" s="332" t="s">
        <v>5953</v>
      </c>
      <c r="G542" s="332" t="s">
        <v>5954</v>
      </c>
      <c r="H542" s="135" t="s">
        <v>142</v>
      </c>
      <c r="I542" s="135" t="s">
        <v>5587</v>
      </c>
      <c r="J542" s="135" t="s">
        <v>89</v>
      </c>
      <c r="K542" s="135" t="s">
        <v>4843</v>
      </c>
      <c r="L542" s="135" t="s">
        <v>260</v>
      </c>
      <c r="M542" s="333">
        <v>40022.0</v>
      </c>
      <c r="N542" s="138" t="s">
        <v>67</v>
      </c>
      <c r="O542" s="348"/>
      <c r="P542" s="135" t="s">
        <v>68</v>
      </c>
      <c r="Q542" s="138"/>
      <c r="R542" s="138">
        <v>8.1370028267E10</v>
      </c>
      <c r="S542" s="135" t="s">
        <v>5770</v>
      </c>
      <c r="T542" s="135" t="s">
        <v>5771</v>
      </c>
      <c r="U542" s="135" t="s">
        <v>5772</v>
      </c>
      <c r="V542" s="135" t="s">
        <v>73</v>
      </c>
      <c r="W542" s="135" t="s">
        <v>74</v>
      </c>
      <c r="X542" s="135" t="s">
        <v>774</v>
      </c>
      <c r="Y542" s="135" t="s">
        <v>4036</v>
      </c>
      <c r="Z542" s="138"/>
      <c r="AA542" s="138"/>
    </row>
    <row r="543">
      <c r="A543" s="332">
        <v>20.0</v>
      </c>
      <c r="B543" s="135" t="s">
        <v>5773</v>
      </c>
      <c r="C543" s="135" t="s">
        <v>5774</v>
      </c>
      <c r="D543" s="332" t="s">
        <v>5952</v>
      </c>
      <c r="E543" s="124" t="s">
        <v>88</v>
      </c>
      <c r="F543" s="332" t="s">
        <v>5953</v>
      </c>
      <c r="G543" s="332" t="s">
        <v>5954</v>
      </c>
      <c r="H543" s="135" t="s">
        <v>142</v>
      </c>
      <c r="I543" s="135" t="s">
        <v>5587</v>
      </c>
      <c r="J543" s="135" t="s">
        <v>89</v>
      </c>
      <c r="K543" s="135" t="s">
        <v>1520</v>
      </c>
      <c r="L543" s="135" t="s">
        <v>1231</v>
      </c>
      <c r="M543" s="333">
        <v>39011.0</v>
      </c>
      <c r="N543" s="138" t="s">
        <v>67</v>
      </c>
      <c r="O543" s="348"/>
      <c r="P543" s="135" t="s">
        <v>130</v>
      </c>
      <c r="Q543" s="138"/>
      <c r="R543" s="138">
        <v>8.1264183984E10</v>
      </c>
      <c r="S543" s="135" t="s">
        <v>5775</v>
      </c>
      <c r="T543" s="135" t="s">
        <v>5776</v>
      </c>
      <c r="U543" s="135" t="s">
        <v>5777</v>
      </c>
      <c r="V543" s="135" t="s">
        <v>73</v>
      </c>
      <c r="W543" s="135" t="s">
        <v>74</v>
      </c>
      <c r="X543" s="135" t="s">
        <v>932</v>
      </c>
      <c r="Y543" s="135" t="s">
        <v>1074</v>
      </c>
      <c r="Z543" s="138">
        <v>0.0</v>
      </c>
      <c r="AA543" s="138">
        <v>0.0</v>
      </c>
    </row>
    <row r="544">
      <c r="A544" s="332">
        <v>21.0</v>
      </c>
      <c r="B544" s="135" t="s">
        <v>5778</v>
      </c>
      <c r="C544" s="135" t="s">
        <v>5779</v>
      </c>
      <c r="D544" s="332" t="s">
        <v>5952</v>
      </c>
      <c r="E544" s="124" t="s">
        <v>88</v>
      </c>
      <c r="F544" s="332" t="s">
        <v>5953</v>
      </c>
      <c r="G544" s="332" t="s">
        <v>5954</v>
      </c>
      <c r="H544" s="135" t="s">
        <v>142</v>
      </c>
      <c r="I544" s="135" t="s">
        <v>5587</v>
      </c>
      <c r="J544" s="135" t="s">
        <v>89</v>
      </c>
      <c r="K544" s="135" t="s">
        <v>5780</v>
      </c>
      <c r="L544" s="135" t="s">
        <v>3449</v>
      </c>
      <c r="M544" s="333">
        <v>41206.0</v>
      </c>
      <c r="N544" s="138" t="s">
        <v>67</v>
      </c>
      <c r="O544" s="348"/>
      <c r="P544" s="135" t="s">
        <v>68</v>
      </c>
      <c r="Q544" s="348"/>
      <c r="R544" s="138">
        <v>8.1397800131E10</v>
      </c>
      <c r="S544" s="135" t="s">
        <v>5781</v>
      </c>
      <c r="T544" s="135" t="s">
        <v>5782</v>
      </c>
      <c r="U544" s="135" t="s">
        <v>5783</v>
      </c>
      <c r="V544" s="135" t="s">
        <v>692</v>
      </c>
      <c r="W544" s="135" t="s">
        <v>135</v>
      </c>
      <c r="X544" s="135" t="s">
        <v>1136</v>
      </c>
      <c r="Y544" s="135" t="s">
        <v>5784</v>
      </c>
      <c r="Z544" s="138"/>
      <c r="AA544" s="138"/>
    </row>
    <row r="545">
      <c r="A545" s="332">
        <v>22.0</v>
      </c>
      <c r="B545" s="135" t="s">
        <v>5785</v>
      </c>
      <c r="C545" s="135" t="s">
        <v>5786</v>
      </c>
      <c r="D545" s="332" t="s">
        <v>5952</v>
      </c>
      <c r="E545" s="124" t="s">
        <v>88</v>
      </c>
      <c r="F545" s="332" t="s">
        <v>5953</v>
      </c>
      <c r="G545" s="332" t="s">
        <v>5954</v>
      </c>
      <c r="H545" s="135" t="s">
        <v>142</v>
      </c>
      <c r="I545" s="135" t="s">
        <v>5587</v>
      </c>
      <c r="J545" s="135" t="s">
        <v>89</v>
      </c>
      <c r="K545" s="135" t="s">
        <v>90</v>
      </c>
      <c r="L545" s="135" t="s">
        <v>1231</v>
      </c>
      <c r="M545" s="333">
        <v>43036.0</v>
      </c>
      <c r="N545" s="138" t="s">
        <v>67</v>
      </c>
      <c r="O545" s="348"/>
      <c r="P545" s="135" t="s">
        <v>68</v>
      </c>
      <c r="Q545" s="348"/>
      <c r="R545" s="138">
        <v>8.2165656655E10</v>
      </c>
      <c r="S545" s="135" t="s">
        <v>5787</v>
      </c>
      <c r="T545" s="135" t="s">
        <v>5788</v>
      </c>
      <c r="U545" s="135" t="s">
        <v>5789</v>
      </c>
      <c r="V545" s="135" t="s">
        <v>73</v>
      </c>
      <c r="W545" s="135" t="s">
        <v>74</v>
      </c>
      <c r="X545" s="135" t="s">
        <v>860</v>
      </c>
      <c r="Y545" s="135" t="s">
        <v>3333</v>
      </c>
      <c r="Z545" s="138"/>
      <c r="AA545" s="138"/>
    </row>
    <row r="546">
      <c r="A546" s="332">
        <v>23.0</v>
      </c>
      <c r="B546" s="135" t="s">
        <v>5790</v>
      </c>
      <c r="C546" s="135" t="s">
        <v>5791</v>
      </c>
      <c r="D546" s="332" t="s">
        <v>5952</v>
      </c>
      <c r="E546" s="124" t="s">
        <v>88</v>
      </c>
      <c r="F546" s="332" t="s">
        <v>5953</v>
      </c>
      <c r="G546" s="332" t="s">
        <v>5954</v>
      </c>
      <c r="H546" s="135" t="s">
        <v>142</v>
      </c>
      <c r="I546" s="135" t="s">
        <v>5587</v>
      </c>
      <c r="J546" s="135" t="s">
        <v>89</v>
      </c>
      <c r="K546" s="135" t="s">
        <v>218</v>
      </c>
      <c r="L546" s="135" t="s">
        <v>2082</v>
      </c>
      <c r="M546" s="335">
        <v>41977.0</v>
      </c>
      <c r="N546" s="138" t="s">
        <v>67</v>
      </c>
      <c r="O546" s="348"/>
      <c r="P546" s="135" t="s">
        <v>130</v>
      </c>
      <c r="Q546" s="348"/>
      <c r="R546" s="138">
        <v>8.1377444044E10</v>
      </c>
      <c r="S546" s="135" t="s">
        <v>5792</v>
      </c>
      <c r="T546" s="135" t="s">
        <v>5793</v>
      </c>
      <c r="U546" s="135" t="s">
        <v>5794</v>
      </c>
      <c r="V546" s="135" t="s">
        <v>732</v>
      </c>
      <c r="W546" s="135" t="s">
        <v>414</v>
      </c>
      <c r="X546" s="135" t="s">
        <v>5795</v>
      </c>
      <c r="Y546" s="135" t="s">
        <v>5796</v>
      </c>
      <c r="Z546" s="138"/>
      <c r="AA546" s="138"/>
    </row>
    <row r="547">
      <c r="A547" s="332">
        <v>24.0</v>
      </c>
      <c r="B547" s="135" t="s">
        <v>5797</v>
      </c>
      <c r="C547" s="135" t="s">
        <v>5798</v>
      </c>
      <c r="D547" s="332" t="s">
        <v>5952</v>
      </c>
      <c r="E547" s="124" t="s">
        <v>88</v>
      </c>
      <c r="F547" s="332" t="s">
        <v>5953</v>
      </c>
      <c r="G547" s="332" t="s">
        <v>5954</v>
      </c>
      <c r="H547" s="135" t="s">
        <v>142</v>
      </c>
      <c r="I547" s="135" t="s">
        <v>5587</v>
      </c>
      <c r="J547" s="135" t="s">
        <v>89</v>
      </c>
      <c r="K547" s="135" t="s">
        <v>218</v>
      </c>
      <c r="L547" s="135" t="s">
        <v>1231</v>
      </c>
      <c r="M547" s="333">
        <v>42453.0</v>
      </c>
      <c r="N547" s="138" t="s">
        <v>67</v>
      </c>
      <c r="O547" s="348"/>
      <c r="P547" s="135" t="s">
        <v>130</v>
      </c>
      <c r="Q547" s="348"/>
      <c r="R547" s="138">
        <v>8.5262766615E10</v>
      </c>
      <c r="S547" s="135" t="s">
        <v>5799</v>
      </c>
      <c r="T547" s="135" t="s">
        <v>5800</v>
      </c>
      <c r="U547" s="135" t="s">
        <v>5801</v>
      </c>
      <c r="V547" s="135" t="s">
        <v>73</v>
      </c>
      <c r="W547" s="135" t="s">
        <v>74</v>
      </c>
      <c r="X547" s="135" t="s">
        <v>860</v>
      </c>
      <c r="Y547" s="135" t="s">
        <v>5802</v>
      </c>
      <c r="Z547" s="138">
        <v>0.0</v>
      </c>
      <c r="AA547" s="138">
        <v>0.0</v>
      </c>
    </row>
    <row r="548">
      <c r="A548" s="332">
        <v>25.0</v>
      </c>
      <c r="B548" s="135" t="s">
        <v>5803</v>
      </c>
      <c r="C548" s="135" t="s">
        <v>5804</v>
      </c>
      <c r="D548" s="332" t="s">
        <v>5952</v>
      </c>
      <c r="E548" s="124" t="s">
        <v>88</v>
      </c>
      <c r="F548" s="332" t="s">
        <v>5953</v>
      </c>
      <c r="G548" s="332" t="s">
        <v>5954</v>
      </c>
      <c r="H548" s="135" t="s">
        <v>142</v>
      </c>
      <c r="I548" s="135" t="s">
        <v>5587</v>
      </c>
      <c r="J548" s="135" t="s">
        <v>110</v>
      </c>
      <c r="K548" s="135" t="s">
        <v>5805</v>
      </c>
      <c r="L548" s="135" t="s">
        <v>244</v>
      </c>
      <c r="M548" s="335">
        <v>38688.0</v>
      </c>
      <c r="N548" s="138" t="s">
        <v>67</v>
      </c>
      <c r="O548" s="348"/>
      <c r="P548" s="135" t="s">
        <v>130</v>
      </c>
      <c r="Q548" s="348"/>
      <c r="R548" s="138">
        <v>8.1370022101E10</v>
      </c>
      <c r="S548" s="135" t="s">
        <v>5806</v>
      </c>
      <c r="T548" s="135" t="s">
        <v>5807</v>
      </c>
      <c r="U548" s="135" t="s">
        <v>5808</v>
      </c>
      <c r="V548" s="135" t="s">
        <v>73</v>
      </c>
      <c r="W548" s="135" t="s">
        <v>74</v>
      </c>
      <c r="X548" s="135" t="s">
        <v>1082</v>
      </c>
      <c r="Y548" s="135" t="s">
        <v>5809</v>
      </c>
      <c r="Z548" s="138"/>
      <c r="AA548" s="138"/>
    </row>
    <row r="549">
      <c r="A549" s="332">
        <v>26.0</v>
      </c>
      <c r="B549" s="135" t="s">
        <v>5810</v>
      </c>
      <c r="C549" s="135" t="s">
        <v>5811</v>
      </c>
      <c r="D549" s="332" t="s">
        <v>5952</v>
      </c>
      <c r="E549" s="124" t="s">
        <v>88</v>
      </c>
      <c r="F549" s="332" t="s">
        <v>5953</v>
      </c>
      <c r="G549" s="332" t="s">
        <v>5954</v>
      </c>
      <c r="H549" s="135" t="s">
        <v>142</v>
      </c>
      <c r="I549" s="135" t="s">
        <v>5587</v>
      </c>
      <c r="J549" s="135" t="s">
        <v>89</v>
      </c>
      <c r="K549" s="135" t="s">
        <v>5812</v>
      </c>
      <c r="L549" s="135" t="s">
        <v>231</v>
      </c>
      <c r="M549" s="333">
        <v>40988.0</v>
      </c>
      <c r="N549" s="138" t="s">
        <v>67</v>
      </c>
      <c r="O549" s="348"/>
      <c r="P549" s="135" t="s">
        <v>68</v>
      </c>
      <c r="Q549" s="348"/>
      <c r="R549" s="138">
        <v>8.2167377717E10</v>
      </c>
      <c r="S549" s="135" t="s">
        <v>5813</v>
      </c>
      <c r="T549" s="135" t="s">
        <v>5814</v>
      </c>
      <c r="U549" s="135" t="s">
        <v>5815</v>
      </c>
      <c r="V549" s="135" t="s">
        <v>1029</v>
      </c>
      <c r="W549" s="135" t="s">
        <v>514</v>
      </c>
      <c r="X549" s="135" t="s">
        <v>5816</v>
      </c>
      <c r="Y549" s="135" t="s">
        <v>5817</v>
      </c>
      <c r="Z549" s="138" t="s">
        <v>77</v>
      </c>
      <c r="AA549" s="138" t="s">
        <v>77</v>
      </c>
    </row>
    <row r="550">
      <c r="A550" s="332">
        <v>27.0</v>
      </c>
      <c r="B550" s="135" t="s">
        <v>5818</v>
      </c>
      <c r="C550" s="135" t="s">
        <v>5819</v>
      </c>
      <c r="D550" s="332" t="s">
        <v>5952</v>
      </c>
      <c r="E550" s="124" t="s">
        <v>88</v>
      </c>
      <c r="F550" s="332" t="s">
        <v>5953</v>
      </c>
      <c r="G550" s="332" t="s">
        <v>5954</v>
      </c>
      <c r="H550" s="135" t="s">
        <v>519</v>
      </c>
      <c r="I550" s="135" t="s">
        <v>5587</v>
      </c>
      <c r="J550" s="135" t="s">
        <v>267</v>
      </c>
      <c r="K550" s="135" t="s">
        <v>5820</v>
      </c>
      <c r="L550" s="135" t="s">
        <v>268</v>
      </c>
      <c r="M550" s="333">
        <v>37890.0</v>
      </c>
      <c r="N550" s="138" t="s">
        <v>220</v>
      </c>
      <c r="O550" s="348"/>
      <c r="P550" s="135" t="s">
        <v>68</v>
      </c>
      <c r="Q550" s="348"/>
      <c r="R550" s="138">
        <v>8.3834374606E10</v>
      </c>
      <c r="S550" s="135" t="s">
        <v>5821</v>
      </c>
      <c r="T550" s="135" t="s">
        <v>5822</v>
      </c>
      <c r="U550" s="135" t="s">
        <v>5823</v>
      </c>
      <c r="V550" s="135" t="s">
        <v>96</v>
      </c>
      <c r="W550" s="135" t="s">
        <v>97</v>
      </c>
      <c r="X550" s="135" t="s">
        <v>1511</v>
      </c>
      <c r="Y550" s="135" t="s">
        <v>2942</v>
      </c>
      <c r="Z550" s="138" t="s">
        <v>77</v>
      </c>
      <c r="AA550" s="138" t="s">
        <v>77</v>
      </c>
    </row>
    <row r="551">
      <c r="A551" s="332">
        <v>28.0</v>
      </c>
      <c r="B551" s="135" t="s">
        <v>5824</v>
      </c>
      <c r="C551" s="135" t="s">
        <v>5825</v>
      </c>
      <c r="D551" s="332" t="s">
        <v>5952</v>
      </c>
      <c r="E551" s="124" t="s">
        <v>88</v>
      </c>
      <c r="F551" s="332" t="s">
        <v>5953</v>
      </c>
      <c r="G551" s="332" t="s">
        <v>5954</v>
      </c>
      <c r="H551" s="135" t="s">
        <v>142</v>
      </c>
      <c r="I551" s="135" t="s">
        <v>5587</v>
      </c>
      <c r="J551" s="135" t="s">
        <v>89</v>
      </c>
      <c r="K551" s="135" t="s">
        <v>795</v>
      </c>
      <c r="L551" s="135" t="s">
        <v>2082</v>
      </c>
      <c r="M551" s="335">
        <v>43867.0</v>
      </c>
      <c r="N551" s="138" t="s">
        <v>220</v>
      </c>
      <c r="O551" s="348"/>
      <c r="P551" s="135" t="s">
        <v>68</v>
      </c>
      <c r="Q551" s="348"/>
      <c r="R551" s="138">
        <v>8.2166227495E10</v>
      </c>
      <c r="S551" s="135" t="s">
        <v>5826</v>
      </c>
      <c r="T551" s="135" t="s">
        <v>5827</v>
      </c>
      <c r="U551" s="135" t="s">
        <v>5828</v>
      </c>
      <c r="V551" s="135" t="s">
        <v>96</v>
      </c>
      <c r="W551" s="135" t="s">
        <v>97</v>
      </c>
      <c r="X551" s="135" t="s">
        <v>1220</v>
      </c>
      <c r="Y551" s="135" t="s">
        <v>3070</v>
      </c>
      <c r="Z551" s="138"/>
      <c r="AA551" s="138"/>
    </row>
    <row r="552">
      <c r="A552" s="332">
        <v>29.0</v>
      </c>
      <c r="B552" s="135" t="s">
        <v>5829</v>
      </c>
      <c r="C552" s="135" t="s">
        <v>5830</v>
      </c>
      <c r="D552" s="332" t="s">
        <v>5952</v>
      </c>
      <c r="E552" s="124" t="s">
        <v>88</v>
      </c>
      <c r="F552" s="332" t="s">
        <v>5953</v>
      </c>
      <c r="G552" s="332" t="s">
        <v>5954</v>
      </c>
      <c r="H552" s="135" t="s">
        <v>519</v>
      </c>
      <c r="I552" s="135" t="s">
        <v>5587</v>
      </c>
      <c r="J552" s="135" t="s">
        <v>267</v>
      </c>
      <c r="K552" s="135" t="s">
        <v>5831</v>
      </c>
      <c r="L552" s="135" t="s">
        <v>5832</v>
      </c>
      <c r="M552" s="333">
        <v>36218.0</v>
      </c>
      <c r="N552" s="138" t="s">
        <v>220</v>
      </c>
      <c r="O552" s="348"/>
      <c r="P552" s="135" t="s">
        <v>130</v>
      </c>
      <c r="Q552" s="348"/>
      <c r="R552" s="138">
        <v>8.1396879737E10</v>
      </c>
      <c r="S552" s="135" t="s">
        <v>5833</v>
      </c>
      <c r="T552" s="135" t="s">
        <v>5834</v>
      </c>
      <c r="U552" s="135" t="s">
        <v>5835</v>
      </c>
      <c r="V552" s="135" t="s">
        <v>73</v>
      </c>
      <c r="W552" s="135" t="s">
        <v>74</v>
      </c>
      <c r="X552" s="135" t="s">
        <v>191</v>
      </c>
      <c r="Y552" s="135" t="s">
        <v>5836</v>
      </c>
      <c r="Z552" s="138">
        <v>0.0</v>
      </c>
      <c r="AA552" s="138">
        <v>0.0</v>
      </c>
    </row>
    <row r="553">
      <c r="A553" s="332">
        <v>30.0</v>
      </c>
      <c r="B553" s="135" t="s">
        <v>5837</v>
      </c>
      <c r="C553" s="135" t="s">
        <v>5838</v>
      </c>
      <c r="D553" s="332" t="s">
        <v>5952</v>
      </c>
      <c r="E553" s="124" t="s">
        <v>88</v>
      </c>
      <c r="F553" s="332" t="s">
        <v>5953</v>
      </c>
      <c r="G553" s="332" t="s">
        <v>5954</v>
      </c>
      <c r="H553" s="135" t="s">
        <v>142</v>
      </c>
      <c r="I553" s="135" t="s">
        <v>5587</v>
      </c>
      <c r="J553" s="135" t="s">
        <v>89</v>
      </c>
      <c r="K553" s="135" t="s">
        <v>4843</v>
      </c>
      <c r="L553" s="135" t="s">
        <v>5839</v>
      </c>
      <c r="M553" s="333">
        <v>41265.0</v>
      </c>
      <c r="N553" s="138" t="s">
        <v>67</v>
      </c>
      <c r="O553" s="348"/>
      <c r="P553" s="135" t="s">
        <v>130</v>
      </c>
      <c r="Q553" s="348"/>
      <c r="R553" s="138">
        <v>8.2162882487E10</v>
      </c>
      <c r="S553" s="135" t="s">
        <v>5840</v>
      </c>
      <c r="T553" s="135" t="s">
        <v>5841</v>
      </c>
      <c r="U553" s="135" t="s">
        <v>5842</v>
      </c>
      <c r="V553" s="135" t="s">
        <v>73</v>
      </c>
      <c r="W553" s="135" t="s">
        <v>74</v>
      </c>
      <c r="X553" s="135" t="s">
        <v>5707</v>
      </c>
      <c r="Y553" s="135" t="s">
        <v>5843</v>
      </c>
      <c r="Z553" s="138"/>
      <c r="AA553" s="138"/>
    </row>
    <row r="554">
      <c r="A554" s="332">
        <v>31.0</v>
      </c>
      <c r="B554" s="135" t="s">
        <v>5844</v>
      </c>
      <c r="C554" s="135" t="s">
        <v>5845</v>
      </c>
      <c r="D554" s="332" t="s">
        <v>5952</v>
      </c>
      <c r="E554" s="124" t="s">
        <v>88</v>
      </c>
      <c r="F554" s="332" t="s">
        <v>5953</v>
      </c>
      <c r="G554" s="332" t="s">
        <v>5954</v>
      </c>
      <c r="H554" s="135" t="s">
        <v>142</v>
      </c>
      <c r="I554" s="135" t="s">
        <v>5587</v>
      </c>
      <c r="J554" s="135" t="s">
        <v>89</v>
      </c>
      <c r="K554" s="135" t="s">
        <v>218</v>
      </c>
      <c r="L554" s="135" t="s">
        <v>5846</v>
      </c>
      <c r="M554" s="333">
        <v>45680.0</v>
      </c>
      <c r="N554" s="138" t="s">
        <v>220</v>
      </c>
      <c r="O554" s="348"/>
      <c r="P554" s="135" t="s">
        <v>68</v>
      </c>
      <c r="Q554" s="348"/>
      <c r="R554" s="138">
        <v>8.2276262E10</v>
      </c>
      <c r="S554" s="135" t="s">
        <v>5847</v>
      </c>
      <c r="T554" s="135" t="s">
        <v>5848</v>
      </c>
      <c r="U554" s="135" t="s">
        <v>5849</v>
      </c>
      <c r="V554" s="135" t="s">
        <v>732</v>
      </c>
      <c r="W554" s="135" t="s">
        <v>3615</v>
      </c>
      <c r="X554" s="135" t="s">
        <v>5850</v>
      </c>
      <c r="Y554" s="135" t="s">
        <v>5851</v>
      </c>
      <c r="Z554" s="138"/>
      <c r="AA554" s="138"/>
    </row>
    <row r="555">
      <c r="A555" s="332">
        <v>32.0</v>
      </c>
      <c r="B555" s="135" t="s">
        <v>5852</v>
      </c>
      <c r="C555" s="135" t="s">
        <v>5853</v>
      </c>
      <c r="D555" s="332" t="s">
        <v>5952</v>
      </c>
      <c r="E555" s="124" t="s">
        <v>88</v>
      </c>
      <c r="F555" s="332" t="s">
        <v>5953</v>
      </c>
      <c r="G555" s="332" t="s">
        <v>5954</v>
      </c>
      <c r="H555" s="135" t="s">
        <v>142</v>
      </c>
      <c r="I555" s="135" t="s">
        <v>5587</v>
      </c>
      <c r="J555" s="135" t="s">
        <v>89</v>
      </c>
      <c r="K555" s="135"/>
      <c r="L555" s="135" t="s">
        <v>3824</v>
      </c>
      <c r="M555" s="333">
        <v>44466.0</v>
      </c>
      <c r="N555" s="138" t="s">
        <v>67</v>
      </c>
      <c r="O555" s="348"/>
      <c r="P555" s="135" t="s">
        <v>130</v>
      </c>
      <c r="Q555" s="348"/>
      <c r="R555" s="138">
        <v>8.1367199336E10</v>
      </c>
      <c r="S555" s="135" t="s">
        <v>5854</v>
      </c>
      <c r="T555" s="135" t="s">
        <v>5855</v>
      </c>
      <c r="U555" s="135" t="s">
        <v>5856</v>
      </c>
      <c r="V555" s="135" t="s">
        <v>73</v>
      </c>
      <c r="W555" s="135" t="s">
        <v>74</v>
      </c>
      <c r="X555" s="135" t="s">
        <v>1082</v>
      </c>
      <c r="Y555" s="135" t="s">
        <v>1083</v>
      </c>
      <c r="Z555" s="138">
        <v>0.0</v>
      </c>
      <c r="AA555" s="138">
        <v>0.0</v>
      </c>
    </row>
    <row r="556">
      <c r="A556" s="332">
        <v>33.0</v>
      </c>
      <c r="B556" s="135" t="s">
        <v>5857</v>
      </c>
      <c r="C556" s="135" t="s">
        <v>5858</v>
      </c>
      <c r="D556" s="332" t="s">
        <v>5952</v>
      </c>
      <c r="E556" s="124" t="s">
        <v>88</v>
      </c>
      <c r="F556" s="332" t="s">
        <v>5953</v>
      </c>
      <c r="G556" s="332" t="s">
        <v>5954</v>
      </c>
      <c r="H556" s="135" t="s">
        <v>532</v>
      </c>
      <c r="I556" s="135" t="s">
        <v>5587</v>
      </c>
      <c r="J556" s="135" t="s">
        <v>285</v>
      </c>
      <c r="K556" s="135" t="s">
        <v>1035</v>
      </c>
      <c r="L556" s="135" t="s">
        <v>5859</v>
      </c>
      <c r="M556" s="333">
        <v>39657.0</v>
      </c>
      <c r="N556" s="138" t="s">
        <v>67</v>
      </c>
      <c r="O556" s="348"/>
      <c r="P556" s="135" t="s">
        <v>68</v>
      </c>
      <c r="Q556" s="348"/>
      <c r="R556" s="138">
        <v>8.1263771837E10</v>
      </c>
      <c r="S556" s="135" t="s">
        <v>5860</v>
      </c>
      <c r="T556" s="135" t="s">
        <v>5861</v>
      </c>
      <c r="U556" s="135" t="s">
        <v>5862</v>
      </c>
      <c r="V556" s="135" t="s">
        <v>73</v>
      </c>
      <c r="W556" s="135" t="s">
        <v>166</v>
      </c>
      <c r="X556" s="135" t="s">
        <v>167</v>
      </c>
      <c r="Y556" s="135" t="s">
        <v>455</v>
      </c>
      <c r="Z556" s="138"/>
      <c r="AA556" s="138"/>
    </row>
    <row r="557">
      <c r="A557" s="332">
        <v>34.0</v>
      </c>
      <c r="B557" s="135" t="s">
        <v>5863</v>
      </c>
      <c r="C557" s="135" t="s">
        <v>5864</v>
      </c>
      <c r="D557" s="332" t="s">
        <v>5952</v>
      </c>
      <c r="E557" s="124" t="s">
        <v>88</v>
      </c>
      <c r="F557" s="332" t="s">
        <v>5953</v>
      </c>
      <c r="G557" s="332" t="s">
        <v>5954</v>
      </c>
      <c r="H557" s="135" t="s">
        <v>532</v>
      </c>
      <c r="I557" s="135" t="s">
        <v>5587</v>
      </c>
      <c r="J557" s="135"/>
      <c r="K557" s="135"/>
      <c r="L557" s="135"/>
      <c r="M557" s="138"/>
      <c r="N557" s="138" t="s">
        <v>67</v>
      </c>
      <c r="O557" s="348"/>
      <c r="P557" s="135" t="s">
        <v>68</v>
      </c>
      <c r="Q557" s="348"/>
      <c r="R557" s="138">
        <v>8.3897921207E10</v>
      </c>
      <c r="S557" s="135" t="s">
        <v>5865</v>
      </c>
      <c r="T557" s="135" t="s">
        <v>5866</v>
      </c>
      <c r="U557" s="135" t="s">
        <v>5867</v>
      </c>
      <c r="V557" s="135" t="s">
        <v>73</v>
      </c>
      <c r="W557" s="135" t="s">
        <v>74</v>
      </c>
      <c r="X557" s="135" t="s">
        <v>925</v>
      </c>
      <c r="Y557" s="135" t="s">
        <v>5868</v>
      </c>
      <c r="Z557" s="138" t="s">
        <v>77</v>
      </c>
      <c r="AA557" s="138" t="s">
        <v>77</v>
      </c>
    </row>
    <row r="558">
      <c r="A558" s="332">
        <v>35.0</v>
      </c>
      <c r="B558" s="135" t="s">
        <v>5869</v>
      </c>
      <c r="C558" s="135" t="s">
        <v>5870</v>
      </c>
      <c r="D558" s="332" t="s">
        <v>5952</v>
      </c>
      <c r="E558" s="124" t="s">
        <v>88</v>
      </c>
      <c r="F558" s="332" t="s">
        <v>5953</v>
      </c>
      <c r="G558" s="332" t="s">
        <v>5954</v>
      </c>
      <c r="H558" s="135" t="s">
        <v>532</v>
      </c>
      <c r="I558" s="135" t="s">
        <v>5587</v>
      </c>
      <c r="J558" s="135" t="s">
        <v>285</v>
      </c>
      <c r="K558" s="135" t="s">
        <v>1035</v>
      </c>
      <c r="L558" s="135" t="s">
        <v>5871</v>
      </c>
      <c r="M558" s="333">
        <v>36309.0</v>
      </c>
      <c r="N558" s="138" t="s">
        <v>67</v>
      </c>
      <c r="O558" s="348"/>
      <c r="P558" s="135" t="s">
        <v>130</v>
      </c>
      <c r="Q558" s="348"/>
      <c r="R558" s="138" t="s">
        <v>5872</v>
      </c>
      <c r="S558" s="135" t="s">
        <v>5873</v>
      </c>
      <c r="T558" s="135" t="s">
        <v>5874</v>
      </c>
      <c r="U558" s="135" t="s">
        <v>5875</v>
      </c>
      <c r="V558" s="135" t="s">
        <v>96</v>
      </c>
      <c r="W558" s="135" t="s">
        <v>97</v>
      </c>
      <c r="X558" s="135" t="s">
        <v>5876</v>
      </c>
      <c r="Y558" s="135" t="s">
        <v>5877</v>
      </c>
      <c r="Z558" s="138"/>
      <c r="AA558" s="138"/>
    </row>
    <row r="559">
      <c r="A559" s="332">
        <v>36.0</v>
      </c>
      <c r="B559" s="363" t="s">
        <v>5878</v>
      </c>
      <c r="C559" s="363" t="s">
        <v>5879</v>
      </c>
      <c r="D559" s="332" t="s">
        <v>5952</v>
      </c>
      <c r="E559" s="124" t="s">
        <v>88</v>
      </c>
      <c r="F559" s="332" t="s">
        <v>5953</v>
      </c>
      <c r="G559" s="332" t="s">
        <v>5954</v>
      </c>
      <c r="H559" s="363" t="s">
        <v>532</v>
      </c>
      <c r="I559" s="363" t="s">
        <v>5587</v>
      </c>
      <c r="J559" s="363" t="s">
        <v>285</v>
      </c>
      <c r="K559" s="363" t="s">
        <v>5880</v>
      </c>
      <c r="L559" s="363" t="s">
        <v>5881</v>
      </c>
      <c r="M559" s="364" t="s">
        <v>1104</v>
      </c>
      <c r="N559" s="364" t="s">
        <v>67</v>
      </c>
      <c r="O559" s="365"/>
      <c r="P559" s="363" t="s">
        <v>130</v>
      </c>
      <c r="Q559" s="365"/>
      <c r="R559" s="364">
        <v>8.3834150302E10</v>
      </c>
      <c r="S559" s="363" t="s">
        <v>5882</v>
      </c>
      <c r="T559" s="363" t="s">
        <v>5883</v>
      </c>
      <c r="U559" s="363" t="s">
        <v>5884</v>
      </c>
      <c r="V559" s="363"/>
      <c r="W559" s="363" t="s">
        <v>5885</v>
      </c>
      <c r="X559" s="363" t="s">
        <v>1030</v>
      </c>
      <c r="Y559" s="363" t="s">
        <v>2649</v>
      </c>
      <c r="Z559" s="364"/>
      <c r="AA559" s="364"/>
    </row>
  </sheetData>
  <autoFilter ref="$A$6:$AA$559"/>
  <mergeCells count="30">
    <mergeCell ref="V3:V5"/>
    <mergeCell ref="W3:W5"/>
    <mergeCell ref="X3:X5"/>
    <mergeCell ref="Y3:Y5"/>
    <mergeCell ref="Z3:Z5"/>
    <mergeCell ref="AA3:AA5"/>
    <mergeCell ref="O3:O5"/>
    <mergeCell ref="P3:P5"/>
    <mergeCell ref="Q3:Q5"/>
    <mergeCell ref="R3:R5"/>
    <mergeCell ref="S3:S5"/>
    <mergeCell ref="T3:T5"/>
    <mergeCell ref="U3:U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A3:A5"/>
    <mergeCell ref="B3:B5"/>
    <mergeCell ref="C3:C5"/>
    <mergeCell ref="D3:F3"/>
    <mergeCell ref="G3:I3"/>
    <mergeCell ref="J3:M3"/>
    <mergeCell ref="N3:N5"/>
  </mergeCells>
  <conditionalFormatting sqref="B1:B6 B523">
    <cfRule type="cellIs" dxfId="0" priority="1" operator="equal">
      <formula>"formula"</formula>
    </cfRule>
  </conditionalFormatting>
  <conditionalFormatting sqref="B250:B285">
    <cfRule type="cellIs" dxfId="0" priority="2" operator="equal">
      <formula>"formula"</formula>
    </cfRule>
  </conditionalFormatting>
  <conditionalFormatting sqref="B291:B307 B309:B332">
    <cfRule type="cellIs" dxfId="0" priority="3" operator="equal">
      <formula>"formula"</formula>
    </cfRule>
  </conditionalFormatting>
  <conditionalFormatting sqref="B338:B374">
    <cfRule type="cellIs" dxfId="0" priority="4" operator="equal">
      <formula>"formula"</formula>
    </cfRule>
  </conditionalFormatting>
  <conditionalFormatting sqref="B378:B423">
    <cfRule type="cellIs" dxfId="0" priority="5" operator="equal">
      <formula>"formula"</formula>
    </cfRule>
  </conditionalFormatting>
  <conditionalFormatting sqref="B428:B470">
    <cfRule type="cellIs" dxfId="0" priority="6" operator="equal">
      <formula>"formula"</formula>
    </cfRule>
  </conditionalFormatting>
  <conditionalFormatting sqref="B477:B522">
    <cfRule type="cellIs" dxfId="0" priority="7" operator="equal">
      <formula>"formula"</formula>
    </cfRule>
  </conditionalFormatting>
  <conditionalFormatting sqref="B527:B559">
    <cfRule type="cellIs" dxfId="0" priority="8" operator="equal">
      <formula>"formula"</formula>
    </cfRule>
  </conditionalFormatting>
  <conditionalFormatting sqref="B12:B86 B88:B94">
    <cfRule type="cellIs" dxfId="0" priority="9" operator="equal">
      <formula>"formula"</formula>
    </cfRule>
  </conditionalFormatting>
  <conditionalFormatting sqref="B87 B98:B126">
    <cfRule type="cellIs" dxfId="0" priority="10" operator="equal">
      <formula>"formula"</formula>
    </cfRule>
  </conditionalFormatting>
  <conditionalFormatting sqref="B132:B173">
    <cfRule type="cellIs" dxfId="0" priority="11" operator="equal">
      <formula>"formula"</formula>
    </cfRule>
  </conditionalFormatting>
  <conditionalFormatting sqref="B183:B240">
    <cfRule type="cellIs" dxfId="0" priority="12" operator="equal">
      <formula>"formula"</formula>
    </cfRule>
  </conditionalFormatting>
  <conditionalFormatting sqref="B243:B245">
    <cfRule type="cellIs" dxfId="0" priority="13" operator="equal">
      <formula>"formula"</formula>
    </cfRule>
  </conditionalFormatting>
  <hyperlinks>
    <hyperlink r:id="rId1" ref="S266"/>
  </hyperlinks>
  <printOptions/>
  <pageMargins bottom="0.75" footer="0.0" header="0.0" left="0.7" right="0.7" top="0.75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9.88"/>
    <col customWidth="1" min="3" max="3" width="19.13"/>
    <col customWidth="1" min="4" max="4" width="17.13"/>
    <col customWidth="1" min="5" max="5" width="18.5"/>
    <col customWidth="1" min="6" max="6" width="15.88"/>
    <col customWidth="1" min="7" max="7" width="19.63"/>
    <col customWidth="1" min="8" max="8" width="53.75"/>
    <col customWidth="1" min="9" max="9" width="30.13"/>
    <col customWidth="1" min="10" max="10" width="28.38"/>
    <col customWidth="1" min="11" max="11" width="16.75"/>
    <col customWidth="1" min="12" max="12" width="42.25"/>
  </cols>
  <sheetData>
    <row r="1">
      <c r="A1" s="366" t="s">
        <v>5955</v>
      </c>
      <c r="B1" s="366" t="s">
        <v>5956</v>
      </c>
      <c r="C1" s="366" t="s">
        <v>5957</v>
      </c>
      <c r="D1" s="366" t="s">
        <v>5958</v>
      </c>
      <c r="E1" s="366" t="s">
        <v>5959</v>
      </c>
      <c r="F1" s="367" t="s">
        <v>5960</v>
      </c>
      <c r="G1" s="367" t="s">
        <v>5961</v>
      </c>
      <c r="H1" s="368" t="s">
        <v>5962</v>
      </c>
      <c r="I1" s="367" t="s">
        <v>5963</v>
      </c>
      <c r="J1" s="367" t="s">
        <v>5964</v>
      </c>
      <c r="K1" s="367" t="s">
        <v>5965</v>
      </c>
      <c r="L1" s="367" t="s">
        <v>38</v>
      </c>
    </row>
    <row r="2">
      <c r="A2" s="369">
        <v>1.0</v>
      </c>
      <c r="B2" s="370" t="s">
        <v>5966</v>
      </c>
      <c r="C2" s="369" t="s">
        <v>5967</v>
      </c>
      <c r="D2" s="369" t="s">
        <v>97</v>
      </c>
      <c r="E2" s="369" t="s">
        <v>5968</v>
      </c>
      <c r="F2" s="369" t="s">
        <v>5969</v>
      </c>
      <c r="G2" s="369" t="s">
        <v>5970</v>
      </c>
      <c r="H2" s="371" t="s">
        <v>5971</v>
      </c>
      <c r="I2" s="372" t="s">
        <v>5972</v>
      </c>
      <c r="J2" s="369" t="s">
        <v>5973</v>
      </c>
      <c r="K2" s="373">
        <v>43922.0</v>
      </c>
      <c r="L2" s="374"/>
      <c r="M2" s="375"/>
    </row>
    <row r="3">
      <c r="A3" s="369">
        <v>2.0</v>
      </c>
      <c r="B3" s="369" t="s">
        <v>5974</v>
      </c>
      <c r="C3" s="369" t="s">
        <v>5975</v>
      </c>
      <c r="D3" s="369" t="s">
        <v>97</v>
      </c>
      <c r="E3" s="369" t="s">
        <v>5976</v>
      </c>
      <c r="F3" s="369" t="s">
        <v>130</v>
      </c>
      <c r="G3" s="369" t="s">
        <v>5970</v>
      </c>
      <c r="H3" s="376" t="s">
        <v>5977</v>
      </c>
      <c r="I3" s="372" t="s">
        <v>5978</v>
      </c>
      <c r="J3" s="369" t="s">
        <v>5979</v>
      </c>
      <c r="K3" s="369" t="s">
        <v>5980</v>
      </c>
      <c r="L3" s="377" t="s">
        <v>3538</v>
      </c>
      <c r="M3" s="375"/>
    </row>
    <row r="4">
      <c r="A4" s="369">
        <v>3.0</v>
      </c>
      <c r="B4" s="369" t="s">
        <v>5981</v>
      </c>
      <c r="C4" s="369" t="s">
        <v>5982</v>
      </c>
      <c r="D4" s="369" t="s">
        <v>619</v>
      </c>
      <c r="E4" s="369" t="s">
        <v>5983</v>
      </c>
      <c r="F4" s="369" t="s">
        <v>5969</v>
      </c>
      <c r="G4" s="369" t="s">
        <v>5970</v>
      </c>
      <c r="H4" s="378" t="s">
        <v>5984</v>
      </c>
      <c r="I4" s="372" t="s">
        <v>5985</v>
      </c>
      <c r="J4" s="378" t="s">
        <v>5986</v>
      </c>
      <c r="K4" s="369" t="s">
        <v>5987</v>
      </c>
      <c r="L4" s="377" t="s">
        <v>5893</v>
      </c>
      <c r="M4" s="375"/>
    </row>
    <row r="5">
      <c r="A5" s="369">
        <v>4.0</v>
      </c>
      <c r="B5" s="369" t="s">
        <v>5988</v>
      </c>
      <c r="C5" s="369" t="s">
        <v>5989</v>
      </c>
      <c r="D5" s="369" t="s">
        <v>97</v>
      </c>
      <c r="E5" s="369" t="s">
        <v>5990</v>
      </c>
      <c r="F5" s="369" t="s">
        <v>130</v>
      </c>
      <c r="G5" s="369" t="s">
        <v>285</v>
      </c>
      <c r="H5" s="376" t="s">
        <v>5991</v>
      </c>
      <c r="I5" s="372" t="s">
        <v>5992</v>
      </c>
      <c r="J5" s="370" t="s">
        <v>5993</v>
      </c>
      <c r="K5" s="369" t="s">
        <v>5994</v>
      </c>
      <c r="L5" s="377" t="s">
        <v>5893</v>
      </c>
      <c r="M5" s="375"/>
    </row>
    <row r="6">
      <c r="A6" s="379">
        <v>5.0</v>
      </c>
      <c r="B6" s="379" t="s">
        <v>5995</v>
      </c>
      <c r="C6" s="379" t="s">
        <v>5996</v>
      </c>
      <c r="D6" s="379" t="s">
        <v>97</v>
      </c>
      <c r="E6" s="380">
        <v>35548.0</v>
      </c>
      <c r="F6" s="379" t="s">
        <v>5969</v>
      </c>
      <c r="G6" s="379" t="s">
        <v>5970</v>
      </c>
      <c r="H6" s="381"/>
      <c r="I6" s="379"/>
      <c r="J6" s="379"/>
      <c r="K6" s="379" t="s">
        <v>5997</v>
      </c>
      <c r="L6" s="382" t="s">
        <v>1292</v>
      </c>
      <c r="M6" s="375"/>
    </row>
    <row r="7">
      <c r="A7" s="369">
        <v>6.0</v>
      </c>
      <c r="B7" s="369" t="s">
        <v>5998</v>
      </c>
      <c r="C7" s="369" t="s">
        <v>5999</v>
      </c>
      <c r="D7" s="369" t="s">
        <v>97</v>
      </c>
      <c r="E7" s="369" t="s">
        <v>6000</v>
      </c>
      <c r="F7" s="369" t="s">
        <v>130</v>
      </c>
      <c r="G7" s="369" t="s">
        <v>285</v>
      </c>
      <c r="H7" s="371" t="s">
        <v>5971</v>
      </c>
      <c r="I7" s="377">
        <v>8.2277748044E10</v>
      </c>
      <c r="J7" s="369" t="s">
        <v>6001</v>
      </c>
      <c r="K7" s="369" t="s">
        <v>6002</v>
      </c>
      <c r="L7" s="374" t="s">
        <v>6003</v>
      </c>
      <c r="M7" s="375"/>
    </row>
    <row r="8">
      <c r="A8" s="369">
        <v>7.0</v>
      </c>
      <c r="B8" s="369" t="s">
        <v>6004</v>
      </c>
      <c r="C8" s="369" t="s">
        <v>6005</v>
      </c>
      <c r="D8" s="369" t="s">
        <v>97</v>
      </c>
      <c r="E8" s="369" t="s">
        <v>6006</v>
      </c>
      <c r="F8" s="369" t="s">
        <v>130</v>
      </c>
      <c r="G8" s="369" t="s">
        <v>5970</v>
      </c>
      <c r="H8" s="376" t="s">
        <v>6007</v>
      </c>
      <c r="I8" s="372" t="s">
        <v>6008</v>
      </c>
      <c r="J8" s="369" t="s">
        <v>6009</v>
      </c>
      <c r="K8" s="369" t="s">
        <v>6002</v>
      </c>
      <c r="L8" s="377" t="s">
        <v>5893</v>
      </c>
      <c r="M8" s="375"/>
    </row>
    <row r="9">
      <c r="A9" s="369">
        <v>8.0</v>
      </c>
      <c r="B9" s="369" t="s">
        <v>6010</v>
      </c>
      <c r="C9" s="369" t="s">
        <v>6011</v>
      </c>
      <c r="D9" s="369" t="s">
        <v>97</v>
      </c>
      <c r="E9" s="383">
        <v>35698.0</v>
      </c>
      <c r="F9" s="369" t="s">
        <v>130</v>
      </c>
      <c r="G9" s="369" t="s">
        <v>5970</v>
      </c>
      <c r="H9" s="376" t="s">
        <v>6012</v>
      </c>
      <c r="I9" s="372" t="s">
        <v>6013</v>
      </c>
      <c r="J9" s="384" t="s">
        <v>6014</v>
      </c>
      <c r="K9" s="369" t="s">
        <v>6015</v>
      </c>
      <c r="L9" s="377" t="s">
        <v>5893</v>
      </c>
      <c r="M9" s="375"/>
      <c r="N9" s="385"/>
      <c r="O9" s="385"/>
      <c r="P9" s="385"/>
      <c r="Q9" s="385"/>
      <c r="R9" s="385"/>
      <c r="S9" s="385"/>
      <c r="T9" s="385"/>
      <c r="U9" s="385"/>
      <c r="V9" s="385"/>
      <c r="W9" s="385"/>
      <c r="X9" s="385"/>
      <c r="Y9" s="385"/>
      <c r="Z9" s="385"/>
      <c r="AA9" s="385"/>
      <c r="AB9" s="385"/>
      <c r="AC9" s="385"/>
    </row>
    <row r="10">
      <c r="A10" s="369">
        <v>9.0</v>
      </c>
      <c r="B10" s="369" t="s">
        <v>6016</v>
      </c>
      <c r="C10" s="369" t="s">
        <v>6017</v>
      </c>
      <c r="D10" s="369" t="s">
        <v>6018</v>
      </c>
      <c r="E10" s="369" t="s">
        <v>6019</v>
      </c>
      <c r="F10" s="369" t="s">
        <v>5969</v>
      </c>
      <c r="G10" s="369" t="s">
        <v>5970</v>
      </c>
      <c r="H10" s="386" t="s">
        <v>6020</v>
      </c>
      <c r="I10" s="387" t="s">
        <v>6021</v>
      </c>
      <c r="J10" s="377" t="s">
        <v>6022</v>
      </c>
      <c r="K10" s="369" t="s">
        <v>6002</v>
      </c>
      <c r="L10" s="377" t="s">
        <v>1292</v>
      </c>
      <c r="M10" s="375"/>
    </row>
    <row r="11">
      <c r="A11" s="369">
        <v>10.0</v>
      </c>
      <c r="B11" s="369" t="s">
        <v>6023</v>
      </c>
      <c r="C11" s="369" t="s">
        <v>6024</v>
      </c>
      <c r="D11" s="369" t="s">
        <v>97</v>
      </c>
      <c r="E11" s="369" t="s">
        <v>6025</v>
      </c>
      <c r="F11" s="369" t="s">
        <v>130</v>
      </c>
      <c r="G11" s="369" t="s">
        <v>5970</v>
      </c>
      <c r="H11" s="376" t="s">
        <v>6026</v>
      </c>
      <c r="I11" s="372" t="s">
        <v>6027</v>
      </c>
      <c r="J11" s="369" t="s">
        <v>6028</v>
      </c>
      <c r="K11" s="369" t="s">
        <v>6002</v>
      </c>
      <c r="L11" s="377" t="s">
        <v>3341</v>
      </c>
      <c r="M11" s="375"/>
    </row>
    <row r="12">
      <c r="A12" s="369">
        <v>11.0</v>
      </c>
      <c r="B12" s="369" t="s">
        <v>6029</v>
      </c>
      <c r="C12" s="369" t="s">
        <v>6030</v>
      </c>
      <c r="D12" s="369" t="s">
        <v>97</v>
      </c>
      <c r="E12" s="383">
        <v>36265.0</v>
      </c>
      <c r="F12" s="369" t="s">
        <v>130</v>
      </c>
      <c r="G12" s="369" t="s">
        <v>5970</v>
      </c>
      <c r="H12" s="376" t="s">
        <v>6031</v>
      </c>
      <c r="I12" s="372" t="s">
        <v>6032</v>
      </c>
      <c r="J12" s="369" t="s">
        <v>6033</v>
      </c>
      <c r="K12" s="369" t="s">
        <v>6002</v>
      </c>
      <c r="L12" s="377" t="s">
        <v>5893</v>
      </c>
      <c r="M12" s="375"/>
    </row>
    <row r="13">
      <c r="A13" s="369">
        <v>12.0</v>
      </c>
      <c r="B13" s="369" t="s">
        <v>6034</v>
      </c>
      <c r="C13" s="369" t="s">
        <v>6035</v>
      </c>
      <c r="D13" s="369" t="s">
        <v>6036</v>
      </c>
      <c r="E13" s="373">
        <v>38663.0</v>
      </c>
      <c r="F13" s="369" t="s">
        <v>130</v>
      </c>
      <c r="G13" s="369" t="s">
        <v>285</v>
      </c>
      <c r="H13" s="376" t="s">
        <v>6037</v>
      </c>
      <c r="I13" s="372" t="s">
        <v>6038</v>
      </c>
      <c r="J13" s="369" t="s">
        <v>6039</v>
      </c>
      <c r="K13" s="369" t="s">
        <v>6002</v>
      </c>
      <c r="L13" s="377" t="s">
        <v>6003</v>
      </c>
      <c r="M13" s="375"/>
    </row>
    <row r="14">
      <c r="A14" s="369">
        <v>13.0</v>
      </c>
      <c r="B14" s="369" t="s">
        <v>6040</v>
      </c>
      <c r="C14" s="369" t="s">
        <v>6041</v>
      </c>
      <c r="D14" s="369" t="s">
        <v>6042</v>
      </c>
      <c r="E14" s="369" t="s">
        <v>6043</v>
      </c>
      <c r="F14" s="369" t="s">
        <v>5969</v>
      </c>
      <c r="G14" s="369" t="s">
        <v>285</v>
      </c>
      <c r="H14" s="376" t="s">
        <v>1023</v>
      </c>
      <c r="I14" s="372" t="s">
        <v>6044</v>
      </c>
      <c r="J14" s="369" t="s">
        <v>77</v>
      </c>
      <c r="K14" s="369" t="s">
        <v>6045</v>
      </c>
      <c r="L14" s="377" t="s">
        <v>6046</v>
      </c>
      <c r="M14" s="375"/>
    </row>
    <row r="15">
      <c r="A15" s="369">
        <v>14.0</v>
      </c>
      <c r="B15" s="369" t="s">
        <v>6047</v>
      </c>
      <c r="C15" s="369" t="s">
        <v>6048</v>
      </c>
      <c r="D15" s="369" t="s">
        <v>97</v>
      </c>
      <c r="E15" s="369" t="s">
        <v>6049</v>
      </c>
      <c r="F15" s="369" t="s">
        <v>5969</v>
      </c>
      <c r="G15" s="369" t="s">
        <v>285</v>
      </c>
      <c r="H15" s="388" t="s">
        <v>6050</v>
      </c>
      <c r="I15" s="389" t="s">
        <v>6051</v>
      </c>
      <c r="J15" s="370" t="s">
        <v>6052</v>
      </c>
      <c r="K15" s="369" t="s">
        <v>6053</v>
      </c>
      <c r="L15" s="377" t="s">
        <v>1918</v>
      </c>
    </row>
    <row r="16">
      <c r="A16" s="369">
        <v>15.0</v>
      </c>
      <c r="B16" s="369" t="s">
        <v>6054</v>
      </c>
      <c r="C16" s="369" t="s">
        <v>6055</v>
      </c>
      <c r="D16" s="369" t="s">
        <v>97</v>
      </c>
      <c r="E16" s="369" t="s">
        <v>6056</v>
      </c>
      <c r="F16" s="369" t="s">
        <v>5969</v>
      </c>
      <c r="G16" s="369" t="s">
        <v>5970</v>
      </c>
      <c r="H16" s="386" t="s">
        <v>6057</v>
      </c>
      <c r="I16" s="387" t="s">
        <v>6058</v>
      </c>
      <c r="J16" s="377" t="s">
        <v>6059</v>
      </c>
      <c r="K16" s="369" t="s">
        <v>6060</v>
      </c>
      <c r="L16" s="377" t="s">
        <v>1292</v>
      </c>
      <c r="M16" s="375"/>
    </row>
    <row r="17">
      <c r="A17" s="369">
        <v>16.0</v>
      </c>
      <c r="B17" s="369" t="s">
        <v>6061</v>
      </c>
      <c r="C17" s="369" t="s">
        <v>6062</v>
      </c>
      <c r="D17" s="369" t="s">
        <v>97</v>
      </c>
      <c r="E17" s="369" t="s">
        <v>6063</v>
      </c>
      <c r="F17" s="369" t="s">
        <v>5969</v>
      </c>
      <c r="G17" s="369" t="s">
        <v>5970</v>
      </c>
      <c r="H17" s="378" t="s">
        <v>6064</v>
      </c>
      <c r="I17" s="390" t="s">
        <v>6065</v>
      </c>
      <c r="J17" s="378" t="s">
        <v>6066</v>
      </c>
      <c r="K17" s="369" t="s">
        <v>6053</v>
      </c>
      <c r="L17" s="377" t="s">
        <v>1292</v>
      </c>
    </row>
    <row r="18">
      <c r="A18" s="369">
        <v>17.0</v>
      </c>
      <c r="B18" s="369" t="s">
        <v>6067</v>
      </c>
      <c r="C18" s="369" t="s">
        <v>6068</v>
      </c>
      <c r="D18" s="369" t="s">
        <v>6069</v>
      </c>
      <c r="E18" s="369" t="s">
        <v>6070</v>
      </c>
      <c r="F18" s="369" t="s">
        <v>5969</v>
      </c>
      <c r="G18" s="369" t="s">
        <v>5970</v>
      </c>
      <c r="H18" s="378" t="s">
        <v>6071</v>
      </c>
      <c r="I18" s="390" t="s">
        <v>6072</v>
      </c>
      <c r="J18" s="378" t="s">
        <v>6073</v>
      </c>
      <c r="K18" s="369" t="s">
        <v>6074</v>
      </c>
      <c r="L18" s="377" t="s">
        <v>3538</v>
      </c>
    </row>
    <row r="19">
      <c r="A19" s="369">
        <v>18.0</v>
      </c>
      <c r="B19" s="369" t="s">
        <v>6075</v>
      </c>
      <c r="C19" s="369" t="s">
        <v>6076</v>
      </c>
      <c r="D19" s="369" t="s">
        <v>97</v>
      </c>
      <c r="E19" s="369" t="s">
        <v>6077</v>
      </c>
      <c r="F19" s="369" t="s">
        <v>5969</v>
      </c>
      <c r="G19" s="369" t="s">
        <v>5970</v>
      </c>
      <c r="H19" s="378" t="s">
        <v>6078</v>
      </c>
      <c r="I19" s="390" t="s">
        <v>6079</v>
      </c>
      <c r="J19" s="391" t="s">
        <v>6080</v>
      </c>
      <c r="K19" s="369" t="s">
        <v>5987</v>
      </c>
      <c r="L19" s="377" t="s">
        <v>4204</v>
      </c>
      <c r="M19" s="375"/>
    </row>
    <row r="20">
      <c r="A20" s="369">
        <v>19.0</v>
      </c>
      <c r="B20" s="369" t="s">
        <v>6081</v>
      </c>
      <c r="C20" s="369" t="s">
        <v>6082</v>
      </c>
      <c r="D20" s="369" t="s">
        <v>97</v>
      </c>
      <c r="E20" s="369" t="s">
        <v>6083</v>
      </c>
      <c r="F20" s="369" t="s">
        <v>5969</v>
      </c>
      <c r="G20" s="369" t="s">
        <v>608</v>
      </c>
      <c r="H20" s="376" t="s">
        <v>6084</v>
      </c>
      <c r="I20" s="389" t="s">
        <v>6085</v>
      </c>
      <c r="J20" s="392" t="s">
        <v>6086</v>
      </c>
      <c r="K20" s="369" t="s">
        <v>6087</v>
      </c>
      <c r="L20" s="377" t="s">
        <v>1918</v>
      </c>
      <c r="M20" s="375"/>
    </row>
    <row r="21">
      <c r="A21" s="369">
        <v>20.0</v>
      </c>
      <c r="B21" s="369" t="s">
        <v>6088</v>
      </c>
      <c r="C21" s="369" t="s">
        <v>6089</v>
      </c>
      <c r="D21" s="369" t="s">
        <v>556</v>
      </c>
      <c r="E21" s="369" t="s">
        <v>6090</v>
      </c>
      <c r="F21" s="369" t="s">
        <v>5969</v>
      </c>
      <c r="G21" s="369" t="s">
        <v>5970</v>
      </c>
      <c r="H21" s="376" t="s">
        <v>6091</v>
      </c>
      <c r="I21" s="389" t="s">
        <v>6092</v>
      </c>
      <c r="J21" s="370" t="s">
        <v>6093</v>
      </c>
      <c r="K21" s="369" t="s">
        <v>6002</v>
      </c>
      <c r="L21" s="377" t="s">
        <v>4204</v>
      </c>
      <c r="M21" s="375"/>
      <c r="N21" s="385"/>
      <c r="O21" s="385"/>
      <c r="P21" s="385"/>
      <c r="Q21" s="385"/>
      <c r="R21" s="385"/>
      <c r="S21" s="385"/>
      <c r="T21" s="385"/>
      <c r="U21" s="385"/>
      <c r="V21" s="385"/>
      <c r="W21" s="385"/>
      <c r="X21" s="385"/>
      <c r="Y21" s="385"/>
      <c r="Z21" s="385"/>
      <c r="AA21" s="385"/>
      <c r="AB21" s="385"/>
      <c r="AC21" s="385"/>
    </row>
    <row r="22">
      <c r="A22" s="369">
        <v>21.0</v>
      </c>
      <c r="B22" s="369" t="s">
        <v>6094</v>
      </c>
      <c r="C22" s="369" t="s">
        <v>6095</v>
      </c>
      <c r="D22" s="369" t="s">
        <v>97</v>
      </c>
      <c r="E22" s="369" t="s">
        <v>6096</v>
      </c>
      <c r="F22" s="369" t="s">
        <v>5969</v>
      </c>
      <c r="G22" s="369" t="s">
        <v>285</v>
      </c>
      <c r="H22" s="376" t="s">
        <v>6097</v>
      </c>
      <c r="I22" s="372" t="s">
        <v>6098</v>
      </c>
      <c r="J22" s="369" t="s">
        <v>6099</v>
      </c>
      <c r="K22" s="369" t="s">
        <v>6100</v>
      </c>
      <c r="L22" s="377" t="s">
        <v>6101</v>
      </c>
      <c r="M22" s="375"/>
    </row>
    <row r="23">
      <c r="A23" s="369">
        <v>22.0</v>
      </c>
      <c r="B23" s="369" t="s">
        <v>6102</v>
      </c>
      <c r="C23" s="369" t="s">
        <v>6103</v>
      </c>
      <c r="D23" s="369" t="s">
        <v>97</v>
      </c>
      <c r="E23" s="369" t="s">
        <v>6104</v>
      </c>
      <c r="F23" s="369" t="s">
        <v>5969</v>
      </c>
      <c r="G23" s="369" t="s">
        <v>608</v>
      </c>
      <c r="H23" s="377" t="s">
        <v>6105</v>
      </c>
      <c r="I23" s="387" t="s">
        <v>6106</v>
      </c>
      <c r="J23" s="393" t="s">
        <v>6107</v>
      </c>
      <c r="K23" s="369" t="s">
        <v>6053</v>
      </c>
      <c r="L23" s="377" t="s">
        <v>3538</v>
      </c>
      <c r="M23" s="375"/>
    </row>
    <row r="24">
      <c r="A24" s="369">
        <v>23.0</v>
      </c>
      <c r="B24" s="369" t="s">
        <v>6108</v>
      </c>
      <c r="C24" s="369" t="s">
        <v>6109</v>
      </c>
      <c r="D24" s="369" t="s">
        <v>97</v>
      </c>
      <c r="E24" s="369" t="s">
        <v>6110</v>
      </c>
      <c r="F24" s="369" t="s">
        <v>5969</v>
      </c>
      <c r="G24" s="369" t="s">
        <v>5970</v>
      </c>
      <c r="H24" s="371" t="s">
        <v>6111</v>
      </c>
      <c r="I24" s="387" t="s">
        <v>6112</v>
      </c>
      <c r="J24" s="377" t="s">
        <v>6113</v>
      </c>
      <c r="K24" s="369" t="s">
        <v>6114</v>
      </c>
      <c r="L24" s="377" t="s">
        <v>5215</v>
      </c>
      <c r="M24" s="375"/>
    </row>
    <row r="25">
      <c r="A25" s="369">
        <v>24.0</v>
      </c>
      <c r="B25" s="369" t="s">
        <v>6115</v>
      </c>
      <c r="C25" s="369" t="s">
        <v>6116</v>
      </c>
      <c r="D25" s="369" t="s">
        <v>97</v>
      </c>
      <c r="E25" s="369" t="s">
        <v>6117</v>
      </c>
      <c r="F25" s="369" t="s">
        <v>5969</v>
      </c>
      <c r="G25" s="369" t="s">
        <v>5970</v>
      </c>
      <c r="H25" s="394" t="s">
        <v>6118</v>
      </c>
      <c r="I25" s="395" t="s">
        <v>6119</v>
      </c>
      <c r="J25" s="396" t="s">
        <v>6120</v>
      </c>
      <c r="K25" s="369" t="s">
        <v>6121</v>
      </c>
      <c r="L25" s="377" t="s">
        <v>3849</v>
      </c>
      <c r="M25" s="375"/>
    </row>
    <row r="26">
      <c r="A26" s="369">
        <v>25.0</v>
      </c>
      <c r="B26" s="369" t="s">
        <v>6122</v>
      </c>
      <c r="C26" s="369" t="s">
        <v>6123</v>
      </c>
      <c r="D26" s="369" t="s">
        <v>97</v>
      </c>
      <c r="E26" s="383">
        <v>31369.0</v>
      </c>
      <c r="F26" s="369" t="s">
        <v>5969</v>
      </c>
      <c r="G26" s="369" t="s">
        <v>5970</v>
      </c>
      <c r="H26" s="393" t="s">
        <v>6124</v>
      </c>
      <c r="I26" s="397" t="s">
        <v>6125</v>
      </c>
      <c r="J26" s="369" t="s">
        <v>6126</v>
      </c>
      <c r="K26" s="369" t="s">
        <v>5994</v>
      </c>
      <c r="L26" s="374"/>
      <c r="M26" s="375"/>
    </row>
    <row r="27">
      <c r="A27" s="379">
        <v>26.0</v>
      </c>
      <c r="B27" s="379" t="s">
        <v>6127</v>
      </c>
      <c r="C27" s="379" t="s">
        <v>6128</v>
      </c>
      <c r="D27" s="379" t="s">
        <v>97</v>
      </c>
      <c r="E27" s="379" t="s">
        <v>6129</v>
      </c>
      <c r="F27" s="379" t="s">
        <v>5969</v>
      </c>
      <c r="G27" s="379" t="s">
        <v>5970</v>
      </c>
      <c r="H27" s="398" t="s">
        <v>6130</v>
      </c>
      <c r="I27" s="399" t="s">
        <v>6131</v>
      </c>
      <c r="J27" s="398" t="s">
        <v>6132</v>
      </c>
      <c r="K27" s="379" t="s">
        <v>6133</v>
      </c>
      <c r="L27" s="400"/>
      <c r="M27" s="375"/>
    </row>
    <row r="28">
      <c r="A28" s="369">
        <v>27.0</v>
      </c>
      <c r="B28" s="369" t="s">
        <v>6134</v>
      </c>
      <c r="C28" s="369" t="s">
        <v>6135</v>
      </c>
      <c r="D28" s="369" t="s">
        <v>6136</v>
      </c>
      <c r="E28" s="369" t="s">
        <v>6137</v>
      </c>
      <c r="F28" s="369" t="s">
        <v>130</v>
      </c>
      <c r="G28" s="369" t="s">
        <v>600</v>
      </c>
      <c r="H28" s="376" t="s">
        <v>6138</v>
      </c>
      <c r="I28" s="372" t="s">
        <v>6139</v>
      </c>
      <c r="J28" s="369" t="s">
        <v>77</v>
      </c>
      <c r="K28" s="369" t="s">
        <v>6140</v>
      </c>
      <c r="L28" s="374"/>
      <c r="M28" s="375"/>
    </row>
    <row r="29">
      <c r="A29" s="369">
        <v>28.0</v>
      </c>
      <c r="B29" s="369" t="s">
        <v>6141</v>
      </c>
      <c r="C29" s="369" t="s">
        <v>6142</v>
      </c>
      <c r="D29" s="369" t="s">
        <v>97</v>
      </c>
      <c r="E29" s="369" t="s">
        <v>6143</v>
      </c>
      <c r="F29" s="369" t="s">
        <v>130</v>
      </c>
      <c r="G29" s="369" t="s">
        <v>5970</v>
      </c>
      <c r="H29" s="378" t="s">
        <v>6144</v>
      </c>
      <c r="I29" s="390" t="s">
        <v>6145</v>
      </c>
      <c r="J29" s="401" t="s">
        <v>6146</v>
      </c>
      <c r="K29" s="369" t="s">
        <v>6053</v>
      </c>
      <c r="L29" s="377" t="s">
        <v>5894</v>
      </c>
    </row>
    <row r="30">
      <c r="A30" s="369">
        <v>29.0</v>
      </c>
      <c r="B30" s="369" t="s">
        <v>6147</v>
      </c>
      <c r="C30" s="369" t="s">
        <v>6148</v>
      </c>
      <c r="D30" s="369" t="s">
        <v>97</v>
      </c>
      <c r="E30" s="369" t="s">
        <v>6149</v>
      </c>
      <c r="F30" s="369" t="s">
        <v>130</v>
      </c>
      <c r="G30" s="369" t="s">
        <v>5970</v>
      </c>
      <c r="H30" s="393" t="s">
        <v>6150</v>
      </c>
      <c r="I30" s="372" t="s">
        <v>6151</v>
      </c>
      <c r="J30" s="369" t="s">
        <v>6152</v>
      </c>
      <c r="K30" s="369" t="s">
        <v>6153</v>
      </c>
      <c r="L30" s="377" t="s">
        <v>4878</v>
      </c>
      <c r="M30" s="375"/>
    </row>
    <row r="31">
      <c r="A31" s="369">
        <v>30.0</v>
      </c>
      <c r="B31" s="369" t="s">
        <v>6154</v>
      </c>
      <c r="C31" s="369" t="s">
        <v>6155</v>
      </c>
      <c r="D31" s="369" t="s">
        <v>97</v>
      </c>
      <c r="E31" s="369" t="s">
        <v>6156</v>
      </c>
      <c r="F31" s="369" t="s">
        <v>130</v>
      </c>
      <c r="G31" s="369" t="s">
        <v>5970</v>
      </c>
      <c r="H31" s="376" t="s">
        <v>6157</v>
      </c>
      <c r="I31" s="389" t="s">
        <v>6158</v>
      </c>
      <c r="J31" s="370" t="s">
        <v>6159</v>
      </c>
      <c r="K31" s="369" t="s">
        <v>6153</v>
      </c>
      <c r="L31" s="377" t="s">
        <v>1918</v>
      </c>
    </row>
    <row r="32">
      <c r="A32" s="369">
        <v>31.0</v>
      </c>
      <c r="B32" s="369" t="s">
        <v>6160</v>
      </c>
      <c r="C32" s="369" t="s">
        <v>6161</v>
      </c>
      <c r="D32" s="369" t="s">
        <v>97</v>
      </c>
      <c r="E32" s="383">
        <v>29337.0</v>
      </c>
      <c r="F32" s="369" t="s">
        <v>5969</v>
      </c>
      <c r="G32" s="369" t="s">
        <v>6162</v>
      </c>
      <c r="H32" s="376" t="s">
        <v>6163</v>
      </c>
      <c r="I32" s="389" t="s">
        <v>6164</v>
      </c>
      <c r="J32" s="370" t="s">
        <v>6165</v>
      </c>
      <c r="K32" s="369" t="s">
        <v>3432</v>
      </c>
      <c r="L32" s="374"/>
      <c r="M32" s="375"/>
    </row>
    <row r="33">
      <c r="A33" s="369">
        <v>32.0</v>
      </c>
      <c r="B33" s="369" t="s">
        <v>6166</v>
      </c>
      <c r="C33" s="369" t="s">
        <v>6167</v>
      </c>
      <c r="D33" s="369" t="s">
        <v>97</v>
      </c>
      <c r="E33" s="373">
        <v>33331.0</v>
      </c>
      <c r="F33" s="369" t="s">
        <v>130</v>
      </c>
      <c r="G33" s="369" t="s">
        <v>5970</v>
      </c>
      <c r="H33" s="378" t="s">
        <v>6168</v>
      </c>
      <c r="I33" s="372" t="s">
        <v>6169</v>
      </c>
      <c r="J33" s="378" t="s">
        <v>6170</v>
      </c>
      <c r="K33" s="369" t="s">
        <v>6053</v>
      </c>
      <c r="L33" s="377" t="s">
        <v>5894</v>
      </c>
      <c r="M33" s="375"/>
    </row>
    <row r="34">
      <c r="A34" s="369">
        <v>33.0</v>
      </c>
      <c r="B34" s="369" t="s">
        <v>6171</v>
      </c>
      <c r="C34" s="369" t="s">
        <v>6172</v>
      </c>
      <c r="D34" s="369" t="s">
        <v>6173</v>
      </c>
      <c r="E34" s="369" t="s">
        <v>6174</v>
      </c>
      <c r="F34" s="369" t="s">
        <v>130</v>
      </c>
      <c r="G34" s="369" t="s">
        <v>5970</v>
      </c>
      <c r="H34" s="376" t="s">
        <v>6175</v>
      </c>
      <c r="I34" s="372" t="s">
        <v>6176</v>
      </c>
      <c r="J34" s="370" t="s">
        <v>6177</v>
      </c>
      <c r="K34" s="369" t="s">
        <v>5987</v>
      </c>
      <c r="L34" s="377" t="s">
        <v>5894</v>
      </c>
      <c r="M34" s="375"/>
    </row>
    <row r="35">
      <c r="A35" s="369">
        <v>34.0</v>
      </c>
      <c r="B35" s="369" t="s">
        <v>6178</v>
      </c>
      <c r="C35" s="369" t="s">
        <v>6179</v>
      </c>
      <c r="D35" s="369" t="s">
        <v>6180</v>
      </c>
      <c r="E35" s="369" t="s">
        <v>6181</v>
      </c>
      <c r="F35" s="369" t="s">
        <v>130</v>
      </c>
      <c r="G35" s="369" t="s">
        <v>5970</v>
      </c>
      <c r="H35" s="370" t="s">
        <v>6182</v>
      </c>
      <c r="I35" s="389" t="s">
        <v>6183</v>
      </c>
      <c r="J35" s="392" t="s">
        <v>6184</v>
      </c>
      <c r="K35" s="369" t="s">
        <v>5987</v>
      </c>
      <c r="L35" s="374" t="s">
        <v>5894</v>
      </c>
    </row>
    <row r="36">
      <c r="A36" s="369">
        <v>35.0</v>
      </c>
      <c r="B36" s="369" t="s">
        <v>6185</v>
      </c>
      <c r="C36" s="369" t="s">
        <v>6186</v>
      </c>
      <c r="D36" s="369" t="s">
        <v>97</v>
      </c>
      <c r="E36" s="373">
        <v>38299.0</v>
      </c>
      <c r="F36" s="369" t="s">
        <v>130</v>
      </c>
      <c r="G36" s="369" t="s">
        <v>285</v>
      </c>
      <c r="H36" s="370" t="s">
        <v>6187</v>
      </c>
      <c r="I36" s="389" t="s">
        <v>6188</v>
      </c>
      <c r="J36" s="370" t="s">
        <v>6189</v>
      </c>
      <c r="K36" s="369" t="s">
        <v>6190</v>
      </c>
      <c r="L36" s="377" t="s">
        <v>3849</v>
      </c>
      <c r="M36" s="375"/>
    </row>
    <row r="37">
      <c r="A37" s="369">
        <v>36.0</v>
      </c>
      <c r="B37" s="369" t="s">
        <v>6191</v>
      </c>
      <c r="C37" s="369" t="s">
        <v>6192</v>
      </c>
      <c r="D37" s="369" t="s">
        <v>6193</v>
      </c>
      <c r="E37" s="383">
        <v>37223.0</v>
      </c>
      <c r="F37" s="369" t="s">
        <v>130</v>
      </c>
      <c r="G37" s="369" t="s">
        <v>5970</v>
      </c>
      <c r="H37" s="377" t="s">
        <v>6194</v>
      </c>
      <c r="I37" s="372" t="s">
        <v>6195</v>
      </c>
      <c r="J37" s="392" t="s">
        <v>6196</v>
      </c>
      <c r="K37" s="369" t="s">
        <v>6197</v>
      </c>
      <c r="L37" s="374" t="s">
        <v>5894</v>
      </c>
      <c r="M37" s="375"/>
    </row>
    <row r="38">
      <c r="A38" s="369">
        <v>37.0</v>
      </c>
      <c r="B38" s="369" t="s">
        <v>6198</v>
      </c>
      <c r="C38" s="369" t="s">
        <v>6199</v>
      </c>
      <c r="D38" s="369" t="s">
        <v>97</v>
      </c>
      <c r="E38" s="369" t="s">
        <v>6200</v>
      </c>
      <c r="F38" s="369" t="s">
        <v>5969</v>
      </c>
      <c r="G38" s="369" t="s">
        <v>285</v>
      </c>
      <c r="H38" s="370" t="s">
        <v>6201</v>
      </c>
      <c r="I38" s="389" t="s">
        <v>6202</v>
      </c>
      <c r="J38" s="370" t="s">
        <v>6203</v>
      </c>
      <c r="K38" s="369" t="s">
        <v>6114</v>
      </c>
      <c r="L38" s="377" t="s">
        <v>4532</v>
      </c>
    </row>
    <row r="39">
      <c r="A39" s="369">
        <v>38.0</v>
      </c>
      <c r="B39" s="369" t="s">
        <v>6204</v>
      </c>
      <c r="C39" s="369" t="s">
        <v>6205</v>
      </c>
      <c r="D39" s="369" t="s">
        <v>97</v>
      </c>
      <c r="E39" s="369" t="s">
        <v>6206</v>
      </c>
      <c r="F39" s="369" t="s">
        <v>130</v>
      </c>
      <c r="G39" s="369" t="s">
        <v>285</v>
      </c>
      <c r="H39" s="376" t="s">
        <v>6207</v>
      </c>
      <c r="I39" s="389" t="s">
        <v>6208</v>
      </c>
      <c r="J39" s="370" t="s">
        <v>6209</v>
      </c>
      <c r="K39" s="369" t="s">
        <v>6002</v>
      </c>
      <c r="L39" s="377" t="s">
        <v>6210</v>
      </c>
      <c r="M39" s="375"/>
    </row>
    <row r="40">
      <c r="H40" s="402"/>
    </row>
    <row r="41">
      <c r="H41" s="402"/>
    </row>
    <row r="42">
      <c r="H42" s="402"/>
    </row>
    <row r="43">
      <c r="H43" s="402"/>
    </row>
    <row r="44">
      <c r="H44" s="402"/>
    </row>
    <row r="45">
      <c r="H45" s="402"/>
    </row>
    <row r="46">
      <c r="H46" s="402"/>
    </row>
    <row r="47">
      <c r="H47" s="402"/>
    </row>
    <row r="48">
      <c r="H48" s="402"/>
    </row>
    <row r="49">
      <c r="H49" s="402"/>
    </row>
    <row r="50">
      <c r="H50" s="402"/>
    </row>
    <row r="51">
      <c r="H51" s="402"/>
    </row>
    <row r="52">
      <c r="H52" s="402"/>
    </row>
    <row r="53">
      <c r="H53" s="402"/>
    </row>
    <row r="54">
      <c r="H54" s="402"/>
    </row>
    <row r="55">
      <c r="H55" s="402"/>
    </row>
    <row r="56">
      <c r="H56" s="402"/>
    </row>
    <row r="57">
      <c r="H57" s="402"/>
    </row>
    <row r="58">
      <c r="H58" s="402"/>
    </row>
    <row r="59">
      <c r="H59" s="402"/>
    </row>
    <row r="60">
      <c r="H60" s="402"/>
    </row>
    <row r="61">
      <c r="H61" s="402"/>
    </row>
    <row r="62">
      <c r="H62" s="402"/>
    </row>
    <row r="63">
      <c r="H63" s="402"/>
    </row>
    <row r="64">
      <c r="H64" s="402"/>
    </row>
    <row r="65">
      <c r="H65" s="402"/>
    </row>
    <row r="66">
      <c r="H66" s="402"/>
    </row>
    <row r="67">
      <c r="H67" s="402"/>
    </row>
    <row r="68">
      <c r="H68" s="402"/>
    </row>
    <row r="69">
      <c r="H69" s="402"/>
    </row>
    <row r="70">
      <c r="H70" s="402"/>
    </row>
    <row r="71">
      <c r="H71" s="402"/>
    </row>
    <row r="72">
      <c r="H72" s="402"/>
    </row>
    <row r="73">
      <c r="H73" s="402"/>
    </row>
    <row r="74">
      <c r="H74" s="402"/>
    </row>
    <row r="75">
      <c r="H75" s="402"/>
    </row>
    <row r="76">
      <c r="H76" s="402"/>
    </row>
    <row r="77">
      <c r="H77" s="402"/>
    </row>
    <row r="78">
      <c r="H78" s="402"/>
    </row>
    <row r="79">
      <c r="H79" s="402"/>
    </row>
    <row r="80">
      <c r="H80" s="402"/>
    </row>
    <row r="81">
      <c r="H81" s="402"/>
    </row>
    <row r="82">
      <c r="H82" s="402"/>
    </row>
    <row r="83">
      <c r="H83" s="402"/>
    </row>
    <row r="84">
      <c r="H84" s="402"/>
    </row>
    <row r="85">
      <c r="H85" s="402"/>
    </row>
    <row r="86">
      <c r="H86" s="402"/>
    </row>
    <row r="87">
      <c r="H87" s="402"/>
    </row>
    <row r="88">
      <c r="H88" s="402"/>
    </row>
    <row r="89">
      <c r="H89" s="402"/>
    </row>
    <row r="90">
      <c r="H90" s="402"/>
    </row>
    <row r="91">
      <c r="H91" s="402"/>
    </row>
    <row r="92">
      <c r="H92" s="402"/>
    </row>
    <row r="93">
      <c r="H93" s="402"/>
    </row>
    <row r="94">
      <c r="H94" s="402"/>
    </row>
    <row r="95">
      <c r="H95" s="402"/>
    </row>
    <row r="96">
      <c r="H96" s="402"/>
    </row>
    <row r="97">
      <c r="H97" s="402"/>
    </row>
    <row r="98">
      <c r="H98" s="402"/>
    </row>
    <row r="99">
      <c r="H99" s="402"/>
    </row>
    <row r="100">
      <c r="H100" s="402"/>
    </row>
    <row r="101">
      <c r="H101" s="402"/>
    </row>
    <row r="102">
      <c r="H102" s="402"/>
    </row>
    <row r="103">
      <c r="H103" s="402"/>
    </row>
    <row r="104">
      <c r="H104" s="402"/>
    </row>
    <row r="105">
      <c r="H105" s="402"/>
    </row>
    <row r="106">
      <c r="H106" s="402"/>
    </row>
    <row r="107">
      <c r="H107" s="402"/>
    </row>
    <row r="108">
      <c r="H108" s="402"/>
    </row>
    <row r="109">
      <c r="H109" s="402"/>
    </row>
    <row r="110">
      <c r="H110" s="402"/>
    </row>
    <row r="111">
      <c r="H111" s="402"/>
    </row>
    <row r="112">
      <c r="H112" s="402"/>
    </row>
    <row r="113">
      <c r="H113" s="402"/>
    </row>
    <row r="114">
      <c r="H114" s="402"/>
    </row>
    <row r="115">
      <c r="H115" s="402"/>
    </row>
    <row r="116">
      <c r="H116" s="402"/>
    </row>
    <row r="117">
      <c r="H117" s="402"/>
    </row>
    <row r="118">
      <c r="H118" s="402"/>
    </row>
    <row r="119">
      <c r="H119" s="402"/>
    </row>
    <row r="120">
      <c r="H120" s="402"/>
    </row>
    <row r="121">
      <c r="H121" s="402"/>
    </row>
    <row r="122">
      <c r="H122" s="402"/>
    </row>
    <row r="123">
      <c r="H123" s="402"/>
    </row>
    <row r="124">
      <c r="H124" s="402"/>
    </row>
    <row r="125">
      <c r="H125" s="402"/>
    </row>
    <row r="126">
      <c r="H126" s="402"/>
    </row>
    <row r="127">
      <c r="H127" s="402"/>
    </row>
    <row r="128">
      <c r="H128" s="402"/>
    </row>
    <row r="129">
      <c r="H129" s="402"/>
    </row>
    <row r="130">
      <c r="H130" s="402"/>
    </row>
    <row r="131">
      <c r="H131" s="402"/>
    </row>
    <row r="132">
      <c r="H132" s="402"/>
    </row>
    <row r="133">
      <c r="H133" s="402"/>
    </row>
    <row r="134">
      <c r="H134" s="402"/>
    </row>
    <row r="135">
      <c r="H135" s="402"/>
    </row>
    <row r="136">
      <c r="H136" s="402"/>
    </row>
    <row r="137">
      <c r="H137" s="402"/>
    </row>
    <row r="138">
      <c r="H138" s="402"/>
    </row>
    <row r="139">
      <c r="H139" s="402"/>
    </row>
    <row r="140">
      <c r="H140" s="402"/>
    </row>
    <row r="141">
      <c r="H141" s="402"/>
    </row>
    <row r="142">
      <c r="H142" s="402"/>
    </row>
    <row r="143">
      <c r="H143" s="402"/>
    </row>
    <row r="144">
      <c r="H144" s="402"/>
    </row>
    <row r="145">
      <c r="H145" s="402"/>
    </row>
    <row r="146">
      <c r="H146" s="402"/>
    </row>
    <row r="147">
      <c r="H147" s="402"/>
    </row>
    <row r="148">
      <c r="H148" s="402"/>
    </row>
    <row r="149">
      <c r="H149" s="402"/>
    </row>
    <row r="150">
      <c r="H150" s="402"/>
    </row>
    <row r="151">
      <c r="H151" s="402"/>
    </row>
    <row r="152">
      <c r="H152" s="402"/>
    </row>
    <row r="153">
      <c r="H153" s="402"/>
    </row>
    <row r="154">
      <c r="H154" s="402"/>
    </row>
    <row r="155">
      <c r="H155" s="402"/>
    </row>
    <row r="156">
      <c r="H156" s="402"/>
    </row>
    <row r="157">
      <c r="H157" s="402"/>
    </row>
    <row r="158">
      <c r="H158" s="402"/>
    </row>
    <row r="159">
      <c r="H159" s="402"/>
    </row>
    <row r="160">
      <c r="H160" s="402"/>
    </row>
    <row r="161">
      <c r="H161" s="402"/>
    </row>
    <row r="162">
      <c r="H162" s="402"/>
    </row>
    <row r="163">
      <c r="H163" s="402"/>
    </row>
    <row r="164">
      <c r="H164" s="402"/>
    </row>
    <row r="165">
      <c r="H165" s="402"/>
    </row>
    <row r="166">
      <c r="H166" s="402"/>
    </row>
    <row r="167">
      <c r="H167" s="402"/>
    </row>
    <row r="168">
      <c r="H168" s="402"/>
    </row>
    <row r="169">
      <c r="H169" s="402"/>
    </row>
    <row r="170">
      <c r="H170" s="402"/>
    </row>
    <row r="171">
      <c r="H171" s="402"/>
    </row>
    <row r="172">
      <c r="H172" s="402"/>
    </row>
    <row r="173">
      <c r="H173" s="402"/>
    </row>
    <row r="174">
      <c r="H174" s="402"/>
    </row>
    <row r="175">
      <c r="H175" s="402"/>
    </row>
    <row r="176">
      <c r="H176" s="402"/>
    </row>
    <row r="177">
      <c r="H177" s="402"/>
    </row>
    <row r="178">
      <c r="H178" s="402"/>
    </row>
    <row r="179">
      <c r="H179" s="402"/>
    </row>
    <row r="180">
      <c r="H180" s="402"/>
    </row>
    <row r="181">
      <c r="H181" s="402"/>
    </row>
    <row r="182">
      <c r="H182" s="402"/>
    </row>
    <row r="183">
      <c r="H183" s="402"/>
    </row>
    <row r="184">
      <c r="H184" s="402"/>
    </row>
    <row r="185">
      <c r="H185" s="402"/>
    </row>
    <row r="186">
      <c r="H186" s="402"/>
    </row>
    <row r="187">
      <c r="H187" s="402"/>
    </row>
    <row r="188">
      <c r="H188" s="402"/>
    </row>
    <row r="189">
      <c r="H189" s="402"/>
    </row>
    <row r="190">
      <c r="H190" s="402"/>
    </row>
    <row r="191">
      <c r="H191" s="402"/>
    </row>
    <row r="192">
      <c r="H192" s="402"/>
    </row>
    <row r="193">
      <c r="H193" s="402"/>
    </row>
    <row r="194">
      <c r="H194" s="402"/>
    </row>
    <row r="195">
      <c r="H195" s="402"/>
    </row>
    <row r="196">
      <c r="H196" s="402"/>
    </row>
    <row r="197">
      <c r="H197" s="402"/>
    </row>
    <row r="198">
      <c r="H198" s="402"/>
    </row>
    <row r="199">
      <c r="H199" s="402"/>
    </row>
    <row r="200">
      <c r="H200" s="402"/>
    </row>
    <row r="201">
      <c r="H201" s="402"/>
    </row>
    <row r="202">
      <c r="H202" s="402"/>
    </row>
    <row r="203">
      <c r="H203" s="402"/>
    </row>
    <row r="204">
      <c r="H204" s="402"/>
    </row>
    <row r="205">
      <c r="H205" s="402"/>
    </row>
    <row r="206">
      <c r="H206" s="402"/>
    </row>
    <row r="207">
      <c r="H207" s="402"/>
    </row>
    <row r="208">
      <c r="H208" s="402"/>
    </row>
    <row r="209">
      <c r="H209" s="402"/>
    </row>
    <row r="210">
      <c r="H210" s="402"/>
    </row>
    <row r="211">
      <c r="H211" s="402"/>
    </row>
    <row r="212">
      <c r="H212" s="402"/>
    </row>
    <row r="213">
      <c r="H213" s="402"/>
    </row>
    <row r="214">
      <c r="H214" s="402"/>
    </row>
    <row r="215">
      <c r="H215" s="402"/>
    </row>
    <row r="216">
      <c r="H216" s="402"/>
    </row>
    <row r="217">
      <c r="H217" s="402"/>
    </row>
    <row r="218">
      <c r="H218" s="402"/>
    </row>
    <row r="219">
      <c r="H219" s="402"/>
    </row>
    <row r="220">
      <c r="H220" s="402"/>
    </row>
    <row r="221">
      <c r="H221" s="402"/>
    </row>
    <row r="222">
      <c r="H222" s="402"/>
    </row>
    <row r="223">
      <c r="H223" s="402"/>
    </row>
    <row r="224">
      <c r="H224" s="402"/>
    </row>
    <row r="225">
      <c r="H225" s="402"/>
    </row>
    <row r="226">
      <c r="H226" s="402"/>
    </row>
    <row r="227">
      <c r="H227" s="402"/>
    </row>
    <row r="228">
      <c r="H228" s="402"/>
    </row>
    <row r="229">
      <c r="H229" s="402"/>
    </row>
    <row r="230">
      <c r="H230" s="402"/>
    </row>
    <row r="231">
      <c r="H231" s="402"/>
    </row>
    <row r="232">
      <c r="H232" s="402"/>
    </row>
    <row r="233">
      <c r="H233" s="402"/>
    </row>
    <row r="234">
      <c r="H234" s="402"/>
    </row>
    <row r="235">
      <c r="H235" s="402"/>
    </row>
    <row r="236">
      <c r="H236" s="402"/>
    </row>
    <row r="237">
      <c r="H237" s="402"/>
    </row>
    <row r="238">
      <c r="H238" s="402"/>
    </row>
    <row r="239">
      <c r="H239" s="402"/>
    </row>
    <row r="240">
      <c r="H240" s="402"/>
    </row>
    <row r="241">
      <c r="H241" s="402"/>
    </row>
    <row r="242">
      <c r="H242" s="402"/>
    </row>
    <row r="243">
      <c r="H243" s="402"/>
    </row>
    <row r="244">
      <c r="H244" s="402"/>
    </row>
    <row r="245">
      <c r="H245" s="402"/>
    </row>
    <row r="246">
      <c r="H246" s="402"/>
    </row>
    <row r="247">
      <c r="H247" s="402"/>
    </row>
    <row r="248">
      <c r="H248" s="402"/>
    </row>
    <row r="249">
      <c r="H249" s="402"/>
    </row>
    <row r="250">
      <c r="H250" s="402"/>
    </row>
    <row r="251">
      <c r="H251" s="402"/>
    </row>
    <row r="252">
      <c r="H252" s="402"/>
    </row>
    <row r="253">
      <c r="H253" s="402"/>
    </row>
    <row r="254">
      <c r="H254" s="402"/>
    </row>
    <row r="255">
      <c r="H255" s="402"/>
    </row>
    <row r="256">
      <c r="H256" s="402"/>
    </row>
    <row r="257">
      <c r="H257" s="402"/>
    </row>
    <row r="258">
      <c r="H258" s="402"/>
    </row>
    <row r="259">
      <c r="H259" s="402"/>
    </row>
    <row r="260">
      <c r="H260" s="402"/>
    </row>
    <row r="261">
      <c r="H261" s="402"/>
    </row>
    <row r="262">
      <c r="H262" s="402"/>
    </row>
    <row r="263">
      <c r="H263" s="402"/>
    </row>
    <row r="264">
      <c r="H264" s="402"/>
    </row>
    <row r="265">
      <c r="H265" s="402"/>
    </row>
    <row r="266">
      <c r="H266" s="402"/>
    </row>
    <row r="267">
      <c r="H267" s="402"/>
    </row>
    <row r="268">
      <c r="H268" s="402"/>
    </row>
    <row r="269">
      <c r="H269" s="402"/>
    </row>
    <row r="270">
      <c r="H270" s="402"/>
    </row>
    <row r="271">
      <c r="H271" s="402"/>
    </row>
    <row r="272">
      <c r="H272" s="402"/>
    </row>
    <row r="273">
      <c r="H273" s="402"/>
    </row>
    <row r="274">
      <c r="H274" s="402"/>
    </row>
    <row r="275">
      <c r="H275" s="402"/>
    </row>
    <row r="276">
      <c r="H276" s="402"/>
    </row>
    <row r="277">
      <c r="H277" s="402"/>
    </row>
    <row r="278">
      <c r="H278" s="402"/>
    </row>
    <row r="279">
      <c r="H279" s="402"/>
    </row>
    <row r="280">
      <c r="H280" s="402"/>
    </row>
    <row r="281">
      <c r="H281" s="402"/>
    </row>
    <row r="282">
      <c r="H282" s="402"/>
    </row>
    <row r="283">
      <c r="H283" s="402"/>
    </row>
    <row r="284">
      <c r="H284" s="402"/>
    </row>
    <row r="285">
      <c r="H285" s="402"/>
    </row>
    <row r="286">
      <c r="H286" s="402"/>
    </row>
    <row r="287">
      <c r="H287" s="402"/>
    </row>
    <row r="288">
      <c r="H288" s="402"/>
    </row>
    <row r="289">
      <c r="H289" s="402"/>
    </row>
    <row r="290">
      <c r="H290" s="402"/>
    </row>
    <row r="291">
      <c r="H291" s="402"/>
    </row>
    <row r="292">
      <c r="H292" s="402"/>
    </row>
    <row r="293">
      <c r="H293" s="402"/>
    </row>
    <row r="294">
      <c r="H294" s="402"/>
    </row>
    <row r="295">
      <c r="H295" s="402"/>
    </row>
    <row r="296">
      <c r="H296" s="402"/>
    </row>
    <row r="297">
      <c r="H297" s="402"/>
    </row>
    <row r="298">
      <c r="H298" s="402"/>
    </row>
    <row r="299">
      <c r="H299" s="402"/>
    </row>
    <row r="300">
      <c r="H300" s="402"/>
    </row>
    <row r="301">
      <c r="H301" s="402"/>
    </row>
    <row r="302">
      <c r="H302" s="402"/>
    </row>
    <row r="303">
      <c r="H303" s="402"/>
    </row>
    <row r="304">
      <c r="H304" s="402"/>
    </row>
    <row r="305">
      <c r="H305" s="402"/>
    </row>
    <row r="306">
      <c r="H306" s="402"/>
    </row>
    <row r="307">
      <c r="H307" s="402"/>
    </row>
    <row r="308">
      <c r="H308" s="402"/>
    </row>
    <row r="309">
      <c r="H309" s="402"/>
    </row>
    <row r="310">
      <c r="H310" s="402"/>
    </row>
    <row r="311">
      <c r="H311" s="402"/>
    </row>
    <row r="312">
      <c r="H312" s="402"/>
    </row>
    <row r="313">
      <c r="H313" s="402"/>
    </row>
    <row r="314">
      <c r="H314" s="402"/>
    </row>
    <row r="315">
      <c r="H315" s="402"/>
    </row>
    <row r="316">
      <c r="H316" s="402"/>
    </row>
    <row r="317">
      <c r="H317" s="402"/>
    </row>
    <row r="318">
      <c r="H318" s="402"/>
    </row>
    <row r="319">
      <c r="H319" s="402"/>
    </row>
    <row r="320">
      <c r="H320" s="402"/>
    </row>
    <row r="321">
      <c r="H321" s="402"/>
    </row>
    <row r="322">
      <c r="H322" s="402"/>
    </row>
    <row r="323">
      <c r="H323" s="402"/>
    </row>
    <row r="324">
      <c r="H324" s="402"/>
    </row>
    <row r="325">
      <c r="H325" s="402"/>
    </row>
    <row r="326">
      <c r="H326" s="402"/>
    </row>
    <row r="327">
      <c r="H327" s="402"/>
    </row>
    <row r="328">
      <c r="H328" s="402"/>
    </row>
    <row r="329">
      <c r="H329" s="402"/>
    </row>
    <row r="330">
      <c r="H330" s="402"/>
    </row>
    <row r="331">
      <c r="H331" s="402"/>
    </row>
    <row r="332">
      <c r="H332" s="402"/>
    </row>
    <row r="333">
      <c r="H333" s="402"/>
    </row>
    <row r="334">
      <c r="H334" s="402"/>
    </row>
    <row r="335">
      <c r="H335" s="402"/>
    </row>
    <row r="336">
      <c r="H336" s="402"/>
    </row>
    <row r="337">
      <c r="H337" s="402"/>
    </row>
    <row r="338">
      <c r="H338" s="402"/>
    </row>
    <row r="339">
      <c r="H339" s="402"/>
    </row>
    <row r="340">
      <c r="H340" s="402"/>
    </row>
    <row r="341">
      <c r="H341" s="402"/>
    </row>
    <row r="342">
      <c r="H342" s="402"/>
    </row>
    <row r="343">
      <c r="H343" s="402"/>
    </row>
    <row r="344">
      <c r="H344" s="402"/>
    </row>
    <row r="345">
      <c r="H345" s="402"/>
    </row>
    <row r="346">
      <c r="H346" s="402"/>
    </row>
    <row r="347">
      <c r="H347" s="402"/>
    </row>
    <row r="348">
      <c r="H348" s="402"/>
    </row>
    <row r="349">
      <c r="H349" s="402"/>
    </row>
    <row r="350">
      <c r="H350" s="402"/>
    </row>
    <row r="351">
      <c r="H351" s="402"/>
    </row>
    <row r="352">
      <c r="H352" s="402"/>
    </row>
    <row r="353">
      <c r="H353" s="402"/>
    </row>
    <row r="354">
      <c r="H354" s="402"/>
    </row>
    <row r="355">
      <c r="H355" s="402"/>
    </row>
    <row r="356">
      <c r="H356" s="402"/>
    </row>
    <row r="357">
      <c r="H357" s="402"/>
    </row>
    <row r="358">
      <c r="H358" s="402"/>
    </row>
    <row r="359">
      <c r="H359" s="402"/>
    </row>
    <row r="360">
      <c r="H360" s="402"/>
    </row>
    <row r="361">
      <c r="H361" s="402"/>
    </row>
    <row r="362">
      <c r="H362" s="402"/>
    </row>
    <row r="363">
      <c r="H363" s="402"/>
    </row>
    <row r="364">
      <c r="H364" s="402"/>
    </row>
    <row r="365">
      <c r="H365" s="402"/>
    </row>
    <row r="366">
      <c r="H366" s="402"/>
    </row>
    <row r="367">
      <c r="H367" s="402"/>
    </row>
    <row r="368">
      <c r="H368" s="402"/>
    </row>
    <row r="369">
      <c r="H369" s="402"/>
    </row>
    <row r="370">
      <c r="H370" s="402"/>
    </row>
    <row r="371">
      <c r="H371" s="402"/>
    </row>
    <row r="372">
      <c r="H372" s="402"/>
    </row>
    <row r="373">
      <c r="H373" s="402"/>
    </row>
    <row r="374">
      <c r="H374" s="402"/>
    </row>
    <row r="375">
      <c r="H375" s="402"/>
    </row>
    <row r="376">
      <c r="H376" s="402"/>
    </row>
    <row r="377">
      <c r="H377" s="402"/>
    </row>
    <row r="378">
      <c r="H378" s="402"/>
    </row>
    <row r="379">
      <c r="H379" s="402"/>
    </row>
    <row r="380">
      <c r="H380" s="402"/>
    </row>
    <row r="381">
      <c r="H381" s="402"/>
    </row>
    <row r="382">
      <c r="H382" s="402"/>
    </row>
    <row r="383">
      <c r="H383" s="402"/>
    </row>
    <row r="384">
      <c r="H384" s="402"/>
    </row>
    <row r="385">
      <c r="H385" s="402"/>
    </row>
    <row r="386">
      <c r="H386" s="402"/>
    </row>
    <row r="387">
      <c r="H387" s="402"/>
    </row>
    <row r="388">
      <c r="H388" s="402"/>
    </row>
    <row r="389">
      <c r="H389" s="402"/>
    </row>
    <row r="390">
      <c r="H390" s="402"/>
    </row>
    <row r="391">
      <c r="H391" s="402"/>
    </row>
    <row r="392">
      <c r="H392" s="402"/>
    </row>
    <row r="393">
      <c r="H393" s="402"/>
    </row>
    <row r="394">
      <c r="H394" s="402"/>
    </row>
    <row r="395">
      <c r="H395" s="402"/>
    </row>
    <row r="396">
      <c r="H396" s="402"/>
    </row>
    <row r="397">
      <c r="H397" s="402"/>
    </row>
    <row r="398">
      <c r="H398" s="402"/>
    </row>
    <row r="399">
      <c r="H399" s="402"/>
    </row>
    <row r="400">
      <c r="H400" s="402"/>
    </row>
    <row r="401">
      <c r="H401" s="402"/>
    </row>
    <row r="402">
      <c r="H402" s="402"/>
    </row>
    <row r="403">
      <c r="H403" s="402"/>
    </row>
    <row r="404">
      <c r="H404" s="402"/>
    </row>
    <row r="405">
      <c r="H405" s="402"/>
    </row>
    <row r="406">
      <c r="H406" s="402"/>
    </row>
    <row r="407">
      <c r="H407" s="402"/>
    </row>
    <row r="408">
      <c r="H408" s="402"/>
    </row>
    <row r="409">
      <c r="H409" s="402"/>
    </row>
    <row r="410">
      <c r="H410" s="402"/>
    </row>
    <row r="411">
      <c r="H411" s="402"/>
    </row>
    <row r="412">
      <c r="H412" s="402"/>
    </row>
    <row r="413">
      <c r="H413" s="402"/>
    </row>
    <row r="414">
      <c r="H414" s="402"/>
    </row>
    <row r="415">
      <c r="H415" s="402"/>
    </row>
    <row r="416">
      <c r="H416" s="402"/>
    </row>
    <row r="417">
      <c r="H417" s="402"/>
    </row>
    <row r="418">
      <c r="H418" s="402"/>
    </row>
    <row r="419">
      <c r="H419" s="402"/>
    </row>
    <row r="420">
      <c r="H420" s="402"/>
    </row>
    <row r="421">
      <c r="H421" s="402"/>
    </row>
    <row r="422">
      <c r="H422" s="402"/>
    </row>
    <row r="423">
      <c r="H423" s="402"/>
    </row>
    <row r="424">
      <c r="H424" s="402"/>
    </row>
    <row r="425">
      <c r="H425" s="402"/>
    </row>
    <row r="426">
      <c r="H426" s="402"/>
    </row>
    <row r="427">
      <c r="H427" s="402"/>
    </row>
    <row r="428">
      <c r="H428" s="402"/>
    </row>
    <row r="429">
      <c r="H429" s="402"/>
    </row>
    <row r="430">
      <c r="H430" s="402"/>
    </row>
    <row r="431">
      <c r="H431" s="402"/>
    </row>
    <row r="432">
      <c r="H432" s="402"/>
    </row>
    <row r="433">
      <c r="H433" s="402"/>
    </row>
    <row r="434">
      <c r="H434" s="402"/>
    </row>
    <row r="435">
      <c r="H435" s="402"/>
    </row>
    <row r="436">
      <c r="H436" s="402"/>
    </row>
    <row r="437">
      <c r="H437" s="402"/>
    </row>
    <row r="438">
      <c r="H438" s="402"/>
    </row>
    <row r="439">
      <c r="H439" s="402"/>
    </row>
    <row r="440">
      <c r="H440" s="402"/>
    </row>
    <row r="441">
      <c r="H441" s="402"/>
    </row>
    <row r="442">
      <c r="H442" s="402"/>
    </row>
    <row r="443">
      <c r="H443" s="402"/>
    </row>
    <row r="444">
      <c r="H444" s="402"/>
    </row>
    <row r="445">
      <c r="H445" s="402"/>
    </row>
    <row r="446">
      <c r="H446" s="402"/>
    </row>
    <row r="447">
      <c r="H447" s="402"/>
    </row>
    <row r="448">
      <c r="H448" s="402"/>
    </row>
    <row r="449">
      <c r="H449" s="402"/>
    </row>
    <row r="450">
      <c r="H450" s="402"/>
    </row>
    <row r="451">
      <c r="H451" s="402"/>
    </row>
    <row r="452">
      <c r="H452" s="402"/>
    </row>
    <row r="453">
      <c r="H453" s="402"/>
    </row>
    <row r="454">
      <c r="H454" s="402"/>
    </row>
    <row r="455">
      <c r="H455" s="402"/>
    </row>
    <row r="456">
      <c r="H456" s="402"/>
    </row>
    <row r="457">
      <c r="H457" s="402"/>
    </row>
    <row r="458">
      <c r="H458" s="402"/>
    </row>
    <row r="459">
      <c r="H459" s="402"/>
    </row>
    <row r="460">
      <c r="H460" s="402"/>
    </row>
    <row r="461">
      <c r="H461" s="402"/>
    </row>
    <row r="462">
      <c r="H462" s="402"/>
    </row>
    <row r="463">
      <c r="H463" s="402"/>
    </row>
    <row r="464">
      <c r="H464" s="402"/>
    </row>
    <row r="465">
      <c r="H465" s="402"/>
    </row>
    <row r="466">
      <c r="H466" s="402"/>
    </row>
    <row r="467">
      <c r="H467" s="402"/>
    </row>
    <row r="468">
      <c r="H468" s="402"/>
    </row>
    <row r="469">
      <c r="H469" s="402"/>
    </row>
    <row r="470">
      <c r="H470" s="402"/>
    </row>
    <row r="471">
      <c r="H471" s="402"/>
    </row>
    <row r="472">
      <c r="H472" s="402"/>
    </row>
    <row r="473">
      <c r="H473" s="402"/>
    </row>
    <row r="474">
      <c r="H474" s="402"/>
    </row>
    <row r="475">
      <c r="H475" s="402"/>
    </row>
    <row r="476">
      <c r="H476" s="402"/>
    </row>
    <row r="477">
      <c r="H477" s="402"/>
    </row>
    <row r="478">
      <c r="H478" s="402"/>
    </row>
    <row r="479">
      <c r="H479" s="402"/>
    </row>
    <row r="480">
      <c r="H480" s="402"/>
    </row>
    <row r="481">
      <c r="H481" s="402"/>
    </row>
    <row r="482">
      <c r="H482" s="402"/>
    </row>
    <row r="483">
      <c r="H483" s="402"/>
    </row>
    <row r="484">
      <c r="H484" s="402"/>
    </row>
    <row r="485">
      <c r="H485" s="402"/>
    </row>
    <row r="486">
      <c r="H486" s="402"/>
    </row>
    <row r="487">
      <c r="H487" s="402"/>
    </row>
    <row r="488">
      <c r="H488" s="402"/>
    </row>
    <row r="489">
      <c r="H489" s="402"/>
    </row>
    <row r="490">
      <c r="H490" s="402"/>
    </row>
    <row r="491">
      <c r="H491" s="402"/>
    </row>
    <row r="492">
      <c r="H492" s="402"/>
    </row>
    <row r="493">
      <c r="H493" s="402"/>
    </row>
    <row r="494">
      <c r="H494" s="402"/>
    </row>
    <row r="495">
      <c r="H495" s="402"/>
    </row>
    <row r="496">
      <c r="H496" s="402"/>
    </row>
    <row r="497">
      <c r="H497" s="402"/>
    </row>
    <row r="498">
      <c r="H498" s="402"/>
    </row>
    <row r="499">
      <c r="H499" s="402"/>
    </row>
    <row r="500">
      <c r="H500" s="402"/>
    </row>
    <row r="501">
      <c r="H501" s="402"/>
    </row>
    <row r="502">
      <c r="H502" s="402"/>
    </row>
    <row r="503">
      <c r="H503" s="402"/>
    </row>
    <row r="504">
      <c r="H504" s="402"/>
    </row>
    <row r="505">
      <c r="H505" s="402"/>
    </row>
    <row r="506">
      <c r="H506" s="402"/>
    </row>
    <row r="507">
      <c r="H507" s="402"/>
    </row>
    <row r="508">
      <c r="H508" s="402"/>
    </row>
    <row r="509">
      <c r="H509" s="402"/>
    </row>
    <row r="510">
      <c r="H510" s="402"/>
    </row>
    <row r="511">
      <c r="H511" s="402"/>
    </row>
    <row r="512">
      <c r="H512" s="402"/>
    </row>
    <row r="513">
      <c r="H513" s="402"/>
    </row>
    <row r="514">
      <c r="H514" s="402"/>
    </row>
    <row r="515">
      <c r="H515" s="402"/>
    </row>
    <row r="516">
      <c r="H516" s="402"/>
    </row>
    <row r="517">
      <c r="H517" s="402"/>
    </row>
    <row r="518">
      <c r="H518" s="402"/>
    </row>
    <row r="519">
      <c r="H519" s="402"/>
    </row>
    <row r="520">
      <c r="H520" s="402"/>
    </row>
    <row r="521">
      <c r="H521" s="402"/>
    </row>
    <row r="522">
      <c r="H522" s="402"/>
    </row>
    <row r="523">
      <c r="H523" s="402"/>
    </row>
    <row r="524">
      <c r="H524" s="402"/>
    </row>
    <row r="525">
      <c r="H525" s="402"/>
    </row>
    <row r="526">
      <c r="H526" s="402"/>
    </row>
    <row r="527">
      <c r="H527" s="402"/>
    </row>
    <row r="528">
      <c r="H528" s="402"/>
    </row>
    <row r="529">
      <c r="H529" s="402"/>
    </row>
    <row r="530">
      <c r="H530" s="402"/>
    </row>
    <row r="531">
      <c r="H531" s="402"/>
    </row>
    <row r="532">
      <c r="H532" s="402"/>
    </row>
    <row r="533">
      <c r="H533" s="402"/>
    </row>
    <row r="534">
      <c r="H534" s="402"/>
    </row>
    <row r="535">
      <c r="H535" s="402"/>
    </row>
    <row r="536">
      <c r="H536" s="402"/>
    </row>
    <row r="537">
      <c r="H537" s="402"/>
    </row>
    <row r="538">
      <c r="H538" s="402"/>
    </row>
    <row r="539">
      <c r="H539" s="402"/>
    </row>
    <row r="540">
      <c r="H540" s="402"/>
    </row>
    <row r="541">
      <c r="H541" s="402"/>
    </row>
    <row r="542">
      <c r="H542" s="402"/>
    </row>
    <row r="543">
      <c r="H543" s="402"/>
    </row>
    <row r="544">
      <c r="H544" s="402"/>
    </row>
    <row r="545">
      <c r="H545" s="402"/>
    </row>
    <row r="546">
      <c r="H546" s="402"/>
    </row>
    <row r="547">
      <c r="H547" s="402"/>
    </row>
    <row r="548">
      <c r="H548" s="402"/>
    </row>
    <row r="549">
      <c r="H549" s="402"/>
    </row>
    <row r="550">
      <c r="H550" s="402"/>
    </row>
    <row r="551">
      <c r="H551" s="402"/>
    </row>
    <row r="552">
      <c r="H552" s="402"/>
    </row>
    <row r="553">
      <c r="H553" s="402"/>
    </row>
    <row r="554">
      <c r="H554" s="402"/>
    </row>
    <row r="555">
      <c r="H555" s="402"/>
    </row>
    <row r="556">
      <c r="H556" s="402"/>
    </row>
    <row r="557">
      <c r="H557" s="402"/>
    </row>
    <row r="558">
      <c r="H558" s="402"/>
    </row>
    <row r="559">
      <c r="H559" s="402"/>
    </row>
    <row r="560">
      <c r="H560" s="402"/>
    </row>
    <row r="561">
      <c r="H561" s="402"/>
    </row>
    <row r="562">
      <c r="H562" s="402"/>
    </row>
    <row r="563">
      <c r="H563" s="402"/>
    </row>
    <row r="564">
      <c r="H564" s="402"/>
    </row>
    <row r="565">
      <c r="H565" s="402"/>
    </row>
    <row r="566">
      <c r="H566" s="402"/>
    </row>
    <row r="567">
      <c r="H567" s="402"/>
    </row>
    <row r="568">
      <c r="H568" s="402"/>
    </row>
    <row r="569">
      <c r="H569" s="402"/>
    </row>
    <row r="570">
      <c r="H570" s="402"/>
    </row>
    <row r="571">
      <c r="H571" s="402"/>
    </row>
    <row r="572">
      <c r="H572" s="402"/>
    </row>
    <row r="573">
      <c r="H573" s="402"/>
    </row>
    <row r="574">
      <c r="H574" s="402"/>
    </row>
    <row r="575">
      <c r="H575" s="402"/>
    </row>
    <row r="576">
      <c r="H576" s="402"/>
    </row>
    <row r="577">
      <c r="H577" s="402"/>
    </row>
    <row r="578">
      <c r="H578" s="402"/>
    </row>
    <row r="579">
      <c r="H579" s="402"/>
    </row>
    <row r="580">
      <c r="H580" s="402"/>
    </row>
    <row r="581">
      <c r="H581" s="402"/>
    </row>
    <row r="582">
      <c r="H582" s="402"/>
    </row>
    <row r="583">
      <c r="H583" s="402"/>
    </row>
    <row r="584">
      <c r="H584" s="402"/>
    </row>
    <row r="585">
      <c r="H585" s="402"/>
    </row>
    <row r="586">
      <c r="H586" s="402"/>
    </row>
    <row r="587">
      <c r="H587" s="402"/>
    </row>
    <row r="588">
      <c r="H588" s="402"/>
    </row>
    <row r="589">
      <c r="H589" s="402"/>
    </row>
    <row r="590">
      <c r="H590" s="402"/>
    </row>
    <row r="591">
      <c r="H591" s="402"/>
    </row>
    <row r="592">
      <c r="H592" s="402"/>
    </row>
    <row r="593">
      <c r="H593" s="402"/>
    </row>
    <row r="594">
      <c r="H594" s="402"/>
    </row>
    <row r="595">
      <c r="H595" s="402"/>
    </row>
    <row r="596">
      <c r="H596" s="402"/>
    </row>
    <row r="597">
      <c r="H597" s="402"/>
    </row>
    <row r="598">
      <c r="H598" s="402"/>
    </row>
    <row r="599">
      <c r="H599" s="402"/>
    </row>
    <row r="600">
      <c r="H600" s="402"/>
    </row>
    <row r="601">
      <c r="H601" s="402"/>
    </row>
    <row r="602">
      <c r="H602" s="402"/>
    </row>
    <row r="603">
      <c r="H603" s="402"/>
    </row>
    <row r="604">
      <c r="H604" s="402"/>
    </row>
    <row r="605">
      <c r="H605" s="402"/>
    </row>
    <row r="606">
      <c r="H606" s="402"/>
    </row>
    <row r="607">
      <c r="H607" s="402"/>
    </row>
    <row r="608">
      <c r="H608" s="402"/>
    </row>
    <row r="609">
      <c r="H609" s="402"/>
    </row>
    <row r="610">
      <c r="H610" s="402"/>
    </row>
    <row r="611">
      <c r="H611" s="402"/>
    </row>
    <row r="612">
      <c r="H612" s="402"/>
    </row>
    <row r="613">
      <c r="H613" s="402"/>
    </row>
    <row r="614">
      <c r="H614" s="402"/>
    </row>
    <row r="615">
      <c r="H615" s="402"/>
    </row>
    <row r="616">
      <c r="H616" s="402"/>
    </row>
    <row r="617">
      <c r="H617" s="402"/>
    </row>
    <row r="618">
      <c r="H618" s="402"/>
    </row>
    <row r="619">
      <c r="H619" s="402"/>
    </row>
    <row r="620">
      <c r="H620" s="402"/>
    </row>
    <row r="621">
      <c r="H621" s="402"/>
    </row>
    <row r="622">
      <c r="H622" s="402"/>
    </row>
    <row r="623">
      <c r="H623" s="402"/>
    </row>
    <row r="624">
      <c r="H624" s="402"/>
    </row>
    <row r="625">
      <c r="H625" s="402"/>
    </row>
    <row r="626">
      <c r="H626" s="402"/>
    </row>
    <row r="627">
      <c r="H627" s="402"/>
    </row>
    <row r="628">
      <c r="H628" s="402"/>
    </row>
    <row r="629">
      <c r="H629" s="402"/>
    </row>
    <row r="630">
      <c r="H630" s="402"/>
    </row>
    <row r="631">
      <c r="H631" s="402"/>
    </row>
    <row r="632">
      <c r="H632" s="402"/>
    </row>
    <row r="633">
      <c r="H633" s="402"/>
    </row>
    <row r="634">
      <c r="H634" s="402"/>
    </row>
    <row r="635">
      <c r="H635" s="402"/>
    </row>
    <row r="636">
      <c r="H636" s="402"/>
    </row>
    <row r="637">
      <c r="H637" s="402"/>
    </row>
    <row r="638">
      <c r="H638" s="402"/>
    </row>
    <row r="639">
      <c r="H639" s="402"/>
    </row>
    <row r="640">
      <c r="H640" s="402"/>
    </row>
    <row r="641">
      <c r="H641" s="402"/>
    </row>
    <row r="642">
      <c r="H642" s="402"/>
    </row>
    <row r="643">
      <c r="H643" s="402"/>
    </row>
    <row r="644">
      <c r="H644" s="402"/>
    </row>
    <row r="645">
      <c r="H645" s="402"/>
    </row>
    <row r="646">
      <c r="H646" s="402"/>
    </row>
    <row r="647">
      <c r="H647" s="402"/>
    </row>
    <row r="648">
      <c r="H648" s="402"/>
    </row>
    <row r="649">
      <c r="H649" s="402"/>
    </row>
    <row r="650">
      <c r="H650" s="402"/>
    </row>
    <row r="651">
      <c r="H651" s="402"/>
    </row>
    <row r="652">
      <c r="H652" s="402"/>
    </row>
    <row r="653">
      <c r="H653" s="402"/>
    </row>
    <row r="654">
      <c r="H654" s="402"/>
    </row>
    <row r="655">
      <c r="H655" s="402"/>
    </row>
    <row r="656">
      <c r="H656" s="402"/>
    </row>
    <row r="657">
      <c r="H657" s="402"/>
    </row>
    <row r="658">
      <c r="H658" s="402"/>
    </row>
    <row r="659">
      <c r="H659" s="402"/>
    </row>
    <row r="660">
      <c r="H660" s="402"/>
    </row>
    <row r="661">
      <c r="H661" s="402"/>
    </row>
    <row r="662">
      <c r="H662" s="402"/>
    </row>
    <row r="663">
      <c r="H663" s="402"/>
    </row>
    <row r="664">
      <c r="H664" s="402"/>
    </row>
    <row r="665">
      <c r="H665" s="402"/>
    </row>
    <row r="666">
      <c r="H666" s="402"/>
    </row>
    <row r="667">
      <c r="H667" s="402"/>
    </row>
    <row r="668">
      <c r="H668" s="402"/>
    </row>
    <row r="669">
      <c r="H669" s="402"/>
    </row>
    <row r="670">
      <c r="H670" s="402"/>
    </row>
    <row r="671">
      <c r="H671" s="402"/>
    </row>
    <row r="672">
      <c r="H672" s="402"/>
    </row>
    <row r="673">
      <c r="H673" s="402"/>
    </row>
    <row r="674">
      <c r="H674" s="402"/>
    </row>
    <row r="675">
      <c r="H675" s="402"/>
    </row>
    <row r="676">
      <c r="H676" s="402"/>
    </row>
    <row r="677">
      <c r="H677" s="402"/>
    </row>
    <row r="678">
      <c r="H678" s="402"/>
    </row>
    <row r="679">
      <c r="H679" s="402"/>
    </row>
    <row r="680">
      <c r="H680" s="402"/>
    </row>
    <row r="681">
      <c r="H681" s="402"/>
    </row>
    <row r="682">
      <c r="H682" s="402"/>
    </row>
    <row r="683">
      <c r="H683" s="402"/>
    </row>
    <row r="684">
      <c r="H684" s="402"/>
    </row>
    <row r="685">
      <c r="H685" s="402"/>
    </row>
    <row r="686">
      <c r="H686" s="402"/>
    </row>
    <row r="687">
      <c r="H687" s="402"/>
    </row>
    <row r="688">
      <c r="H688" s="402"/>
    </row>
    <row r="689">
      <c r="H689" s="402"/>
    </row>
    <row r="690">
      <c r="H690" s="402"/>
    </row>
    <row r="691">
      <c r="H691" s="402"/>
    </row>
    <row r="692">
      <c r="H692" s="402"/>
    </row>
    <row r="693">
      <c r="H693" s="402"/>
    </row>
    <row r="694">
      <c r="H694" s="402"/>
    </row>
    <row r="695">
      <c r="H695" s="402"/>
    </row>
    <row r="696">
      <c r="H696" s="402"/>
    </row>
    <row r="697">
      <c r="H697" s="402"/>
    </row>
    <row r="698">
      <c r="H698" s="402"/>
    </row>
    <row r="699">
      <c r="H699" s="402"/>
    </row>
    <row r="700">
      <c r="H700" s="402"/>
    </row>
    <row r="701">
      <c r="H701" s="402"/>
    </row>
    <row r="702">
      <c r="H702" s="402"/>
    </row>
    <row r="703">
      <c r="H703" s="402"/>
    </row>
    <row r="704">
      <c r="H704" s="402"/>
    </row>
    <row r="705">
      <c r="H705" s="402"/>
    </row>
    <row r="706">
      <c r="H706" s="402"/>
    </row>
    <row r="707">
      <c r="H707" s="402"/>
    </row>
    <row r="708">
      <c r="H708" s="402"/>
    </row>
    <row r="709">
      <c r="H709" s="402"/>
    </row>
    <row r="710">
      <c r="H710" s="402"/>
    </row>
    <row r="711">
      <c r="H711" s="402"/>
    </row>
    <row r="712">
      <c r="H712" s="402"/>
    </row>
    <row r="713">
      <c r="H713" s="402"/>
    </row>
    <row r="714">
      <c r="H714" s="402"/>
    </row>
    <row r="715">
      <c r="H715" s="402"/>
    </row>
    <row r="716">
      <c r="H716" s="402"/>
    </row>
    <row r="717">
      <c r="H717" s="402"/>
    </row>
    <row r="718">
      <c r="H718" s="402"/>
    </row>
    <row r="719">
      <c r="H719" s="402"/>
    </row>
    <row r="720">
      <c r="H720" s="402"/>
    </row>
    <row r="721">
      <c r="H721" s="402"/>
    </row>
    <row r="722">
      <c r="H722" s="402"/>
    </row>
    <row r="723">
      <c r="H723" s="402"/>
    </row>
    <row r="724">
      <c r="H724" s="402"/>
    </row>
    <row r="725">
      <c r="H725" s="402"/>
    </row>
    <row r="726">
      <c r="H726" s="402"/>
    </row>
    <row r="727">
      <c r="H727" s="402"/>
    </row>
    <row r="728">
      <c r="H728" s="402"/>
    </row>
    <row r="729">
      <c r="H729" s="402"/>
    </row>
    <row r="730">
      <c r="H730" s="402"/>
    </row>
    <row r="731">
      <c r="H731" s="402"/>
    </row>
    <row r="732">
      <c r="H732" s="402"/>
    </row>
    <row r="733">
      <c r="H733" s="402"/>
    </row>
    <row r="734">
      <c r="H734" s="402"/>
    </row>
    <row r="735">
      <c r="H735" s="402"/>
    </row>
    <row r="736">
      <c r="H736" s="402"/>
    </row>
    <row r="737">
      <c r="H737" s="402"/>
    </row>
    <row r="738">
      <c r="H738" s="402"/>
    </row>
    <row r="739">
      <c r="H739" s="402"/>
    </row>
    <row r="740">
      <c r="H740" s="402"/>
    </row>
    <row r="741">
      <c r="H741" s="402"/>
    </row>
    <row r="742">
      <c r="H742" s="402"/>
    </row>
    <row r="743">
      <c r="H743" s="402"/>
    </row>
    <row r="744">
      <c r="H744" s="402"/>
    </row>
    <row r="745">
      <c r="H745" s="402"/>
    </row>
    <row r="746">
      <c r="H746" s="402"/>
    </row>
    <row r="747">
      <c r="H747" s="402"/>
    </row>
    <row r="748">
      <c r="H748" s="402"/>
    </row>
    <row r="749">
      <c r="H749" s="402"/>
    </row>
    <row r="750">
      <c r="H750" s="402"/>
    </row>
    <row r="751">
      <c r="H751" s="402"/>
    </row>
    <row r="752">
      <c r="H752" s="402"/>
    </row>
    <row r="753">
      <c r="H753" s="402"/>
    </row>
    <row r="754">
      <c r="H754" s="402"/>
    </row>
    <row r="755">
      <c r="H755" s="402"/>
    </row>
    <row r="756">
      <c r="H756" s="402"/>
    </row>
    <row r="757">
      <c r="H757" s="402"/>
    </row>
    <row r="758">
      <c r="H758" s="402"/>
    </row>
    <row r="759">
      <c r="H759" s="402"/>
    </row>
    <row r="760">
      <c r="H760" s="402"/>
    </row>
    <row r="761">
      <c r="H761" s="402"/>
    </row>
    <row r="762">
      <c r="H762" s="402"/>
    </row>
    <row r="763">
      <c r="H763" s="402"/>
    </row>
    <row r="764">
      <c r="H764" s="402"/>
    </row>
    <row r="765">
      <c r="H765" s="402"/>
    </row>
    <row r="766">
      <c r="H766" s="402"/>
    </row>
    <row r="767">
      <c r="H767" s="402"/>
    </row>
    <row r="768">
      <c r="H768" s="402"/>
    </row>
    <row r="769">
      <c r="H769" s="402"/>
    </row>
    <row r="770">
      <c r="H770" s="402"/>
    </row>
    <row r="771">
      <c r="H771" s="402"/>
    </row>
    <row r="772">
      <c r="H772" s="402"/>
    </row>
    <row r="773">
      <c r="H773" s="402"/>
    </row>
    <row r="774">
      <c r="H774" s="402"/>
    </row>
    <row r="775">
      <c r="H775" s="402"/>
    </row>
    <row r="776">
      <c r="H776" s="402"/>
    </row>
    <row r="777">
      <c r="H777" s="402"/>
    </row>
    <row r="778">
      <c r="H778" s="402"/>
    </row>
    <row r="779">
      <c r="H779" s="402"/>
    </row>
    <row r="780">
      <c r="H780" s="402"/>
    </row>
    <row r="781">
      <c r="H781" s="402"/>
    </row>
    <row r="782">
      <c r="H782" s="402"/>
    </row>
    <row r="783">
      <c r="H783" s="402"/>
    </row>
    <row r="784">
      <c r="H784" s="402"/>
    </row>
    <row r="785">
      <c r="H785" s="402"/>
    </row>
    <row r="786">
      <c r="H786" s="402"/>
    </row>
    <row r="787">
      <c r="H787" s="402"/>
    </row>
    <row r="788">
      <c r="H788" s="402"/>
    </row>
    <row r="789">
      <c r="H789" s="402"/>
    </row>
    <row r="790">
      <c r="H790" s="402"/>
    </row>
    <row r="791">
      <c r="H791" s="402"/>
    </row>
    <row r="792">
      <c r="H792" s="402"/>
    </row>
    <row r="793">
      <c r="H793" s="402"/>
    </row>
    <row r="794">
      <c r="H794" s="402"/>
    </row>
    <row r="795">
      <c r="H795" s="402"/>
    </row>
    <row r="796">
      <c r="H796" s="402"/>
    </row>
    <row r="797">
      <c r="H797" s="402"/>
    </row>
    <row r="798">
      <c r="H798" s="402"/>
    </row>
    <row r="799">
      <c r="H799" s="402"/>
    </row>
    <row r="800">
      <c r="H800" s="402"/>
    </row>
    <row r="801">
      <c r="H801" s="402"/>
    </row>
    <row r="802">
      <c r="H802" s="402"/>
    </row>
    <row r="803">
      <c r="H803" s="402"/>
    </row>
    <row r="804">
      <c r="H804" s="402"/>
    </row>
    <row r="805">
      <c r="H805" s="402"/>
    </row>
    <row r="806">
      <c r="H806" s="402"/>
    </row>
    <row r="807">
      <c r="H807" s="402"/>
    </row>
    <row r="808">
      <c r="H808" s="402"/>
    </row>
    <row r="809">
      <c r="H809" s="402"/>
    </row>
    <row r="810">
      <c r="H810" s="402"/>
    </row>
    <row r="811">
      <c r="H811" s="402"/>
    </row>
    <row r="812">
      <c r="H812" s="402"/>
    </row>
    <row r="813">
      <c r="H813" s="402"/>
    </row>
    <row r="814">
      <c r="H814" s="402"/>
    </row>
    <row r="815">
      <c r="H815" s="402"/>
    </row>
    <row r="816">
      <c r="H816" s="402"/>
    </row>
    <row r="817">
      <c r="H817" s="402"/>
    </row>
    <row r="818">
      <c r="H818" s="402"/>
    </row>
    <row r="819">
      <c r="H819" s="402"/>
    </row>
    <row r="820">
      <c r="H820" s="402"/>
    </row>
    <row r="821">
      <c r="H821" s="402"/>
    </row>
    <row r="822">
      <c r="H822" s="402"/>
    </row>
    <row r="823">
      <c r="H823" s="402"/>
    </row>
    <row r="824">
      <c r="H824" s="402"/>
    </row>
    <row r="825">
      <c r="H825" s="402"/>
    </row>
    <row r="826">
      <c r="H826" s="402"/>
    </row>
    <row r="827">
      <c r="H827" s="402"/>
    </row>
    <row r="828">
      <c r="H828" s="402"/>
    </row>
    <row r="829">
      <c r="H829" s="402"/>
    </row>
    <row r="830">
      <c r="H830" s="402"/>
    </row>
    <row r="831">
      <c r="H831" s="402"/>
    </row>
    <row r="832">
      <c r="H832" s="402"/>
    </row>
    <row r="833">
      <c r="H833" s="402"/>
    </row>
    <row r="834">
      <c r="H834" s="402"/>
    </row>
    <row r="835">
      <c r="H835" s="402"/>
    </row>
    <row r="836">
      <c r="H836" s="402"/>
    </row>
    <row r="837">
      <c r="H837" s="402"/>
    </row>
    <row r="838">
      <c r="H838" s="402"/>
    </row>
    <row r="839">
      <c r="H839" s="402"/>
    </row>
    <row r="840">
      <c r="H840" s="402"/>
    </row>
    <row r="841">
      <c r="H841" s="402"/>
    </row>
    <row r="842">
      <c r="H842" s="402"/>
    </row>
    <row r="843">
      <c r="H843" s="402"/>
    </row>
    <row r="844">
      <c r="H844" s="402"/>
    </row>
    <row r="845">
      <c r="H845" s="402"/>
    </row>
    <row r="846">
      <c r="H846" s="402"/>
    </row>
    <row r="847">
      <c r="H847" s="402"/>
    </row>
    <row r="848">
      <c r="H848" s="402"/>
    </row>
    <row r="849">
      <c r="H849" s="402"/>
    </row>
    <row r="850">
      <c r="H850" s="402"/>
    </row>
    <row r="851">
      <c r="H851" s="402"/>
    </row>
    <row r="852">
      <c r="H852" s="402"/>
    </row>
    <row r="853">
      <c r="H853" s="402"/>
    </row>
    <row r="854">
      <c r="H854" s="402"/>
    </row>
    <row r="855">
      <c r="H855" s="402"/>
    </row>
    <row r="856">
      <c r="H856" s="402"/>
    </row>
    <row r="857">
      <c r="H857" s="402"/>
    </row>
    <row r="858">
      <c r="H858" s="402"/>
    </row>
    <row r="859">
      <c r="H859" s="402"/>
    </row>
    <row r="860">
      <c r="H860" s="402"/>
    </row>
    <row r="861">
      <c r="H861" s="402"/>
    </row>
    <row r="862">
      <c r="H862" s="402"/>
    </row>
    <row r="863">
      <c r="H863" s="402"/>
    </row>
    <row r="864">
      <c r="H864" s="402"/>
    </row>
    <row r="865">
      <c r="H865" s="402"/>
    </row>
    <row r="866">
      <c r="H866" s="402"/>
    </row>
    <row r="867">
      <c r="H867" s="402"/>
    </row>
    <row r="868">
      <c r="H868" s="402"/>
    </row>
    <row r="869">
      <c r="H869" s="402"/>
    </row>
    <row r="870">
      <c r="H870" s="402"/>
    </row>
    <row r="871">
      <c r="H871" s="402"/>
    </row>
    <row r="872">
      <c r="H872" s="402"/>
    </row>
    <row r="873">
      <c r="H873" s="402"/>
    </row>
    <row r="874">
      <c r="H874" s="402"/>
    </row>
    <row r="875">
      <c r="H875" s="402"/>
    </row>
    <row r="876">
      <c r="H876" s="402"/>
    </row>
    <row r="877">
      <c r="H877" s="402"/>
    </row>
    <row r="878">
      <c r="H878" s="402"/>
    </row>
    <row r="879">
      <c r="H879" s="402"/>
    </row>
    <row r="880">
      <c r="H880" s="402"/>
    </row>
    <row r="881">
      <c r="H881" s="402"/>
    </row>
    <row r="882">
      <c r="H882" s="402"/>
    </row>
    <row r="883">
      <c r="H883" s="402"/>
    </row>
    <row r="884">
      <c r="H884" s="402"/>
    </row>
    <row r="885">
      <c r="H885" s="402"/>
    </row>
    <row r="886">
      <c r="H886" s="402"/>
    </row>
    <row r="887">
      <c r="H887" s="402"/>
    </row>
    <row r="888">
      <c r="H888" s="402"/>
    </row>
    <row r="889">
      <c r="H889" s="402"/>
    </row>
    <row r="890">
      <c r="H890" s="402"/>
    </row>
    <row r="891">
      <c r="H891" s="402"/>
    </row>
    <row r="892">
      <c r="H892" s="402"/>
    </row>
    <row r="893">
      <c r="H893" s="402"/>
    </row>
    <row r="894">
      <c r="H894" s="402"/>
    </row>
    <row r="895">
      <c r="H895" s="402"/>
    </row>
    <row r="896">
      <c r="H896" s="402"/>
    </row>
    <row r="897">
      <c r="H897" s="402"/>
    </row>
    <row r="898">
      <c r="H898" s="402"/>
    </row>
    <row r="899">
      <c r="H899" s="402"/>
    </row>
    <row r="900">
      <c r="H900" s="402"/>
    </row>
    <row r="901">
      <c r="H901" s="402"/>
    </row>
    <row r="902">
      <c r="H902" s="402"/>
    </row>
    <row r="903">
      <c r="H903" s="402"/>
    </row>
    <row r="904">
      <c r="H904" s="402"/>
    </row>
    <row r="905">
      <c r="H905" s="402"/>
    </row>
    <row r="906">
      <c r="H906" s="402"/>
    </row>
    <row r="907">
      <c r="H907" s="402"/>
    </row>
    <row r="908">
      <c r="H908" s="402"/>
    </row>
    <row r="909">
      <c r="H909" s="402"/>
    </row>
    <row r="910">
      <c r="H910" s="402"/>
    </row>
    <row r="911">
      <c r="H911" s="402"/>
    </row>
    <row r="912">
      <c r="H912" s="402"/>
    </row>
    <row r="913">
      <c r="H913" s="402"/>
    </row>
    <row r="914">
      <c r="H914" s="402"/>
    </row>
    <row r="915">
      <c r="H915" s="402"/>
    </row>
    <row r="916">
      <c r="H916" s="402"/>
    </row>
    <row r="917">
      <c r="H917" s="402"/>
    </row>
    <row r="918">
      <c r="H918" s="402"/>
    </row>
    <row r="919">
      <c r="H919" s="402"/>
    </row>
    <row r="920">
      <c r="H920" s="402"/>
    </row>
    <row r="921">
      <c r="H921" s="402"/>
    </row>
    <row r="922">
      <c r="H922" s="402"/>
    </row>
    <row r="923">
      <c r="H923" s="402"/>
    </row>
    <row r="924">
      <c r="H924" s="402"/>
    </row>
    <row r="925">
      <c r="H925" s="402"/>
    </row>
    <row r="926">
      <c r="H926" s="402"/>
    </row>
    <row r="927">
      <c r="H927" s="402"/>
    </row>
    <row r="928">
      <c r="H928" s="402"/>
    </row>
    <row r="929">
      <c r="H929" s="402"/>
    </row>
    <row r="930">
      <c r="H930" s="402"/>
    </row>
    <row r="931">
      <c r="H931" s="402"/>
    </row>
    <row r="932">
      <c r="H932" s="402"/>
    </row>
    <row r="933">
      <c r="H933" s="402"/>
    </row>
    <row r="934">
      <c r="H934" s="402"/>
    </row>
    <row r="935">
      <c r="H935" s="402"/>
    </row>
    <row r="936">
      <c r="H936" s="402"/>
    </row>
    <row r="937">
      <c r="H937" s="402"/>
    </row>
    <row r="938">
      <c r="H938" s="402"/>
    </row>
    <row r="939">
      <c r="H939" s="402"/>
    </row>
    <row r="940">
      <c r="H940" s="402"/>
    </row>
    <row r="941">
      <c r="H941" s="402"/>
    </row>
    <row r="942">
      <c r="H942" s="402"/>
    </row>
    <row r="943">
      <c r="H943" s="402"/>
    </row>
    <row r="944">
      <c r="H944" s="402"/>
    </row>
    <row r="945">
      <c r="H945" s="402"/>
    </row>
    <row r="946">
      <c r="H946" s="402"/>
    </row>
    <row r="947">
      <c r="H947" s="402"/>
    </row>
    <row r="948">
      <c r="H948" s="402"/>
    </row>
    <row r="949">
      <c r="H949" s="402"/>
    </row>
    <row r="950">
      <c r="H950" s="402"/>
    </row>
    <row r="951">
      <c r="H951" s="402"/>
    </row>
    <row r="952">
      <c r="H952" s="402"/>
    </row>
    <row r="953">
      <c r="H953" s="402"/>
    </row>
    <row r="954">
      <c r="H954" s="402"/>
    </row>
    <row r="955">
      <c r="H955" s="402"/>
    </row>
    <row r="956">
      <c r="H956" s="402"/>
    </row>
    <row r="957">
      <c r="H957" s="402"/>
    </row>
    <row r="958">
      <c r="H958" s="402"/>
    </row>
    <row r="959">
      <c r="H959" s="402"/>
    </row>
    <row r="960">
      <c r="H960" s="402"/>
    </row>
    <row r="961">
      <c r="H961" s="402"/>
    </row>
    <row r="962">
      <c r="H962" s="402"/>
    </row>
    <row r="963">
      <c r="H963" s="402"/>
    </row>
    <row r="964">
      <c r="H964" s="402"/>
    </row>
    <row r="965">
      <c r="H965" s="402"/>
    </row>
    <row r="966">
      <c r="H966" s="402"/>
    </row>
    <row r="967">
      <c r="H967" s="402"/>
    </row>
    <row r="968">
      <c r="H968" s="402"/>
    </row>
    <row r="969">
      <c r="H969" s="402"/>
    </row>
    <row r="970">
      <c r="H970" s="402"/>
    </row>
    <row r="971">
      <c r="H971" s="402"/>
    </row>
    <row r="972">
      <c r="H972" s="402"/>
    </row>
    <row r="973">
      <c r="H973" s="402"/>
    </row>
    <row r="974">
      <c r="H974" s="402"/>
    </row>
    <row r="975">
      <c r="H975" s="402"/>
    </row>
    <row r="976">
      <c r="H976" s="402"/>
    </row>
    <row r="977">
      <c r="H977" s="402"/>
    </row>
    <row r="978">
      <c r="H978" s="402"/>
    </row>
    <row r="979">
      <c r="H979" s="402"/>
    </row>
    <row r="980">
      <c r="H980" s="402"/>
    </row>
    <row r="981">
      <c r="H981" s="402"/>
    </row>
    <row r="982">
      <c r="H982" s="402"/>
    </row>
    <row r="983">
      <c r="H983" s="402"/>
    </row>
    <row r="984">
      <c r="H984" s="402"/>
    </row>
    <row r="985">
      <c r="H985" s="402"/>
    </row>
    <row r="986">
      <c r="H986" s="402"/>
    </row>
    <row r="987">
      <c r="H987" s="402"/>
    </row>
    <row r="988">
      <c r="H988" s="402"/>
    </row>
    <row r="989">
      <c r="H989" s="402"/>
    </row>
    <row r="990">
      <c r="H990" s="402"/>
    </row>
    <row r="991">
      <c r="H991" s="402"/>
    </row>
    <row r="992">
      <c r="H992" s="402"/>
    </row>
    <row r="993">
      <c r="H993" s="402"/>
    </row>
    <row r="994">
      <c r="H994" s="402"/>
    </row>
    <row r="995">
      <c r="H995" s="402"/>
    </row>
    <row r="996">
      <c r="H996" s="402"/>
    </row>
    <row r="997">
      <c r="H997" s="402"/>
    </row>
    <row r="998">
      <c r="H998" s="402"/>
    </row>
    <row r="999">
      <c r="H999" s="402"/>
    </row>
    <row r="1000">
      <c r="H1000" s="402"/>
    </row>
  </sheetData>
  <autoFilter ref="$A$1:$AC$39">
    <sortState ref="A1:AC39">
      <sortCondition ref="A1:A39"/>
      <sortCondition ref="B1:B39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114.38"/>
    <col customWidth="1" min="3" max="3" width="11.5"/>
    <col customWidth="1" min="4" max="4" width="46.75"/>
    <col customWidth="1" min="5" max="5" width="35.25"/>
    <col customWidth="1" min="6" max="6" width="16.0"/>
    <col customWidth="1" min="7" max="7" width="45.88"/>
    <col customWidth="1" min="8" max="8" width="14.25"/>
    <col customWidth="1" min="9" max="9" width="16.13"/>
  </cols>
  <sheetData>
    <row r="1" ht="38.25" customHeight="1">
      <c r="A1" s="403" t="s">
        <v>5955</v>
      </c>
      <c r="B1" s="403" t="s">
        <v>6211</v>
      </c>
      <c r="C1" s="403" t="s">
        <v>6212</v>
      </c>
      <c r="D1" s="403" t="s">
        <v>5956</v>
      </c>
      <c r="E1" s="404" t="s">
        <v>6213</v>
      </c>
      <c r="F1" s="403" t="s">
        <v>6214</v>
      </c>
      <c r="G1" s="403" t="s">
        <v>6215</v>
      </c>
      <c r="H1" s="403" t="s">
        <v>6216</v>
      </c>
      <c r="I1" s="403" t="s">
        <v>6217</v>
      </c>
      <c r="J1" s="405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Y1" s="406"/>
      <c r="Z1" s="406"/>
    </row>
    <row r="2">
      <c r="A2" s="407">
        <v>1.0</v>
      </c>
      <c r="B2" s="408" t="s">
        <v>57</v>
      </c>
      <c r="C2" s="409">
        <v>1.0</v>
      </c>
      <c r="D2" s="408" t="s">
        <v>6218</v>
      </c>
      <c r="E2" s="410" t="s">
        <v>6219</v>
      </c>
      <c r="F2" s="408" t="s">
        <v>62</v>
      </c>
      <c r="G2" s="408" t="s">
        <v>63</v>
      </c>
      <c r="H2" s="409" t="s">
        <v>53</v>
      </c>
      <c r="I2" s="409" t="s">
        <v>66</v>
      </c>
      <c r="J2" s="411">
        <v>1.0</v>
      </c>
    </row>
    <row r="3">
      <c r="A3" s="407">
        <v>2.0</v>
      </c>
      <c r="B3" s="408" t="s">
        <v>85</v>
      </c>
      <c r="C3" s="409">
        <v>1.0</v>
      </c>
      <c r="D3" s="408" t="s">
        <v>6220</v>
      </c>
      <c r="E3" s="410" t="s">
        <v>6221</v>
      </c>
      <c r="F3" s="408" t="s">
        <v>159</v>
      </c>
      <c r="G3" s="408" t="s">
        <v>1328</v>
      </c>
      <c r="H3" s="409" t="s">
        <v>255</v>
      </c>
      <c r="I3" s="409" t="s">
        <v>66</v>
      </c>
      <c r="J3" s="411">
        <v>2.0</v>
      </c>
    </row>
    <row r="4">
      <c r="A4" s="407">
        <v>3.0</v>
      </c>
      <c r="B4" s="408" t="s">
        <v>6222</v>
      </c>
      <c r="C4" s="409" t="s">
        <v>77</v>
      </c>
      <c r="D4" s="408" t="s">
        <v>77</v>
      </c>
      <c r="E4" s="410" t="s">
        <v>77</v>
      </c>
      <c r="F4" s="408" t="s">
        <v>77</v>
      </c>
      <c r="G4" s="408" t="s">
        <v>77</v>
      </c>
      <c r="H4" s="409" t="s">
        <v>77</v>
      </c>
      <c r="I4" s="409" t="s">
        <v>77</v>
      </c>
      <c r="J4" s="411">
        <v>3.0</v>
      </c>
    </row>
    <row r="5">
      <c r="A5" s="407">
        <v>4.0</v>
      </c>
      <c r="B5" s="408" t="s">
        <v>2561</v>
      </c>
      <c r="C5" s="409">
        <v>1.0</v>
      </c>
      <c r="D5" s="408" t="s">
        <v>6223</v>
      </c>
      <c r="E5" s="410" t="s">
        <v>6224</v>
      </c>
      <c r="F5" s="408" t="s">
        <v>159</v>
      </c>
      <c r="G5" s="408" t="s">
        <v>259</v>
      </c>
      <c r="H5" s="409" t="s">
        <v>255</v>
      </c>
      <c r="I5" s="409" t="s">
        <v>66</v>
      </c>
      <c r="J5" s="411">
        <v>4.0</v>
      </c>
    </row>
    <row r="6">
      <c r="A6" s="407">
        <v>5.0</v>
      </c>
      <c r="B6" s="408" t="s">
        <v>1921</v>
      </c>
      <c r="C6" s="409">
        <v>1.0</v>
      </c>
      <c r="D6" s="408" t="s">
        <v>6225</v>
      </c>
      <c r="E6" s="410" t="s">
        <v>6226</v>
      </c>
      <c r="F6" s="408" t="s">
        <v>110</v>
      </c>
      <c r="G6" s="408" t="s">
        <v>6227</v>
      </c>
      <c r="H6" s="409" t="s">
        <v>83</v>
      </c>
      <c r="I6" s="409" t="s">
        <v>66</v>
      </c>
      <c r="J6" s="411">
        <v>5.0</v>
      </c>
    </row>
    <row r="7">
      <c r="A7" s="407">
        <v>6.0</v>
      </c>
      <c r="B7" s="408" t="s">
        <v>3345</v>
      </c>
      <c r="C7" s="409">
        <v>1.0</v>
      </c>
      <c r="D7" s="408" t="s">
        <v>6228</v>
      </c>
      <c r="E7" s="410" t="s">
        <v>6229</v>
      </c>
      <c r="F7" s="408" t="s">
        <v>159</v>
      </c>
      <c r="G7" s="408" t="s">
        <v>3348</v>
      </c>
      <c r="H7" s="409" t="s">
        <v>255</v>
      </c>
      <c r="I7" s="409" t="s">
        <v>66</v>
      </c>
      <c r="J7" s="411">
        <v>6.0</v>
      </c>
    </row>
    <row r="8">
      <c r="A8" s="407">
        <v>7.0</v>
      </c>
      <c r="B8" s="408" t="s">
        <v>3541</v>
      </c>
      <c r="C8" s="409">
        <v>1.0</v>
      </c>
      <c r="D8" s="408" t="s">
        <v>6230</v>
      </c>
      <c r="E8" s="410" t="s">
        <v>6231</v>
      </c>
      <c r="F8" s="408" t="s">
        <v>89</v>
      </c>
      <c r="G8" s="408" t="s">
        <v>337</v>
      </c>
      <c r="H8" s="409" t="s">
        <v>83</v>
      </c>
      <c r="I8" s="409" t="s">
        <v>66</v>
      </c>
      <c r="J8" s="411">
        <v>7.0</v>
      </c>
    </row>
    <row r="9">
      <c r="A9" s="407">
        <v>8.0</v>
      </c>
      <c r="B9" s="408" t="s">
        <v>3852</v>
      </c>
      <c r="C9" s="409">
        <v>1.0</v>
      </c>
      <c r="D9" s="408" t="s">
        <v>6232</v>
      </c>
      <c r="E9" s="410" t="s">
        <v>6233</v>
      </c>
      <c r="F9" s="408" t="s">
        <v>159</v>
      </c>
      <c r="G9" s="408" t="s">
        <v>218</v>
      </c>
      <c r="H9" s="409" t="s">
        <v>255</v>
      </c>
      <c r="I9" s="409" t="s">
        <v>66</v>
      </c>
      <c r="J9" s="411">
        <v>8.0</v>
      </c>
    </row>
    <row r="10">
      <c r="A10" s="407">
        <v>9.0</v>
      </c>
      <c r="B10" s="408" t="s">
        <v>4207</v>
      </c>
      <c r="C10" s="409">
        <v>1.0</v>
      </c>
      <c r="D10" s="408" t="s">
        <v>6234</v>
      </c>
      <c r="E10" s="410" t="s">
        <v>6231</v>
      </c>
      <c r="F10" s="408" t="s">
        <v>89</v>
      </c>
      <c r="G10" s="408" t="s">
        <v>1214</v>
      </c>
      <c r="H10" s="409" t="s">
        <v>83</v>
      </c>
      <c r="I10" s="409" t="s">
        <v>66</v>
      </c>
      <c r="J10" s="411">
        <v>9.0</v>
      </c>
    </row>
    <row r="11">
      <c r="A11" s="407">
        <v>10.0</v>
      </c>
      <c r="B11" s="408" t="s">
        <v>4535</v>
      </c>
      <c r="C11" s="409">
        <v>1.0</v>
      </c>
      <c r="D11" s="408" t="s">
        <v>6235</v>
      </c>
      <c r="E11" s="410" t="s">
        <v>6231</v>
      </c>
      <c r="F11" s="408" t="s">
        <v>89</v>
      </c>
      <c r="G11" s="408" t="s">
        <v>1318</v>
      </c>
      <c r="H11" s="409" t="s">
        <v>83</v>
      </c>
      <c r="I11" s="409" t="s">
        <v>66</v>
      </c>
      <c r="J11" s="411">
        <v>10.0</v>
      </c>
    </row>
    <row r="12">
      <c r="A12" s="407">
        <v>11.0</v>
      </c>
      <c r="B12" s="408" t="s">
        <v>4881</v>
      </c>
      <c r="C12" s="409">
        <v>1.0</v>
      </c>
      <c r="D12" s="408" t="s">
        <v>6236</v>
      </c>
      <c r="E12" s="410" t="s">
        <v>6231</v>
      </c>
      <c r="F12" s="408" t="s">
        <v>159</v>
      </c>
      <c r="G12" s="408" t="s">
        <v>4883</v>
      </c>
      <c r="H12" s="409" t="s">
        <v>83</v>
      </c>
      <c r="I12" s="409" t="s">
        <v>66</v>
      </c>
      <c r="J12" s="411">
        <v>11.0</v>
      </c>
    </row>
    <row r="13">
      <c r="A13" s="407">
        <v>12.0</v>
      </c>
      <c r="B13" s="408" t="s">
        <v>5218</v>
      </c>
      <c r="C13" s="409">
        <v>1.0</v>
      </c>
      <c r="D13" s="408" t="s">
        <v>6237</v>
      </c>
      <c r="E13" s="410" t="s">
        <v>6233</v>
      </c>
      <c r="F13" s="408" t="s">
        <v>159</v>
      </c>
      <c r="G13" s="408" t="s">
        <v>259</v>
      </c>
      <c r="H13" s="409" t="s">
        <v>83</v>
      </c>
      <c r="I13" s="409" t="s">
        <v>66</v>
      </c>
      <c r="J13" s="411">
        <v>12.0</v>
      </c>
    </row>
    <row r="14">
      <c r="A14" s="407">
        <v>13.0</v>
      </c>
      <c r="B14" s="408" t="s">
        <v>5586</v>
      </c>
      <c r="C14" s="409">
        <v>1.0</v>
      </c>
      <c r="D14" s="408" t="s">
        <v>6238</v>
      </c>
      <c r="E14" s="410" t="s">
        <v>6231</v>
      </c>
      <c r="F14" s="408" t="s">
        <v>159</v>
      </c>
      <c r="G14" s="408" t="s">
        <v>218</v>
      </c>
      <c r="H14" s="409" t="s">
        <v>255</v>
      </c>
      <c r="I14" s="409" t="s">
        <v>66</v>
      </c>
      <c r="J14" s="411">
        <v>13.0</v>
      </c>
    </row>
    <row r="15">
      <c r="A15" s="407">
        <v>14.0</v>
      </c>
      <c r="B15" s="408" t="s">
        <v>3548</v>
      </c>
      <c r="C15" s="409">
        <v>1.0</v>
      </c>
      <c r="D15" s="408" t="s">
        <v>6239</v>
      </c>
      <c r="E15" s="410" t="s">
        <v>6231</v>
      </c>
      <c r="F15" s="408" t="s">
        <v>159</v>
      </c>
      <c r="G15" s="408" t="s">
        <v>1633</v>
      </c>
      <c r="H15" s="409" t="s">
        <v>255</v>
      </c>
      <c r="I15" s="409" t="s">
        <v>66</v>
      </c>
      <c r="J15" s="411">
        <v>14.0</v>
      </c>
    </row>
    <row r="16">
      <c r="A16" s="407">
        <v>15.0</v>
      </c>
      <c r="B16" s="408" t="s">
        <v>3861</v>
      </c>
      <c r="C16" s="409">
        <v>1.0</v>
      </c>
      <c r="D16" s="408" t="s">
        <v>6240</v>
      </c>
      <c r="E16" s="410" t="s">
        <v>6241</v>
      </c>
      <c r="F16" s="408" t="s">
        <v>89</v>
      </c>
      <c r="G16" s="412"/>
      <c r="H16" s="409" t="s">
        <v>103</v>
      </c>
      <c r="I16" s="409" t="s">
        <v>66</v>
      </c>
      <c r="J16" s="411">
        <v>15.0</v>
      </c>
    </row>
    <row r="17">
      <c r="A17" s="407">
        <v>16.0</v>
      </c>
      <c r="B17" s="408" t="s">
        <v>4216</v>
      </c>
      <c r="C17" s="409">
        <v>1.0</v>
      </c>
      <c r="D17" s="408" t="s">
        <v>6242</v>
      </c>
      <c r="E17" s="410" t="s">
        <v>6231</v>
      </c>
      <c r="F17" s="408" t="s">
        <v>89</v>
      </c>
      <c r="G17" s="408" t="s">
        <v>4218</v>
      </c>
      <c r="H17" s="409" t="s">
        <v>83</v>
      </c>
      <c r="I17" s="409" t="s">
        <v>66</v>
      </c>
      <c r="J17" s="411">
        <v>16.0</v>
      </c>
    </row>
    <row r="18">
      <c r="A18" s="407">
        <v>17.0</v>
      </c>
      <c r="B18" s="408" t="s">
        <v>4545</v>
      </c>
      <c r="C18" s="409">
        <v>1.0</v>
      </c>
      <c r="D18" s="408" t="s">
        <v>6243</v>
      </c>
      <c r="E18" s="410" t="s">
        <v>6244</v>
      </c>
      <c r="F18" s="408" t="s">
        <v>159</v>
      </c>
      <c r="G18" s="408" t="s">
        <v>2096</v>
      </c>
      <c r="H18" s="409" t="s">
        <v>83</v>
      </c>
      <c r="I18" s="409" t="s">
        <v>66</v>
      </c>
      <c r="J18" s="411">
        <v>17.0</v>
      </c>
    </row>
    <row r="19">
      <c r="A19" s="407">
        <v>18.0</v>
      </c>
      <c r="B19" s="408" t="s">
        <v>4892</v>
      </c>
      <c r="C19" s="409">
        <v>1.0</v>
      </c>
      <c r="D19" s="408" t="s">
        <v>6245</v>
      </c>
      <c r="E19" s="410" t="s">
        <v>6233</v>
      </c>
      <c r="F19" s="408" t="s">
        <v>89</v>
      </c>
      <c r="G19" s="408" t="s">
        <v>197</v>
      </c>
      <c r="H19" s="409" t="s">
        <v>83</v>
      </c>
      <c r="I19" s="409" t="s">
        <v>66</v>
      </c>
      <c r="J19" s="411">
        <v>18.0</v>
      </c>
    </row>
    <row r="20">
      <c r="A20" s="407">
        <v>19.0</v>
      </c>
      <c r="B20" s="408" t="s">
        <v>5225</v>
      </c>
      <c r="C20" s="409">
        <v>1.0</v>
      </c>
      <c r="D20" s="408" t="s">
        <v>6246</v>
      </c>
      <c r="E20" s="410" t="s">
        <v>6231</v>
      </c>
      <c r="F20" s="408" t="s">
        <v>159</v>
      </c>
      <c r="G20" s="408" t="s">
        <v>218</v>
      </c>
      <c r="H20" s="409" t="s">
        <v>83</v>
      </c>
      <c r="I20" s="409" t="s">
        <v>66</v>
      </c>
      <c r="J20" s="411">
        <v>19.0</v>
      </c>
    </row>
    <row r="21">
      <c r="A21" s="407">
        <v>20.0</v>
      </c>
      <c r="B21" s="408" t="s">
        <v>5593</v>
      </c>
      <c r="C21" s="409">
        <v>1.0</v>
      </c>
      <c r="D21" s="408" t="s">
        <v>6247</v>
      </c>
      <c r="E21" s="410" t="s">
        <v>6233</v>
      </c>
      <c r="F21" s="408" t="s">
        <v>89</v>
      </c>
      <c r="G21" s="408" t="s">
        <v>3312</v>
      </c>
      <c r="H21" s="409" t="s">
        <v>83</v>
      </c>
      <c r="I21" s="409" t="s">
        <v>66</v>
      </c>
      <c r="J21" s="411">
        <v>20.0</v>
      </c>
    </row>
    <row r="22">
      <c r="A22" s="407">
        <v>21.0</v>
      </c>
      <c r="B22" s="408" t="s">
        <v>106</v>
      </c>
      <c r="C22" s="409">
        <v>1.0</v>
      </c>
      <c r="D22" s="408" t="s">
        <v>6248</v>
      </c>
      <c r="E22" s="410" t="s">
        <v>6233</v>
      </c>
      <c r="F22" s="408" t="s">
        <v>110</v>
      </c>
      <c r="G22" s="408" t="s">
        <v>111</v>
      </c>
      <c r="H22" s="409" t="s">
        <v>103</v>
      </c>
      <c r="I22" s="409" t="s">
        <v>66</v>
      </c>
      <c r="J22" s="411">
        <v>21.0</v>
      </c>
    </row>
    <row r="23">
      <c r="A23" s="407">
        <v>22.0</v>
      </c>
      <c r="B23" s="408" t="s">
        <v>2579</v>
      </c>
      <c r="C23" s="409">
        <v>1.0</v>
      </c>
      <c r="D23" s="408" t="s">
        <v>6249</v>
      </c>
      <c r="E23" s="410" t="s">
        <v>6244</v>
      </c>
      <c r="F23" s="408" t="s">
        <v>110</v>
      </c>
      <c r="G23" s="408" t="s">
        <v>111</v>
      </c>
      <c r="H23" s="409" t="s">
        <v>103</v>
      </c>
      <c r="I23" s="409" t="s">
        <v>66</v>
      </c>
      <c r="J23" s="411">
        <v>22.0</v>
      </c>
    </row>
    <row r="24">
      <c r="A24" s="407">
        <v>23.0</v>
      </c>
      <c r="B24" s="408" t="s">
        <v>1315</v>
      </c>
      <c r="C24" s="409">
        <v>1.0</v>
      </c>
      <c r="D24" s="408" t="s">
        <v>6250</v>
      </c>
      <c r="E24" s="410" t="s">
        <v>6233</v>
      </c>
      <c r="F24" s="408" t="s">
        <v>159</v>
      </c>
      <c r="G24" s="408" t="s">
        <v>503</v>
      </c>
      <c r="H24" s="409" t="s">
        <v>103</v>
      </c>
      <c r="I24" s="409" t="s">
        <v>66</v>
      </c>
      <c r="J24" s="411">
        <v>23.0</v>
      </c>
    </row>
    <row r="25">
      <c r="A25" s="407">
        <v>24.0</v>
      </c>
      <c r="B25" s="408" t="s">
        <v>1927</v>
      </c>
      <c r="C25" s="409">
        <v>1.0</v>
      </c>
      <c r="D25" s="408" t="s">
        <v>6251</v>
      </c>
      <c r="E25" s="410" t="s">
        <v>6244</v>
      </c>
      <c r="F25" s="408" t="s">
        <v>159</v>
      </c>
      <c r="G25" s="408" t="s">
        <v>647</v>
      </c>
      <c r="H25" s="409" t="s">
        <v>103</v>
      </c>
      <c r="I25" s="409" t="s">
        <v>66</v>
      </c>
      <c r="J25" s="411">
        <v>24.0</v>
      </c>
    </row>
    <row r="26">
      <c r="A26" s="407">
        <v>25.0</v>
      </c>
      <c r="B26" s="408" t="s">
        <v>3355</v>
      </c>
      <c r="C26" s="409">
        <v>1.0</v>
      </c>
      <c r="D26" s="408" t="s">
        <v>6252</v>
      </c>
      <c r="E26" s="410" t="s">
        <v>6229</v>
      </c>
      <c r="F26" s="408" t="s">
        <v>159</v>
      </c>
      <c r="G26" s="408" t="s">
        <v>1633</v>
      </c>
      <c r="H26" s="409" t="s">
        <v>255</v>
      </c>
      <c r="I26" s="409" t="s">
        <v>66</v>
      </c>
      <c r="J26" s="411">
        <v>25.0</v>
      </c>
    </row>
    <row r="27">
      <c r="A27" s="407">
        <v>26.0</v>
      </c>
      <c r="B27" s="408" t="s">
        <v>3365</v>
      </c>
      <c r="C27" s="409">
        <v>1.0</v>
      </c>
      <c r="D27" s="408" t="s">
        <v>6253</v>
      </c>
      <c r="E27" s="410" t="s">
        <v>6231</v>
      </c>
      <c r="F27" s="408" t="s">
        <v>89</v>
      </c>
      <c r="G27" s="408" t="s">
        <v>1520</v>
      </c>
      <c r="H27" s="409" t="s">
        <v>83</v>
      </c>
      <c r="I27" s="409" t="s">
        <v>66</v>
      </c>
      <c r="J27" s="411">
        <v>26.0</v>
      </c>
    </row>
    <row r="28">
      <c r="A28" s="407">
        <v>27.0</v>
      </c>
      <c r="B28" s="408" t="s">
        <v>2569</v>
      </c>
      <c r="C28" s="409">
        <v>1.0</v>
      </c>
      <c r="D28" s="408" t="s">
        <v>6254</v>
      </c>
      <c r="E28" s="410" t="s">
        <v>6226</v>
      </c>
      <c r="F28" s="408" t="s">
        <v>159</v>
      </c>
      <c r="G28" s="408" t="s">
        <v>2572</v>
      </c>
      <c r="H28" s="409" t="s">
        <v>103</v>
      </c>
      <c r="I28" s="409" t="s">
        <v>66</v>
      </c>
      <c r="J28" s="411">
        <v>27.0</v>
      </c>
    </row>
    <row r="29">
      <c r="A29" s="407">
        <v>28.0</v>
      </c>
      <c r="B29" s="408" t="s">
        <v>1303</v>
      </c>
      <c r="C29" s="409">
        <v>1.0</v>
      </c>
      <c r="D29" s="408" t="s">
        <v>6255</v>
      </c>
      <c r="E29" s="410" t="s">
        <v>6231</v>
      </c>
      <c r="F29" s="408" t="s">
        <v>89</v>
      </c>
      <c r="G29" s="408" t="s">
        <v>6256</v>
      </c>
      <c r="H29" s="409" t="s">
        <v>255</v>
      </c>
      <c r="I29" s="409" t="s">
        <v>66</v>
      </c>
      <c r="J29" s="411">
        <v>28.0</v>
      </c>
    </row>
    <row r="30">
      <c r="A30" s="407">
        <v>29.0</v>
      </c>
      <c r="B30" s="408" t="s">
        <v>1936</v>
      </c>
      <c r="C30" s="409">
        <v>1.0</v>
      </c>
      <c r="D30" s="408" t="s">
        <v>6257</v>
      </c>
      <c r="E30" s="410" t="s">
        <v>6233</v>
      </c>
      <c r="F30" s="408" t="s">
        <v>159</v>
      </c>
      <c r="G30" s="408" t="s">
        <v>647</v>
      </c>
      <c r="H30" s="409" t="s">
        <v>83</v>
      </c>
      <c r="I30" s="409" t="s">
        <v>66</v>
      </c>
      <c r="J30" s="411">
        <v>29.0</v>
      </c>
    </row>
    <row r="31">
      <c r="A31" s="407">
        <v>30.0</v>
      </c>
      <c r="B31" s="408" t="s">
        <v>257</v>
      </c>
      <c r="C31" s="409">
        <v>1.0</v>
      </c>
      <c r="D31" s="408" t="s">
        <v>6258</v>
      </c>
      <c r="E31" s="410" t="s">
        <v>6259</v>
      </c>
      <c r="F31" s="408" t="s">
        <v>159</v>
      </c>
      <c r="G31" s="408" t="s">
        <v>259</v>
      </c>
      <c r="H31" s="409" t="s">
        <v>255</v>
      </c>
      <c r="I31" s="409" t="s">
        <v>66</v>
      </c>
      <c r="J31" s="411">
        <v>30.0</v>
      </c>
    </row>
    <row r="32">
      <c r="A32" s="407">
        <v>31.0</v>
      </c>
      <c r="B32" s="408" t="s">
        <v>124</v>
      </c>
      <c r="C32" s="409">
        <v>1.0</v>
      </c>
      <c r="D32" s="408" t="s">
        <v>6260</v>
      </c>
      <c r="E32" s="410" t="s">
        <v>6233</v>
      </c>
      <c r="F32" s="408" t="s">
        <v>110</v>
      </c>
      <c r="G32" s="408" t="s">
        <v>126</v>
      </c>
      <c r="H32" s="409" t="s">
        <v>103</v>
      </c>
      <c r="I32" s="409" t="s">
        <v>66</v>
      </c>
      <c r="J32" s="411">
        <v>31.0</v>
      </c>
    </row>
    <row r="33">
      <c r="A33" s="407">
        <v>32.0</v>
      </c>
      <c r="B33" s="408" t="s">
        <v>157</v>
      </c>
      <c r="C33" s="409">
        <v>1.0</v>
      </c>
      <c r="D33" s="408" t="s">
        <v>6261</v>
      </c>
      <c r="E33" s="410" t="s">
        <v>6233</v>
      </c>
      <c r="F33" s="408" t="s">
        <v>159</v>
      </c>
      <c r="G33" s="408" t="s">
        <v>160</v>
      </c>
      <c r="H33" s="409" t="s">
        <v>81</v>
      </c>
      <c r="I33" s="409" t="s">
        <v>66</v>
      </c>
      <c r="J33" s="411">
        <v>32.0</v>
      </c>
    </row>
    <row r="34">
      <c r="A34" s="407">
        <v>33.0</v>
      </c>
      <c r="B34" s="408" t="s">
        <v>532</v>
      </c>
      <c r="C34" s="409">
        <v>138.0</v>
      </c>
      <c r="D34" s="408" t="s">
        <v>6262</v>
      </c>
      <c r="E34" s="410" t="s">
        <v>6231</v>
      </c>
      <c r="F34" s="408" t="s">
        <v>89</v>
      </c>
      <c r="G34" s="408" t="s">
        <v>2644</v>
      </c>
      <c r="H34" s="409" t="s">
        <v>77</v>
      </c>
      <c r="I34" s="409" t="s">
        <v>522</v>
      </c>
      <c r="J34" s="411">
        <v>33.0</v>
      </c>
    </row>
    <row r="35">
      <c r="A35" s="413"/>
      <c r="B35" s="413"/>
      <c r="C35" s="414"/>
      <c r="D35" s="408" t="s">
        <v>6263</v>
      </c>
      <c r="E35" s="410" t="s">
        <v>6231</v>
      </c>
      <c r="F35" s="408" t="s">
        <v>285</v>
      </c>
      <c r="G35" s="408" t="s">
        <v>1035</v>
      </c>
      <c r="H35" s="409" t="s">
        <v>77</v>
      </c>
      <c r="I35" s="409" t="s">
        <v>522</v>
      </c>
      <c r="J35" s="411">
        <v>34.0</v>
      </c>
    </row>
    <row r="36">
      <c r="A36" s="413"/>
      <c r="B36" s="413"/>
      <c r="C36" s="414"/>
      <c r="D36" s="408" t="s">
        <v>6264</v>
      </c>
      <c r="E36" s="410" t="s">
        <v>6231</v>
      </c>
      <c r="F36" s="408" t="s">
        <v>285</v>
      </c>
      <c r="G36" s="412"/>
      <c r="H36" s="409" t="s">
        <v>77</v>
      </c>
      <c r="I36" s="409" t="s">
        <v>522</v>
      </c>
      <c r="J36" s="411">
        <v>35.0</v>
      </c>
    </row>
    <row r="37">
      <c r="A37" s="413"/>
      <c r="B37" s="413"/>
      <c r="C37" s="414"/>
      <c r="D37" s="408" t="s">
        <v>6265</v>
      </c>
      <c r="E37" s="410" t="s">
        <v>6231</v>
      </c>
      <c r="F37" s="408" t="s">
        <v>285</v>
      </c>
      <c r="G37" s="408" t="s">
        <v>1035</v>
      </c>
      <c r="H37" s="409" t="s">
        <v>77</v>
      </c>
      <c r="I37" s="409" t="s">
        <v>522</v>
      </c>
      <c r="J37" s="411">
        <v>36.0</v>
      </c>
    </row>
    <row r="38">
      <c r="A38" s="412"/>
      <c r="B38" s="412"/>
      <c r="C38" s="415"/>
      <c r="D38" s="408" t="s">
        <v>6266</v>
      </c>
      <c r="E38" s="410" t="s">
        <v>6231</v>
      </c>
      <c r="F38" s="408" t="s">
        <v>285</v>
      </c>
      <c r="G38" s="408" t="s">
        <v>1035</v>
      </c>
      <c r="H38" s="409" t="s">
        <v>77</v>
      </c>
      <c r="I38" s="409" t="s">
        <v>522</v>
      </c>
      <c r="J38" s="411">
        <v>37.0</v>
      </c>
    </row>
    <row r="39">
      <c r="A39" s="412"/>
      <c r="B39" s="412"/>
      <c r="C39" s="415"/>
      <c r="D39" s="408" t="s">
        <v>6267</v>
      </c>
      <c r="E39" s="410" t="s">
        <v>6231</v>
      </c>
      <c r="F39" s="408" t="s">
        <v>285</v>
      </c>
      <c r="G39" s="408" t="s">
        <v>1017</v>
      </c>
      <c r="H39" s="409" t="s">
        <v>77</v>
      </c>
      <c r="I39" s="409" t="s">
        <v>522</v>
      </c>
      <c r="J39" s="411">
        <v>38.0</v>
      </c>
    </row>
    <row r="40">
      <c r="A40" s="412"/>
      <c r="B40" s="412"/>
      <c r="C40" s="415"/>
      <c r="D40" s="408" t="s">
        <v>6268</v>
      </c>
      <c r="E40" s="410" t="s">
        <v>6231</v>
      </c>
      <c r="F40" s="408" t="s">
        <v>285</v>
      </c>
      <c r="G40" s="408" t="s">
        <v>1017</v>
      </c>
      <c r="H40" s="409" t="s">
        <v>77</v>
      </c>
      <c r="I40" s="409" t="s">
        <v>522</v>
      </c>
      <c r="J40" s="411">
        <v>39.0</v>
      </c>
    </row>
    <row r="41">
      <c r="A41" s="412"/>
      <c r="B41" s="412"/>
      <c r="C41" s="415"/>
      <c r="D41" s="408" t="s">
        <v>6269</v>
      </c>
      <c r="E41" s="410" t="s">
        <v>6231</v>
      </c>
      <c r="F41" s="408" t="s">
        <v>285</v>
      </c>
      <c r="G41" s="412"/>
      <c r="H41" s="409" t="s">
        <v>77</v>
      </c>
      <c r="I41" s="409" t="s">
        <v>522</v>
      </c>
      <c r="J41" s="411">
        <v>40.0</v>
      </c>
    </row>
    <row r="42">
      <c r="A42" s="412"/>
      <c r="B42" s="412"/>
      <c r="C42" s="415"/>
      <c r="D42" s="408" t="s">
        <v>6270</v>
      </c>
      <c r="E42" s="410" t="s">
        <v>6231</v>
      </c>
      <c r="F42" s="408" t="s">
        <v>285</v>
      </c>
      <c r="G42" s="408" t="s">
        <v>1017</v>
      </c>
      <c r="H42" s="409" t="s">
        <v>77</v>
      </c>
      <c r="I42" s="409" t="s">
        <v>522</v>
      </c>
      <c r="J42" s="411">
        <v>41.0</v>
      </c>
    </row>
    <row r="43">
      <c r="A43" s="413"/>
      <c r="B43" s="413"/>
      <c r="C43" s="414"/>
      <c r="D43" s="408" t="s">
        <v>6271</v>
      </c>
      <c r="E43" s="410" t="s">
        <v>6231</v>
      </c>
      <c r="F43" s="408" t="s">
        <v>285</v>
      </c>
      <c r="G43" s="408" t="s">
        <v>1035</v>
      </c>
      <c r="H43" s="409" t="s">
        <v>77</v>
      </c>
      <c r="I43" s="409" t="s">
        <v>522</v>
      </c>
      <c r="J43" s="411">
        <v>42.0</v>
      </c>
    </row>
    <row r="44">
      <c r="A44" s="413"/>
      <c r="B44" s="413"/>
      <c r="C44" s="414"/>
      <c r="D44" s="408" t="s">
        <v>6272</v>
      </c>
      <c r="E44" s="410" t="s">
        <v>6231</v>
      </c>
      <c r="F44" s="408" t="s">
        <v>285</v>
      </c>
      <c r="G44" s="408" t="s">
        <v>687</v>
      </c>
      <c r="H44" s="409" t="s">
        <v>77</v>
      </c>
      <c r="I44" s="409" t="s">
        <v>522</v>
      </c>
      <c r="J44" s="411">
        <v>43.0</v>
      </c>
    </row>
    <row r="45">
      <c r="A45" s="413"/>
      <c r="B45" s="413"/>
      <c r="C45" s="414"/>
      <c r="D45" s="408" t="s">
        <v>6273</v>
      </c>
      <c r="E45" s="410" t="s">
        <v>6231</v>
      </c>
      <c r="F45" s="408" t="s">
        <v>285</v>
      </c>
      <c r="G45" s="412"/>
      <c r="H45" s="409" t="s">
        <v>77</v>
      </c>
      <c r="I45" s="409" t="s">
        <v>522</v>
      </c>
      <c r="J45" s="411">
        <v>44.0</v>
      </c>
    </row>
    <row r="46">
      <c r="A46" s="413"/>
      <c r="B46" s="413"/>
      <c r="C46" s="414"/>
      <c r="D46" s="408" t="s">
        <v>6274</v>
      </c>
      <c r="E46" s="410" t="s">
        <v>6231</v>
      </c>
      <c r="F46" s="408" t="s">
        <v>285</v>
      </c>
      <c r="G46" s="408" t="s">
        <v>1035</v>
      </c>
      <c r="H46" s="409" t="s">
        <v>77</v>
      </c>
      <c r="I46" s="409" t="s">
        <v>522</v>
      </c>
      <c r="J46" s="411">
        <v>45.0</v>
      </c>
    </row>
    <row r="47">
      <c r="A47" s="413"/>
      <c r="B47" s="413"/>
      <c r="C47" s="414"/>
      <c r="D47" s="408" t="s">
        <v>6275</v>
      </c>
      <c r="E47" s="410" t="s">
        <v>6231</v>
      </c>
      <c r="F47" s="408" t="s">
        <v>77</v>
      </c>
      <c r="G47" s="408" t="s">
        <v>77</v>
      </c>
      <c r="H47" s="409" t="s">
        <v>77</v>
      </c>
      <c r="I47" s="409" t="s">
        <v>522</v>
      </c>
      <c r="J47" s="411">
        <v>46.0</v>
      </c>
    </row>
    <row r="48">
      <c r="A48" s="413"/>
      <c r="B48" s="413"/>
      <c r="C48" s="414"/>
      <c r="D48" s="408" t="s">
        <v>6276</v>
      </c>
      <c r="E48" s="410" t="s">
        <v>6231</v>
      </c>
      <c r="F48" s="408" t="s">
        <v>285</v>
      </c>
      <c r="G48" s="412"/>
      <c r="H48" s="409" t="s">
        <v>77</v>
      </c>
      <c r="I48" s="409" t="s">
        <v>522</v>
      </c>
      <c r="J48" s="411">
        <v>47.0</v>
      </c>
    </row>
    <row r="49">
      <c r="A49" s="413"/>
      <c r="B49" s="413"/>
      <c r="C49" s="414"/>
      <c r="D49" s="408" t="s">
        <v>6277</v>
      </c>
      <c r="E49" s="410" t="s">
        <v>6231</v>
      </c>
      <c r="F49" s="408" t="s">
        <v>285</v>
      </c>
      <c r="G49" s="408" t="s">
        <v>1077</v>
      </c>
      <c r="H49" s="409" t="s">
        <v>77</v>
      </c>
      <c r="I49" s="409" t="s">
        <v>522</v>
      </c>
      <c r="J49" s="411">
        <v>48.0</v>
      </c>
    </row>
    <row r="50">
      <c r="A50" s="413"/>
      <c r="B50" s="413"/>
      <c r="C50" s="414"/>
      <c r="D50" s="408" t="s">
        <v>6278</v>
      </c>
      <c r="E50" s="410" t="s">
        <v>6231</v>
      </c>
      <c r="F50" s="408" t="s">
        <v>285</v>
      </c>
      <c r="G50" s="408" t="s">
        <v>707</v>
      </c>
      <c r="H50" s="409" t="s">
        <v>77</v>
      </c>
      <c r="I50" s="409" t="s">
        <v>522</v>
      </c>
      <c r="J50" s="411">
        <v>49.0</v>
      </c>
    </row>
    <row r="51">
      <c r="A51" s="413"/>
      <c r="B51" s="413"/>
      <c r="C51" s="414"/>
      <c r="D51" s="408" t="s">
        <v>6279</v>
      </c>
      <c r="E51" s="410" t="s">
        <v>6231</v>
      </c>
      <c r="F51" s="408" t="s">
        <v>285</v>
      </c>
      <c r="G51" s="412"/>
      <c r="H51" s="409" t="s">
        <v>77</v>
      </c>
      <c r="I51" s="409" t="s">
        <v>522</v>
      </c>
      <c r="J51" s="411">
        <v>50.0</v>
      </c>
    </row>
    <row r="52">
      <c r="A52" s="413"/>
      <c r="B52" s="413"/>
      <c r="C52" s="414"/>
      <c r="D52" s="408" t="s">
        <v>6280</v>
      </c>
      <c r="E52" s="410" t="s">
        <v>6231</v>
      </c>
      <c r="F52" s="408" t="s">
        <v>285</v>
      </c>
      <c r="G52" s="412"/>
      <c r="H52" s="409" t="s">
        <v>77</v>
      </c>
      <c r="I52" s="409" t="s">
        <v>522</v>
      </c>
      <c r="J52" s="411">
        <v>51.0</v>
      </c>
    </row>
    <row r="53">
      <c r="A53" s="413"/>
      <c r="B53" s="413"/>
      <c r="C53" s="414"/>
      <c r="D53" s="408" t="s">
        <v>6281</v>
      </c>
      <c r="E53" s="410" t="s">
        <v>6231</v>
      </c>
      <c r="F53" s="408" t="s">
        <v>285</v>
      </c>
      <c r="G53" s="408" t="s">
        <v>5695</v>
      </c>
      <c r="H53" s="409" t="s">
        <v>77</v>
      </c>
      <c r="I53" s="409" t="s">
        <v>522</v>
      </c>
      <c r="J53" s="411">
        <v>52.0</v>
      </c>
    </row>
    <row r="54">
      <c r="A54" s="413"/>
      <c r="B54" s="413"/>
      <c r="C54" s="414"/>
      <c r="D54" s="408" t="s">
        <v>6282</v>
      </c>
      <c r="E54" s="410" t="s">
        <v>6231</v>
      </c>
      <c r="F54" s="408" t="s">
        <v>285</v>
      </c>
      <c r="G54" s="412"/>
      <c r="H54" s="409" t="s">
        <v>77</v>
      </c>
      <c r="I54" s="409" t="s">
        <v>522</v>
      </c>
      <c r="J54" s="411">
        <v>53.0</v>
      </c>
    </row>
    <row r="55">
      <c r="A55" s="413"/>
      <c r="B55" s="413"/>
      <c r="C55" s="414"/>
      <c r="D55" s="408" t="s">
        <v>6283</v>
      </c>
      <c r="E55" s="410" t="s">
        <v>6231</v>
      </c>
      <c r="F55" s="408" t="s">
        <v>285</v>
      </c>
      <c r="G55" s="408" t="s">
        <v>687</v>
      </c>
      <c r="H55" s="409" t="s">
        <v>77</v>
      </c>
      <c r="I55" s="409" t="s">
        <v>522</v>
      </c>
      <c r="J55" s="411">
        <v>54.0</v>
      </c>
    </row>
    <row r="56">
      <c r="A56" s="413"/>
      <c r="B56" s="413"/>
      <c r="C56" s="414"/>
      <c r="D56" s="408" t="s">
        <v>6284</v>
      </c>
      <c r="E56" s="410" t="s">
        <v>6231</v>
      </c>
      <c r="F56" s="408" t="s">
        <v>285</v>
      </c>
      <c r="G56" s="413"/>
      <c r="H56" s="409" t="s">
        <v>77</v>
      </c>
      <c r="I56" s="409" t="s">
        <v>522</v>
      </c>
      <c r="J56" s="411">
        <v>55.0</v>
      </c>
    </row>
    <row r="57">
      <c r="A57" s="413"/>
      <c r="B57" s="413"/>
      <c r="C57" s="414"/>
      <c r="D57" s="408" t="s">
        <v>6285</v>
      </c>
      <c r="E57" s="410" t="s">
        <v>6231</v>
      </c>
      <c r="F57" s="408" t="s">
        <v>285</v>
      </c>
      <c r="G57" s="408" t="s">
        <v>1035</v>
      </c>
      <c r="H57" s="409" t="s">
        <v>77</v>
      </c>
      <c r="I57" s="409" t="s">
        <v>522</v>
      </c>
      <c r="J57" s="411">
        <v>56.0</v>
      </c>
    </row>
    <row r="58">
      <c r="A58" s="413"/>
      <c r="B58" s="413"/>
      <c r="C58" s="414"/>
      <c r="D58" s="408" t="s">
        <v>6286</v>
      </c>
      <c r="E58" s="410" t="s">
        <v>6231</v>
      </c>
      <c r="F58" s="408" t="s">
        <v>285</v>
      </c>
      <c r="G58" s="408" t="s">
        <v>4311</v>
      </c>
      <c r="H58" s="409" t="s">
        <v>77</v>
      </c>
      <c r="I58" s="409" t="s">
        <v>522</v>
      </c>
      <c r="J58" s="411">
        <v>57.0</v>
      </c>
    </row>
    <row r="59">
      <c r="A59" s="413"/>
      <c r="B59" s="413"/>
      <c r="C59" s="414"/>
      <c r="D59" s="408" t="s">
        <v>6287</v>
      </c>
      <c r="E59" s="410" t="s">
        <v>6231</v>
      </c>
      <c r="F59" s="408" t="s">
        <v>285</v>
      </c>
      <c r="G59" s="408" t="s">
        <v>1035</v>
      </c>
      <c r="H59" s="409" t="s">
        <v>77</v>
      </c>
      <c r="I59" s="409" t="s">
        <v>522</v>
      </c>
      <c r="J59" s="411">
        <v>58.0</v>
      </c>
    </row>
    <row r="60">
      <c r="A60" s="413"/>
      <c r="B60" s="413"/>
      <c r="C60" s="414"/>
      <c r="D60" s="408" t="s">
        <v>6288</v>
      </c>
      <c r="E60" s="410" t="s">
        <v>6231</v>
      </c>
      <c r="F60" s="408" t="s">
        <v>285</v>
      </c>
      <c r="G60" s="408" t="s">
        <v>768</v>
      </c>
      <c r="H60" s="409" t="s">
        <v>77</v>
      </c>
      <c r="I60" s="409" t="s">
        <v>522</v>
      </c>
      <c r="J60" s="411">
        <v>59.0</v>
      </c>
    </row>
    <row r="61">
      <c r="A61" s="413"/>
      <c r="B61" s="413"/>
      <c r="C61" s="414"/>
      <c r="D61" s="408" t="s">
        <v>6289</v>
      </c>
      <c r="E61" s="410" t="s">
        <v>6231</v>
      </c>
      <c r="F61" s="408" t="s">
        <v>285</v>
      </c>
      <c r="G61" s="408" t="s">
        <v>399</v>
      </c>
      <c r="H61" s="409" t="s">
        <v>77</v>
      </c>
      <c r="I61" s="409" t="s">
        <v>522</v>
      </c>
      <c r="J61" s="411">
        <v>60.0</v>
      </c>
    </row>
    <row r="62">
      <c r="A62" s="413"/>
      <c r="B62" s="413"/>
      <c r="C62" s="414"/>
      <c r="D62" s="408" t="s">
        <v>6290</v>
      </c>
      <c r="E62" s="410" t="s">
        <v>6231</v>
      </c>
      <c r="F62" s="408" t="s">
        <v>267</v>
      </c>
      <c r="G62" s="408" t="s">
        <v>418</v>
      </c>
      <c r="H62" s="409" t="s">
        <v>77</v>
      </c>
      <c r="I62" s="409" t="s">
        <v>522</v>
      </c>
      <c r="J62" s="411">
        <v>61.0</v>
      </c>
    </row>
    <row r="63">
      <c r="A63" s="413"/>
      <c r="B63" s="413"/>
      <c r="C63" s="414"/>
      <c r="D63" s="408" t="s">
        <v>6291</v>
      </c>
      <c r="E63" s="410" t="s">
        <v>6231</v>
      </c>
      <c r="F63" s="408" t="s">
        <v>285</v>
      </c>
      <c r="G63" s="412"/>
      <c r="H63" s="409" t="s">
        <v>77</v>
      </c>
      <c r="I63" s="409" t="s">
        <v>522</v>
      </c>
      <c r="J63" s="411">
        <v>62.0</v>
      </c>
    </row>
    <row r="64">
      <c r="A64" s="413"/>
      <c r="B64" s="413"/>
      <c r="C64" s="414"/>
      <c r="D64" s="408" t="s">
        <v>6292</v>
      </c>
      <c r="E64" s="410" t="s">
        <v>6231</v>
      </c>
      <c r="F64" s="408" t="s">
        <v>285</v>
      </c>
      <c r="G64" s="408" t="s">
        <v>1077</v>
      </c>
      <c r="H64" s="409" t="s">
        <v>77</v>
      </c>
      <c r="I64" s="409" t="s">
        <v>522</v>
      </c>
      <c r="J64" s="411">
        <v>63.0</v>
      </c>
    </row>
    <row r="65">
      <c r="A65" s="413"/>
      <c r="B65" s="413"/>
      <c r="C65" s="414"/>
      <c r="D65" s="408" t="s">
        <v>6293</v>
      </c>
      <c r="E65" s="410" t="s">
        <v>6231</v>
      </c>
      <c r="F65" s="408" t="s">
        <v>285</v>
      </c>
      <c r="G65" s="412"/>
      <c r="H65" s="409" t="s">
        <v>77</v>
      </c>
      <c r="I65" s="409" t="s">
        <v>522</v>
      </c>
      <c r="J65" s="411">
        <v>64.0</v>
      </c>
    </row>
    <row r="66">
      <c r="A66" s="413"/>
      <c r="B66" s="413"/>
      <c r="C66" s="414"/>
      <c r="D66" s="408" t="s">
        <v>6294</v>
      </c>
      <c r="E66" s="410" t="s">
        <v>6231</v>
      </c>
      <c r="F66" s="408" t="s">
        <v>285</v>
      </c>
      <c r="G66" s="408" t="s">
        <v>1035</v>
      </c>
      <c r="H66" s="409" t="s">
        <v>77</v>
      </c>
      <c r="I66" s="409" t="s">
        <v>522</v>
      </c>
      <c r="J66" s="411">
        <v>65.0</v>
      </c>
    </row>
    <row r="67">
      <c r="A67" s="413"/>
      <c r="B67" s="413"/>
      <c r="C67" s="414"/>
      <c r="D67" s="408" t="s">
        <v>6295</v>
      </c>
      <c r="E67" s="410" t="s">
        <v>6231</v>
      </c>
      <c r="F67" s="408" t="s">
        <v>285</v>
      </c>
      <c r="G67" s="412"/>
      <c r="H67" s="409" t="s">
        <v>77</v>
      </c>
      <c r="I67" s="409" t="s">
        <v>522</v>
      </c>
      <c r="J67" s="411">
        <v>66.0</v>
      </c>
    </row>
    <row r="68">
      <c r="A68" s="413"/>
      <c r="B68" s="413"/>
      <c r="C68" s="414"/>
      <c r="D68" s="408" t="s">
        <v>6296</v>
      </c>
      <c r="E68" s="410" t="s">
        <v>6231</v>
      </c>
      <c r="F68" s="408" t="s">
        <v>285</v>
      </c>
      <c r="G68" s="412"/>
      <c r="H68" s="409" t="s">
        <v>77</v>
      </c>
      <c r="I68" s="409" t="s">
        <v>522</v>
      </c>
      <c r="J68" s="411">
        <v>67.0</v>
      </c>
    </row>
    <row r="69">
      <c r="A69" s="413"/>
      <c r="B69" s="413"/>
      <c r="C69" s="414"/>
      <c r="D69" s="408" t="s">
        <v>6297</v>
      </c>
      <c r="E69" s="410" t="s">
        <v>6231</v>
      </c>
      <c r="F69" s="408" t="s">
        <v>285</v>
      </c>
      <c r="G69" s="412"/>
      <c r="H69" s="409" t="s">
        <v>77</v>
      </c>
      <c r="I69" s="409" t="s">
        <v>522</v>
      </c>
      <c r="J69" s="411">
        <v>68.0</v>
      </c>
    </row>
    <row r="70">
      <c r="A70" s="413"/>
      <c r="B70" s="413"/>
      <c r="C70" s="414"/>
      <c r="D70" s="408" t="s">
        <v>6298</v>
      </c>
      <c r="E70" s="410" t="s">
        <v>6231</v>
      </c>
      <c r="F70" s="408" t="s">
        <v>285</v>
      </c>
      <c r="G70" s="408" t="s">
        <v>962</v>
      </c>
      <c r="H70" s="409" t="s">
        <v>77</v>
      </c>
      <c r="I70" s="409" t="s">
        <v>522</v>
      </c>
      <c r="J70" s="411">
        <v>69.0</v>
      </c>
    </row>
    <row r="71">
      <c r="A71" s="413"/>
      <c r="B71" s="413"/>
      <c r="C71" s="414"/>
      <c r="D71" s="408" t="s">
        <v>6299</v>
      </c>
      <c r="E71" s="410" t="s">
        <v>6231</v>
      </c>
      <c r="F71" s="408" t="s">
        <v>285</v>
      </c>
      <c r="G71" s="408" t="s">
        <v>807</v>
      </c>
      <c r="H71" s="409" t="s">
        <v>77</v>
      </c>
      <c r="I71" s="409" t="s">
        <v>522</v>
      </c>
      <c r="J71" s="411">
        <v>70.0</v>
      </c>
    </row>
    <row r="72">
      <c r="A72" s="413"/>
      <c r="B72" s="413"/>
      <c r="C72" s="414"/>
      <c r="D72" s="408" t="s">
        <v>6300</v>
      </c>
      <c r="E72" s="410" t="s">
        <v>6231</v>
      </c>
      <c r="F72" s="408" t="s">
        <v>285</v>
      </c>
      <c r="G72" s="408" t="s">
        <v>1035</v>
      </c>
      <c r="H72" s="409" t="s">
        <v>77</v>
      </c>
      <c r="I72" s="409" t="s">
        <v>522</v>
      </c>
      <c r="J72" s="411">
        <v>71.0</v>
      </c>
    </row>
    <row r="73">
      <c r="A73" s="413"/>
      <c r="B73" s="413"/>
      <c r="C73" s="414"/>
      <c r="D73" s="408" t="s">
        <v>6301</v>
      </c>
      <c r="E73" s="410" t="s">
        <v>6231</v>
      </c>
      <c r="F73" s="408" t="s">
        <v>285</v>
      </c>
      <c r="G73" s="408" t="s">
        <v>77</v>
      </c>
      <c r="H73" s="409" t="s">
        <v>77</v>
      </c>
      <c r="I73" s="409" t="s">
        <v>522</v>
      </c>
      <c r="J73" s="411">
        <v>72.0</v>
      </c>
    </row>
    <row r="74">
      <c r="A74" s="413"/>
      <c r="B74" s="413"/>
      <c r="C74" s="414"/>
      <c r="D74" s="408" t="s">
        <v>6302</v>
      </c>
      <c r="E74" s="410" t="s">
        <v>6231</v>
      </c>
      <c r="F74" s="408" t="s">
        <v>285</v>
      </c>
      <c r="G74" s="408" t="s">
        <v>4739</v>
      </c>
      <c r="H74" s="409" t="s">
        <v>77</v>
      </c>
      <c r="I74" s="409" t="s">
        <v>522</v>
      </c>
      <c r="J74" s="411">
        <v>73.0</v>
      </c>
    </row>
    <row r="75">
      <c r="A75" s="413"/>
      <c r="B75" s="413"/>
      <c r="C75" s="414"/>
      <c r="D75" s="408" t="s">
        <v>6303</v>
      </c>
      <c r="E75" s="410" t="s">
        <v>6231</v>
      </c>
      <c r="F75" s="408" t="s">
        <v>285</v>
      </c>
      <c r="G75" s="408" t="s">
        <v>399</v>
      </c>
      <c r="H75" s="409" t="s">
        <v>77</v>
      </c>
      <c r="I75" s="409" t="s">
        <v>522</v>
      </c>
      <c r="J75" s="411">
        <v>74.0</v>
      </c>
    </row>
    <row r="76">
      <c r="A76" s="413"/>
      <c r="B76" s="413"/>
      <c r="C76" s="414"/>
      <c r="D76" s="408" t="s">
        <v>6304</v>
      </c>
      <c r="E76" s="410" t="s">
        <v>6231</v>
      </c>
      <c r="F76" s="408" t="s">
        <v>285</v>
      </c>
      <c r="G76" s="413"/>
      <c r="H76" s="409" t="s">
        <v>77</v>
      </c>
      <c r="I76" s="409" t="s">
        <v>522</v>
      </c>
      <c r="J76" s="411">
        <v>75.0</v>
      </c>
    </row>
    <row r="77">
      <c r="A77" s="413"/>
      <c r="B77" s="413"/>
      <c r="C77" s="414"/>
      <c r="D77" s="408" t="s">
        <v>6305</v>
      </c>
      <c r="E77" s="410" t="s">
        <v>6231</v>
      </c>
      <c r="F77" s="408" t="s">
        <v>285</v>
      </c>
      <c r="G77" s="408" t="s">
        <v>5755</v>
      </c>
      <c r="H77" s="409" t="s">
        <v>77</v>
      </c>
      <c r="I77" s="409" t="s">
        <v>522</v>
      </c>
      <c r="J77" s="411">
        <v>76.0</v>
      </c>
    </row>
    <row r="78">
      <c r="A78" s="413"/>
      <c r="B78" s="413"/>
      <c r="C78" s="414"/>
      <c r="D78" s="408" t="s">
        <v>6306</v>
      </c>
      <c r="E78" s="410" t="s">
        <v>6231</v>
      </c>
      <c r="F78" s="408" t="s">
        <v>285</v>
      </c>
      <c r="G78" s="408" t="s">
        <v>399</v>
      </c>
      <c r="H78" s="409" t="s">
        <v>77</v>
      </c>
      <c r="I78" s="409" t="s">
        <v>522</v>
      </c>
      <c r="J78" s="411">
        <v>77.0</v>
      </c>
    </row>
    <row r="79">
      <c r="A79" s="413"/>
      <c r="B79" s="413"/>
      <c r="C79" s="414"/>
      <c r="D79" s="408" t="s">
        <v>6307</v>
      </c>
      <c r="E79" s="410" t="s">
        <v>6231</v>
      </c>
      <c r="F79" s="408" t="s">
        <v>285</v>
      </c>
      <c r="G79" s="412"/>
      <c r="H79" s="409" t="s">
        <v>77</v>
      </c>
      <c r="I79" s="409" t="s">
        <v>522</v>
      </c>
      <c r="J79" s="411">
        <v>78.0</v>
      </c>
    </row>
    <row r="80">
      <c r="A80" s="413"/>
      <c r="B80" s="413"/>
      <c r="C80" s="414"/>
      <c r="D80" s="408" t="s">
        <v>6308</v>
      </c>
      <c r="E80" s="410" t="s">
        <v>6231</v>
      </c>
      <c r="F80" s="408" t="s">
        <v>285</v>
      </c>
      <c r="G80" s="412"/>
      <c r="H80" s="409" t="s">
        <v>77</v>
      </c>
      <c r="I80" s="409" t="s">
        <v>522</v>
      </c>
      <c r="J80" s="411">
        <v>79.0</v>
      </c>
    </row>
    <row r="81">
      <c r="A81" s="413"/>
      <c r="B81" s="413"/>
      <c r="C81" s="414"/>
      <c r="D81" s="408" t="s">
        <v>6309</v>
      </c>
      <c r="E81" s="410" t="s">
        <v>6231</v>
      </c>
      <c r="F81" s="408" t="s">
        <v>285</v>
      </c>
      <c r="G81" s="408" t="s">
        <v>374</v>
      </c>
      <c r="H81" s="409" t="s">
        <v>77</v>
      </c>
      <c r="I81" s="409" t="s">
        <v>522</v>
      </c>
      <c r="J81" s="411">
        <v>80.0</v>
      </c>
    </row>
    <row r="82">
      <c r="A82" s="413"/>
      <c r="B82" s="413"/>
      <c r="C82" s="414"/>
      <c r="D82" s="408" t="s">
        <v>6310</v>
      </c>
      <c r="E82" s="410" t="s">
        <v>6231</v>
      </c>
      <c r="F82" s="408" t="s">
        <v>285</v>
      </c>
      <c r="G82" s="412"/>
      <c r="H82" s="409" t="s">
        <v>77</v>
      </c>
      <c r="I82" s="409" t="s">
        <v>522</v>
      </c>
      <c r="J82" s="411">
        <v>81.0</v>
      </c>
    </row>
    <row r="83">
      <c r="A83" s="413"/>
      <c r="B83" s="413"/>
      <c r="C83" s="414"/>
      <c r="D83" s="408" t="s">
        <v>6311</v>
      </c>
      <c r="E83" s="410" t="s">
        <v>6231</v>
      </c>
      <c r="F83" s="408" t="s">
        <v>285</v>
      </c>
      <c r="G83" s="412"/>
      <c r="H83" s="409" t="s">
        <v>77</v>
      </c>
      <c r="I83" s="409" t="s">
        <v>522</v>
      </c>
      <c r="J83" s="411">
        <v>82.0</v>
      </c>
    </row>
    <row r="84">
      <c r="A84" s="413"/>
      <c r="B84" s="413"/>
      <c r="C84" s="414"/>
      <c r="D84" s="408" t="s">
        <v>6312</v>
      </c>
      <c r="E84" s="410" t="s">
        <v>6231</v>
      </c>
      <c r="F84" s="408" t="s">
        <v>285</v>
      </c>
      <c r="G84" s="408" t="s">
        <v>6313</v>
      </c>
      <c r="H84" s="409" t="s">
        <v>77</v>
      </c>
      <c r="I84" s="409" t="s">
        <v>522</v>
      </c>
      <c r="J84" s="411">
        <v>83.0</v>
      </c>
    </row>
    <row r="85">
      <c r="A85" s="413"/>
      <c r="B85" s="413"/>
      <c r="C85" s="414"/>
      <c r="D85" s="408" t="s">
        <v>6314</v>
      </c>
      <c r="E85" s="410" t="s">
        <v>6231</v>
      </c>
      <c r="F85" s="408" t="s">
        <v>285</v>
      </c>
      <c r="G85" s="408" t="s">
        <v>807</v>
      </c>
      <c r="H85" s="409" t="s">
        <v>77</v>
      </c>
      <c r="I85" s="409" t="s">
        <v>522</v>
      </c>
      <c r="J85" s="411">
        <v>84.0</v>
      </c>
    </row>
    <row r="86">
      <c r="A86" s="413"/>
      <c r="B86" s="413"/>
      <c r="C86" s="414"/>
      <c r="D86" s="408" t="s">
        <v>6315</v>
      </c>
      <c r="E86" s="410" t="s">
        <v>6231</v>
      </c>
      <c r="F86" s="408" t="s">
        <v>285</v>
      </c>
      <c r="G86" s="412"/>
      <c r="H86" s="409" t="s">
        <v>77</v>
      </c>
      <c r="I86" s="409" t="s">
        <v>522</v>
      </c>
      <c r="J86" s="411">
        <v>85.0</v>
      </c>
    </row>
    <row r="87">
      <c r="A87" s="413"/>
      <c r="B87" s="413"/>
      <c r="C87" s="414"/>
      <c r="D87" s="408" t="s">
        <v>6316</v>
      </c>
      <c r="E87" s="410" t="s">
        <v>6231</v>
      </c>
      <c r="F87" s="408" t="s">
        <v>285</v>
      </c>
      <c r="G87" s="408" t="s">
        <v>910</v>
      </c>
      <c r="H87" s="409" t="s">
        <v>77</v>
      </c>
      <c r="I87" s="409" t="s">
        <v>522</v>
      </c>
      <c r="J87" s="411">
        <v>86.0</v>
      </c>
    </row>
    <row r="88">
      <c r="A88" s="413"/>
      <c r="B88" s="413"/>
      <c r="C88" s="414"/>
      <c r="D88" s="408" t="s">
        <v>6317</v>
      </c>
      <c r="E88" s="410" t="s">
        <v>6231</v>
      </c>
      <c r="F88" s="408" t="s">
        <v>285</v>
      </c>
      <c r="G88" s="408" t="s">
        <v>1017</v>
      </c>
      <c r="H88" s="409" t="s">
        <v>77</v>
      </c>
      <c r="I88" s="409" t="s">
        <v>522</v>
      </c>
      <c r="J88" s="411">
        <v>87.0</v>
      </c>
    </row>
    <row r="89">
      <c r="A89" s="413"/>
      <c r="B89" s="413"/>
      <c r="C89" s="414"/>
      <c r="D89" s="408" t="s">
        <v>6318</v>
      </c>
      <c r="E89" s="410" t="s">
        <v>6231</v>
      </c>
      <c r="F89" s="408" t="s">
        <v>285</v>
      </c>
      <c r="G89" s="408" t="s">
        <v>1035</v>
      </c>
      <c r="H89" s="409" t="s">
        <v>77</v>
      </c>
      <c r="I89" s="409" t="s">
        <v>522</v>
      </c>
      <c r="J89" s="411">
        <v>88.0</v>
      </c>
    </row>
    <row r="90">
      <c r="A90" s="413"/>
      <c r="B90" s="413"/>
      <c r="C90" s="414"/>
      <c r="D90" s="408" t="s">
        <v>6319</v>
      </c>
      <c r="E90" s="410" t="s">
        <v>6231</v>
      </c>
      <c r="F90" s="408" t="s">
        <v>285</v>
      </c>
      <c r="G90" s="408" t="s">
        <v>2493</v>
      </c>
      <c r="H90" s="409" t="s">
        <v>77</v>
      </c>
      <c r="I90" s="409" t="s">
        <v>522</v>
      </c>
      <c r="J90" s="411">
        <v>89.0</v>
      </c>
    </row>
    <row r="91">
      <c r="A91" s="413"/>
      <c r="B91" s="413"/>
      <c r="C91" s="414"/>
      <c r="D91" s="408" t="s">
        <v>6320</v>
      </c>
      <c r="E91" s="410" t="s">
        <v>6231</v>
      </c>
      <c r="F91" s="408" t="s">
        <v>285</v>
      </c>
      <c r="G91" s="413"/>
      <c r="H91" s="409" t="s">
        <v>77</v>
      </c>
      <c r="I91" s="409" t="s">
        <v>522</v>
      </c>
      <c r="J91" s="411">
        <v>90.0</v>
      </c>
    </row>
    <row r="92">
      <c r="A92" s="413"/>
      <c r="B92" s="413"/>
      <c r="C92" s="414"/>
      <c r="D92" s="408" t="s">
        <v>6321</v>
      </c>
      <c r="E92" s="410" t="s">
        <v>6231</v>
      </c>
      <c r="F92" s="408" t="s">
        <v>285</v>
      </c>
      <c r="G92" s="408" t="s">
        <v>919</v>
      </c>
      <c r="H92" s="409" t="s">
        <v>77</v>
      </c>
      <c r="I92" s="409" t="s">
        <v>522</v>
      </c>
      <c r="J92" s="411">
        <v>91.0</v>
      </c>
    </row>
    <row r="93">
      <c r="A93" s="413"/>
      <c r="B93" s="413"/>
      <c r="C93" s="414"/>
      <c r="D93" s="408" t="s">
        <v>6322</v>
      </c>
      <c r="E93" s="410" t="s">
        <v>6231</v>
      </c>
      <c r="F93" s="408" t="s">
        <v>285</v>
      </c>
      <c r="G93" s="408" t="s">
        <v>946</v>
      </c>
      <c r="H93" s="409" t="s">
        <v>77</v>
      </c>
      <c r="I93" s="409" t="s">
        <v>522</v>
      </c>
      <c r="J93" s="411">
        <v>92.0</v>
      </c>
    </row>
    <row r="94">
      <c r="A94" s="413"/>
      <c r="B94" s="413"/>
      <c r="C94" s="414"/>
      <c r="D94" s="408" t="s">
        <v>6323</v>
      </c>
      <c r="E94" s="410" t="s">
        <v>6231</v>
      </c>
      <c r="F94" s="408" t="s">
        <v>285</v>
      </c>
      <c r="G94" s="408" t="s">
        <v>4738</v>
      </c>
      <c r="H94" s="409" t="s">
        <v>77</v>
      </c>
      <c r="I94" s="409" t="s">
        <v>522</v>
      </c>
      <c r="J94" s="411">
        <v>93.0</v>
      </c>
    </row>
    <row r="95">
      <c r="A95" s="413"/>
      <c r="B95" s="413"/>
      <c r="C95" s="414"/>
      <c r="D95" s="408" t="s">
        <v>6324</v>
      </c>
      <c r="E95" s="410" t="s">
        <v>6231</v>
      </c>
      <c r="F95" s="408" t="s">
        <v>77</v>
      </c>
      <c r="G95" s="408" t="s">
        <v>77</v>
      </c>
      <c r="H95" s="409" t="s">
        <v>77</v>
      </c>
      <c r="I95" s="409" t="s">
        <v>522</v>
      </c>
      <c r="J95" s="411">
        <v>94.0</v>
      </c>
    </row>
    <row r="96">
      <c r="A96" s="413"/>
      <c r="B96" s="413"/>
      <c r="C96" s="414"/>
      <c r="D96" s="408" t="s">
        <v>6325</v>
      </c>
      <c r="E96" s="410" t="s">
        <v>6231</v>
      </c>
      <c r="F96" s="408" t="s">
        <v>285</v>
      </c>
      <c r="G96" s="412"/>
      <c r="H96" s="409" t="s">
        <v>77</v>
      </c>
      <c r="I96" s="409" t="s">
        <v>522</v>
      </c>
      <c r="J96" s="411">
        <v>95.0</v>
      </c>
    </row>
    <row r="97">
      <c r="A97" s="413"/>
      <c r="B97" s="413"/>
      <c r="C97" s="414"/>
      <c r="D97" s="408" t="s">
        <v>6326</v>
      </c>
      <c r="E97" s="410" t="s">
        <v>6231</v>
      </c>
      <c r="F97" s="408" t="s">
        <v>285</v>
      </c>
      <c r="G97" s="412"/>
      <c r="H97" s="409" t="s">
        <v>77</v>
      </c>
      <c r="I97" s="409" t="s">
        <v>522</v>
      </c>
      <c r="J97" s="411">
        <v>96.0</v>
      </c>
    </row>
    <row r="98">
      <c r="A98" s="413"/>
      <c r="B98" s="413"/>
      <c r="C98" s="414"/>
      <c r="D98" s="408" t="s">
        <v>6327</v>
      </c>
      <c r="E98" s="410" t="s">
        <v>6231</v>
      </c>
      <c r="F98" s="408" t="s">
        <v>285</v>
      </c>
      <c r="G98" s="408" t="s">
        <v>962</v>
      </c>
      <c r="H98" s="409" t="s">
        <v>77</v>
      </c>
      <c r="I98" s="409" t="s">
        <v>522</v>
      </c>
      <c r="J98" s="411">
        <v>97.0</v>
      </c>
    </row>
    <row r="99">
      <c r="A99" s="413"/>
      <c r="B99" s="413"/>
      <c r="C99" s="414"/>
      <c r="D99" s="408" t="s">
        <v>6328</v>
      </c>
      <c r="E99" s="410" t="s">
        <v>6231</v>
      </c>
      <c r="F99" s="408" t="s">
        <v>285</v>
      </c>
      <c r="G99" s="408" t="s">
        <v>946</v>
      </c>
      <c r="H99" s="409" t="s">
        <v>77</v>
      </c>
      <c r="I99" s="409" t="s">
        <v>522</v>
      </c>
      <c r="J99" s="411">
        <v>98.0</v>
      </c>
    </row>
    <row r="100">
      <c r="A100" s="413"/>
      <c r="B100" s="413"/>
      <c r="C100" s="414"/>
      <c r="D100" s="408" t="s">
        <v>6329</v>
      </c>
      <c r="E100" s="410" t="s">
        <v>6231</v>
      </c>
      <c r="F100" s="408" t="s">
        <v>285</v>
      </c>
      <c r="G100" s="408" t="s">
        <v>2440</v>
      </c>
      <c r="H100" s="409" t="s">
        <v>77</v>
      </c>
      <c r="I100" s="409" t="s">
        <v>522</v>
      </c>
      <c r="J100" s="411">
        <v>99.0</v>
      </c>
    </row>
    <row r="101">
      <c r="A101" s="413"/>
      <c r="B101" s="413"/>
      <c r="C101" s="414"/>
      <c r="D101" s="408" t="s">
        <v>6330</v>
      </c>
      <c r="E101" s="410" t="s">
        <v>6231</v>
      </c>
      <c r="F101" s="408" t="s">
        <v>285</v>
      </c>
      <c r="G101" s="408" t="s">
        <v>230</v>
      </c>
      <c r="H101" s="409" t="s">
        <v>77</v>
      </c>
      <c r="I101" s="409" t="s">
        <v>522</v>
      </c>
      <c r="J101" s="411">
        <v>100.0</v>
      </c>
    </row>
    <row r="102">
      <c r="A102" s="413"/>
      <c r="B102" s="413"/>
      <c r="C102" s="414"/>
      <c r="D102" s="408" t="s">
        <v>6331</v>
      </c>
      <c r="E102" s="410" t="s">
        <v>6231</v>
      </c>
      <c r="F102" s="408" t="s">
        <v>285</v>
      </c>
      <c r="G102" s="412"/>
      <c r="H102" s="409" t="s">
        <v>77</v>
      </c>
      <c r="I102" s="409" t="s">
        <v>522</v>
      </c>
      <c r="J102" s="411">
        <v>101.0</v>
      </c>
    </row>
    <row r="103">
      <c r="A103" s="413"/>
      <c r="B103" s="413"/>
      <c r="C103" s="414"/>
      <c r="D103" s="408" t="s">
        <v>6332</v>
      </c>
      <c r="E103" s="410" t="s">
        <v>6231</v>
      </c>
      <c r="F103" s="408" t="s">
        <v>285</v>
      </c>
      <c r="G103" s="408" t="s">
        <v>993</v>
      </c>
      <c r="H103" s="409" t="s">
        <v>77</v>
      </c>
      <c r="I103" s="409" t="s">
        <v>522</v>
      </c>
      <c r="J103" s="411">
        <v>102.0</v>
      </c>
    </row>
    <row r="104">
      <c r="A104" s="413"/>
      <c r="B104" s="413"/>
      <c r="C104" s="414"/>
      <c r="D104" s="408" t="s">
        <v>6333</v>
      </c>
      <c r="E104" s="410" t="s">
        <v>6231</v>
      </c>
      <c r="F104" s="408" t="s">
        <v>285</v>
      </c>
      <c r="G104" s="408" t="s">
        <v>1001</v>
      </c>
      <c r="H104" s="409" t="s">
        <v>77</v>
      </c>
      <c r="I104" s="409" t="s">
        <v>522</v>
      </c>
      <c r="J104" s="411">
        <v>103.0</v>
      </c>
    </row>
    <row r="105">
      <c r="A105" s="413"/>
      <c r="B105" s="413"/>
      <c r="C105" s="414"/>
      <c r="D105" s="408" t="s">
        <v>6334</v>
      </c>
      <c r="E105" s="410" t="s">
        <v>6231</v>
      </c>
      <c r="F105" s="408" t="s">
        <v>285</v>
      </c>
      <c r="G105" s="408" t="s">
        <v>6335</v>
      </c>
      <c r="H105" s="409" t="s">
        <v>77</v>
      </c>
      <c r="I105" s="409" t="s">
        <v>522</v>
      </c>
      <c r="J105" s="411">
        <v>104.0</v>
      </c>
    </row>
    <row r="106">
      <c r="A106" s="413"/>
      <c r="B106" s="413"/>
      <c r="C106" s="414"/>
      <c r="D106" s="408" t="s">
        <v>6336</v>
      </c>
      <c r="E106" s="410" t="s">
        <v>6231</v>
      </c>
      <c r="F106" s="408" t="s">
        <v>285</v>
      </c>
      <c r="G106" s="408" t="s">
        <v>4108</v>
      </c>
      <c r="H106" s="409" t="s">
        <v>77</v>
      </c>
      <c r="I106" s="409" t="s">
        <v>522</v>
      </c>
      <c r="J106" s="411">
        <v>105.0</v>
      </c>
    </row>
    <row r="107">
      <c r="A107" s="413"/>
      <c r="B107" s="413"/>
      <c r="C107" s="414"/>
      <c r="D107" s="408" t="s">
        <v>6337</v>
      </c>
      <c r="E107" s="410" t="s">
        <v>6231</v>
      </c>
      <c r="F107" s="408" t="s">
        <v>285</v>
      </c>
      <c r="G107" s="408" t="s">
        <v>1017</v>
      </c>
      <c r="H107" s="409" t="s">
        <v>77</v>
      </c>
      <c r="I107" s="409" t="s">
        <v>522</v>
      </c>
      <c r="J107" s="411">
        <v>106.0</v>
      </c>
    </row>
    <row r="108">
      <c r="A108" s="413"/>
      <c r="B108" s="413"/>
      <c r="C108" s="414"/>
      <c r="D108" s="408" t="s">
        <v>6338</v>
      </c>
      <c r="E108" s="410" t="s">
        <v>6231</v>
      </c>
      <c r="F108" s="408" t="s">
        <v>285</v>
      </c>
      <c r="G108" s="412"/>
      <c r="H108" s="409" t="s">
        <v>77</v>
      </c>
      <c r="I108" s="409" t="s">
        <v>522</v>
      </c>
      <c r="J108" s="411">
        <v>107.0</v>
      </c>
    </row>
    <row r="109">
      <c r="A109" s="413"/>
      <c r="B109" s="413"/>
      <c r="C109" s="414"/>
      <c r="D109" s="408" t="s">
        <v>6339</v>
      </c>
      <c r="E109" s="410" t="s">
        <v>6231</v>
      </c>
      <c r="F109" s="408" t="s">
        <v>285</v>
      </c>
      <c r="G109" s="408" t="s">
        <v>1035</v>
      </c>
      <c r="H109" s="409" t="s">
        <v>77</v>
      </c>
      <c r="I109" s="409" t="s">
        <v>522</v>
      </c>
      <c r="J109" s="411">
        <v>108.0</v>
      </c>
    </row>
    <row r="110">
      <c r="A110" s="413"/>
      <c r="B110" s="413"/>
      <c r="C110" s="414"/>
      <c r="D110" s="408" t="s">
        <v>6340</v>
      </c>
      <c r="E110" s="410" t="s">
        <v>6231</v>
      </c>
      <c r="F110" s="408" t="s">
        <v>285</v>
      </c>
      <c r="G110" s="408" t="s">
        <v>1035</v>
      </c>
      <c r="H110" s="409" t="s">
        <v>77</v>
      </c>
      <c r="I110" s="409" t="s">
        <v>522</v>
      </c>
      <c r="J110" s="411">
        <v>109.0</v>
      </c>
    </row>
    <row r="111">
      <c r="A111" s="413"/>
      <c r="B111" s="413"/>
      <c r="C111" s="414"/>
      <c r="D111" s="408" t="s">
        <v>6341</v>
      </c>
      <c r="E111" s="410" t="s">
        <v>6231</v>
      </c>
      <c r="F111" s="408" t="s">
        <v>285</v>
      </c>
      <c r="G111" s="408" t="s">
        <v>687</v>
      </c>
      <c r="H111" s="409" t="s">
        <v>77</v>
      </c>
      <c r="I111" s="409" t="s">
        <v>522</v>
      </c>
      <c r="J111" s="411">
        <v>110.0</v>
      </c>
    </row>
    <row r="112">
      <c r="A112" s="413"/>
      <c r="B112" s="413"/>
      <c r="C112" s="414"/>
      <c r="D112" s="408" t="s">
        <v>6342</v>
      </c>
      <c r="E112" s="410" t="s">
        <v>6231</v>
      </c>
      <c r="F112" s="408" t="s">
        <v>285</v>
      </c>
      <c r="G112" s="408" t="s">
        <v>1035</v>
      </c>
      <c r="H112" s="409" t="s">
        <v>77</v>
      </c>
      <c r="I112" s="409" t="s">
        <v>522</v>
      </c>
      <c r="J112" s="411">
        <v>111.0</v>
      </c>
    </row>
    <row r="113">
      <c r="A113" s="413"/>
      <c r="B113" s="413"/>
      <c r="C113" s="414"/>
      <c r="D113" s="408" t="s">
        <v>6343</v>
      </c>
      <c r="E113" s="410" t="s">
        <v>6231</v>
      </c>
      <c r="F113" s="408" t="s">
        <v>285</v>
      </c>
      <c r="G113" s="412"/>
      <c r="H113" s="409" t="s">
        <v>77</v>
      </c>
      <c r="I113" s="409" t="s">
        <v>522</v>
      </c>
      <c r="J113" s="411">
        <v>112.0</v>
      </c>
    </row>
    <row r="114">
      <c r="A114" s="413"/>
      <c r="B114" s="413"/>
      <c r="C114" s="414"/>
      <c r="D114" s="408" t="s">
        <v>6344</v>
      </c>
      <c r="E114" s="410" t="s">
        <v>6231</v>
      </c>
      <c r="F114" s="408" t="s">
        <v>285</v>
      </c>
      <c r="G114" s="408" t="s">
        <v>5105</v>
      </c>
      <c r="H114" s="409" t="s">
        <v>77</v>
      </c>
      <c r="I114" s="409" t="s">
        <v>522</v>
      </c>
      <c r="J114" s="411">
        <v>113.0</v>
      </c>
    </row>
    <row r="115">
      <c r="A115" s="413"/>
      <c r="B115" s="413"/>
      <c r="C115" s="414"/>
      <c r="D115" s="408" t="s">
        <v>6345</v>
      </c>
      <c r="E115" s="410" t="s">
        <v>6231</v>
      </c>
      <c r="F115" s="408" t="s">
        <v>285</v>
      </c>
      <c r="G115" s="408" t="s">
        <v>1064</v>
      </c>
      <c r="H115" s="409" t="s">
        <v>77</v>
      </c>
      <c r="I115" s="409" t="s">
        <v>522</v>
      </c>
      <c r="J115" s="411">
        <v>114.0</v>
      </c>
    </row>
    <row r="116">
      <c r="A116" s="413"/>
      <c r="B116" s="413"/>
      <c r="C116" s="414"/>
      <c r="D116" s="408" t="s">
        <v>6346</v>
      </c>
      <c r="E116" s="410" t="s">
        <v>6231</v>
      </c>
      <c r="F116" s="408" t="s">
        <v>285</v>
      </c>
      <c r="G116" s="408" t="s">
        <v>903</v>
      </c>
      <c r="H116" s="409" t="s">
        <v>77</v>
      </c>
      <c r="I116" s="409" t="s">
        <v>522</v>
      </c>
      <c r="J116" s="411">
        <v>115.0</v>
      </c>
    </row>
    <row r="117">
      <c r="A117" s="413"/>
      <c r="B117" s="413"/>
      <c r="C117" s="414"/>
      <c r="D117" s="408" t="s">
        <v>6347</v>
      </c>
      <c r="E117" s="410" t="s">
        <v>6231</v>
      </c>
      <c r="F117" s="408" t="s">
        <v>285</v>
      </c>
      <c r="G117" s="408" t="s">
        <v>1077</v>
      </c>
      <c r="H117" s="409" t="s">
        <v>77</v>
      </c>
      <c r="I117" s="409" t="s">
        <v>522</v>
      </c>
      <c r="J117" s="411">
        <v>116.0</v>
      </c>
    </row>
    <row r="118">
      <c r="A118" s="413"/>
      <c r="B118" s="413"/>
      <c r="C118" s="414"/>
      <c r="D118" s="408" t="s">
        <v>6348</v>
      </c>
      <c r="E118" s="410" t="s">
        <v>6231</v>
      </c>
      <c r="F118" s="408" t="s">
        <v>285</v>
      </c>
      <c r="G118" s="408" t="s">
        <v>1086</v>
      </c>
      <c r="H118" s="409" t="s">
        <v>77</v>
      </c>
      <c r="I118" s="409" t="s">
        <v>522</v>
      </c>
      <c r="J118" s="411">
        <v>117.0</v>
      </c>
    </row>
    <row r="119">
      <c r="A119" s="413"/>
      <c r="B119" s="413"/>
      <c r="C119" s="414"/>
      <c r="D119" s="408" t="s">
        <v>6349</v>
      </c>
      <c r="E119" s="410" t="s">
        <v>6231</v>
      </c>
      <c r="F119" s="408" t="s">
        <v>285</v>
      </c>
      <c r="G119" s="408" t="s">
        <v>374</v>
      </c>
      <c r="H119" s="409" t="s">
        <v>77</v>
      </c>
      <c r="I119" s="409" t="s">
        <v>522</v>
      </c>
      <c r="J119" s="411">
        <v>118.0</v>
      </c>
    </row>
    <row r="120">
      <c r="A120" s="413"/>
      <c r="B120" s="413"/>
      <c r="C120" s="414"/>
      <c r="D120" s="408" t="s">
        <v>6350</v>
      </c>
      <c r="E120" s="410" t="s">
        <v>6231</v>
      </c>
      <c r="F120" s="408" t="s">
        <v>285</v>
      </c>
      <c r="G120" s="408" t="s">
        <v>1110</v>
      </c>
      <c r="H120" s="409" t="s">
        <v>77</v>
      </c>
      <c r="I120" s="409" t="s">
        <v>522</v>
      </c>
      <c r="J120" s="411">
        <v>119.0</v>
      </c>
    </row>
    <row r="121">
      <c r="A121" s="413"/>
      <c r="B121" s="413"/>
      <c r="C121" s="414"/>
      <c r="D121" s="408" t="s">
        <v>6351</v>
      </c>
      <c r="E121" s="410" t="s">
        <v>6231</v>
      </c>
      <c r="F121" s="408" t="s">
        <v>285</v>
      </c>
      <c r="G121" s="408" t="s">
        <v>1125</v>
      </c>
      <c r="H121" s="409" t="s">
        <v>77</v>
      </c>
      <c r="I121" s="409" t="s">
        <v>522</v>
      </c>
      <c r="J121" s="411">
        <v>120.0</v>
      </c>
    </row>
    <row r="122">
      <c r="A122" s="413"/>
      <c r="B122" s="413"/>
      <c r="C122" s="414"/>
      <c r="D122" s="408" t="s">
        <v>6352</v>
      </c>
      <c r="E122" s="410" t="s">
        <v>6231</v>
      </c>
      <c r="F122" s="408" t="s">
        <v>285</v>
      </c>
      <c r="G122" s="408" t="s">
        <v>608</v>
      </c>
      <c r="H122" s="409" t="s">
        <v>77</v>
      </c>
      <c r="I122" s="409" t="s">
        <v>522</v>
      </c>
      <c r="J122" s="411">
        <v>121.0</v>
      </c>
    </row>
    <row r="123">
      <c r="A123" s="413"/>
      <c r="B123" s="413"/>
      <c r="C123" s="414"/>
      <c r="D123" s="408" t="s">
        <v>6353</v>
      </c>
      <c r="E123" s="410" t="s">
        <v>6231</v>
      </c>
      <c r="F123" s="408" t="s">
        <v>285</v>
      </c>
      <c r="G123" s="412"/>
      <c r="H123" s="409" t="s">
        <v>77</v>
      </c>
      <c r="I123" s="409" t="s">
        <v>522</v>
      </c>
      <c r="J123" s="411">
        <v>122.0</v>
      </c>
    </row>
    <row r="124">
      <c r="A124" s="413"/>
      <c r="B124" s="413"/>
      <c r="C124" s="414"/>
      <c r="D124" s="408" t="s">
        <v>6354</v>
      </c>
      <c r="E124" s="410" t="s">
        <v>6231</v>
      </c>
      <c r="F124" s="408" t="s">
        <v>285</v>
      </c>
      <c r="G124" s="408" t="s">
        <v>1140</v>
      </c>
      <c r="H124" s="409" t="s">
        <v>77</v>
      </c>
      <c r="I124" s="409" t="s">
        <v>522</v>
      </c>
      <c r="J124" s="411">
        <v>123.0</v>
      </c>
    </row>
    <row r="125">
      <c r="A125" s="413"/>
      <c r="B125" s="413"/>
      <c r="C125" s="414"/>
      <c r="D125" s="408" t="s">
        <v>6355</v>
      </c>
      <c r="E125" s="410" t="s">
        <v>6231</v>
      </c>
      <c r="F125" s="408" t="s">
        <v>285</v>
      </c>
      <c r="G125" s="408" t="s">
        <v>3222</v>
      </c>
      <c r="H125" s="409" t="s">
        <v>77</v>
      </c>
      <c r="I125" s="409" t="s">
        <v>522</v>
      </c>
      <c r="J125" s="411">
        <v>124.0</v>
      </c>
    </row>
    <row r="126">
      <c r="A126" s="413"/>
      <c r="B126" s="413"/>
      <c r="C126" s="414"/>
      <c r="D126" s="408" t="s">
        <v>6356</v>
      </c>
      <c r="E126" s="410" t="s">
        <v>6231</v>
      </c>
      <c r="F126" s="408" t="s">
        <v>285</v>
      </c>
      <c r="G126" s="408" t="s">
        <v>687</v>
      </c>
      <c r="H126" s="409" t="s">
        <v>77</v>
      </c>
      <c r="I126" s="409" t="s">
        <v>522</v>
      </c>
      <c r="J126" s="411">
        <v>125.0</v>
      </c>
    </row>
    <row r="127">
      <c r="A127" s="413"/>
      <c r="B127" s="413"/>
      <c r="C127" s="414"/>
      <c r="D127" s="408" t="s">
        <v>6357</v>
      </c>
      <c r="E127" s="410" t="s">
        <v>6231</v>
      </c>
      <c r="F127" s="408" t="s">
        <v>285</v>
      </c>
      <c r="G127" s="408" t="s">
        <v>2493</v>
      </c>
      <c r="H127" s="409" t="s">
        <v>77</v>
      </c>
      <c r="I127" s="409" t="s">
        <v>522</v>
      </c>
      <c r="J127" s="411">
        <v>126.0</v>
      </c>
    </row>
    <row r="128">
      <c r="A128" s="413"/>
      <c r="B128" s="413"/>
      <c r="C128" s="414"/>
      <c r="D128" s="408" t="s">
        <v>6358</v>
      </c>
      <c r="E128" s="410" t="s">
        <v>6231</v>
      </c>
      <c r="F128" s="408" t="s">
        <v>285</v>
      </c>
      <c r="G128" s="412"/>
      <c r="H128" s="409" t="s">
        <v>77</v>
      </c>
      <c r="I128" s="409" t="s">
        <v>522</v>
      </c>
      <c r="J128" s="411">
        <v>127.0</v>
      </c>
    </row>
    <row r="129">
      <c r="A129" s="413"/>
      <c r="B129" s="413"/>
      <c r="C129" s="414"/>
      <c r="D129" s="408" t="s">
        <v>6359</v>
      </c>
      <c r="E129" s="410" t="s">
        <v>6231</v>
      </c>
      <c r="F129" s="408" t="s">
        <v>285</v>
      </c>
      <c r="G129" s="408" t="s">
        <v>1035</v>
      </c>
      <c r="H129" s="409" t="s">
        <v>77</v>
      </c>
      <c r="I129" s="409" t="s">
        <v>522</v>
      </c>
      <c r="J129" s="411">
        <v>128.0</v>
      </c>
    </row>
    <row r="130">
      <c r="A130" s="413"/>
      <c r="B130" s="413"/>
      <c r="C130" s="414"/>
      <c r="D130" s="408" t="s">
        <v>6360</v>
      </c>
      <c r="E130" s="410" t="s">
        <v>6231</v>
      </c>
      <c r="F130" s="408" t="s">
        <v>285</v>
      </c>
      <c r="G130" s="408" t="s">
        <v>1154</v>
      </c>
      <c r="H130" s="409" t="s">
        <v>77</v>
      </c>
      <c r="I130" s="409" t="s">
        <v>522</v>
      </c>
      <c r="J130" s="411">
        <v>129.0</v>
      </c>
    </row>
    <row r="131">
      <c r="A131" s="413"/>
      <c r="B131" s="413"/>
      <c r="C131" s="414"/>
      <c r="D131" s="408" t="s">
        <v>6361</v>
      </c>
      <c r="E131" s="410" t="s">
        <v>6231</v>
      </c>
      <c r="F131" s="408" t="s">
        <v>285</v>
      </c>
      <c r="G131" s="408" t="s">
        <v>1017</v>
      </c>
      <c r="H131" s="409" t="s">
        <v>77</v>
      </c>
      <c r="I131" s="409" t="s">
        <v>522</v>
      </c>
      <c r="J131" s="411">
        <v>130.0</v>
      </c>
    </row>
    <row r="132">
      <c r="A132" s="413"/>
      <c r="B132" s="413"/>
      <c r="C132" s="414"/>
      <c r="D132" s="408" t="s">
        <v>6362</v>
      </c>
      <c r="E132" s="410" t="s">
        <v>6231</v>
      </c>
      <c r="F132" s="408" t="s">
        <v>285</v>
      </c>
      <c r="G132" s="412"/>
      <c r="H132" s="409" t="s">
        <v>77</v>
      </c>
      <c r="I132" s="409" t="s">
        <v>522</v>
      </c>
      <c r="J132" s="411">
        <v>131.0</v>
      </c>
    </row>
    <row r="133">
      <c r="A133" s="413"/>
      <c r="B133" s="413"/>
      <c r="C133" s="414"/>
      <c r="D133" s="408" t="s">
        <v>6363</v>
      </c>
      <c r="E133" s="410" t="s">
        <v>6231</v>
      </c>
      <c r="F133" s="408" t="s">
        <v>285</v>
      </c>
      <c r="G133" s="412"/>
      <c r="H133" s="409" t="s">
        <v>77</v>
      </c>
      <c r="I133" s="409" t="s">
        <v>522</v>
      </c>
      <c r="J133" s="411">
        <v>132.0</v>
      </c>
    </row>
    <row r="134">
      <c r="A134" s="413"/>
      <c r="B134" s="413"/>
      <c r="C134" s="414"/>
      <c r="D134" s="408" t="s">
        <v>6364</v>
      </c>
      <c r="E134" s="410" t="s">
        <v>6231</v>
      </c>
      <c r="F134" s="408" t="s">
        <v>285</v>
      </c>
      <c r="G134" s="408" t="s">
        <v>4468</v>
      </c>
      <c r="H134" s="409" t="s">
        <v>77</v>
      </c>
      <c r="I134" s="409" t="s">
        <v>522</v>
      </c>
      <c r="J134" s="411">
        <v>133.0</v>
      </c>
    </row>
    <row r="135">
      <c r="A135" s="413"/>
      <c r="B135" s="413"/>
      <c r="C135" s="414"/>
      <c r="D135" s="408" t="s">
        <v>6365</v>
      </c>
      <c r="E135" s="410" t="s">
        <v>6231</v>
      </c>
      <c r="F135" s="408" t="s">
        <v>285</v>
      </c>
      <c r="G135" s="412"/>
      <c r="H135" s="409" t="s">
        <v>77</v>
      </c>
      <c r="I135" s="409" t="s">
        <v>522</v>
      </c>
      <c r="J135" s="411">
        <v>134.0</v>
      </c>
    </row>
    <row r="136">
      <c r="A136" s="413"/>
      <c r="B136" s="413"/>
      <c r="C136" s="414"/>
      <c r="D136" s="408" t="s">
        <v>6366</v>
      </c>
      <c r="E136" s="410" t="s">
        <v>6231</v>
      </c>
      <c r="F136" s="408" t="s">
        <v>285</v>
      </c>
      <c r="G136" s="408" t="s">
        <v>1125</v>
      </c>
      <c r="H136" s="409" t="s">
        <v>77</v>
      </c>
      <c r="I136" s="409" t="s">
        <v>522</v>
      </c>
      <c r="J136" s="411">
        <v>135.0</v>
      </c>
    </row>
    <row r="137">
      <c r="A137" s="413"/>
      <c r="B137" s="413"/>
      <c r="C137" s="414"/>
      <c r="D137" s="408" t="s">
        <v>6367</v>
      </c>
      <c r="E137" s="410" t="s">
        <v>6231</v>
      </c>
      <c r="F137" s="408" t="s">
        <v>285</v>
      </c>
      <c r="G137" s="408" t="s">
        <v>1035</v>
      </c>
      <c r="H137" s="409" t="s">
        <v>77</v>
      </c>
      <c r="I137" s="409" t="s">
        <v>522</v>
      </c>
      <c r="J137" s="411">
        <v>136.0</v>
      </c>
    </row>
    <row r="138">
      <c r="A138" s="413"/>
      <c r="B138" s="413"/>
      <c r="C138" s="414"/>
      <c r="D138" s="408" t="s">
        <v>6368</v>
      </c>
      <c r="E138" s="410" t="s">
        <v>6231</v>
      </c>
      <c r="F138" s="408" t="s">
        <v>285</v>
      </c>
      <c r="G138" s="408" t="s">
        <v>374</v>
      </c>
      <c r="H138" s="409" t="s">
        <v>77</v>
      </c>
      <c r="I138" s="409" t="s">
        <v>522</v>
      </c>
      <c r="J138" s="411">
        <v>137.0</v>
      </c>
    </row>
    <row r="139">
      <c r="A139" s="413"/>
      <c r="B139" s="413"/>
      <c r="C139" s="414"/>
      <c r="D139" s="408" t="s">
        <v>6369</v>
      </c>
      <c r="E139" s="410" t="s">
        <v>6231</v>
      </c>
      <c r="F139" s="408" t="s">
        <v>285</v>
      </c>
      <c r="G139" s="408" t="s">
        <v>807</v>
      </c>
      <c r="H139" s="409" t="s">
        <v>77</v>
      </c>
      <c r="I139" s="409" t="s">
        <v>522</v>
      </c>
      <c r="J139" s="411">
        <v>138.0</v>
      </c>
    </row>
    <row r="140">
      <c r="A140" s="413"/>
      <c r="B140" s="413"/>
      <c r="C140" s="414"/>
      <c r="D140" s="408" t="s">
        <v>6370</v>
      </c>
      <c r="E140" s="410" t="s">
        <v>6231</v>
      </c>
      <c r="F140" s="408" t="s">
        <v>285</v>
      </c>
      <c r="G140" s="413"/>
      <c r="H140" s="409" t="s">
        <v>77</v>
      </c>
      <c r="I140" s="409" t="s">
        <v>522</v>
      </c>
      <c r="J140" s="411">
        <v>139.0</v>
      </c>
    </row>
    <row r="141">
      <c r="A141" s="413"/>
      <c r="B141" s="413"/>
      <c r="C141" s="414"/>
      <c r="D141" s="408" t="s">
        <v>6371</v>
      </c>
      <c r="E141" s="410" t="s">
        <v>6231</v>
      </c>
      <c r="F141" s="408" t="s">
        <v>285</v>
      </c>
      <c r="G141" s="408" t="s">
        <v>1017</v>
      </c>
      <c r="H141" s="409" t="s">
        <v>77</v>
      </c>
      <c r="I141" s="409" t="s">
        <v>522</v>
      </c>
      <c r="J141" s="411">
        <v>140.0</v>
      </c>
    </row>
    <row r="142">
      <c r="A142" s="413"/>
      <c r="B142" s="413"/>
      <c r="C142" s="414"/>
      <c r="D142" s="408" t="s">
        <v>6372</v>
      </c>
      <c r="E142" s="410" t="s">
        <v>6231</v>
      </c>
      <c r="F142" s="408" t="s">
        <v>285</v>
      </c>
      <c r="G142" s="408" t="s">
        <v>6373</v>
      </c>
      <c r="H142" s="409" t="s">
        <v>77</v>
      </c>
      <c r="I142" s="409" t="s">
        <v>522</v>
      </c>
      <c r="J142" s="411">
        <v>141.0</v>
      </c>
    </row>
    <row r="143">
      <c r="A143" s="413"/>
      <c r="B143" s="413"/>
      <c r="C143" s="414"/>
      <c r="D143" s="408" t="s">
        <v>6374</v>
      </c>
      <c r="E143" s="410" t="s">
        <v>6231</v>
      </c>
      <c r="F143" s="408" t="s">
        <v>285</v>
      </c>
      <c r="G143" s="408" t="s">
        <v>1077</v>
      </c>
      <c r="H143" s="409" t="s">
        <v>77</v>
      </c>
      <c r="I143" s="409" t="s">
        <v>522</v>
      </c>
      <c r="J143" s="411">
        <v>142.0</v>
      </c>
    </row>
    <row r="144">
      <c r="A144" s="413"/>
      <c r="B144" s="413"/>
      <c r="C144" s="414"/>
      <c r="D144" s="408" t="s">
        <v>6375</v>
      </c>
      <c r="E144" s="410" t="s">
        <v>6231</v>
      </c>
      <c r="F144" s="408" t="s">
        <v>285</v>
      </c>
      <c r="G144" s="412"/>
      <c r="H144" s="409" t="s">
        <v>77</v>
      </c>
      <c r="I144" s="409" t="s">
        <v>522</v>
      </c>
      <c r="J144" s="411">
        <v>143.0</v>
      </c>
    </row>
    <row r="145">
      <c r="A145" s="413"/>
      <c r="B145" s="413"/>
      <c r="C145" s="414"/>
      <c r="D145" s="408" t="s">
        <v>6376</v>
      </c>
      <c r="E145" s="410" t="s">
        <v>6231</v>
      </c>
      <c r="F145" s="408" t="s">
        <v>285</v>
      </c>
      <c r="G145" s="408" t="s">
        <v>1017</v>
      </c>
      <c r="H145" s="409" t="s">
        <v>77</v>
      </c>
      <c r="I145" s="409" t="s">
        <v>522</v>
      </c>
      <c r="J145" s="411">
        <v>144.0</v>
      </c>
    </row>
    <row r="146">
      <c r="A146" s="413"/>
      <c r="B146" s="413"/>
      <c r="C146" s="414"/>
      <c r="D146" s="408" t="s">
        <v>6377</v>
      </c>
      <c r="E146" s="410" t="s">
        <v>6231</v>
      </c>
      <c r="F146" s="408" t="s">
        <v>285</v>
      </c>
      <c r="G146" s="408" t="s">
        <v>1017</v>
      </c>
      <c r="H146" s="409" t="s">
        <v>77</v>
      </c>
      <c r="I146" s="409" t="s">
        <v>522</v>
      </c>
      <c r="J146" s="411">
        <v>145.0</v>
      </c>
    </row>
    <row r="147">
      <c r="A147" s="413"/>
      <c r="B147" s="413"/>
      <c r="C147" s="414"/>
      <c r="D147" s="408" t="s">
        <v>6378</v>
      </c>
      <c r="E147" s="410" t="s">
        <v>6231</v>
      </c>
      <c r="F147" s="408" t="s">
        <v>285</v>
      </c>
      <c r="G147" s="408" t="s">
        <v>1186</v>
      </c>
      <c r="H147" s="409" t="s">
        <v>77</v>
      </c>
      <c r="I147" s="409" t="s">
        <v>522</v>
      </c>
      <c r="J147" s="411">
        <v>146.0</v>
      </c>
    </row>
    <row r="148">
      <c r="A148" s="413"/>
      <c r="B148" s="413"/>
      <c r="C148" s="414"/>
      <c r="D148" s="408" t="s">
        <v>6379</v>
      </c>
      <c r="E148" s="410" t="s">
        <v>6231</v>
      </c>
      <c r="F148" s="408" t="s">
        <v>285</v>
      </c>
      <c r="G148" s="413"/>
      <c r="H148" s="409" t="s">
        <v>77</v>
      </c>
      <c r="I148" s="409" t="s">
        <v>522</v>
      </c>
      <c r="J148" s="411">
        <v>147.0</v>
      </c>
    </row>
    <row r="149">
      <c r="A149" s="413"/>
      <c r="B149" s="413"/>
      <c r="C149" s="414"/>
      <c r="D149" s="408" t="s">
        <v>6380</v>
      </c>
      <c r="E149" s="410" t="s">
        <v>6231</v>
      </c>
      <c r="F149" s="408" t="s">
        <v>285</v>
      </c>
      <c r="G149" s="412"/>
      <c r="H149" s="409" t="s">
        <v>77</v>
      </c>
      <c r="I149" s="409" t="s">
        <v>522</v>
      </c>
      <c r="J149" s="411">
        <v>148.0</v>
      </c>
    </row>
    <row r="150">
      <c r="A150" s="413"/>
      <c r="B150" s="413"/>
      <c r="C150" s="414"/>
      <c r="D150" s="408" t="s">
        <v>6381</v>
      </c>
      <c r="E150" s="410" t="s">
        <v>6231</v>
      </c>
      <c r="F150" s="408" t="s">
        <v>285</v>
      </c>
      <c r="G150" s="408" t="s">
        <v>374</v>
      </c>
      <c r="H150" s="409" t="s">
        <v>77</v>
      </c>
      <c r="I150" s="409" t="s">
        <v>522</v>
      </c>
      <c r="J150" s="411">
        <v>149.0</v>
      </c>
    </row>
    <row r="151">
      <c r="A151" s="413"/>
      <c r="B151" s="413"/>
      <c r="C151" s="414"/>
      <c r="D151" s="408" t="s">
        <v>6382</v>
      </c>
      <c r="E151" s="410" t="s">
        <v>6231</v>
      </c>
      <c r="F151" s="408" t="s">
        <v>285</v>
      </c>
      <c r="G151" s="408" t="s">
        <v>1207</v>
      </c>
      <c r="H151" s="409" t="s">
        <v>77</v>
      </c>
      <c r="I151" s="409" t="s">
        <v>522</v>
      </c>
      <c r="J151" s="411">
        <v>150.0</v>
      </c>
    </row>
    <row r="152">
      <c r="A152" s="413"/>
      <c r="B152" s="413"/>
      <c r="C152" s="414"/>
      <c r="D152" s="408" t="s">
        <v>6383</v>
      </c>
      <c r="E152" s="410" t="s">
        <v>6231</v>
      </c>
      <c r="F152" s="408" t="s">
        <v>285</v>
      </c>
      <c r="G152" s="408" t="s">
        <v>1035</v>
      </c>
      <c r="H152" s="409" t="s">
        <v>77</v>
      </c>
      <c r="I152" s="409" t="s">
        <v>522</v>
      </c>
      <c r="J152" s="411">
        <v>151.0</v>
      </c>
    </row>
    <row r="153">
      <c r="A153" s="413"/>
      <c r="B153" s="413"/>
      <c r="C153" s="414"/>
      <c r="D153" s="408" t="s">
        <v>6384</v>
      </c>
      <c r="E153" s="410" t="s">
        <v>6231</v>
      </c>
      <c r="F153" s="408" t="s">
        <v>285</v>
      </c>
      <c r="G153" s="408" t="s">
        <v>1035</v>
      </c>
      <c r="H153" s="409" t="s">
        <v>77</v>
      </c>
      <c r="I153" s="409" t="s">
        <v>522</v>
      </c>
      <c r="J153" s="411">
        <v>152.0</v>
      </c>
    </row>
    <row r="154">
      <c r="A154" s="413"/>
      <c r="B154" s="413"/>
      <c r="C154" s="414"/>
      <c r="D154" s="408" t="s">
        <v>6385</v>
      </c>
      <c r="E154" s="410" t="s">
        <v>6231</v>
      </c>
      <c r="F154" s="408" t="s">
        <v>285</v>
      </c>
      <c r="G154" s="408" t="s">
        <v>1077</v>
      </c>
      <c r="H154" s="409" t="s">
        <v>77</v>
      </c>
      <c r="I154" s="409" t="s">
        <v>522</v>
      </c>
      <c r="J154" s="411">
        <v>153.0</v>
      </c>
    </row>
    <row r="155">
      <c r="A155" s="413"/>
      <c r="B155" s="413"/>
      <c r="C155" s="414"/>
      <c r="D155" s="408" t="s">
        <v>6386</v>
      </c>
      <c r="E155" s="410" t="s">
        <v>6231</v>
      </c>
      <c r="F155" s="408" t="s">
        <v>285</v>
      </c>
      <c r="G155" s="408" t="s">
        <v>374</v>
      </c>
      <c r="H155" s="409" t="s">
        <v>77</v>
      </c>
      <c r="I155" s="409" t="s">
        <v>522</v>
      </c>
      <c r="J155" s="411">
        <v>154.0</v>
      </c>
    </row>
    <row r="156">
      <c r="A156" s="413"/>
      <c r="B156" s="413"/>
      <c r="C156" s="414"/>
      <c r="D156" s="408" t="s">
        <v>6387</v>
      </c>
      <c r="E156" s="410" t="s">
        <v>6231</v>
      </c>
      <c r="F156" s="408" t="s">
        <v>77</v>
      </c>
      <c r="G156" s="408" t="s">
        <v>77</v>
      </c>
      <c r="H156" s="409" t="s">
        <v>77</v>
      </c>
      <c r="I156" s="409" t="s">
        <v>522</v>
      </c>
      <c r="J156" s="411">
        <v>155.0</v>
      </c>
    </row>
    <row r="157">
      <c r="A157" s="413"/>
      <c r="B157" s="413"/>
      <c r="C157" s="414"/>
      <c r="D157" s="408" t="s">
        <v>6388</v>
      </c>
      <c r="E157" s="410" t="s">
        <v>6231</v>
      </c>
      <c r="F157" s="408" t="s">
        <v>77</v>
      </c>
      <c r="G157" s="408" t="s">
        <v>77</v>
      </c>
      <c r="H157" s="409" t="s">
        <v>77</v>
      </c>
      <c r="I157" s="409" t="s">
        <v>522</v>
      </c>
      <c r="J157" s="411">
        <v>156.0</v>
      </c>
    </row>
    <row r="158">
      <c r="A158" s="413"/>
      <c r="B158" s="413"/>
      <c r="C158" s="414"/>
      <c r="D158" s="408" t="s">
        <v>6389</v>
      </c>
      <c r="E158" s="410" t="s">
        <v>6231</v>
      </c>
      <c r="F158" s="408" t="s">
        <v>285</v>
      </c>
      <c r="G158" s="412"/>
      <c r="H158" s="409" t="s">
        <v>77</v>
      </c>
      <c r="I158" s="409" t="s">
        <v>522</v>
      </c>
      <c r="J158" s="411">
        <v>157.0</v>
      </c>
    </row>
    <row r="159">
      <c r="A159" s="413"/>
      <c r="B159" s="413"/>
      <c r="C159" s="414"/>
      <c r="D159" s="408" t="s">
        <v>6390</v>
      </c>
      <c r="E159" s="410" t="s">
        <v>6231</v>
      </c>
      <c r="F159" s="408" t="s">
        <v>285</v>
      </c>
      <c r="G159" s="412"/>
      <c r="H159" s="409" t="s">
        <v>77</v>
      </c>
      <c r="I159" s="409" t="s">
        <v>522</v>
      </c>
      <c r="J159" s="411">
        <v>158.0</v>
      </c>
    </row>
    <row r="160">
      <c r="A160" s="413"/>
      <c r="B160" s="413"/>
      <c r="C160" s="414"/>
      <c r="D160" s="408" t="s">
        <v>6391</v>
      </c>
      <c r="E160" s="410" t="s">
        <v>6231</v>
      </c>
      <c r="F160" s="408" t="s">
        <v>285</v>
      </c>
      <c r="G160" s="408" t="s">
        <v>1035</v>
      </c>
      <c r="H160" s="409" t="s">
        <v>77</v>
      </c>
      <c r="I160" s="409" t="s">
        <v>522</v>
      </c>
      <c r="J160" s="411">
        <v>159.0</v>
      </c>
    </row>
    <row r="161">
      <c r="A161" s="413"/>
      <c r="B161" s="413"/>
      <c r="C161" s="414"/>
      <c r="D161" s="408" t="s">
        <v>6392</v>
      </c>
      <c r="E161" s="410" t="s">
        <v>6231</v>
      </c>
      <c r="F161" s="408" t="s">
        <v>285</v>
      </c>
      <c r="G161" s="408" t="s">
        <v>1017</v>
      </c>
      <c r="H161" s="409" t="s">
        <v>77</v>
      </c>
      <c r="I161" s="409" t="s">
        <v>522</v>
      </c>
      <c r="J161" s="411">
        <v>160.0</v>
      </c>
    </row>
    <row r="162">
      <c r="A162" s="413"/>
      <c r="B162" s="413"/>
      <c r="C162" s="414"/>
      <c r="D162" s="408" t="s">
        <v>6393</v>
      </c>
      <c r="E162" s="410" t="s">
        <v>6231</v>
      </c>
      <c r="F162" s="408" t="s">
        <v>285</v>
      </c>
      <c r="G162" s="412"/>
      <c r="H162" s="409" t="s">
        <v>77</v>
      </c>
      <c r="I162" s="409" t="s">
        <v>522</v>
      </c>
      <c r="J162" s="411">
        <v>161.0</v>
      </c>
    </row>
    <row r="163">
      <c r="A163" s="413"/>
      <c r="B163" s="413"/>
      <c r="C163" s="414"/>
      <c r="D163" s="408" t="s">
        <v>6394</v>
      </c>
      <c r="E163" s="410" t="s">
        <v>6231</v>
      </c>
      <c r="F163" s="408" t="s">
        <v>285</v>
      </c>
      <c r="G163" s="408" t="s">
        <v>6395</v>
      </c>
      <c r="H163" s="409" t="s">
        <v>77</v>
      </c>
      <c r="I163" s="409" t="s">
        <v>522</v>
      </c>
      <c r="J163" s="411">
        <v>162.0</v>
      </c>
    </row>
    <row r="164">
      <c r="A164" s="413"/>
      <c r="B164" s="413"/>
      <c r="C164" s="414"/>
      <c r="D164" s="408" t="s">
        <v>6396</v>
      </c>
      <c r="E164" s="410" t="s">
        <v>6231</v>
      </c>
      <c r="F164" s="408" t="s">
        <v>285</v>
      </c>
      <c r="G164" s="408" t="s">
        <v>5347</v>
      </c>
      <c r="H164" s="409" t="s">
        <v>77</v>
      </c>
      <c r="I164" s="409" t="s">
        <v>522</v>
      </c>
      <c r="J164" s="411">
        <v>163.0</v>
      </c>
    </row>
    <row r="165">
      <c r="A165" s="413"/>
      <c r="B165" s="413"/>
      <c r="C165" s="414"/>
      <c r="D165" s="408" t="s">
        <v>6397</v>
      </c>
      <c r="E165" s="410" t="s">
        <v>6231</v>
      </c>
      <c r="F165" s="408" t="s">
        <v>285</v>
      </c>
      <c r="G165" s="408" t="s">
        <v>5880</v>
      </c>
      <c r="H165" s="409" t="s">
        <v>77</v>
      </c>
      <c r="I165" s="409" t="s">
        <v>522</v>
      </c>
      <c r="J165" s="411">
        <v>164.0</v>
      </c>
    </row>
    <row r="166">
      <c r="A166" s="413"/>
      <c r="B166" s="413"/>
      <c r="C166" s="414"/>
      <c r="D166" s="408" t="s">
        <v>6398</v>
      </c>
      <c r="E166" s="410" t="s">
        <v>6231</v>
      </c>
      <c r="F166" s="408" t="s">
        <v>285</v>
      </c>
      <c r="G166" s="408" t="s">
        <v>218</v>
      </c>
      <c r="H166" s="409" t="s">
        <v>77</v>
      </c>
      <c r="I166" s="409" t="s">
        <v>522</v>
      </c>
      <c r="J166" s="411">
        <v>165.0</v>
      </c>
    </row>
    <row r="167">
      <c r="A167" s="413"/>
      <c r="B167" s="413"/>
      <c r="C167" s="414"/>
      <c r="D167" s="408" t="s">
        <v>6399</v>
      </c>
      <c r="E167" s="410" t="s">
        <v>6231</v>
      </c>
      <c r="F167" s="408" t="s">
        <v>285</v>
      </c>
      <c r="G167" s="413"/>
      <c r="H167" s="409" t="s">
        <v>77</v>
      </c>
      <c r="I167" s="409" t="s">
        <v>522</v>
      </c>
      <c r="J167" s="411">
        <v>166.0</v>
      </c>
    </row>
    <row r="168">
      <c r="A168" s="413"/>
      <c r="B168" s="413"/>
      <c r="C168" s="414"/>
      <c r="D168" s="408" t="s">
        <v>6400</v>
      </c>
      <c r="E168" s="410" t="s">
        <v>6231</v>
      </c>
      <c r="F168" s="408" t="s">
        <v>77</v>
      </c>
      <c r="G168" s="408" t="s">
        <v>77</v>
      </c>
      <c r="H168" s="409" t="s">
        <v>77</v>
      </c>
      <c r="I168" s="409" t="s">
        <v>522</v>
      </c>
      <c r="J168" s="411">
        <v>167.0</v>
      </c>
    </row>
    <row r="169">
      <c r="A169" s="413"/>
      <c r="B169" s="413"/>
      <c r="C169" s="414"/>
      <c r="D169" s="408" t="s">
        <v>6401</v>
      </c>
      <c r="E169" s="410" t="s">
        <v>6231</v>
      </c>
      <c r="F169" s="408" t="s">
        <v>285</v>
      </c>
      <c r="G169" s="412"/>
      <c r="H169" s="409" t="s">
        <v>77</v>
      </c>
      <c r="I169" s="409" t="s">
        <v>522</v>
      </c>
      <c r="J169" s="411">
        <v>168.0</v>
      </c>
    </row>
    <row r="170">
      <c r="A170" s="413"/>
      <c r="B170" s="413"/>
      <c r="C170" s="414"/>
      <c r="D170" s="408" t="s">
        <v>6402</v>
      </c>
      <c r="E170" s="410" t="s">
        <v>6231</v>
      </c>
      <c r="F170" s="408" t="s">
        <v>285</v>
      </c>
      <c r="G170" s="413"/>
      <c r="H170" s="409" t="s">
        <v>77</v>
      </c>
      <c r="I170" s="409" t="s">
        <v>522</v>
      </c>
      <c r="J170" s="411">
        <v>169.0</v>
      </c>
    </row>
    <row r="171">
      <c r="A171" s="413"/>
      <c r="B171" s="413"/>
      <c r="C171" s="414"/>
      <c r="D171" s="408" t="s">
        <v>6403</v>
      </c>
      <c r="E171" s="410" t="s">
        <v>6231</v>
      </c>
      <c r="F171" s="408" t="s">
        <v>285</v>
      </c>
      <c r="G171" s="408" t="s">
        <v>4872</v>
      </c>
      <c r="H171" s="409" t="s">
        <v>77</v>
      </c>
      <c r="I171" s="409" t="s">
        <v>522</v>
      </c>
      <c r="J171" s="411">
        <v>170.0</v>
      </c>
    </row>
    <row r="172">
      <c r="A172" s="407">
        <v>34.0</v>
      </c>
      <c r="B172" s="408" t="s">
        <v>5249</v>
      </c>
      <c r="C172" s="409">
        <v>1.0</v>
      </c>
      <c r="D172" s="408" t="s">
        <v>6404</v>
      </c>
      <c r="E172" s="410" t="s">
        <v>6231</v>
      </c>
      <c r="F172" s="408" t="s">
        <v>89</v>
      </c>
      <c r="G172" s="408" t="s">
        <v>5250</v>
      </c>
      <c r="H172" s="409" t="s">
        <v>103</v>
      </c>
      <c r="I172" s="409" t="s">
        <v>66</v>
      </c>
      <c r="J172" s="411">
        <v>171.0</v>
      </c>
    </row>
    <row r="173">
      <c r="A173" s="407">
        <v>35.0</v>
      </c>
      <c r="B173" s="408" t="s">
        <v>142</v>
      </c>
      <c r="C173" s="409">
        <v>401.0</v>
      </c>
      <c r="D173" s="408" t="s">
        <v>6405</v>
      </c>
      <c r="E173" s="410" t="s">
        <v>6231</v>
      </c>
      <c r="F173" s="408" t="s">
        <v>77</v>
      </c>
      <c r="G173" s="408" t="s">
        <v>77</v>
      </c>
      <c r="H173" s="409" t="s">
        <v>77</v>
      </c>
      <c r="I173" s="409" t="s">
        <v>522</v>
      </c>
      <c r="J173" s="411">
        <v>172.0</v>
      </c>
    </row>
    <row r="174">
      <c r="A174" s="413"/>
      <c r="B174" s="413"/>
      <c r="C174" s="414"/>
      <c r="D174" s="408" t="s">
        <v>6406</v>
      </c>
      <c r="E174" s="410" t="s">
        <v>6231</v>
      </c>
      <c r="F174" s="408" t="s">
        <v>89</v>
      </c>
      <c r="G174" s="408" t="s">
        <v>90</v>
      </c>
      <c r="H174" s="409" t="s">
        <v>77</v>
      </c>
      <c r="I174" s="409" t="s">
        <v>522</v>
      </c>
      <c r="J174" s="411">
        <v>173.0</v>
      </c>
    </row>
    <row r="175">
      <c r="A175" s="413"/>
      <c r="B175" s="413"/>
      <c r="C175" s="414"/>
      <c r="D175" s="408" t="s">
        <v>6407</v>
      </c>
      <c r="E175" s="410" t="s">
        <v>6231</v>
      </c>
      <c r="F175" s="408" t="s">
        <v>89</v>
      </c>
      <c r="G175" s="408" t="s">
        <v>230</v>
      </c>
      <c r="H175" s="409" t="s">
        <v>77</v>
      </c>
      <c r="I175" s="409" t="s">
        <v>522</v>
      </c>
      <c r="J175" s="411">
        <v>174.0</v>
      </c>
    </row>
    <row r="176">
      <c r="A176" s="413"/>
      <c r="B176" s="413"/>
      <c r="C176" s="414"/>
      <c r="D176" s="408" t="s">
        <v>6408</v>
      </c>
      <c r="E176" s="410" t="s">
        <v>6231</v>
      </c>
      <c r="F176" s="408" t="s">
        <v>89</v>
      </c>
      <c r="G176" s="408" t="s">
        <v>160</v>
      </c>
      <c r="H176" s="409" t="s">
        <v>77</v>
      </c>
      <c r="I176" s="409" t="s">
        <v>522</v>
      </c>
      <c r="J176" s="411">
        <v>175.0</v>
      </c>
    </row>
    <row r="177">
      <c r="A177" s="413"/>
      <c r="B177" s="413"/>
      <c r="C177" s="414"/>
      <c r="D177" s="408" t="s">
        <v>6409</v>
      </c>
      <c r="E177" s="410" t="s">
        <v>6231</v>
      </c>
      <c r="F177" s="408" t="s">
        <v>89</v>
      </c>
      <c r="G177" s="408" t="s">
        <v>230</v>
      </c>
      <c r="H177" s="409" t="s">
        <v>77</v>
      </c>
      <c r="I177" s="409" t="s">
        <v>522</v>
      </c>
      <c r="J177" s="411">
        <v>176.0</v>
      </c>
    </row>
    <row r="178">
      <c r="A178" s="413"/>
      <c r="B178" s="413"/>
      <c r="C178" s="414"/>
      <c r="D178" s="408" t="s">
        <v>6410</v>
      </c>
      <c r="E178" s="410" t="s">
        <v>6231</v>
      </c>
      <c r="F178" s="408" t="s">
        <v>89</v>
      </c>
      <c r="G178" s="408" t="s">
        <v>5655</v>
      </c>
      <c r="H178" s="409" t="s">
        <v>77</v>
      </c>
      <c r="I178" s="409" t="s">
        <v>522</v>
      </c>
      <c r="J178" s="411">
        <v>177.0</v>
      </c>
    </row>
    <row r="179">
      <c r="A179" s="413"/>
      <c r="B179" s="413"/>
      <c r="C179" s="414"/>
      <c r="D179" s="408" t="s">
        <v>6411</v>
      </c>
      <c r="E179" s="410" t="s">
        <v>6231</v>
      </c>
      <c r="F179" s="408" t="s">
        <v>89</v>
      </c>
      <c r="G179" s="408" t="s">
        <v>218</v>
      </c>
      <c r="H179" s="409" t="s">
        <v>77</v>
      </c>
      <c r="I179" s="409" t="s">
        <v>522</v>
      </c>
      <c r="J179" s="411">
        <v>178.0</v>
      </c>
    </row>
    <row r="180">
      <c r="A180" s="412"/>
      <c r="B180" s="412"/>
      <c r="C180" s="415"/>
      <c r="D180" s="408" t="s">
        <v>6412</v>
      </c>
      <c r="E180" s="410" t="s">
        <v>6231</v>
      </c>
      <c r="F180" s="408" t="s">
        <v>89</v>
      </c>
      <c r="G180" s="412"/>
      <c r="H180" s="409" t="s">
        <v>77</v>
      </c>
      <c r="I180" s="409" t="s">
        <v>522</v>
      </c>
      <c r="J180" s="411">
        <v>179.0</v>
      </c>
    </row>
    <row r="181">
      <c r="A181" s="412"/>
      <c r="B181" s="412"/>
      <c r="C181" s="415"/>
      <c r="D181" s="408" t="s">
        <v>6413</v>
      </c>
      <c r="E181" s="410" t="s">
        <v>6231</v>
      </c>
      <c r="F181" s="408" t="s">
        <v>89</v>
      </c>
      <c r="G181" s="408" t="s">
        <v>1193</v>
      </c>
      <c r="H181" s="409" t="s">
        <v>77</v>
      </c>
      <c r="I181" s="409" t="s">
        <v>522</v>
      </c>
      <c r="J181" s="411">
        <v>180.0</v>
      </c>
    </row>
    <row r="182">
      <c r="A182" s="413"/>
      <c r="B182" s="413"/>
      <c r="C182" s="414"/>
      <c r="D182" s="408" t="s">
        <v>6414</v>
      </c>
      <c r="E182" s="410" t="s">
        <v>6231</v>
      </c>
      <c r="F182" s="408" t="s">
        <v>89</v>
      </c>
      <c r="G182" s="408" t="s">
        <v>5655</v>
      </c>
      <c r="H182" s="409" t="s">
        <v>77</v>
      </c>
      <c r="I182" s="409" t="s">
        <v>522</v>
      </c>
      <c r="J182" s="411">
        <v>181.0</v>
      </c>
    </row>
    <row r="183">
      <c r="A183" s="413"/>
      <c r="B183" s="413"/>
      <c r="C183" s="414"/>
      <c r="D183" s="408" t="s">
        <v>6415</v>
      </c>
      <c r="E183" s="410" t="s">
        <v>6231</v>
      </c>
      <c r="F183" s="408" t="s">
        <v>89</v>
      </c>
      <c r="G183" s="412"/>
      <c r="H183" s="409" t="s">
        <v>77</v>
      </c>
      <c r="I183" s="409" t="s">
        <v>522</v>
      </c>
      <c r="J183" s="411">
        <v>182.0</v>
      </c>
    </row>
    <row r="184">
      <c r="A184" s="413"/>
      <c r="B184" s="413"/>
      <c r="C184" s="414"/>
      <c r="D184" s="408" t="s">
        <v>6416</v>
      </c>
      <c r="E184" s="410" t="s">
        <v>6231</v>
      </c>
      <c r="F184" s="408" t="s">
        <v>89</v>
      </c>
      <c r="G184" s="408" t="s">
        <v>218</v>
      </c>
      <c r="H184" s="409" t="s">
        <v>77</v>
      </c>
      <c r="I184" s="409" t="s">
        <v>522</v>
      </c>
      <c r="J184" s="411">
        <v>183.0</v>
      </c>
    </row>
    <row r="185">
      <c r="A185" s="413"/>
      <c r="B185" s="413"/>
      <c r="C185" s="414"/>
      <c r="D185" s="408" t="s">
        <v>6417</v>
      </c>
      <c r="E185" s="410" t="s">
        <v>6231</v>
      </c>
      <c r="F185" s="408" t="s">
        <v>89</v>
      </c>
      <c r="G185" s="408" t="s">
        <v>90</v>
      </c>
      <c r="H185" s="409" t="s">
        <v>77</v>
      </c>
      <c r="I185" s="409" t="s">
        <v>522</v>
      </c>
      <c r="J185" s="411">
        <v>184.0</v>
      </c>
    </row>
    <row r="186">
      <c r="A186" s="413"/>
      <c r="B186" s="413"/>
      <c r="C186" s="414"/>
      <c r="D186" s="408" t="s">
        <v>6418</v>
      </c>
      <c r="E186" s="410" t="s">
        <v>6231</v>
      </c>
      <c r="F186" s="408" t="s">
        <v>89</v>
      </c>
      <c r="G186" s="408" t="s">
        <v>90</v>
      </c>
      <c r="H186" s="409" t="s">
        <v>77</v>
      </c>
      <c r="I186" s="409" t="s">
        <v>522</v>
      </c>
      <c r="J186" s="411">
        <v>185.0</v>
      </c>
    </row>
    <row r="187">
      <c r="A187" s="413"/>
      <c r="B187" s="413"/>
      <c r="C187" s="414"/>
      <c r="D187" s="408" t="s">
        <v>6419</v>
      </c>
      <c r="E187" s="410" t="s">
        <v>6231</v>
      </c>
      <c r="F187" s="408" t="s">
        <v>89</v>
      </c>
      <c r="G187" s="408" t="s">
        <v>1193</v>
      </c>
      <c r="H187" s="409" t="s">
        <v>77</v>
      </c>
      <c r="I187" s="409" t="s">
        <v>522</v>
      </c>
      <c r="J187" s="411">
        <v>186.0</v>
      </c>
    </row>
    <row r="188">
      <c r="A188" s="413"/>
      <c r="B188" s="413"/>
      <c r="C188" s="414"/>
      <c r="D188" s="408" t="s">
        <v>6420</v>
      </c>
      <c r="E188" s="410" t="s">
        <v>6231</v>
      </c>
      <c r="F188" s="408" t="s">
        <v>89</v>
      </c>
      <c r="G188" s="408" t="s">
        <v>640</v>
      </c>
      <c r="H188" s="409" t="s">
        <v>77</v>
      </c>
      <c r="I188" s="409" t="s">
        <v>522</v>
      </c>
      <c r="J188" s="411">
        <v>187.0</v>
      </c>
    </row>
    <row r="189">
      <c r="A189" s="413"/>
      <c r="B189" s="413"/>
      <c r="C189" s="414"/>
      <c r="D189" s="408" t="s">
        <v>6421</v>
      </c>
      <c r="E189" s="410" t="s">
        <v>6231</v>
      </c>
      <c r="F189" s="408" t="s">
        <v>89</v>
      </c>
      <c r="G189" s="408" t="s">
        <v>207</v>
      </c>
      <c r="H189" s="409" t="s">
        <v>77</v>
      </c>
      <c r="I189" s="409" t="s">
        <v>522</v>
      </c>
      <c r="J189" s="411">
        <v>188.0</v>
      </c>
    </row>
    <row r="190">
      <c r="A190" s="413"/>
      <c r="B190" s="413"/>
      <c r="C190" s="414"/>
      <c r="D190" s="408" t="s">
        <v>6422</v>
      </c>
      <c r="E190" s="410" t="s">
        <v>6231</v>
      </c>
      <c r="F190" s="408" t="s">
        <v>89</v>
      </c>
      <c r="G190" s="412"/>
      <c r="H190" s="409" t="s">
        <v>77</v>
      </c>
      <c r="I190" s="409" t="s">
        <v>522</v>
      </c>
      <c r="J190" s="411">
        <v>189.0</v>
      </c>
    </row>
    <row r="191">
      <c r="A191" s="413"/>
      <c r="B191" s="413"/>
      <c r="C191" s="414"/>
      <c r="D191" s="408" t="s">
        <v>6423</v>
      </c>
      <c r="E191" s="410" t="s">
        <v>6231</v>
      </c>
      <c r="F191" s="408" t="s">
        <v>89</v>
      </c>
      <c r="G191" s="408" t="s">
        <v>230</v>
      </c>
      <c r="H191" s="409" t="s">
        <v>77</v>
      </c>
      <c r="I191" s="409" t="s">
        <v>522</v>
      </c>
      <c r="J191" s="411">
        <v>190.0</v>
      </c>
    </row>
    <row r="192">
      <c r="A192" s="413"/>
      <c r="B192" s="413"/>
      <c r="C192" s="414"/>
      <c r="D192" s="408" t="s">
        <v>6424</v>
      </c>
      <c r="E192" s="410" t="s">
        <v>6231</v>
      </c>
      <c r="F192" s="408" t="s">
        <v>89</v>
      </c>
      <c r="G192" s="408" t="s">
        <v>2318</v>
      </c>
      <c r="H192" s="409" t="s">
        <v>77</v>
      </c>
      <c r="I192" s="409" t="s">
        <v>522</v>
      </c>
      <c r="J192" s="411">
        <v>191.0</v>
      </c>
    </row>
    <row r="193">
      <c r="A193" s="413"/>
      <c r="B193" s="413"/>
      <c r="C193" s="414"/>
      <c r="D193" s="408" t="s">
        <v>6425</v>
      </c>
      <c r="E193" s="410" t="s">
        <v>6231</v>
      </c>
      <c r="F193" s="408" t="s">
        <v>89</v>
      </c>
      <c r="G193" s="408" t="s">
        <v>1214</v>
      </c>
      <c r="H193" s="409" t="s">
        <v>77</v>
      </c>
      <c r="I193" s="409" t="s">
        <v>522</v>
      </c>
      <c r="J193" s="411">
        <v>192.0</v>
      </c>
    </row>
    <row r="194">
      <c r="A194" s="413"/>
      <c r="B194" s="413"/>
      <c r="C194" s="414"/>
      <c r="D194" s="408" t="s">
        <v>6426</v>
      </c>
      <c r="E194" s="410" t="s">
        <v>6231</v>
      </c>
      <c r="F194" s="408" t="s">
        <v>89</v>
      </c>
      <c r="G194" s="408" t="s">
        <v>647</v>
      </c>
      <c r="H194" s="409" t="s">
        <v>77</v>
      </c>
      <c r="I194" s="409" t="s">
        <v>522</v>
      </c>
      <c r="J194" s="411">
        <v>193.0</v>
      </c>
    </row>
    <row r="195">
      <c r="A195" s="413"/>
      <c r="B195" s="413"/>
      <c r="C195" s="414"/>
      <c r="D195" s="408" t="s">
        <v>6427</v>
      </c>
      <c r="E195" s="410" t="s">
        <v>6231</v>
      </c>
      <c r="F195" s="408" t="s">
        <v>89</v>
      </c>
      <c r="G195" s="408" t="s">
        <v>218</v>
      </c>
      <c r="H195" s="409" t="s">
        <v>77</v>
      </c>
      <c r="I195" s="409" t="s">
        <v>522</v>
      </c>
      <c r="J195" s="411">
        <v>194.0</v>
      </c>
    </row>
    <row r="196">
      <c r="A196" s="413"/>
      <c r="B196" s="413"/>
      <c r="C196" s="414"/>
      <c r="D196" s="408" t="s">
        <v>6428</v>
      </c>
      <c r="E196" s="410" t="s">
        <v>6231</v>
      </c>
      <c r="F196" s="408" t="s">
        <v>89</v>
      </c>
      <c r="G196" s="408" t="s">
        <v>218</v>
      </c>
      <c r="H196" s="409" t="s">
        <v>77</v>
      </c>
      <c r="I196" s="409" t="s">
        <v>522</v>
      </c>
      <c r="J196" s="411">
        <v>195.0</v>
      </c>
    </row>
    <row r="197">
      <c r="A197" s="413"/>
      <c r="B197" s="413"/>
      <c r="C197" s="414"/>
      <c r="D197" s="408" t="s">
        <v>6429</v>
      </c>
      <c r="E197" s="410" t="s">
        <v>6231</v>
      </c>
      <c r="F197" s="408" t="s">
        <v>89</v>
      </c>
      <c r="G197" s="408" t="s">
        <v>218</v>
      </c>
      <c r="H197" s="409" t="s">
        <v>77</v>
      </c>
      <c r="I197" s="409" t="s">
        <v>522</v>
      </c>
      <c r="J197" s="411">
        <v>196.0</v>
      </c>
    </row>
    <row r="198">
      <c r="A198" s="413"/>
      <c r="B198" s="413"/>
      <c r="C198" s="414"/>
      <c r="D198" s="408" t="s">
        <v>6430</v>
      </c>
      <c r="E198" s="410" t="s">
        <v>6231</v>
      </c>
      <c r="F198" s="408" t="s">
        <v>89</v>
      </c>
      <c r="G198" s="408" t="s">
        <v>90</v>
      </c>
      <c r="H198" s="409" t="s">
        <v>77</v>
      </c>
      <c r="I198" s="409" t="s">
        <v>522</v>
      </c>
      <c r="J198" s="411">
        <v>197.0</v>
      </c>
    </row>
    <row r="199">
      <c r="A199" s="413"/>
      <c r="B199" s="413"/>
      <c r="C199" s="414"/>
      <c r="D199" s="408" t="s">
        <v>6431</v>
      </c>
      <c r="E199" s="410" t="s">
        <v>6231</v>
      </c>
      <c r="F199" s="408" t="s">
        <v>110</v>
      </c>
      <c r="G199" s="408" t="s">
        <v>1193</v>
      </c>
      <c r="H199" s="409" t="s">
        <v>77</v>
      </c>
      <c r="I199" s="409" t="s">
        <v>522</v>
      </c>
      <c r="J199" s="411">
        <v>198.0</v>
      </c>
    </row>
    <row r="200">
      <c r="A200" s="413"/>
      <c r="B200" s="413"/>
      <c r="C200" s="414"/>
      <c r="D200" s="408" t="s">
        <v>6432</v>
      </c>
      <c r="E200" s="410" t="s">
        <v>6231</v>
      </c>
      <c r="F200" s="408" t="s">
        <v>89</v>
      </c>
      <c r="G200" s="408" t="s">
        <v>374</v>
      </c>
      <c r="H200" s="409" t="s">
        <v>77</v>
      </c>
      <c r="I200" s="409" t="s">
        <v>522</v>
      </c>
      <c r="J200" s="411">
        <v>199.0</v>
      </c>
    </row>
    <row r="201">
      <c r="A201" s="413"/>
      <c r="B201" s="413"/>
      <c r="C201" s="414"/>
      <c r="D201" s="408" t="s">
        <v>6433</v>
      </c>
      <c r="E201" s="410" t="s">
        <v>6231</v>
      </c>
      <c r="F201" s="408" t="s">
        <v>159</v>
      </c>
      <c r="G201" s="408" t="s">
        <v>374</v>
      </c>
      <c r="H201" s="409" t="s">
        <v>77</v>
      </c>
      <c r="I201" s="409" t="s">
        <v>522</v>
      </c>
      <c r="J201" s="411">
        <v>200.0</v>
      </c>
    </row>
    <row r="202">
      <c r="A202" s="413"/>
      <c r="B202" s="413"/>
      <c r="C202" s="414"/>
      <c r="D202" s="408" t="s">
        <v>6434</v>
      </c>
      <c r="E202" s="410" t="s">
        <v>6231</v>
      </c>
      <c r="F202" s="408" t="s">
        <v>89</v>
      </c>
      <c r="G202" s="408" t="s">
        <v>1214</v>
      </c>
      <c r="H202" s="409" t="s">
        <v>77</v>
      </c>
      <c r="I202" s="409" t="s">
        <v>522</v>
      </c>
      <c r="J202" s="411">
        <v>201.0</v>
      </c>
    </row>
    <row r="203">
      <c r="A203" s="413"/>
      <c r="B203" s="413"/>
      <c r="C203" s="414"/>
      <c r="D203" s="408" t="s">
        <v>6435</v>
      </c>
      <c r="E203" s="410" t="s">
        <v>6231</v>
      </c>
      <c r="F203" s="408" t="s">
        <v>89</v>
      </c>
      <c r="G203" s="408" t="s">
        <v>1214</v>
      </c>
      <c r="H203" s="409" t="s">
        <v>77</v>
      </c>
      <c r="I203" s="409" t="s">
        <v>522</v>
      </c>
      <c r="J203" s="411">
        <v>202.0</v>
      </c>
    </row>
    <row r="204">
      <c r="A204" s="413"/>
      <c r="B204" s="413"/>
      <c r="C204" s="414"/>
      <c r="D204" s="408" t="s">
        <v>6436</v>
      </c>
      <c r="E204" s="410" t="s">
        <v>6231</v>
      </c>
      <c r="F204" s="408" t="s">
        <v>89</v>
      </c>
      <c r="G204" s="408" t="s">
        <v>670</v>
      </c>
      <c r="H204" s="409" t="s">
        <v>77</v>
      </c>
      <c r="I204" s="409" t="s">
        <v>522</v>
      </c>
      <c r="J204" s="411">
        <v>203.0</v>
      </c>
    </row>
    <row r="205">
      <c r="A205" s="413"/>
      <c r="B205" s="413"/>
      <c r="C205" s="414"/>
      <c r="D205" s="408" t="s">
        <v>6437</v>
      </c>
      <c r="E205" s="410" t="s">
        <v>6231</v>
      </c>
      <c r="F205" s="408" t="s">
        <v>89</v>
      </c>
      <c r="G205" s="408" t="s">
        <v>90</v>
      </c>
      <c r="H205" s="409" t="s">
        <v>77</v>
      </c>
      <c r="I205" s="409" t="s">
        <v>522</v>
      </c>
      <c r="J205" s="411">
        <v>204.0</v>
      </c>
    </row>
    <row r="206">
      <c r="A206" s="413"/>
      <c r="B206" s="413"/>
      <c r="C206" s="414"/>
      <c r="D206" s="408" t="s">
        <v>6438</v>
      </c>
      <c r="E206" s="410" t="s">
        <v>6231</v>
      </c>
      <c r="F206" s="408" t="s">
        <v>89</v>
      </c>
      <c r="G206" s="408" t="s">
        <v>2304</v>
      </c>
      <c r="H206" s="409" t="s">
        <v>77</v>
      </c>
      <c r="I206" s="409" t="s">
        <v>522</v>
      </c>
      <c r="J206" s="411">
        <v>205.0</v>
      </c>
    </row>
    <row r="207">
      <c r="A207" s="413"/>
      <c r="B207" s="413"/>
      <c r="C207" s="414"/>
      <c r="D207" s="408" t="s">
        <v>6439</v>
      </c>
      <c r="E207" s="410" t="s">
        <v>6231</v>
      </c>
      <c r="F207" s="408" t="s">
        <v>89</v>
      </c>
      <c r="G207" s="408" t="s">
        <v>678</v>
      </c>
      <c r="H207" s="409" t="s">
        <v>77</v>
      </c>
      <c r="I207" s="409" t="s">
        <v>522</v>
      </c>
      <c r="J207" s="411">
        <v>206.0</v>
      </c>
    </row>
    <row r="208">
      <c r="A208" s="413"/>
      <c r="B208" s="413"/>
      <c r="C208" s="414"/>
      <c r="D208" s="408" t="s">
        <v>6440</v>
      </c>
      <c r="E208" s="410" t="s">
        <v>6231</v>
      </c>
      <c r="F208" s="408" t="s">
        <v>89</v>
      </c>
      <c r="G208" s="408" t="s">
        <v>160</v>
      </c>
      <c r="H208" s="409" t="s">
        <v>77</v>
      </c>
      <c r="I208" s="409" t="s">
        <v>522</v>
      </c>
      <c r="J208" s="411">
        <v>207.0</v>
      </c>
    </row>
    <row r="209">
      <c r="A209" s="413"/>
      <c r="B209" s="413"/>
      <c r="C209" s="414"/>
      <c r="D209" s="408" t="s">
        <v>6441</v>
      </c>
      <c r="E209" s="410" t="s">
        <v>6231</v>
      </c>
      <c r="F209" s="408" t="s">
        <v>89</v>
      </c>
      <c r="G209" s="408" t="s">
        <v>4958</v>
      </c>
      <c r="H209" s="409" t="s">
        <v>77</v>
      </c>
      <c r="I209" s="409" t="s">
        <v>522</v>
      </c>
      <c r="J209" s="411">
        <v>208.0</v>
      </c>
    </row>
    <row r="210">
      <c r="A210" s="413"/>
      <c r="B210" s="413"/>
      <c r="C210" s="414"/>
      <c r="D210" s="408" t="s">
        <v>6442</v>
      </c>
      <c r="E210" s="410" t="s">
        <v>6231</v>
      </c>
      <c r="F210" s="408" t="s">
        <v>89</v>
      </c>
      <c r="G210" s="408" t="s">
        <v>1416</v>
      </c>
      <c r="H210" s="409" t="s">
        <v>77</v>
      </c>
      <c r="I210" s="409" t="s">
        <v>522</v>
      </c>
      <c r="J210" s="411">
        <v>209.0</v>
      </c>
    </row>
    <row r="211">
      <c r="A211" s="413"/>
      <c r="B211" s="413"/>
      <c r="C211" s="414"/>
      <c r="D211" s="408" t="s">
        <v>6443</v>
      </c>
      <c r="E211" s="410" t="s">
        <v>6231</v>
      </c>
      <c r="F211" s="408" t="s">
        <v>89</v>
      </c>
      <c r="G211" s="408" t="s">
        <v>218</v>
      </c>
      <c r="H211" s="409" t="s">
        <v>77</v>
      </c>
      <c r="I211" s="409" t="s">
        <v>522</v>
      </c>
      <c r="J211" s="411">
        <v>210.0</v>
      </c>
    </row>
    <row r="212">
      <c r="A212" s="413"/>
      <c r="B212" s="413"/>
      <c r="C212" s="414"/>
      <c r="D212" s="408" t="s">
        <v>6444</v>
      </c>
      <c r="E212" s="410" t="s">
        <v>6231</v>
      </c>
      <c r="F212" s="408" t="s">
        <v>89</v>
      </c>
      <c r="G212" s="408" t="s">
        <v>3312</v>
      </c>
      <c r="H212" s="409" t="s">
        <v>77</v>
      </c>
      <c r="I212" s="409" t="s">
        <v>522</v>
      </c>
      <c r="J212" s="411">
        <v>211.0</v>
      </c>
    </row>
    <row r="213">
      <c r="A213" s="413"/>
      <c r="B213" s="413"/>
      <c r="C213" s="414"/>
      <c r="D213" s="408" t="s">
        <v>6445</v>
      </c>
      <c r="E213" s="410" t="s">
        <v>6231</v>
      </c>
      <c r="F213" s="408" t="s">
        <v>89</v>
      </c>
      <c r="G213" s="412"/>
      <c r="H213" s="409" t="s">
        <v>77</v>
      </c>
      <c r="I213" s="409" t="s">
        <v>522</v>
      </c>
      <c r="J213" s="411">
        <v>212.0</v>
      </c>
    </row>
    <row r="214">
      <c r="A214" s="413"/>
      <c r="B214" s="413"/>
      <c r="C214" s="414"/>
      <c r="D214" s="408" t="s">
        <v>6446</v>
      </c>
      <c r="E214" s="410" t="s">
        <v>6231</v>
      </c>
      <c r="F214" s="408" t="s">
        <v>89</v>
      </c>
      <c r="G214" s="408" t="s">
        <v>2318</v>
      </c>
      <c r="H214" s="409" t="s">
        <v>77</v>
      </c>
      <c r="I214" s="409" t="s">
        <v>522</v>
      </c>
      <c r="J214" s="411">
        <v>213.0</v>
      </c>
    </row>
    <row r="215">
      <c r="A215" s="413"/>
      <c r="B215" s="413"/>
      <c r="C215" s="414"/>
      <c r="D215" s="408" t="s">
        <v>6447</v>
      </c>
      <c r="E215" s="410" t="s">
        <v>6231</v>
      </c>
      <c r="F215" s="408" t="s">
        <v>89</v>
      </c>
      <c r="G215" s="408" t="s">
        <v>2016</v>
      </c>
      <c r="H215" s="409" t="s">
        <v>77</v>
      </c>
      <c r="I215" s="409" t="s">
        <v>522</v>
      </c>
      <c r="J215" s="411">
        <v>214.0</v>
      </c>
    </row>
    <row r="216">
      <c r="A216" s="413"/>
      <c r="B216" s="413"/>
      <c r="C216" s="414"/>
      <c r="D216" s="408" t="s">
        <v>6448</v>
      </c>
      <c r="E216" s="410" t="s">
        <v>6231</v>
      </c>
      <c r="F216" s="408" t="s">
        <v>89</v>
      </c>
      <c r="G216" s="408" t="s">
        <v>1520</v>
      </c>
      <c r="H216" s="409" t="s">
        <v>77</v>
      </c>
      <c r="I216" s="409" t="s">
        <v>522</v>
      </c>
      <c r="J216" s="411">
        <v>215.0</v>
      </c>
    </row>
    <row r="217">
      <c r="A217" s="413"/>
      <c r="B217" s="413"/>
      <c r="C217" s="414"/>
      <c r="D217" s="408" t="s">
        <v>6449</v>
      </c>
      <c r="E217" s="410" t="s">
        <v>6231</v>
      </c>
      <c r="F217" s="408" t="s">
        <v>89</v>
      </c>
      <c r="G217" s="408" t="s">
        <v>374</v>
      </c>
      <c r="H217" s="409" t="s">
        <v>77</v>
      </c>
      <c r="I217" s="409" t="s">
        <v>522</v>
      </c>
      <c r="J217" s="411">
        <v>216.0</v>
      </c>
    </row>
    <row r="218">
      <c r="A218" s="413"/>
      <c r="B218" s="413"/>
      <c r="C218" s="414"/>
      <c r="D218" s="408" t="s">
        <v>6450</v>
      </c>
      <c r="E218" s="410" t="s">
        <v>6231</v>
      </c>
      <c r="F218" s="408" t="s">
        <v>89</v>
      </c>
      <c r="G218" s="408" t="s">
        <v>374</v>
      </c>
      <c r="H218" s="409" t="s">
        <v>77</v>
      </c>
      <c r="I218" s="409" t="s">
        <v>522</v>
      </c>
      <c r="J218" s="411">
        <v>217.0</v>
      </c>
    </row>
    <row r="219">
      <c r="A219" s="413"/>
      <c r="B219" s="413"/>
      <c r="C219" s="414"/>
      <c r="D219" s="408" t="s">
        <v>6451</v>
      </c>
      <c r="E219" s="410" t="s">
        <v>6231</v>
      </c>
      <c r="F219" s="408" t="s">
        <v>77</v>
      </c>
      <c r="G219" s="408" t="s">
        <v>77</v>
      </c>
      <c r="H219" s="409" t="s">
        <v>77</v>
      </c>
      <c r="I219" s="409" t="s">
        <v>522</v>
      </c>
      <c r="J219" s="411">
        <v>218.0</v>
      </c>
    </row>
    <row r="220">
      <c r="A220" s="413"/>
      <c r="B220" s="413"/>
      <c r="C220" s="414"/>
      <c r="D220" s="408" t="s">
        <v>6452</v>
      </c>
      <c r="E220" s="410" t="s">
        <v>6231</v>
      </c>
      <c r="F220" s="408" t="s">
        <v>89</v>
      </c>
      <c r="G220" s="408" t="s">
        <v>5681</v>
      </c>
      <c r="H220" s="409" t="s">
        <v>77</v>
      </c>
      <c r="I220" s="409" t="s">
        <v>522</v>
      </c>
      <c r="J220" s="411">
        <v>219.0</v>
      </c>
    </row>
    <row r="221">
      <c r="A221" s="413"/>
      <c r="B221" s="413"/>
      <c r="C221" s="414"/>
      <c r="D221" s="408" t="s">
        <v>6453</v>
      </c>
      <c r="E221" s="410" t="s">
        <v>6231</v>
      </c>
      <c r="F221" s="408" t="s">
        <v>89</v>
      </c>
      <c r="G221" s="408" t="s">
        <v>678</v>
      </c>
      <c r="H221" s="409" t="s">
        <v>77</v>
      </c>
      <c r="I221" s="409" t="s">
        <v>522</v>
      </c>
      <c r="J221" s="411">
        <v>220.0</v>
      </c>
    </row>
    <row r="222">
      <c r="A222" s="413"/>
      <c r="B222" s="413"/>
      <c r="C222" s="414"/>
      <c r="D222" s="408" t="s">
        <v>6454</v>
      </c>
      <c r="E222" s="410" t="s">
        <v>6231</v>
      </c>
      <c r="F222" s="408" t="s">
        <v>89</v>
      </c>
      <c r="G222" s="408" t="s">
        <v>374</v>
      </c>
      <c r="H222" s="409" t="s">
        <v>77</v>
      </c>
      <c r="I222" s="409" t="s">
        <v>522</v>
      </c>
      <c r="J222" s="411">
        <v>221.0</v>
      </c>
    </row>
    <row r="223">
      <c r="A223" s="413"/>
      <c r="B223" s="413"/>
      <c r="C223" s="414"/>
      <c r="D223" s="408" t="s">
        <v>6455</v>
      </c>
      <c r="E223" s="410" t="s">
        <v>6231</v>
      </c>
      <c r="F223" s="408" t="s">
        <v>89</v>
      </c>
      <c r="G223" s="408" t="s">
        <v>1214</v>
      </c>
      <c r="H223" s="409" t="s">
        <v>77</v>
      </c>
      <c r="I223" s="409" t="s">
        <v>522</v>
      </c>
      <c r="J223" s="411">
        <v>222.0</v>
      </c>
    </row>
    <row r="224">
      <c r="A224" s="413"/>
      <c r="B224" s="413"/>
      <c r="C224" s="414"/>
      <c r="D224" s="408" t="s">
        <v>6456</v>
      </c>
      <c r="E224" s="410" t="s">
        <v>6231</v>
      </c>
      <c r="F224" s="408" t="s">
        <v>89</v>
      </c>
      <c r="G224" s="408" t="s">
        <v>90</v>
      </c>
      <c r="H224" s="409" t="s">
        <v>77</v>
      </c>
      <c r="I224" s="409" t="s">
        <v>522</v>
      </c>
      <c r="J224" s="411">
        <v>223.0</v>
      </c>
    </row>
    <row r="225">
      <c r="A225" s="413"/>
      <c r="B225" s="413"/>
      <c r="C225" s="414"/>
      <c r="D225" s="408" t="s">
        <v>6457</v>
      </c>
      <c r="E225" s="410" t="s">
        <v>6231</v>
      </c>
      <c r="F225" s="408" t="s">
        <v>89</v>
      </c>
      <c r="G225" s="408" t="s">
        <v>1520</v>
      </c>
      <c r="H225" s="409" t="s">
        <v>77</v>
      </c>
      <c r="I225" s="409" t="s">
        <v>522</v>
      </c>
      <c r="J225" s="411">
        <v>224.0</v>
      </c>
    </row>
    <row r="226">
      <c r="A226" s="413"/>
      <c r="B226" s="413"/>
      <c r="C226" s="414"/>
      <c r="D226" s="408" t="s">
        <v>6458</v>
      </c>
      <c r="E226" s="410" t="s">
        <v>6231</v>
      </c>
      <c r="F226" s="408" t="s">
        <v>89</v>
      </c>
      <c r="G226" s="408" t="s">
        <v>160</v>
      </c>
      <c r="H226" s="409" t="s">
        <v>77</v>
      </c>
      <c r="I226" s="409" t="s">
        <v>522</v>
      </c>
      <c r="J226" s="411">
        <v>225.0</v>
      </c>
    </row>
    <row r="227">
      <c r="A227" s="413"/>
      <c r="B227" s="413"/>
      <c r="C227" s="414"/>
      <c r="D227" s="408" t="s">
        <v>6459</v>
      </c>
      <c r="E227" s="410" t="s">
        <v>6231</v>
      </c>
      <c r="F227" s="408" t="s">
        <v>89</v>
      </c>
      <c r="G227" s="412"/>
      <c r="H227" s="409" t="s">
        <v>77</v>
      </c>
      <c r="I227" s="409" t="s">
        <v>522</v>
      </c>
      <c r="J227" s="411">
        <v>226.0</v>
      </c>
    </row>
    <row r="228">
      <c r="A228" s="413"/>
      <c r="B228" s="413"/>
      <c r="C228" s="414"/>
      <c r="D228" s="408" t="s">
        <v>6460</v>
      </c>
      <c r="E228" s="410" t="s">
        <v>6231</v>
      </c>
      <c r="F228" s="408" t="s">
        <v>89</v>
      </c>
      <c r="G228" s="408" t="s">
        <v>5703</v>
      </c>
      <c r="H228" s="409" t="s">
        <v>77</v>
      </c>
      <c r="I228" s="409" t="s">
        <v>522</v>
      </c>
      <c r="J228" s="411">
        <v>227.0</v>
      </c>
    </row>
    <row r="229">
      <c r="A229" s="413"/>
      <c r="B229" s="413"/>
      <c r="C229" s="414"/>
      <c r="D229" s="408" t="s">
        <v>6461</v>
      </c>
      <c r="E229" s="410" t="s">
        <v>6231</v>
      </c>
      <c r="F229" s="408" t="s">
        <v>89</v>
      </c>
      <c r="G229" s="408" t="s">
        <v>1214</v>
      </c>
      <c r="H229" s="409" t="s">
        <v>77</v>
      </c>
      <c r="I229" s="409" t="s">
        <v>522</v>
      </c>
      <c r="J229" s="411">
        <v>228.0</v>
      </c>
    </row>
    <row r="230">
      <c r="A230" s="413"/>
      <c r="B230" s="413"/>
      <c r="C230" s="414"/>
      <c r="D230" s="408" t="s">
        <v>6462</v>
      </c>
      <c r="E230" s="410" t="s">
        <v>6231</v>
      </c>
      <c r="F230" s="408" t="s">
        <v>89</v>
      </c>
      <c r="G230" s="408" t="s">
        <v>4977</v>
      </c>
      <c r="H230" s="409" t="s">
        <v>77</v>
      </c>
      <c r="I230" s="409" t="s">
        <v>522</v>
      </c>
      <c r="J230" s="411">
        <v>229.0</v>
      </c>
    </row>
    <row r="231">
      <c r="A231" s="413"/>
      <c r="B231" s="413"/>
      <c r="C231" s="414"/>
      <c r="D231" s="408" t="s">
        <v>6463</v>
      </c>
      <c r="E231" s="410" t="s">
        <v>6231</v>
      </c>
      <c r="F231" s="408" t="s">
        <v>89</v>
      </c>
      <c r="G231" s="408" t="s">
        <v>218</v>
      </c>
      <c r="H231" s="409" t="s">
        <v>77</v>
      </c>
      <c r="I231" s="409" t="s">
        <v>522</v>
      </c>
      <c r="J231" s="411">
        <v>230.0</v>
      </c>
    </row>
    <row r="232">
      <c r="A232" s="413"/>
      <c r="B232" s="413"/>
      <c r="C232" s="414"/>
      <c r="D232" s="408" t="s">
        <v>6464</v>
      </c>
      <c r="E232" s="410" t="s">
        <v>6231</v>
      </c>
      <c r="F232" s="408" t="s">
        <v>89</v>
      </c>
      <c r="G232" s="408" t="s">
        <v>2016</v>
      </c>
      <c r="H232" s="409" t="s">
        <v>77</v>
      </c>
      <c r="I232" s="409" t="s">
        <v>522</v>
      </c>
      <c r="J232" s="411">
        <v>231.0</v>
      </c>
    </row>
    <row r="233">
      <c r="A233" s="413"/>
      <c r="B233" s="413"/>
      <c r="C233" s="414"/>
      <c r="D233" s="408" t="s">
        <v>6465</v>
      </c>
      <c r="E233" s="410" t="s">
        <v>6231</v>
      </c>
      <c r="F233" s="408" t="s">
        <v>89</v>
      </c>
      <c r="G233" s="408" t="s">
        <v>218</v>
      </c>
      <c r="H233" s="409" t="s">
        <v>77</v>
      </c>
      <c r="I233" s="409" t="s">
        <v>522</v>
      </c>
      <c r="J233" s="411">
        <v>232.0</v>
      </c>
    </row>
    <row r="234">
      <c r="A234" s="413"/>
      <c r="B234" s="413"/>
      <c r="C234" s="414"/>
      <c r="D234" s="408" t="s">
        <v>6466</v>
      </c>
      <c r="E234" s="410" t="s">
        <v>6231</v>
      </c>
      <c r="F234" s="408" t="s">
        <v>89</v>
      </c>
      <c r="G234" s="408" t="s">
        <v>90</v>
      </c>
      <c r="H234" s="409" t="s">
        <v>77</v>
      </c>
      <c r="I234" s="409" t="s">
        <v>522</v>
      </c>
      <c r="J234" s="411">
        <v>233.0</v>
      </c>
    </row>
    <row r="235">
      <c r="A235" s="413"/>
      <c r="B235" s="413"/>
      <c r="C235" s="414"/>
      <c r="D235" s="408" t="s">
        <v>6467</v>
      </c>
      <c r="E235" s="410" t="s">
        <v>6231</v>
      </c>
      <c r="F235" s="408" t="s">
        <v>89</v>
      </c>
      <c r="G235" s="408" t="s">
        <v>418</v>
      </c>
      <c r="H235" s="409" t="s">
        <v>77</v>
      </c>
      <c r="I235" s="409" t="s">
        <v>522</v>
      </c>
      <c r="J235" s="411">
        <v>234.0</v>
      </c>
    </row>
    <row r="236">
      <c r="A236" s="413"/>
      <c r="B236" s="413"/>
      <c r="C236" s="414"/>
      <c r="D236" s="408" t="s">
        <v>6468</v>
      </c>
      <c r="E236" s="410" t="s">
        <v>6231</v>
      </c>
      <c r="F236" s="408" t="s">
        <v>89</v>
      </c>
      <c r="G236" s="408" t="s">
        <v>207</v>
      </c>
      <c r="H236" s="409" t="s">
        <v>77</v>
      </c>
      <c r="I236" s="409" t="s">
        <v>522</v>
      </c>
      <c r="J236" s="411">
        <v>235.0</v>
      </c>
    </row>
    <row r="237">
      <c r="A237" s="413"/>
      <c r="B237" s="413"/>
      <c r="C237" s="414"/>
      <c r="D237" s="408" t="s">
        <v>6469</v>
      </c>
      <c r="E237" s="410" t="s">
        <v>6231</v>
      </c>
      <c r="F237" s="408" t="s">
        <v>89</v>
      </c>
      <c r="G237" s="408" t="s">
        <v>230</v>
      </c>
      <c r="H237" s="409" t="s">
        <v>77</v>
      </c>
      <c r="I237" s="409" t="s">
        <v>522</v>
      </c>
      <c r="J237" s="411">
        <v>236.0</v>
      </c>
    </row>
    <row r="238">
      <c r="A238" s="413"/>
      <c r="B238" s="413"/>
      <c r="C238" s="414"/>
      <c r="D238" s="408" t="s">
        <v>6470</v>
      </c>
      <c r="E238" s="410" t="s">
        <v>6231</v>
      </c>
      <c r="F238" s="408" t="s">
        <v>89</v>
      </c>
      <c r="G238" s="408" t="s">
        <v>4624</v>
      </c>
      <c r="H238" s="409" t="s">
        <v>77</v>
      </c>
      <c r="I238" s="409" t="s">
        <v>522</v>
      </c>
      <c r="J238" s="411">
        <v>237.0</v>
      </c>
    </row>
    <row r="239">
      <c r="A239" s="413"/>
      <c r="B239" s="413"/>
      <c r="C239" s="414"/>
      <c r="D239" s="408" t="s">
        <v>6471</v>
      </c>
      <c r="E239" s="410" t="s">
        <v>6231</v>
      </c>
      <c r="F239" s="408" t="s">
        <v>89</v>
      </c>
      <c r="G239" s="408" t="s">
        <v>230</v>
      </c>
      <c r="H239" s="409" t="s">
        <v>77</v>
      </c>
      <c r="I239" s="409" t="s">
        <v>522</v>
      </c>
      <c r="J239" s="411">
        <v>238.0</v>
      </c>
    </row>
    <row r="240">
      <c r="A240" s="413"/>
      <c r="B240" s="413"/>
      <c r="C240" s="414"/>
      <c r="D240" s="408" t="s">
        <v>6472</v>
      </c>
      <c r="E240" s="410" t="s">
        <v>6231</v>
      </c>
      <c r="F240" s="408" t="s">
        <v>89</v>
      </c>
      <c r="G240" s="408" t="s">
        <v>5711</v>
      </c>
      <c r="H240" s="409" t="s">
        <v>77</v>
      </c>
      <c r="I240" s="409" t="s">
        <v>522</v>
      </c>
      <c r="J240" s="411">
        <v>239.0</v>
      </c>
    </row>
    <row r="241">
      <c r="A241" s="413"/>
      <c r="B241" s="413"/>
      <c r="C241" s="414"/>
      <c r="D241" s="408" t="s">
        <v>6473</v>
      </c>
      <c r="E241" s="410" t="s">
        <v>6231</v>
      </c>
      <c r="F241" s="408" t="s">
        <v>89</v>
      </c>
      <c r="G241" s="408" t="s">
        <v>2329</v>
      </c>
      <c r="H241" s="409" t="s">
        <v>77</v>
      </c>
      <c r="I241" s="409" t="s">
        <v>522</v>
      </c>
      <c r="J241" s="411">
        <v>240.0</v>
      </c>
    </row>
    <row r="242">
      <c r="A242" s="413"/>
      <c r="B242" s="413"/>
      <c r="C242" s="414"/>
      <c r="D242" s="408" t="s">
        <v>6474</v>
      </c>
      <c r="E242" s="410" t="s">
        <v>6231</v>
      </c>
      <c r="F242" s="408" t="s">
        <v>89</v>
      </c>
      <c r="G242" s="408" t="s">
        <v>207</v>
      </c>
      <c r="H242" s="409" t="s">
        <v>77</v>
      </c>
      <c r="I242" s="409" t="s">
        <v>522</v>
      </c>
      <c r="J242" s="411">
        <v>241.0</v>
      </c>
    </row>
    <row r="243">
      <c r="A243" s="413"/>
      <c r="B243" s="413"/>
      <c r="C243" s="414"/>
      <c r="D243" s="408" t="s">
        <v>6475</v>
      </c>
      <c r="E243" s="410" t="s">
        <v>6231</v>
      </c>
      <c r="F243" s="408" t="s">
        <v>89</v>
      </c>
      <c r="G243" s="408" t="s">
        <v>1562</v>
      </c>
      <c r="H243" s="409" t="s">
        <v>77</v>
      </c>
      <c r="I243" s="409" t="s">
        <v>522</v>
      </c>
      <c r="J243" s="411">
        <v>242.0</v>
      </c>
    </row>
    <row r="244">
      <c r="A244" s="413"/>
      <c r="B244" s="413"/>
      <c r="C244" s="414"/>
      <c r="D244" s="408" t="s">
        <v>6476</v>
      </c>
      <c r="E244" s="410" t="s">
        <v>6231</v>
      </c>
      <c r="F244" s="408" t="s">
        <v>89</v>
      </c>
      <c r="G244" s="408" t="s">
        <v>90</v>
      </c>
      <c r="H244" s="409" t="s">
        <v>77</v>
      </c>
      <c r="I244" s="409" t="s">
        <v>522</v>
      </c>
      <c r="J244" s="411">
        <v>243.0</v>
      </c>
    </row>
    <row r="245">
      <c r="A245" s="413"/>
      <c r="B245" s="413"/>
      <c r="C245" s="414"/>
      <c r="D245" s="408" t="s">
        <v>6477</v>
      </c>
      <c r="E245" s="410" t="s">
        <v>6231</v>
      </c>
      <c r="F245" s="408" t="s">
        <v>89</v>
      </c>
      <c r="G245" s="408" t="s">
        <v>218</v>
      </c>
      <c r="H245" s="409" t="s">
        <v>77</v>
      </c>
      <c r="I245" s="409" t="s">
        <v>522</v>
      </c>
      <c r="J245" s="411">
        <v>244.0</v>
      </c>
    </row>
    <row r="246">
      <c r="A246" s="413"/>
      <c r="B246" s="413"/>
      <c r="C246" s="414"/>
      <c r="D246" s="408" t="s">
        <v>6478</v>
      </c>
      <c r="E246" s="410" t="s">
        <v>6231</v>
      </c>
      <c r="F246" s="408" t="s">
        <v>89</v>
      </c>
      <c r="G246" s="408" t="s">
        <v>160</v>
      </c>
      <c r="H246" s="409" t="s">
        <v>77</v>
      </c>
      <c r="I246" s="409" t="s">
        <v>522</v>
      </c>
      <c r="J246" s="411">
        <v>245.0</v>
      </c>
    </row>
    <row r="247">
      <c r="A247" s="413"/>
      <c r="B247" s="413"/>
      <c r="C247" s="414"/>
      <c r="D247" s="408" t="s">
        <v>6479</v>
      </c>
      <c r="E247" s="410" t="s">
        <v>6231</v>
      </c>
      <c r="F247" s="408" t="s">
        <v>89</v>
      </c>
      <c r="G247" s="408" t="s">
        <v>6480</v>
      </c>
      <c r="H247" s="409" t="s">
        <v>77</v>
      </c>
      <c r="I247" s="409" t="s">
        <v>522</v>
      </c>
      <c r="J247" s="411">
        <v>246.0</v>
      </c>
    </row>
    <row r="248">
      <c r="A248" s="413"/>
      <c r="B248" s="413"/>
      <c r="C248" s="414"/>
      <c r="D248" s="408" t="s">
        <v>6481</v>
      </c>
      <c r="E248" s="410" t="s">
        <v>6231</v>
      </c>
      <c r="F248" s="408" t="s">
        <v>89</v>
      </c>
      <c r="G248" s="408" t="s">
        <v>2318</v>
      </c>
      <c r="H248" s="409" t="s">
        <v>77</v>
      </c>
      <c r="I248" s="409" t="s">
        <v>522</v>
      </c>
      <c r="J248" s="411">
        <v>247.0</v>
      </c>
    </row>
    <row r="249">
      <c r="A249" s="413"/>
      <c r="B249" s="413"/>
      <c r="C249" s="414"/>
      <c r="D249" s="408" t="s">
        <v>6482</v>
      </c>
      <c r="E249" s="410" t="s">
        <v>6231</v>
      </c>
      <c r="F249" s="408" t="s">
        <v>89</v>
      </c>
      <c r="G249" s="408" t="s">
        <v>90</v>
      </c>
      <c r="H249" s="409" t="s">
        <v>77</v>
      </c>
      <c r="I249" s="409" t="s">
        <v>522</v>
      </c>
      <c r="J249" s="411">
        <v>248.0</v>
      </c>
    </row>
    <row r="250">
      <c r="A250" s="413"/>
      <c r="B250" s="413"/>
      <c r="C250" s="414"/>
      <c r="D250" s="408" t="s">
        <v>6483</v>
      </c>
      <c r="E250" s="410" t="s">
        <v>6231</v>
      </c>
      <c r="F250" s="408" t="s">
        <v>89</v>
      </c>
      <c r="G250" s="408" t="s">
        <v>5718</v>
      </c>
      <c r="H250" s="409" t="s">
        <v>77</v>
      </c>
      <c r="I250" s="409" t="s">
        <v>522</v>
      </c>
      <c r="J250" s="411">
        <v>249.0</v>
      </c>
    </row>
    <row r="251">
      <c r="A251" s="413"/>
      <c r="B251" s="413"/>
      <c r="C251" s="414"/>
      <c r="D251" s="408" t="s">
        <v>6484</v>
      </c>
      <c r="E251" s="410" t="s">
        <v>6231</v>
      </c>
      <c r="F251" s="408" t="s">
        <v>89</v>
      </c>
      <c r="G251" s="408" t="s">
        <v>374</v>
      </c>
      <c r="H251" s="409" t="s">
        <v>77</v>
      </c>
      <c r="I251" s="409" t="s">
        <v>522</v>
      </c>
      <c r="J251" s="411">
        <v>250.0</v>
      </c>
    </row>
    <row r="252">
      <c r="A252" s="413"/>
      <c r="B252" s="413"/>
      <c r="C252" s="414"/>
      <c r="D252" s="408" t="s">
        <v>6485</v>
      </c>
      <c r="E252" s="410" t="s">
        <v>6231</v>
      </c>
      <c r="F252" s="408" t="s">
        <v>89</v>
      </c>
      <c r="G252" s="408" t="s">
        <v>1214</v>
      </c>
      <c r="H252" s="409" t="s">
        <v>77</v>
      </c>
      <c r="I252" s="409" t="s">
        <v>522</v>
      </c>
      <c r="J252" s="411">
        <v>251.0</v>
      </c>
    </row>
    <row r="253">
      <c r="A253" s="413"/>
      <c r="B253" s="413"/>
      <c r="C253" s="414"/>
      <c r="D253" s="408" t="s">
        <v>6486</v>
      </c>
      <c r="E253" s="410" t="s">
        <v>6231</v>
      </c>
      <c r="F253" s="408" t="s">
        <v>89</v>
      </c>
      <c r="G253" s="408" t="s">
        <v>90</v>
      </c>
      <c r="H253" s="409" t="s">
        <v>77</v>
      </c>
      <c r="I253" s="409" t="s">
        <v>522</v>
      </c>
      <c r="J253" s="411">
        <v>252.0</v>
      </c>
    </row>
    <row r="254">
      <c r="A254" s="413"/>
      <c r="B254" s="413"/>
      <c r="C254" s="414"/>
      <c r="D254" s="408" t="s">
        <v>6487</v>
      </c>
      <c r="E254" s="410" t="s">
        <v>6231</v>
      </c>
      <c r="F254" s="408" t="s">
        <v>89</v>
      </c>
      <c r="G254" s="408" t="s">
        <v>4990</v>
      </c>
      <c r="H254" s="409" t="s">
        <v>77</v>
      </c>
      <c r="I254" s="409" t="s">
        <v>522</v>
      </c>
      <c r="J254" s="411">
        <v>253.0</v>
      </c>
    </row>
    <row r="255">
      <c r="A255" s="413"/>
      <c r="B255" s="413"/>
      <c r="C255" s="414"/>
      <c r="D255" s="408" t="s">
        <v>6488</v>
      </c>
      <c r="E255" s="410" t="s">
        <v>6231</v>
      </c>
      <c r="F255" s="408" t="s">
        <v>89</v>
      </c>
      <c r="G255" s="408" t="s">
        <v>4996</v>
      </c>
      <c r="H255" s="409" t="s">
        <v>77</v>
      </c>
      <c r="I255" s="409" t="s">
        <v>522</v>
      </c>
      <c r="J255" s="411">
        <v>254.0</v>
      </c>
    </row>
    <row r="256">
      <c r="A256" s="413"/>
      <c r="B256" s="413"/>
      <c r="C256" s="414"/>
      <c r="D256" s="408" t="s">
        <v>6489</v>
      </c>
      <c r="E256" s="410" t="s">
        <v>6231</v>
      </c>
      <c r="F256" s="408" t="s">
        <v>89</v>
      </c>
      <c r="G256" s="408" t="s">
        <v>160</v>
      </c>
      <c r="H256" s="409" t="s">
        <v>77</v>
      </c>
      <c r="I256" s="409" t="s">
        <v>522</v>
      </c>
      <c r="J256" s="411">
        <v>255.0</v>
      </c>
    </row>
    <row r="257">
      <c r="A257" s="413"/>
      <c r="B257" s="413"/>
      <c r="C257" s="414"/>
      <c r="D257" s="408" t="s">
        <v>6490</v>
      </c>
      <c r="E257" s="410" t="s">
        <v>6231</v>
      </c>
      <c r="F257" s="408" t="s">
        <v>89</v>
      </c>
      <c r="G257" s="408" t="s">
        <v>3033</v>
      </c>
      <c r="H257" s="409" t="s">
        <v>77</v>
      </c>
      <c r="I257" s="409" t="s">
        <v>522</v>
      </c>
      <c r="J257" s="411">
        <v>256.0</v>
      </c>
    </row>
    <row r="258">
      <c r="A258" s="413"/>
      <c r="B258" s="413"/>
      <c r="C258" s="414"/>
      <c r="D258" s="408" t="s">
        <v>6491</v>
      </c>
      <c r="E258" s="410" t="s">
        <v>6231</v>
      </c>
      <c r="F258" s="408" t="s">
        <v>89</v>
      </c>
      <c r="G258" s="408" t="s">
        <v>1214</v>
      </c>
      <c r="H258" s="409" t="s">
        <v>77</v>
      </c>
      <c r="I258" s="409" t="s">
        <v>522</v>
      </c>
      <c r="J258" s="411">
        <v>257.0</v>
      </c>
    </row>
    <row r="259">
      <c r="A259" s="413"/>
      <c r="B259" s="413"/>
      <c r="C259" s="414"/>
      <c r="D259" s="408" t="s">
        <v>6492</v>
      </c>
      <c r="E259" s="410" t="s">
        <v>6231</v>
      </c>
      <c r="F259" s="408" t="s">
        <v>89</v>
      </c>
      <c r="G259" s="408" t="s">
        <v>207</v>
      </c>
      <c r="H259" s="409" t="s">
        <v>77</v>
      </c>
      <c r="I259" s="409" t="s">
        <v>522</v>
      </c>
      <c r="J259" s="411">
        <v>258.0</v>
      </c>
    </row>
    <row r="260">
      <c r="A260" s="413"/>
      <c r="B260" s="413"/>
      <c r="C260" s="414"/>
      <c r="D260" s="408" t="s">
        <v>6493</v>
      </c>
      <c r="E260" s="410" t="s">
        <v>6231</v>
      </c>
      <c r="F260" s="408" t="s">
        <v>89</v>
      </c>
      <c r="G260" s="408" t="s">
        <v>230</v>
      </c>
      <c r="H260" s="409" t="s">
        <v>77</v>
      </c>
      <c r="I260" s="409" t="s">
        <v>522</v>
      </c>
      <c r="J260" s="411">
        <v>259.0</v>
      </c>
    </row>
    <row r="261">
      <c r="A261" s="413"/>
      <c r="B261" s="413"/>
      <c r="C261" s="414"/>
      <c r="D261" s="408" t="s">
        <v>6494</v>
      </c>
      <c r="E261" s="410" t="s">
        <v>6231</v>
      </c>
      <c r="F261" s="408" t="s">
        <v>89</v>
      </c>
      <c r="G261" s="408" t="s">
        <v>647</v>
      </c>
      <c r="H261" s="409" t="s">
        <v>77</v>
      </c>
      <c r="I261" s="409" t="s">
        <v>522</v>
      </c>
      <c r="J261" s="411">
        <v>260.0</v>
      </c>
    </row>
    <row r="262">
      <c r="A262" s="413"/>
      <c r="B262" s="413"/>
      <c r="C262" s="414"/>
      <c r="D262" s="408" t="s">
        <v>6495</v>
      </c>
      <c r="E262" s="410" t="s">
        <v>6231</v>
      </c>
      <c r="F262" s="408" t="s">
        <v>89</v>
      </c>
      <c r="G262" s="408" t="s">
        <v>678</v>
      </c>
      <c r="H262" s="409" t="s">
        <v>77</v>
      </c>
      <c r="I262" s="409" t="s">
        <v>522</v>
      </c>
      <c r="J262" s="411">
        <v>261.0</v>
      </c>
    </row>
    <row r="263">
      <c r="A263" s="413"/>
      <c r="B263" s="413"/>
      <c r="C263" s="414"/>
      <c r="D263" s="408" t="s">
        <v>6496</v>
      </c>
      <c r="E263" s="410" t="s">
        <v>6231</v>
      </c>
      <c r="F263" s="408" t="s">
        <v>89</v>
      </c>
      <c r="G263" s="408" t="s">
        <v>243</v>
      </c>
      <c r="H263" s="409" t="s">
        <v>77</v>
      </c>
      <c r="I263" s="409" t="s">
        <v>522</v>
      </c>
      <c r="J263" s="411">
        <v>262.0</v>
      </c>
    </row>
    <row r="264">
      <c r="A264" s="413"/>
      <c r="B264" s="413"/>
      <c r="C264" s="414"/>
      <c r="D264" s="408" t="s">
        <v>6497</v>
      </c>
      <c r="E264" s="410" t="s">
        <v>6231</v>
      </c>
      <c r="F264" s="408" t="s">
        <v>89</v>
      </c>
      <c r="G264" s="408" t="s">
        <v>2132</v>
      </c>
      <c r="H264" s="409" t="s">
        <v>77</v>
      </c>
      <c r="I264" s="409" t="s">
        <v>522</v>
      </c>
      <c r="J264" s="411">
        <v>263.0</v>
      </c>
    </row>
    <row r="265">
      <c r="A265" s="413"/>
      <c r="B265" s="413"/>
      <c r="C265" s="414"/>
      <c r="D265" s="408" t="s">
        <v>6498</v>
      </c>
      <c r="E265" s="410" t="s">
        <v>6231</v>
      </c>
      <c r="F265" s="408" t="s">
        <v>89</v>
      </c>
      <c r="G265" s="408" t="s">
        <v>218</v>
      </c>
      <c r="H265" s="409" t="s">
        <v>77</v>
      </c>
      <c r="I265" s="409" t="s">
        <v>522</v>
      </c>
      <c r="J265" s="411">
        <v>264.0</v>
      </c>
    </row>
    <row r="266">
      <c r="A266" s="413"/>
      <c r="B266" s="413"/>
      <c r="C266" s="414"/>
      <c r="D266" s="408" t="s">
        <v>6499</v>
      </c>
      <c r="E266" s="410" t="s">
        <v>6231</v>
      </c>
      <c r="F266" s="408" t="s">
        <v>89</v>
      </c>
      <c r="G266" s="408" t="s">
        <v>2304</v>
      </c>
      <c r="H266" s="409" t="s">
        <v>77</v>
      </c>
      <c r="I266" s="409" t="s">
        <v>522</v>
      </c>
      <c r="J266" s="411">
        <v>265.0</v>
      </c>
    </row>
    <row r="267">
      <c r="A267" s="413"/>
      <c r="B267" s="413"/>
      <c r="C267" s="414"/>
      <c r="D267" s="408" t="s">
        <v>6500</v>
      </c>
      <c r="E267" s="410" t="s">
        <v>6231</v>
      </c>
      <c r="F267" s="408" t="s">
        <v>89</v>
      </c>
      <c r="G267" s="412"/>
      <c r="H267" s="409" t="s">
        <v>77</v>
      </c>
      <c r="I267" s="409" t="s">
        <v>522</v>
      </c>
      <c r="J267" s="411">
        <v>266.0</v>
      </c>
    </row>
    <row r="268">
      <c r="A268" s="413"/>
      <c r="B268" s="413"/>
      <c r="C268" s="414"/>
      <c r="D268" s="408" t="s">
        <v>6501</v>
      </c>
      <c r="E268" s="410" t="s">
        <v>6231</v>
      </c>
      <c r="F268" s="408" t="s">
        <v>89</v>
      </c>
      <c r="G268" s="408" t="s">
        <v>374</v>
      </c>
      <c r="H268" s="409" t="s">
        <v>77</v>
      </c>
      <c r="I268" s="409" t="s">
        <v>522</v>
      </c>
      <c r="J268" s="411">
        <v>267.0</v>
      </c>
    </row>
    <row r="269">
      <c r="A269" s="413"/>
      <c r="B269" s="413"/>
      <c r="C269" s="414"/>
      <c r="D269" s="408" t="s">
        <v>6502</v>
      </c>
      <c r="E269" s="410" t="s">
        <v>6231</v>
      </c>
      <c r="F269" s="408" t="s">
        <v>89</v>
      </c>
      <c r="G269" s="408" t="s">
        <v>1193</v>
      </c>
      <c r="H269" s="409" t="s">
        <v>77</v>
      </c>
      <c r="I269" s="409" t="s">
        <v>522</v>
      </c>
      <c r="J269" s="411">
        <v>268.0</v>
      </c>
    </row>
    <row r="270">
      <c r="A270" s="413"/>
      <c r="B270" s="413"/>
      <c r="C270" s="414"/>
      <c r="D270" s="408" t="s">
        <v>6503</v>
      </c>
      <c r="E270" s="410" t="s">
        <v>6231</v>
      </c>
      <c r="F270" s="408" t="s">
        <v>89</v>
      </c>
      <c r="G270" s="408" t="s">
        <v>3986</v>
      </c>
      <c r="H270" s="409" t="s">
        <v>77</v>
      </c>
      <c r="I270" s="409" t="s">
        <v>522</v>
      </c>
      <c r="J270" s="411">
        <v>269.0</v>
      </c>
    </row>
    <row r="271">
      <c r="A271" s="413"/>
      <c r="B271" s="413"/>
      <c r="C271" s="414"/>
      <c r="D271" s="408" t="s">
        <v>6504</v>
      </c>
      <c r="E271" s="410" t="s">
        <v>6231</v>
      </c>
      <c r="F271" s="408" t="s">
        <v>89</v>
      </c>
      <c r="G271" s="408" t="s">
        <v>374</v>
      </c>
      <c r="H271" s="409" t="s">
        <v>77</v>
      </c>
      <c r="I271" s="409" t="s">
        <v>522</v>
      </c>
      <c r="J271" s="411">
        <v>270.0</v>
      </c>
    </row>
    <row r="272">
      <c r="A272" s="413"/>
      <c r="B272" s="413"/>
      <c r="C272" s="414"/>
      <c r="D272" s="408" t="s">
        <v>6505</v>
      </c>
      <c r="E272" s="410" t="s">
        <v>6231</v>
      </c>
      <c r="F272" s="408" t="s">
        <v>89</v>
      </c>
      <c r="G272" s="408" t="s">
        <v>1826</v>
      </c>
      <c r="H272" s="409" t="s">
        <v>77</v>
      </c>
      <c r="I272" s="409" t="s">
        <v>522</v>
      </c>
      <c r="J272" s="411">
        <v>271.0</v>
      </c>
    </row>
    <row r="273">
      <c r="A273" s="413"/>
      <c r="B273" s="413"/>
      <c r="C273" s="414"/>
      <c r="D273" s="408" t="s">
        <v>6506</v>
      </c>
      <c r="E273" s="410" t="s">
        <v>6231</v>
      </c>
      <c r="F273" s="408" t="s">
        <v>89</v>
      </c>
      <c r="G273" s="408" t="s">
        <v>90</v>
      </c>
      <c r="H273" s="409" t="s">
        <v>77</v>
      </c>
      <c r="I273" s="409" t="s">
        <v>522</v>
      </c>
      <c r="J273" s="411">
        <v>272.0</v>
      </c>
    </row>
    <row r="274">
      <c r="A274" s="413"/>
      <c r="B274" s="413"/>
      <c r="C274" s="414"/>
      <c r="D274" s="408" t="s">
        <v>6507</v>
      </c>
      <c r="E274" s="410" t="s">
        <v>6231</v>
      </c>
      <c r="F274" s="408" t="s">
        <v>89</v>
      </c>
      <c r="G274" s="408" t="s">
        <v>678</v>
      </c>
      <c r="H274" s="409" t="s">
        <v>77</v>
      </c>
      <c r="I274" s="409" t="s">
        <v>522</v>
      </c>
      <c r="J274" s="411">
        <v>273.0</v>
      </c>
    </row>
    <row r="275">
      <c r="A275" s="413"/>
      <c r="B275" s="413"/>
      <c r="C275" s="414"/>
      <c r="D275" s="408" t="s">
        <v>6508</v>
      </c>
      <c r="E275" s="410" t="s">
        <v>6231</v>
      </c>
      <c r="F275" s="408" t="s">
        <v>89</v>
      </c>
      <c r="G275" s="408" t="s">
        <v>207</v>
      </c>
      <c r="H275" s="409" t="s">
        <v>77</v>
      </c>
      <c r="I275" s="409" t="s">
        <v>522</v>
      </c>
      <c r="J275" s="411">
        <v>274.0</v>
      </c>
    </row>
    <row r="276">
      <c r="A276" s="413"/>
      <c r="B276" s="413"/>
      <c r="C276" s="414"/>
      <c r="D276" s="408" t="s">
        <v>6509</v>
      </c>
      <c r="E276" s="410" t="s">
        <v>6231</v>
      </c>
      <c r="F276" s="408" t="s">
        <v>89</v>
      </c>
      <c r="G276" s="408" t="s">
        <v>5007</v>
      </c>
      <c r="H276" s="409" t="s">
        <v>77</v>
      </c>
      <c r="I276" s="409" t="s">
        <v>522</v>
      </c>
      <c r="J276" s="411">
        <v>275.0</v>
      </c>
    </row>
    <row r="277">
      <c r="A277" s="413"/>
      <c r="B277" s="413"/>
      <c r="C277" s="414"/>
      <c r="D277" s="408" t="s">
        <v>6510</v>
      </c>
      <c r="E277" s="410" t="s">
        <v>6231</v>
      </c>
      <c r="F277" s="408" t="s">
        <v>89</v>
      </c>
      <c r="G277" s="408" t="s">
        <v>218</v>
      </c>
      <c r="H277" s="409" t="s">
        <v>77</v>
      </c>
      <c r="I277" s="409" t="s">
        <v>522</v>
      </c>
      <c r="J277" s="411">
        <v>276.0</v>
      </c>
    </row>
    <row r="278">
      <c r="A278" s="413"/>
      <c r="B278" s="413"/>
      <c r="C278" s="414"/>
      <c r="D278" s="408" t="s">
        <v>6511</v>
      </c>
      <c r="E278" s="410" t="s">
        <v>6231</v>
      </c>
      <c r="F278" s="408" t="s">
        <v>89</v>
      </c>
      <c r="G278" s="408" t="s">
        <v>90</v>
      </c>
      <c r="H278" s="409" t="s">
        <v>77</v>
      </c>
      <c r="I278" s="409" t="s">
        <v>522</v>
      </c>
      <c r="J278" s="411">
        <v>277.0</v>
      </c>
    </row>
    <row r="279">
      <c r="A279" s="413"/>
      <c r="B279" s="413"/>
      <c r="C279" s="414"/>
      <c r="D279" s="408" t="s">
        <v>6512</v>
      </c>
      <c r="E279" s="410" t="s">
        <v>6231</v>
      </c>
      <c r="F279" s="408" t="s">
        <v>89</v>
      </c>
      <c r="G279" s="408" t="s">
        <v>374</v>
      </c>
      <c r="H279" s="409" t="s">
        <v>77</v>
      </c>
      <c r="I279" s="409" t="s">
        <v>522</v>
      </c>
      <c r="J279" s="411">
        <v>278.0</v>
      </c>
    </row>
    <row r="280">
      <c r="A280" s="413"/>
      <c r="B280" s="413"/>
      <c r="C280" s="414"/>
      <c r="D280" s="408" t="s">
        <v>6513</v>
      </c>
      <c r="E280" s="410" t="s">
        <v>6231</v>
      </c>
      <c r="F280" s="408" t="s">
        <v>89</v>
      </c>
      <c r="G280" s="408" t="s">
        <v>374</v>
      </c>
      <c r="H280" s="409" t="s">
        <v>77</v>
      </c>
      <c r="I280" s="409" t="s">
        <v>522</v>
      </c>
      <c r="J280" s="411">
        <v>279.0</v>
      </c>
    </row>
    <row r="281">
      <c r="A281" s="413"/>
      <c r="B281" s="413"/>
      <c r="C281" s="414"/>
      <c r="D281" s="408" t="s">
        <v>6514</v>
      </c>
      <c r="E281" s="410" t="s">
        <v>6231</v>
      </c>
      <c r="F281" s="408" t="s">
        <v>89</v>
      </c>
      <c r="G281" s="408" t="s">
        <v>230</v>
      </c>
      <c r="H281" s="409" t="s">
        <v>77</v>
      </c>
      <c r="I281" s="409" t="s">
        <v>522</v>
      </c>
      <c r="J281" s="411">
        <v>280.0</v>
      </c>
    </row>
    <row r="282">
      <c r="A282" s="413"/>
      <c r="B282" s="413"/>
      <c r="C282" s="414"/>
      <c r="D282" s="408" t="s">
        <v>6515</v>
      </c>
      <c r="E282" s="410" t="s">
        <v>6231</v>
      </c>
      <c r="F282" s="408" t="s">
        <v>89</v>
      </c>
      <c r="G282" s="408" t="s">
        <v>374</v>
      </c>
      <c r="H282" s="409" t="s">
        <v>77</v>
      </c>
      <c r="I282" s="409" t="s">
        <v>522</v>
      </c>
      <c r="J282" s="411">
        <v>281.0</v>
      </c>
    </row>
    <row r="283">
      <c r="A283" s="413"/>
      <c r="B283" s="413"/>
      <c r="C283" s="414"/>
      <c r="D283" s="408" t="s">
        <v>6516</v>
      </c>
      <c r="E283" s="410" t="s">
        <v>6231</v>
      </c>
      <c r="F283" s="408" t="s">
        <v>89</v>
      </c>
      <c r="G283" s="408" t="s">
        <v>795</v>
      </c>
      <c r="H283" s="409" t="s">
        <v>77</v>
      </c>
      <c r="I283" s="409" t="s">
        <v>522</v>
      </c>
      <c r="J283" s="411">
        <v>282.0</v>
      </c>
    </row>
    <row r="284">
      <c r="A284" s="413"/>
      <c r="B284" s="413"/>
      <c r="C284" s="414"/>
      <c r="D284" s="408" t="s">
        <v>6517</v>
      </c>
      <c r="E284" s="410" t="s">
        <v>6231</v>
      </c>
      <c r="F284" s="408" t="s">
        <v>89</v>
      </c>
      <c r="G284" s="408" t="s">
        <v>5380</v>
      </c>
      <c r="H284" s="409" t="s">
        <v>77</v>
      </c>
      <c r="I284" s="409" t="s">
        <v>522</v>
      </c>
      <c r="J284" s="411">
        <v>283.0</v>
      </c>
    </row>
    <row r="285">
      <c r="A285" s="413"/>
      <c r="B285" s="413"/>
      <c r="C285" s="414"/>
      <c r="D285" s="408" t="s">
        <v>6518</v>
      </c>
      <c r="E285" s="410" t="s">
        <v>6231</v>
      </c>
      <c r="F285" s="408" t="s">
        <v>89</v>
      </c>
      <c r="G285" s="408" t="s">
        <v>1562</v>
      </c>
      <c r="H285" s="409" t="s">
        <v>77</v>
      </c>
      <c r="I285" s="409" t="s">
        <v>522</v>
      </c>
      <c r="J285" s="411">
        <v>284.0</v>
      </c>
    </row>
    <row r="286">
      <c r="A286" s="413"/>
      <c r="B286" s="413"/>
      <c r="C286" s="414"/>
      <c r="D286" s="408" t="s">
        <v>6519</v>
      </c>
      <c r="E286" s="410" t="s">
        <v>6231</v>
      </c>
      <c r="F286" s="408" t="s">
        <v>89</v>
      </c>
      <c r="G286" s="408" t="s">
        <v>1214</v>
      </c>
      <c r="H286" s="409" t="s">
        <v>77</v>
      </c>
      <c r="I286" s="409" t="s">
        <v>522</v>
      </c>
      <c r="J286" s="411">
        <v>285.0</v>
      </c>
    </row>
    <row r="287">
      <c r="A287" s="413"/>
      <c r="B287" s="413"/>
      <c r="C287" s="414"/>
      <c r="D287" s="408" t="s">
        <v>6520</v>
      </c>
      <c r="E287" s="410" t="s">
        <v>6231</v>
      </c>
      <c r="F287" s="408" t="s">
        <v>89</v>
      </c>
      <c r="G287" s="408" t="s">
        <v>90</v>
      </c>
      <c r="H287" s="409" t="s">
        <v>77</v>
      </c>
      <c r="I287" s="409" t="s">
        <v>522</v>
      </c>
      <c r="J287" s="411">
        <v>286.0</v>
      </c>
    </row>
    <row r="288">
      <c r="A288" s="413"/>
      <c r="B288" s="413"/>
      <c r="C288" s="414"/>
      <c r="D288" s="408" t="s">
        <v>6521</v>
      </c>
      <c r="E288" s="410" t="s">
        <v>6231</v>
      </c>
      <c r="F288" s="408" t="s">
        <v>89</v>
      </c>
      <c r="G288" s="408" t="s">
        <v>160</v>
      </c>
      <c r="H288" s="409" t="s">
        <v>77</v>
      </c>
      <c r="I288" s="409" t="s">
        <v>522</v>
      </c>
      <c r="J288" s="411">
        <v>287.0</v>
      </c>
    </row>
    <row r="289">
      <c r="A289" s="413"/>
      <c r="B289" s="413"/>
      <c r="C289" s="414"/>
      <c r="D289" s="408" t="s">
        <v>6522</v>
      </c>
      <c r="E289" s="410" t="s">
        <v>6231</v>
      </c>
      <c r="F289" s="408" t="s">
        <v>89</v>
      </c>
      <c r="G289" s="408" t="s">
        <v>160</v>
      </c>
      <c r="H289" s="409" t="s">
        <v>77</v>
      </c>
      <c r="I289" s="409" t="s">
        <v>522</v>
      </c>
      <c r="J289" s="411">
        <v>288.0</v>
      </c>
    </row>
    <row r="290">
      <c r="A290" s="413"/>
      <c r="B290" s="413"/>
      <c r="C290" s="414"/>
      <c r="D290" s="408" t="s">
        <v>6523</v>
      </c>
      <c r="E290" s="410" t="s">
        <v>6231</v>
      </c>
      <c r="F290" s="408" t="s">
        <v>89</v>
      </c>
      <c r="G290" s="408" t="s">
        <v>2016</v>
      </c>
      <c r="H290" s="409" t="s">
        <v>77</v>
      </c>
      <c r="I290" s="409" t="s">
        <v>522</v>
      </c>
      <c r="J290" s="411">
        <v>289.0</v>
      </c>
    </row>
    <row r="291">
      <c r="A291" s="413"/>
      <c r="B291" s="413"/>
      <c r="C291" s="414"/>
      <c r="D291" s="408" t="s">
        <v>6524</v>
      </c>
      <c r="E291" s="410" t="s">
        <v>6231</v>
      </c>
      <c r="F291" s="408" t="s">
        <v>89</v>
      </c>
      <c r="G291" s="408" t="s">
        <v>90</v>
      </c>
      <c r="H291" s="409" t="s">
        <v>77</v>
      </c>
      <c r="I291" s="409" t="s">
        <v>522</v>
      </c>
      <c r="J291" s="411">
        <v>290.0</v>
      </c>
    </row>
    <row r="292">
      <c r="A292" s="413"/>
      <c r="B292" s="413"/>
      <c r="C292" s="414"/>
      <c r="D292" s="408" t="s">
        <v>6525</v>
      </c>
      <c r="E292" s="410" t="s">
        <v>6231</v>
      </c>
      <c r="F292" s="408" t="s">
        <v>89</v>
      </c>
      <c r="G292" s="408" t="s">
        <v>795</v>
      </c>
      <c r="H292" s="409" t="s">
        <v>77</v>
      </c>
      <c r="I292" s="409" t="s">
        <v>522</v>
      </c>
      <c r="J292" s="411">
        <v>291.0</v>
      </c>
    </row>
    <row r="293">
      <c r="A293" s="413"/>
      <c r="B293" s="413"/>
      <c r="C293" s="414"/>
      <c r="D293" s="408" t="s">
        <v>6526</v>
      </c>
      <c r="E293" s="410" t="s">
        <v>6231</v>
      </c>
      <c r="F293" s="408" t="s">
        <v>89</v>
      </c>
      <c r="G293" s="408" t="s">
        <v>640</v>
      </c>
      <c r="H293" s="409" t="s">
        <v>77</v>
      </c>
      <c r="I293" s="409" t="s">
        <v>522</v>
      </c>
      <c r="J293" s="411">
        <v>292.0</v>
      </c>
    </row>
    <row r="294">
      <c r="A294" s="413"/>
      <c r="B294" s="413"/>
      <c r="C294" s="414"/>
      <c r="D294" s="408" t="s">
        <v>6527</v>
      </c>
      <c r="E294" s="410" t="s">
        <v>6231</v>
      </c>
      <c r="F294" s="408" t="s">
        <v>89</v>
      </c>
      <c r="G294" s="408" t="s">
        <v>795</v>
      </c>
      <c r="H294" s="409" t="s">
        <v>77</v>
      </c>
      <c r="I294" s="409" t="s">
        <v>522</v>
      </c>
      <c r="J294" s="411">
        <v>293.0</v>
      </c>
    </row>
    <row r="295">
      <c r="A295" s="413"/>
      <c r="B295" s="413"/>
      <c r="C295" s="414"/>
      <c r="D295" s="408" t="s">
        <v>6528</v>
      </c>
      <c r="E295" s="410" t="s">
        <v>6231</v>
      </c>
      <c r="F295" s="408" t="s">
        <v>89</v>
      </c>
      <c r="G295" s="408" t="s">
        <v>90</v>
      </c>
      <c r="H295" s="409" t="s">
        <v>77</v>
      </c>
      <c r="I295" s="409" t="s">
        <v>522</v>
      </c>
      <c r="J295" s="411">
        <v>294.0</v>
      </c>
    </row>
    <row r="296">
      <c r="A296" s="413"/>
      <c r="B296" s="413"/>
      <c r="C296" s="414"/>
      <c r="D296" s="408" t="s">
        <v>6529</v>
      </c>
      <c r="E296" s="410" t="s">
        <v>6231</v>
      </c>
      <c r="F296" s="408" t="s">
        <v>89</v>
      </c>
      <c r="G296" s="408" t="s">
        <v>90</v>
      </c>
      <c r="H296" s="409" t="s">
        <v>77</v>
      </c>
      <c r="I296" s="409" t="s">
        <v>522</v>
      </c>
      <c r="J296" s="411">
        <v>295.0</v>
      </c>
    </row>
    <row r="297">
      <c r="A297" s="413"/>
      <c r="B297" s="413"/>
      <c r="C297" s="414"/>
      <c r="D297" s="408" t="s">
        <v>6530</v>
      </c>
      <c r="E297" s="410" t="s">
        <v>6231</v>
      </c>
      <c r="F297" s="408" t="s">
        <v>89</v>
      </c>
      <c r="G297" s="408" t="s">
        <v>374</v>
      </c>
      <c r="H297" s="409" t="s">
        <v>77</v>
      </c>
      <c r="I297" s="409" t="s">
        <v>522</v>
      </c>
      <c r="J297" s="411">
        <v>296.0</v>
      </c>
    </row>
    <row r="298">
      <c r="A298" s="413"/>
      <c r="B298" s="413"/>
      <c r="C298" s="414"/>
      <c r="D298" s="408" t="s">
        <v>6531</v>
      </c>
      <c r="E298" s="410" t="s">
        <v>6231</v>
      </c>
      <c r="F298" s="408" t="s">
        <v>89</v>
      </c>
      <c r="G298" s="412"/>
      <c r="H298" s="409" t="s">
        <v>77</v>
      </c>
      <c r="I298" s="409" t="s">
        <v>522</v>
      </c>
      <c r="J298" s="411">
        <v>297.0</v>
      </c>
    </row>
    <row r="299">
      <c r="A299" s="413"/>
      <c r="B299" s="413"/>
      <c r="C299" s="414"/>
      <c r="D299" s="408" t="s">
        <v>6532</v>
      </c>
      <c r="E299" s="410" t="s">
        <v>6231</v>
      </c>
      <c r="F299" s="408" t="s">
        <v>89</v>
      </c>
      <c r="G299" s="408" t="s">
        <v>218</v>
      </c>
      <c r="H299" s="409" t="s">
        <v>77</v>
      </c>
      <c r="I299" s="409" t="s">
        <v>522</v>
      </c>
      <c r="J299" s="411">
        <v>298.0</v>
      </c>
    </row>
    <row r="300">
      <c r="A300" s="413"/>
      <c r="B300" s="413"/>
      <c r="C300" s="414"/>
      <c r="D300" s="408" t="s">
        <v>6533</v>
      </c>
      <c r="E300" s="410" t="s">
        <v>6231</v>
      </c>
      <c r="F300" s="408" t="s">
        <v>89</v>
      </c>
      <c r="G300" s="408" t="s">
        <v>374</v>
      </c>
      <c r="H300" s="409" t="s">
        <v>77</v>
      </c>
      <c r="I300" s="409" t="s">
        <v>522</v>
      </c>
      <c r="J300" s="411">
        <v>299.0</v>
      </c>
    </row>
    <row r="301">
      <c r="A301" s="413"/>
      <c r="B301" s="413"/>
      <c r="C301" s="414"/>
      <c r="D301" s="408" t="s">
        <v>6534</v>
      </c>
      <c r="E301" s="410" t="s">
        <v>6231</v>
      </c>
      <c r="F301" s="408" t="s">
        <v>89</v>
      </c>
      <c r="G301" s="408" t="s">
        <v>1214</v>
      </c>
      <c r="H301" s="409" t="s">
        <v>77</v>
      </c>
      <c r="I301" s="409" t="s">
        <v>522</v>
      </c>
      <c r="J301" s="411">
        <v>300.0</v>
      </c>
    </row>
    <row r="302">
      <c r="A302" s="413"/>
      <c r="B302" s="413"/>
      <c r="C302" s="414"/>
      <c r="D302" s="408" t="s">
        <v>6535</v>
      </c>
      <c r="E302" s="410" t="s">
        <v>6231</v>
      </c>
      <c r="F302" s="408" t="s">
        <v>89</v>
      </c>
      <c r="G302" s="408" t="s">
        <v>90</v>
      </c>
      <c r="H302" s="409" t="s">
        <v>77</v>
      </c>
      <c r="I302" s="409" t="s">
        <v>522</v>
      </c>
      <c r="J302" s="411">
        <v>301.0</v>
      </c>
    </row>
    <row r="303">
      <c r="A303" s="413"/>
      <c r="B303" s="413"/>
      <c r="C303" s="414"/>
      <c r="D303" s="408" t="s">
        <v>6536</v>
      </c>
      <c r="E303" s="410" t="s">
        <v>6231</v>
      </c>
      <c r="F303" s="408" t="s">
        <v>89</v>
      </c>
      <c r="G303" s="408" t="s">
        <v>1214</v>
      </c>
      <c r="H303" s="409" t="s">
        <v>77</v>
      </c>
      <c r="I303" s="409" t="s">
        <v>522</v>
      </c>
      <c r="J303" s="411">
        <v>302.0</v>
      </c>
    </row>
    <row r="304">
      <c r="A304" s="413"/>
      <c r="B304" s="413"/>
      <c r="C304" s="414"/>
      <c r="D304" s="408" t="s">
        <v>6537</v>
      </c>
      <c r="E304" s="410" t="s">
        <v>6231</v>
      </c>
      <c r="F304" s="408" t="s">
        <v>89</v>
      </c>
      <c r="G304" s="408" t="s">
        <v>3082</v>
      </c>
      <c r="H304" s="409" t="s">
        <v>77</v>
      </c>
      <c r="I304" s="409" t="s">
        <v>522</v>
      </c>
      <c r="J304" s="411">
        <v>303.0</v>
      </c>
    </row>
    <row r="305">
      <c r="A305" s="413"/>
      <c r="B305" s="413"/>
      <c r="C305" s="414"/>
      <c r="D305" s="408" t="s">
        <v>6538</v>
      </c>
      <c r="E305" s="410" t="s">
        <v>6231</v>
      </c>
      <c r="F305" s="408" t="s">
        <v>89</v>
      </c>
      <c r="G305" s="408" t="s">
        <v>3148</v>
      </c>
      <c r="H305" s="409" t="s">
        <v>77</v>
      </c>
      <c r="I305" s="409" t="s">
        <v>522</v>
      </c>
      <c r="J305" s="411">
        <v>304.0</v>
      </c>
    </row>
    <row r="306">
      <c r="A306" s="413"/>
      <c r="B306" s="413"/>
      <c r="C306" s="414"/>
      <c r="D306" s="408" t="s">
        <v>6539</v>
      </c>
      <c r="E306" s="410" t="s">
        <v>6231</v>
      </c>
      <c r="F306" s="408" t="s">
        <v>89</v>
      </c>
      <c r="G306" s="408" t="s">
        <v>207</v>
      </c>
      <c r="H306" s="409" t="s">
        <v>77</v>
      </c>
      <c r="I306" s="409" t="s">
        <v>522</v>
      </c>
      <c r="J306" s="411">
        <v>305.0</v>
      </c>
    </row>
    <row r="307">
      <c r="A307" s="413"/>
      <c r="B307" s="413"/>
      <c r="C307" s="414"/>
      <c r="D307" s="408" t="s">
        <v>6540</v>
      </c>
      <c r="E307" s="410" t="s">
        <v>6231</v>
      </c>
      <c r="F307" s="408" t="s">
        <v>89</v>
      </c>
      <c r="G307" s="408" t="s">
        <v>374</v>
      </c>
      <c r="H307" s="409" t="s">
        <v>77</v>
      </c>
      <c r="I307" s="409" t="s">
        <v>522</v>
      </c>
      <c r="J307" s="411">
        <v>306.0</v>
      </c>
    </row>
    <row r="308">
      <c r="A308" s="413"/>
      <c r="B308" s="413"/>
      <c r="C308" s="414"/>
      <c r="D308" s="408" t="s">
        <v>6541</v>
      </c>
      <c r="E308" s="410" t="s">
        <v>6231</v>
      </c>
      <c r="F308" s="408" t="s">
        <v>89</v>
      </c>
      <c r="G308" s="408" t="s">
        <v>795</v>
      </c>
      <c r="H308" s="409" t="s">
        <v>77</v>
      </c>
      <c r="I308" s="409" t="s">
        <v>522</v>
      </c>
      <c r="J308" s="411">
        <v>307.0</v>
      </c>
    </row>
    <row r="309">
      <c r="A309" s="413"/>
      <c r="B309" s="413"/>
      <c r="C309" s="414"/>
      <c r="D309" s="408" t="s">
        <v>6542</v>
      </c>
      <c r="E309" s="410" t="s">
        <v>6231</v>
      </c>
      <c r="F309" s="408" t="s">
        <v>89</v>
      </c>
      <c r="G309" s="408" t="s">
        <v>160</v>
      </c>
      <c r="H309" s="409" t="s">
        <v>77</v>
      </c>
      <c r="I309" s="409" t="s">
        <v>522</v>
      </c>
      <c r="J309" s="411">
        <v>308.0</v>
      </c>
    </row>
    <row r="310">
      <c r="A310" s="413"/>
      <c r="B310" s="413"/>
      <c r="C310" s="414"/>
      <c r="D310" s="408" t="s">
        <v>6543</v>
      </c>
      <c r="E310" s="410" t="s">
        <v>6231</v>
      </c>
      <c r="F310" s="408" t="s">
        <v>89</v>
      </c>
      <c r="G310" s="408" t="s">
        <v>90</v>
      </c>
      <c r="H310" s="409" t="s">
        <v>77</v>
      </c>
      <c r="I310" s="409" t="s">
        <v>522</v>
      </c>
      <c r="J310" s="411">
        <v>309.0</v>
      </c>
    </row>
    <row r="311">
      <c r="A311" s="413"/>
      <c r="B311" s="413"/>
      <c r="C311" s="414"/>
      <c r="D311" s="408" t="s">
        <v>6544</v>
      </c>
      <c r="E311" s="410" t="s">
        <v>6231</v>
      </c>
      <c r="F311" s="408" t="s">
        <v>89</v>
      </c>
      <c r="G311" s="408" t="s">
        <v>2030</v>
      </c>
      <c r="H311" s="409" t="s">
        <v>77</v>
      </c>
      <c r="I311" s="409" t="s">
        <v>522</v>
      </c>
      <c r="J311" s="411">
        <v>310.0</v>
      </c>
    </row>
    <row r="312">
      <c r="A312" s="413"/>
      <c r="B312" s="413"/>
      <c r="C312" s="414"/>
      <c r="D312" s="408" t="s">
        <v>6545</v>
      </c>
      <c r="E312" s="410" t="s">
        <v>6231</v>
      </c>
      <c r="F312" s="408" t="s">
        <v>89</v>
      </c>
      <c r="G312" s="408" t="s">
        <v>337</v>
      </c>
      <c r="H312" s="409" t="s">
        <v>77</v>
      </c>
      <c r="I312" s="409" t="s">
        <v>522</v>
      </c>
      <c r="J312" s="411">
        <v>311.0</v>
      </c>
    </row>
    <row r="313">
      <c r="A313" s="413"/>
      <c r="B313" s="413"/>
      <c r="C313" s="414"/>
      <c r="D313" s="408" t="s">
        <v>6546</v>
      </c>
      <c r="E313" s="410" t="s">
        <v>6231</v>
      </c>
      <c r="F313" s="408" t="s">
        <v>89</v>
      </c>
      <c r="G313" s="408" t="s">
        <v>2304</v>
      </c>
      <c r="H313" s="409" t="s">
        <v>77</v>
      </c>
      <c r="I313" s="409" t="s">
        <v>522</v>
      </c>
      <c r="J313" s="411">
        <v>312.0</v>
      </c>
    </row>
    <row r="314">
      <c r="A314" s="413"/>
      <c r="B314" s="413"/>
      <c r="C314" s="414"/>
      <c r="D314" s="408" t="s">
        <v>6547</v>
      </c>
      <c r="E314" s="410" t="s">
        <v>6231</v>
      </c>
      <c r="F314" s="408" t="s">
        <v>285</v>
      </c>
      <c r="G314" s="412"/>
      <c r="H314" s="409" t="s">
        <v>77</v>
      </c>
      <c r="I314" s="409" t="s">
        <v>522</v>
      </c>
      <c r="J314" s="411">
        <v>313.0</v>
      </c>
    </row>
    <row r="315">
      <c r="A315" s="413"/>
      <c r="B315" s="413"/>
      <c r="C315" s="414"/>
      <c r="D315" s="408" t="s">
        <v>6548</v>
      </c>
      <c r="E315" s="410" t="s">
        <v>6231</v>
      </c>
      <c r="F315" s="408" t="s">
        <v>89</v>
      </c>
      <c r="G315" s="412"/>
      <c r="H315" s="409" t="s">
        <v>77</v>
      </c>
      <c r="I315" s="409" t="s">
        <v>522</v>
      </c>
      <c r="J315" s="411">
        <v>314.0</v>
      </c>
    </row>
    <row r="316">
      <c r="A316" s="413"/>
      <c r="B316" s="413"/>
      <c r="C316" s="414"/>
      <c r="D316" s="408" t="s">
        <v>6549</v>
      </c>
      <c r="E316" s="410" t="s">
        <v>6231</v>
      </c>
      <c r="F316" s="408" t="s">
        <v>89</v>
      </c>
      <c r="G316" s="412"/>
      <c r="H316" s="409" t="s">
        <v>77</v>
      </c>
      <c r="I316" s="409" t="s">
        <v>522</v>
      </c>
      <c r="J316" s="411">
        <v>315.0</v>
      </c>
    </row>
    <row r="317">
      <c r="A317" s="413"/>
      <c r="B317" s="413"/>
      <c r="C317" s="414"/>
      <c r="D317" s="408" t="s">
        <v>6550</v>
      </c>
      <c r="E317" s="410" t="s">
        <v>6231</v>
      </c>
      <c r="F317" s="408" t="s">
        <v>89</v>
      </c>
      <c r="G317" s="408" t="s">
        <v>6551</v>
      </c>
      <c r="H317" s="409" t="s">
        <v>77</v>
      </c>
      <c r="I317" s="409" t="s">
        <v>522</v>
      </c>
      <c r="J317" s="411">
        <v>316.0</v>
      </c>
    </row>
    <row r="318">
      <c r="A318" s="413"/>
      <c r="B318" s="413"/>
      <c r="C318" s="414"/>
      <c r="D318" s="408" t="s">
        <v>6552</v>
      </c>
      <c r="E318" s="410" t="s">
        <v>6231</v>
      </c>
      <c r="F318" s="408" t="s">
        <v>89</v>
      </c>
      <c r="G318" s="408" t="s">
        <v>2398</v>
      </c>
      <c r="H318" s="409" t="s">
        <v>77</v>
      </c>
      <c r="I318" s="409" t="s">
        <v>522</v>
      </c>
      <c r="J318" s="411">
        <v>317.0</v>
      </c>
    </row>
    <row r="319">
      <c r="A319" s="413"/>
      <c r="B319" s="413"/>
      <c r="C319" s="414"/>
      <c r="D319" s="408" t="s">
        <v>6553</v>
      </c>
      <c r="E319" s="410" t="s">
        <v>6231</v>
      </c>
      <c r="F319" s="408" t="s">
        <v>89</v>
      </c>
      <c r="G319" s="408" t="s">
        <v>6554</v>
      </c>
      <c r="H319" s="409" t="s">
        <v>77</v>
      </c>
      <c r="I319" s="409" t="s">
        <v>522</v>
      </c>
      <c r="J319" s="411">
        <v>318.0</v>
      </c>
    </row>
    <row r="320">
      <c r="A320" s="413"/>
      <c r="B320" s="413"/>
      <c r="C320" s="414"/>
      <c r="D320" s="408" t="s">
        <v>6555</v>
      </c>
      <c r="E320" s="410" t="s">
        <v>6231</v>
      </c>
      <c r="F320" s="408" t="s">
        <v>89</v>
      </c>
      <c r="G320" s="408" t="s">
        <v>160</v>
      </c>
      <c r="H320" s="409" t="s">
        <v>77</v>
      </c>
      <c r="I320" s="409" t="s">
        <v>522</v>
      </c>
      <c r="J320" s="411">
        <v>319.0</v>
      </c>
    </row>
    <row r="321">
      <c r="A321" s="413"/>
      <c r="B321" s="413"/>
      <c r="C321" s="414"/>
      <c r="D321" s="408" t="s">
        <v>6556</v>
      </c>
      <c r="E321" s="410" t="s">
        <v>6231</v>
      </c>
      <c r="F321" s="408" t="s">
        <v>89</v>
      </c>
      <c r="G321" s="408" t="s">
        <v>160</v>
      </c>
      <c r="H321" s="409" t="s">
        <v>77</v>
      </c>
      <c r="I321" s="409" t="s">
        <v>522</v>
      </c>
      <c r="J321" s="411">
        <v>320.0</v>
      </c>
    </row>
    <row r="322">
      <c r="A322" s="413"/>
      <c r="B322" s="413"/>
      <c r="C322" s="414"/>
      <c r="D322" s="408" t="s">
        <v>6557</v>
      </c>
      <c r="E322" s="410" t="s">
        <v>6231</v>
      </c>
      <c r="F322" s="408" t="s">
        <v>89</v>
      </c>
      <c r="G322" s="408" t="s">
        <v>218</v>
      </c>
      <c r="H322" s="409" t="s">
        <v>77</v>
      </c>
      <c r="I322" s="409" t="s">
        <v>522</v>
      </c>
      <c r="J322" s="411">
        <v>321.0</v>
      </c>
    </row>
    <row r="323">
      <c r="A323" s="413"/>
      <c r="B323" s="413"/>
      <c r="C323" s="414"/>
      <c r="D323" s="408" t="s">
        <v>6558</v>
      </c>
      <c r="E323" s="410" t="s">
        <v>6231</v>
      </c>
      <c r="F323" s="408" t="s">
        <v>89</v>
      </c>
      <c r="G323" s="408" t="s">
        <v>63</v>
      </c>
      <c r="H323" s="409" t="s">
        <v>77</v>
      </c>
      <c r="I323" s="409" t="s">
        <v>522</v>
      </c>
      <c r="J323" s="411">
        <v>322.0</v>
      </c>
    </row>
    <row r="324">
      <c r="A324" s="413"/>
      <c r="B324" s="413"/>
      <c r="C324" s="414"/>
      <c r="D324" s="408" t="s">
        <v>6559</v>
      </c>
      <c r="E324" s="410" t="s">
        <v>6231</v>
      </c>
      <c r="F324" s="408" t="s">
        <v>89</v>
      </c>
      <c r="G324" s="408" t="s">
        <v>90</v>
      </c>
      <c r="H324" s="409" t="s">
        <v>77</v>
      </c>
      <c r="I324" s="409" t="s">
        <v>522</v>
      </c>
      <c r="J324" s="411">
        <v>323.0</v>
      </c>
    </row>
    <row r="325">
      <c r="A325" s="413"/>
      <c r="B325" s="413"/>
      <c r="C325" s="414"/>
      <c r="D325" s="408" t="s">
        <v>6560</v>
      </c>
      <c r="E325" s="410" t="s">
        <v>6231</v>
      </c>
      <c r="F325" s="408" t="s">
        <v>89</v>
      </c>
      <c r="G325" s="408" t="s">
        <v>230</v>
      </c>
      <c r="H325" s="409" t="s">
        <v>77</v>
      </c>
      <c r="I325" s="409" t="s">
        <v>522</v>
      </c>
      <c r="J325" s="411">
        <v>324.0</v>
      </c>
    </row>
    <row r="326">
      <c r="A326" s="413"/>
      <c r="B326" s="413"/>
      <c r="C326" s="414"/>
      <c r="D326" s="408" t="s">
        <v>6561</v>
      </c>
      <c r="E326" s="410" t="s">
        <v>6231</v>
      </c>
      <c r="F326" s="408" t="s">
        <v>89</v>
      </c>
      <c r="G326" s="408" t="s">
        <v>2493</v>
      </c>
      <c r="H326" s="409" t="s">
        <v>77</v>
      </c>
      <c r="I326" s="409" t="s">
        <v>522</v>
      </c>
      <c r="J326" s="411">
        <v>325.0</v>
      </c>
    </row>
    <row r="327">
      <c r="A327" s="413"/>
      <c r="B327" s="413"/>
      <c r="C327" s="414"/>
      <c r="D327" s="408" t="s">
        <v>6562</v>
      </c>
      <c r="E327" s="410" t="s">
        <v>6231</v>
      </c>
      <c r="F327" s="408" t="s">
        <v>89</v>
      </c>
      <c r="G327" s="408" t="s">
        <v>4843</v>
      </c>
      <c r="H327" s="409" t="s">
        <v>77</v>
      </c>
      <c r="I327" s="409" t="s">
        <v>522</v>
      </c>
      <c r="J327" s="411">
        <v>326.0</v>
      </c>
    </row>
    <row r="328">
      <c r="A328" s="413"/>
      <c r="B328" s="413"/>
      <c r="C328" s="414"/>
      <c r="D328" s="408" t="s">
        <v>6563</v>
      </c>
      <c r="E328" s="410" t="s">
        <v>6231</v>
      </c>
      <c r="F328" s="408" t="s">
        <v>89</v>
      </c>
      <c r="G328" s="408" t="s">
        <v>1520</v>
      </c>
      <c r="H328" s="409" t="s">
        <v>77</v>
      </c>
      <c r="I328" s="409" t="s">
        <v>522</v>
      </c>
      <c r="J328" s="411">
        <v>327.0</v>
      </c>
    </row>
    <row r="329">
      <c r="A329" s="413"/>
      <c r="B329" s="413"/>
      <c r="C329" s="414"/>
      <c r="D329" s="408" t="s">
        <v>6564</v>
      </c>
      <c r="E329" s="410" t="s">
        <v>6231</v>
      </c>
      <c r="F329" s="408" t="s">
        <v>89</v>
      </c>
      <c r="G329" s="408" t="s">
        <v>795</v>
      </c>
      <c r="H329" s="409" t="s">
        <v>77</v>
      </c>
      <c r="I329" s="409" t="s">
        <v>522</v>
      </c>
      <c r="J329" s="411">
        <v>328.0</v>
      </c>
    </row>
    <row r="330">
      <c r="A330" s="413"/>
      <c r="B330" s="413"/>
      <c r="C330" s="414"/>
      <c r="D330" s="408" t="s">
        <v>6565</v>
      </c>
      <c r="E330" s="410" t="s">
        <v>6231</v>
      </c>
      <c r="F330" s="408" t="s">
        <v>89</v>
      </c>
      <c r="G330" s="408" t="s">
        <v>1214</v>
      </c>
      <c r="H330" s="409" t="s">
        <v>77</v>
      </c>
      <c r="I330" s="409" t="s">
        <v>522</v>
      </c>
      <c r="J330" s="411">
        <v>329.0</v>
      </c>
    </row>
    <row r="331">
      <c r="A331" s="413"/>
      <c r="B331" s="413"/>
      <c r="C331" s="414"/>
      <c r="D331" s="408" t="s">
        <v>6566</v>
      </c>
      <c r="E331" s="410" t="s">
        <v>6231</v>
      </c>
      <c r="F331" s="408" t="s">
        <v>159</v>
      </c>
      <c r="G331" s="408" t="s">
        <v>4031</v>
      </c>
      <c r="H331" s="409" t="s">
        <v>77</v>
      </c>
      <c r="I331" s="409" t="s">
        <v>522</v>
      </c>
      <c r="J331" s="411">
        <v>330.0</v>
      </c>
    </row>
    <row r="332">
      <c r="A332" s="413"/>
      <c r="B332" s="413"/>
      <c r="C332" s="414"/>
      <c r="D332" s="408" t="s">
        <v>6567</v>
      </c>
      <c r="E332" s="410" t="s">
        <v>6231</v>
      </c>
      <c r="F332" s="408" t="s">
        <v>89</v>
      </c>
      <c r="G332" s="408" t="s">
        <v>1214</v>
      </c>
      <c r="H332" s="409" t="s">
        <v>77</v>
      </c>
      <c r="I332" s="409" t="s">
        <v>522</v>
      </c>
      <c r="J332" s="411">
        <v>331.0</v>
      </c>
    </row>
    <row r="333">
      <c r="A333" s="413"/>
      <c r="B333" s="413"/>
      <c r="C333" s="414"/>
      <c r="D333" s="408" t="s">
        <v>6568</v>
      </c>
      <c r="E333" s="410" t="s">
        <v>6231</v>
      </c>
      <c r="F333" s="408" t="s">
        <v>89</v>
      </c>
      <c r="G333" s="408" t="s">
        <v>374</v>
      </c>
      <c r="H333" s="409" t="s">
        <v>77</v>
      </c>
      <c r="I333" s="409" t="s">
        <v>522</v>
      </c>
      <c r="J333" s="411">
        <v>332.0</v>
      </c>
    </row>
    <row r="334">
      <c r="A334" s="413"/>
      <c r="B334" s="413"/>
      <c r="C334" s="414"/>
      <c r="D334" s="408" t="s">
        <v>6569</v>
      </c>
      <c r="E334" s="410" t="s">
        <v>6231</v>
      </c>
      <c r="F334" s="408" t="s">
        <v>89</v>
      </c>
      <c r="G334" s="408" t="s">
        <v>2304</v>
      </c>
      <c r="H334" s="409" t="s">
        <v>77</v>
      </c>
      <c r="I334" s="409" t="s">
        <v>522</v>
      </c>
      <c r="J334" s="411">
        <v>333.0</v>
      </c>
    </row>
    <row r="335">
      <c r="A335" s="413"/>
      <c r="B335" s="413"/>
      <c r="C335" s="414"/>
      <c r="D335" s="408" t="s">
        <v>6570</v>
      </c>
      <c r="E335" s="410" t="s">
        <v>6231</v>
      </c>
      <c r="F335" s="408" t="s">
        <v>89</v>
      </c>
      <c r="G335" s="408" t="s">
        <v>90</v>
      </c>
      <c r="H335" s="409" t="s">
        <v>77</v>
      </c>
      <c r="I335" s="409" t="s">
        <v>522</v>
      </c>
      <c r="J335" s="411">
        <v>334.0</v>
      </c>
    </row>
    <row r="336">
      <c r="A336" s="413"/>
      <c r="B336" s="413"/>
      <c r="C336" s="414"/>
      <c r="D336" s="408" t="s">
        <v>6571</v>
      </c>
      <c r="E336" s="410" t="s">
        <v>6231</v>
      </c>
      <c r="F336" s="408" t="s">
        <v>89</v>
      </c>
      <c r="G336" s="408" t="s">
        <v>90</v>
      </c>
      <c r="H336" s="409" t="s">
        <v>77</v>
      </c>
      <c r="I336" s="409" t="s">
        <v>522</v>
      </c>
      <c r="J336" s="411">
        <v>335.0</v>
      </c>
    </row>
    <row r="337">
      <c r="A337" s="413"/>
      <c r="B337" s="413"/>
      <c r="C337" s="414"/>
      <c r="D337" s="408" t="s">
        <v>6572</v>
      </c>
      <c r="E337" s="410" t="s">
        <v>6231</v>
      </c>
      <c r="F337" s="408" t="s">
        <v>89</v>
      </c>
      <c r="G337" s="412"/>
      <c r="H337" s="409" t="s">
        <v>77</v>
      </c>
      <c r="I337" s="409" t="s">
        <v>522</v>
      </c>
      <c r="J337" s="411">
        <v>336.0</v>
      </c>
    </row>
    <row r="338">
      <c r="A338" s="413"/>
      <c r="B338" s="413"/>
      <c r="C338" s="414"/>
      <c r="D338" s="408" t="s">
        <v>6573</v>
      </c>
      <c r="E338" s="410" t="s">
        <v>6231</v>
      </c>
      <c r="F338" s="408" t="s">
        <v>89</v>
      </c>
      <c r="G338" s="408" t="s">
        <v>90</v>
      </c>
      <c r="H338" s="409" t="s">
        <v>77</v>
      </c>
      <c r="I338" s="409" t="s">
        <v>522</v>
      </c>
      <c r="J338" s="411">
        <v>337.0</v>
      </c>
    </row>
    <row r="339">
      <c r="A339" s="413"/>
      <c r="B339" s="413"/>
      <c r="C339" s="414"/>
      <c r="D339" s="408" t="s">
        <v>6574</v>
      </c>
      <c r="E339" s="410" t="s">
        <v>6231</v>
      </c>
      <c r="F339" s="408" t="s">
        <v>89</v>
      </c>
      <c r="G339" s="408" t="s">
        <v>873</v>
      </c>
      <c r="H339" s="409" t="s">
        <v>77</v>
      </c>
      <c r="I339" s="409" t="s">
        <v>522</v>
      </c>
      <c r="J339" s="411">
        <v>338.0</v>
      </c>
    </row>
    <row r="340">
      <c r="A340" s="413"/>
      <c r="B340" s="413"/>
      <c r="C340" s="414"/>
      <c r="D340" s="408" t="s">
        <v>6575</v>
      </c>
      <c r="E340" s="410" t="s">
        <v>6231</v>
      </c>
      <c r="F340" s="408" t="s">
        <v>89</v>
      </c>
      <c r="G340" s="408" t="s">
        <v>1779</v>
      </c>
      <c r="H340" s="409" t="s">
        <v>77</v>
      </c>
      <c r="I340" s="409" t="s">
        <v>522</v>
      </c>
      <c r="J340" s="411">
        <v>339.0</v>
      </c>
    </row>
    <row r="341">
      <c r="A341" s="413"/>
      <c r="B341" s="413"/>
      <c r="C341" s="414"/>
      <c r="D341" s="408" t="s">
        <v>6576</v>
      </c>
      <c r="E341" s="410" t="s">
        <v>6231</v>
      </c>
      <c r="F341" s="408" t="s">
        <v>89</v>
      </c>
      <c r="G341" s="408" t="s">
        <v>647</v>
      </c>
      <c r="H341" s="409" t="s">
        <v>77</v>
      </c>
      <c r="I341" s="409" t="s">
        <v>522</v>
      </c>
      <c r="J341" s="411">
        <v>340.0</v>
      </c>
    </row>
    <row r="342">
      <c r="A342" s="413"/>
      <c r="B342" s="413"/>
      <c r="C342" s="414"/>
      <c r="D342" s="408" t="s">
        <v>6577</v>
      </c>
      <c r="E342" s="410" t="s">
        <v>6231</v>
      </c>
      <c r="F342" s="408" t="s">
        <v>89</v>
      </c>
      <c r="G342" s="408" t="s">
        <v>90</v>
      </c>
      <c r="H342" s="409" t="s">
        <v>77</v>
      </c>
      <c r="I342" s="409" t="s">
        <v>522</v>
      </c>
      <c r="J342" s="411">
        <v>341.0</v>
      </c>
    </row>
    <row r="343">
      <c r="A343" s="413"/>
      <c r="B343" s="413"/>
      <c r="C343" s="414"/>
      <c r="D343" s="408" t="s">
        <v>6578</v>
      </c>
      <c r="E343" s="410" t="s">
        <v>6231</v>
      </c>
      <c r="F343" s="408" t="s">
        <v>159</v>
      </c>
      <c r="G343" s="408" t="s">
        <v>4362</v>
      </c>
      <c r="H343" s="409" t="s">
        <v>77</v>
      </c>
      <c r="I343" s="409" t="s">
        <v>522</v>
      </c>
      <c r="J343" s="411">
        <v>342.0</v>
      </c>
    </row>
    <row r="344">
      <c r="A344" s="413"/>
      <c r="B344" s="413"/>
      <c r="C344" s="414"/>
      <c r="D344" s="408" t="s">
        <v>6579</v>
      </c>
      <c r="E344" s="410" t="s">
        <v>6231</v>
      </c>
      <c r="F344" s="408" t="s">
        <v>89</v>
      </c>
      <c r="G344" s="408" t="s">
        <v>1214</v>
      </c>
      <c r="H344" s="409" t="s">
        <v>77</v>
      </c>
      <c r="I344" s="409" t="s">
        <v>522</v>
      </c>
      <c r="J344" s="411">
        <v>343.0</v>
      </c>
    </row>
    <row r="345">
      <c r="A345" s="413"/>
      <c r="B345" s="413"/>
      <c r="C345" s="414"/>
      <c r="D345" s="408" t="s">
        <v>6580</v>
      </c>
      <c r="E345" s="410" t="s">
        <v>6231</v>
      </c>
      <c r="F345" s="408" t="s">
        <v>89</v>
      </c>
      <c r="G345" s="408" t="s">
        <v>374</v>
      </c>
      <c r="H345" s="409" t="s">
        <v>77</v>
      </c>
      <c r="I345" s="409" t="s">
        <v>522</v>
      </c>
      <c r="J345" s="411">
        <v>344.0</v>
      </c>
    </row>
    <row r="346">
      <c r="A346" s="413"/>
      <c r="B346" s="413"/>
      <c r="C346" s="414"/>
      <c r="D346" s="408" t="s">
        <v>6581</v>
      </c>
      <c r="E346" s="410" t="s">
        <v>6231</v>
      </c>
      <c r="F346" s="408" t="s">
        <v>89</v>
      </c>
      <c r="G346" s="408" t="s">
        <v>2419</v>
      </c>
      <c r="H346" s="409" t="s">
        <v>77</v>
      </c>
      <c r="I346" s="409" t="s">
        <v>522</v>
      </c>
      <c r="J346" s="411">
        <v>345.0</v>
      </c>
    </row>
    <row r="347">
      <c r="A347" s="413"/>
      <c r="B347" s="413"/>
      <c r="C347" s="414"/>
      <c r="D347" s="408" t="s">
        <v>6582</v>
      </c>
      <c r="E347" s="410" t="s">
        <v>6231</v>
      </c>
      <c r="F347" s="408" t="s">
        <v>89</v>
      </c>
      <c r="G347" s="408" t="s">
        <v>90</v>
      </c>
      <c r="H347" s="409" t="s">
        <v>77</v>
      </c>
      <c r="I347" s="409" t="s">
        <v>522</v>
      </c>
      <c r="J347" s="411">
        <v>346.0</v>
      </c>
    </row>
    <row r="348">
      <c r="A348" s="413"/>
      <c r="B348" s="413"/>
      <c r="C348" s="414"/>
      <c r="D348" s="408" t="s">
        <v>6583</v>
      </c>
      <c r="E348" s="410" t="s">
        <v>6231</v>
      </c>
      <c r="F348" s="408" t="s">
        <v>89</v>
      </c>
      <c r="G348" s="408" t="s">
        <v>1520</v>
      </c>
      <c r="H348" s="409" t="s">
        <v>77</v>
      </c>
      <c r="I348" s="409" t="s">
        <v>522</v>
      </c>
      <c r="J348" s="411">
        <v>347.0</v>
      </c>
    </row>
    <row r="349">
      <c r="A349" s="413"/>
      <c r="B349" s="413"/>
      <c r="C349" s="414"/>
      <c r="D349" s="408" t="s">
        <v>6584</v>
      </c>
      <c r="E349" s="410" t="s">
        <v>6231</v>
      </c>
      <c r="F349" s="408" t="s">
        <v>89</v>
      </c>
      <c r="G349" s="408" t="s">
        <v>678</v>
      </c>
      <c r="H349" s="409" t="s">
        <v>77</v>
      </c>
      <c r="I349" s="409" t="s">
        <v>522</v>
      </c>
      <c r="J349" s="411">
        <v>348.0</v>
      </c>
    </row>
    <row r="350">
      <c r="A350" s="413"/>
      <c r="B350" s="413"/>
      <c r="C350" s="414"/>
      <c r="D350" s="408" t="s">
        <v>6585</v>
      </c>
      <c r="E350" s="410" t="s">
        <v>6231</v>
      </c>
      <c r="F350" s="408" t="s">
        <v>89</v>
      </c>
      <c r="G350" s="408" t="s">
        <v>1214</v>
      </c>
      <c r="H350" s="409" t="s">
        <v>77</v>
      </c>
      <c r="I350" s="409" t="s">
        <v>522</v>
      </c>
      <c r="J350" s="411">
        <v>349.0</v>
      </c>
    </row>
    <row r="351">
      <c r="A351" s="413"/>
      <c r="B351" s="413"/>
      <c r="C351" s="414"/>
      <c r="D351" s="408" t="s">
        <v>6586</v>
      </c>
      <c r="E351" s="410" t="s">
        <v>6231</v>
      </c>
      <c r="F351" s="408" t="s">
        <v>89</v>
      </c>
      <c r="G351" s="408" t="s">
        <v>90</v>
      </c>
      <c r="H351" s="409" t="s">
        <v>77</v>
      </c>
      <c r="I351" s="409" t="s">
        <v>522</v>
      </c>
      <c r="J351" s="411">
        <v>350.0</v>
      </c>
    </row>
    <row r="352">
      <c r="A352" s="413"/>
      <c r="B352" s="413"/>
      <c r="C352" s="414"/>
      <c r="D352" s="408" t="s">
        <v>6587</v>
      </c>
      <c r="E352" s="410" t="s">
        <v>6231</v>
      </c>
      <c r="F352" s="408" t="s">
        <v>89</v>
      </c>
      <c r="G352" s="408" t="s">
        <v>1193</v>
      </c>
      <c r="H352" s="409" t="s">
        <v>77</v>
      </c>
      <c r="I352" s="409" t="s">
        <v>522</v>
      </c>
      <c r="J352" s="411">
        <v>351.0</v>
      </c>
    </row>
    <row r="353">
      <c r="A353" s="413"/>
      <c r="B353" s="413"/>
      <c r="C353" s="414"/>
      <c r="D353" s="408" t="s">
        <v>6588</v>
      </c>
      <c r="E353" s="410" t="s">
        <v>6231</v>
      </c>
      <c r="F353" s="408" t="s">
        <v>89</v>
      </c>
      <c r="G353" s="408" t="s">
        <v>903</v>
      </c>
      <c r="H353" s="409" t="s">
        <v>77</v>
      </c>
      <c r="I353" s="409" t="s">
        <v>522</v>
      </c>
      <c r="J353" s="411">
        <v>352.0</v>
      </c>
    </row>
    <row r="354">
      <c r="A354" s="413"/>
      <c r="B354" s="413"/>
      <c r="C354" s="414"/>
      <c r="D354" s="408" t="s">
        <v>6589</v>
      </c>
      <c r="E354" s="410" t="s">
        <v>6231</v>
      </c>
      <c r="F354" s="408" t="s">
        <v>89</v>
      </c>
      <c r="G354" s="408" t="s">
        <v>647</v>
      </c>
      <c r="H354" s="409" t="s">
        <v>77</v>
      </c>
      <c r="I354" s="409" t="s">
        <v>522</v>
      </c>
      <c r="J354" s="411">
        <v>353.0</v>
      </c>
    </row>
    <row r="355">
      <c r="A355" s="413"/>
      <c r="B355" s="413"/>
      <c r="C355" s="414"/>
      <c r="D355" s="408" t="s">
        <v>6590</v>
      </c>
      <c r="E355" s="410" t="s">
        <v>6231</v>
      </c>
      <c r="F355" s="408" t="s">
        <v>89</v>
      </c>
      <c r="G355" s="408" t="s">
        <v>2016</v>
      </c>
      <c r="H355" s="409" t="s">
        <v>77</v>
      </c>
      <c r="I355" s="409" t="s">
        <v>522</v>
      </c>
      <c r="J355" s="411">
        <v>354.0</v>
      </c>
    </row>
    <row r="356">
      <c r="A356" s="413"/>
      <c r="B356" s="413"/>
      <c r="C356" s="414"/>
      <c r="D356" s="408" t="s">
        <v>6591</v>
      </c>
      <c r="E356" s="410" t="s">
        <v>6231</v>
      </c>
      <c r="F356" s="408" t="s">
        <v>89</v>
      </c>
      <c r="G356" s="408" t="s">
        <v>374</v>
      </c>
      <c r="H356" s="409" t="s">
        <v>77</v>
      </c>
      <c r="I356" s="409" t="s">
        <v>522</v>
      </c>
      <c r="J356" s="411">
        <v>355.0</v>
      </c>
    </row>
    <row r="357">
      <c r="A357" s="413"/>
      <c r="B357" s="413"/>
      <c r="C357" s="414"/>
      <c r="D357" s="408" t="s">
        <v>6592</v>
      </c>
      <c r="E357" s="410" t="s">
        <v>6231</v>
      </c>
      <c r="F357" s="408" t="s">
        <v>89</v>
      </c>
      <c r="G357" s="408" t="s">
        <v>3117</v>
      </c>
      <c r="H357" s="409" t="s">
        <v>77</v>
      </c>
      <c r="I357" s="409" t="s">
        <v>522</v>
      </c>
      <c r="J357" s="411">
        <v>356.0</v>
      </c>
    </row>
    <row r="358">
      <c r="A358" s="413"/>
      <c r="B358" s="413"/>
      <c r="C358" s="414"/>
      <c r="D358" s="408" t="s">
        <v>6593</v>
      </c>
      <c r="E358" s="410" t="s">
        <v>6231</v>
      </c>
      <c r="F358" s="408" t="s">
        <v>89</v>
      </c>
      <c r="G358" s="408" t="s">
        <v>5780</v>
      </c>
      <c r="H358" s="409" t="s">
        <v>77</v>
      </c>
      <c r="I358" s="409" t="s">
        <v>522</v>
      </c>
      <c r="J358" s="411">
        <v>357.0</v>
      </c>
    </row>
    <row r="359">
      <c r="A359" s="413"/>
      <c r="B359" s="413"/>
      <c r="C359" s="414"/>
      <c r="D359" s="408" t="s">
        <v>6594</v>
      </c>
      <c r="E359" s="410" t="s">
        <v>6231</v>
      </c>
      <c r="F359" s="408" t="s">
        <v>89</v>
      </c>
      <c r="G359" s="408" t="s">
        <v>218</v>
      </c>
      <c r="H359" s="409" t="s">
        <v>77</v>
      </c>
      <c r="I359" s="409" t="s">
        <v>522</v>
      </c>
      <c r="J359" s="411">
        <v>358.0</v>
      </c>
    </row>
    <row r="360">
      <c r="A360" s="413"/>
      <c r="B360" s="413"/>
      <c r="C360" s="414"/>
      <c r="D360" s="408" t="s">
        <v>6595</v>
      </c>
      <c r="E360" s="410" t="s">
        <v>6231</v>
      </c>
      <c r="F360" s="408" t="s">
        <v>89</v>
      </c>
      <c r="G360" s="408" t="s">
        <v>90</v>
      </c>
      <c r="H360" s="409" t="s">
        <v>77</v>
      </c>
      <c r="I360" s="409" t="s">
        <v>522</v>
      </c>
      <c r="J360" s="411">
        <v>359.0</v>
      </c>
    </row>
    <row r="361">
      <c r="A361" s="413"/>
      <c r="B361" s="413"/>
      <c r="C361" s="414"/>
      <c r="D361" s="408" t="s">
        <v>6596</v>
      </c>
      <c r="E361" s="410" t="s">
        <v>6231</v>
      </c>
      <c r="F361" s="408" t="s">
        <v>89</v>
      </c>
      <c r="G361" s="412"/>
      <c r="H361" s="409" t="s">
        <v>77</v>
      </c>
      <c r="I361" s="409" t="s">
        <v>522</v>
      </c>
      <c r="J361" s="411">
        <v>360.0</v>
      </c>
    </row>
    <row r="362">
      <c r="A362" s="413"/>
      <c r="B362" s="413"/>
      <c r="C362" s="414"/>
      <c r="D362" s="408" t="s">
        <v>6597</v>
      </c>
      <c r="E362" s="410" t="s">
        <v>6231</v>
      </c>
      <c r="F362" s="408" t="s">
        <v>89</v>
      </c>
      <c r="G362" s="408" t="s">
        <v>374</v>
      </c>
      <c r="H362" s="409" t="s">
        <v>77</v>
      </c>
      <c r="I362" s="409" t="s">
        <v>522</v>
      </c>
      <c r="J362" s="411">
        <v>361.0</v>
      </c>
    </row>
    <row r="363">
      <c r="A363" s="413"/>
      <c r="B363" s="413"/>
      <c r="C363" s="414"/>
      <c r="D363" s="408" t="s">
        <v>6598</v>
      </c>
      <c r="E363" s="410" t="s">
        <v>6231</v>
      </c>
      <c r="F363" s="408" t="s">
        <v>89</v>
      </c>
      <c r="G363" s="408" t="s">
        <v>90</v>
      </c>
      <c r="H363" s="409" t="s">
        <v>77</v>
      </c>
      <c r="I363" s="409" t="s">
        <v>522</v>
      </c>
      <c r="J363" s="411">
        <v>362.0</v>
      </c>
    </row>
    <row r="364">
      <c r="A364" s="413"/>
      <c r="B364" s="413"/>
      <c r="C364" s="414"/>
      <c r="D364" s="408" t="s">
        <v>6599</v>
      </c>
      <c r="E364" s="410" t="s">
        <v>6231</v>
      </c>
      <c r="F364" s="408" t="s">
        <v>89</v>
      </c>
      <c r="G364" s="408" t="s">
        <v>640</v>
      </c>
      <c r="H364" s="409" t="s">
        <v>77</v>
      </c>
      <c r="I364" s="409" t="s">
        <v>522</v>
      </c>
      <c r="J364" s="411">
        <v>363.0</v>
      </c>
    </row>
    <row r="365">
      <c r="A365" s="413"/>
      <c r="B365" s="413"/>
      <c r="C365" s="414"/>
      <c r="D365" s="408" t="s">
        <v>6600</v>
      </c>
      <c r="E365" s="410" t="s">
        <v>6233</v>
      </c>
      <c r="F365" s="408" t="s">
        <v>159</v>
      </c>
      <c r="G365" s="408" t="s">
        <v>503</v>
      </c>
      <c r="H365" s="409" t="s">
        <v>83</v>
      </c>
      <c r="I365" s="409" t="s">
        <v>66</v>
      </c>
      <c r="J365" s="411">
        <v>364.0</v>
      </c>
    </row>
    <row r="366">
      <c r="A366" s="413"/>
      <c r="B366" s="413"/>
      <c r="C366" s="414"/>
      <c r="D366" s="408" t="s">
        <v>6601</v>
      </c>
      <c r="E366" s="410" t="s">
        <v>6231</v>
      </c>
      <c r="F366" s="408" t="s">
        <v>89</v>
      </c>
      <c r="G366" s="408" t="s">
        <v>90</v>
      </c>
      <c r="H366" s="409" t="s">
        <v>77</v>
      </c>
      <c r="I366" s="409" t="s">
        <v>522</v>
      </c>
      <c r="J366" s="411">
        <v>365.0</v>
      </c>
    </row>
    <row r="367">
      <c r="A367" s="413"/>
      <c r="B367" s="413"/>
      <c r="C367" s="414"/>
      <c r="D367" s="408" t="s">
        <v>6602</v>
      </c>
      <c r="E367" s="410" t="s">
        <v>6231</v>
      </c>
      <c r="F367" s="408" t="s">
        <v>89</v>
      </c>
      <c r="G367" s="408" t="s">
        <v>3124</v>
      </c>
      <c r="H367" s="409" t="s">
        <v>77</v>
      </c>
      <c r="I367" s="409" t="s">
        <v>522</v>
      </c>
      <c r="J367" s="411">
        <v>366.0</v>
      </c>
    </row>
    <row r="368">
      <c r="A368" s="413"/>
      <c r="B368" s="413"/>
      <c r="C368" s="414"/>
      <c r="D368" s="408" t="s">
        <v>6603</v>
      </c>
      <c r="E368" s="410" t="s">
        <v>6231</v>
      </c>
      <c r="F368" s="408" t="s">
        <v>89</v>
      </c>
      <c r="G368" s="408" t="s">
        <v>374</v>
      </c>
      <c r="H368" s="409" t="s">
        <v>77</v>
      </c>
      <c r="I368" s="409" t="s">
        <v>522</v>
      </c>
      <c r="J368" s="411">
        <v>367.0</v>
      </c>
    </row>
    <row r="369">
      <c r="A369" s="413"/>
      <c r="B369" s="413"/>
      <c r="C369" s="414"/>
      <c r="D369" s="408" t="s">
        <v>6604</v>
      </c>
      <c r="E369" s="410" t="s">
        <v>6231</v>
      </c>
      <c r="F369" s="408" t="s">
        <v>89</v>
      </c>
      <c r="G369" s="413"/>
      <c r="H369" s="409" t="s">
        <v>77</v>
      </c>
      <c r="I369" s="409" t="s">
        <v>522</v>
      </c>
      <c r="J369" s="411">
        <v>368.0</v>
      </c>
    </row>
    <row r="370">
      <c r="A370" s="413"/>
      <c r="B370" s="413"/>
      <c r="C370" s="414"/>
      <c r="D370" s="408" t="s">
        <v>6605</v>
      </c>
      <c r="E370" s="410" t="s">
        <v>6231</v>
      </c>
      <c r="F370" s="408" t="s">
        <v>89</v>
      </c>
      <c r="G370" s="408" t="s">
        <v>1520</v>
      </c>
      <c r="H370" s="409" t="s">
        <v>77</v>
      </c>
      <c r="I370" s="409" t="s">
        <v>522</v>
      </c>
      <c r="J370" s="411">
        <v>369.0</v>
      </c>
    </row>
    <row r="371">
      <c r="A371" s="413"/>
      <c r="B371" s="413"/>
      <c r="C371" s="414"/>
      <c r="D371" s="408" t="s">
        <v>6606</v>
      </c>
      <c r="E371" s="410" t="s">
        <v>6231</v>
      </c>
      <c r="F371" s="408" t="s">
        <v>89</v>
      </c>
      <c r="G371" s="408" t="s">
        <v>374</v>
      </c>
      <c r="H371" s="409" t="s">
        <v>77</v>
      </c>
      <c r="I371" s="409" t="s">
        <v>522</v>
      </c>
      <c r="J371" s="411">
        <v>370.0</v>
      </c>
    </row>
    <row r="372">
      <c r="A372" s="413"/>
      <c r="B372" s="413"/>
      <c r="C372" s="414"/>
      <c r="D372" s="408" t="s">
        <v>6607</v>
      </c>
      <c r="E372" s="410" t="s">
        <v>6231</v>
      </c>
      <c r="F372" s="408" t="s">
        <v>89</v>
      </c>
      <c r="G372" s="408" t="s">
        <v>1520</v>
      </c>
      <c r="H372" s="409" t="s">
        <v>77</v>
      </c>
      <c r="I372" s="409" t="s">
        <v>522</v>
      </c>
      <c r="J372" s="411">
        <v>371.0</v>
      </c>
    </row>
    <row r="373">
      <c r="A373" s="413"/>
      <c r="B373" s="413"/>
      <c r="C373" s="414"/>
      <c r="D373" s="408" t="s">
        <v>6608</v>
      </c>
      <c r="E373" s="410" t="s">
        <v>6231</v>
      </c>
      <c r="F373" s="408" t="s">
        <v>89</v>
      </c>
      <c r="G373" s="408" t="s">
        <v>3135</v>
      </c>
      <c r="H373" s="409" t="s">
        <v>77</v>
      </c>
      <c r="I373" s="409" t="s">
        <v>522</v>
      </c>
      <c r="J373" s="411">
        <v>372.0</v>
      </c>
    </row>
    <row r="374">
      <c r="A374" s="413"/>
      <c r="B374" s="413"/>
      <c r="C374" s="414"/>
      <c r="D374" s="408" t="s">
        <v>6609</v>
      </c>
      <c r="E374" s="410" t="s">
        <v>6231</v>
      </c>
      <c r="F374" s="408" t="s">
        <v>89</v>
      </c>
      <c r="G374" s="408" t="s">
        <v>90</v>
      </c>
      <c r="H374" s="409" t="s">
        <v>77</v>
      </c>
      <c r="I374" s="409" t="s">
        <v>522</v>
      </c>
      <c r="J374" s="411">
        <v>373.0</v>
      </c>
    </row>
    <row r="375">
      <c r="A375" s="413"/>
      <c r="B375" s="413"/>
      <c r="C375" s="414"/>
      <c r="D375" s="408" t="s">
        <v>6610</v>
      </c>
      <c r="E375" s="410" t="s">
        <v>6231</v>
      </c>
      <c r="F375" s="408" t="s">
        <v>89</v>
      </c>
      <c r="G375" s="408" t="s">
        <v>197</v>
      </c>
      <c r="H375" s="409" t="s">
        <v>77</v>
      </c>
      <c r="I375" s="409" t="s">
        <v>522</v>
      </c>
      <c r="J375" s="411">
        <v>374.0</v>
      </c>
    </row>
    <row r="376">
      <c r="A376" s="413"/>
      <c r="B376" s="413"/>
      <c r="C376" s="414"/>
      <c r="D376" s="408" t="s">
        <v>6611</v>
      </c>
      <c r="E376" s="410" t="s">
        <v>6231</v>
      </c>
      <c r="F376" s="408" t="s">
        <v>89</v>
      </c>
      <c r="G376" s="408" t="s">
        <v>3525</v>
      </c>
      <c r="H376" s="409" t="s">
        <v>77</v>
      </c>
      <c r="I376" s="409" t="s">
        <v>522</v>
      </c>
      <c r="J376" s="411">
        <v>375.0</v>
      </c>
    </row>
    <row r="377">
      <c r="A377" s="413"/>
      <c r="B377" s="413"/>
      <c r="C377" s="414"/>
      <c r="D377" s="408" t="s">
        <v>6612</v>
      </c>
      <c r="E377" s="410" t="s">
        <v>6231</v>
      </c>
      <c r="F377" s="408" t="s">
        <v>89</v>
      </c>
      <c r="G377" s="408" t="s">
        <v>218</v>
      </c>
      <c r="H377" s="409" t="s">
        <v>77</v>
      </c>
      <c r="I377" s="409" t="s">
        <v>522</v>
      </c>
      <c r="J377" s="411">
        <v>376.0</v>
      </c>
    </row>
    <row r="378">
      <c r="A378" s="413"/>
      <c r="B378" s="413"/>
      <c r="C378" s="414"/>
      <c r="D378" s="408" t="s">
        <v>6613</v>
      </c>
      <c r="E378" s="410" t="s">
        <v>6231</v>
      </c>
      <c r="F378" s="408" t="s">
        <v>89</v>
      </c>
      <c r="G378" s="408" t="s">
        <v>1214</v>
      </c>
      <c r="H378" s="409" t="s">
        <v>77</v>
      </c>
      <c r="I378" s="409" t="s">
        <v>522</v>
      </c>
      <c r="J378" s="411">
        <v>377.0</v>
      </c>
    </row>
    <row r="379">
      <c r="A379" s="413"/>
      <c r="B379" s="413"/>
      <c r="C379" s="414"/>
      <c r="D379" s="408" t="s">
        <v>6614</v>
      </c>
      <c r="E379" s="410" t="s">
        <v>6231</v>
      </c>
      <c r="F379" s="408" t="s">
        <v>89</v>
      </c>
      <c r="G379" s="408" t="s">
        <v>937</v>
      </c>
      <c r="H379" s="409" t="s">
        <v>77</v>
      </c>
      <c r="I379" s="409" t="s">
        <v>522</v>
      </c>
      <c r="J379" s="411">
        <v>378.0</v>
      </c>
    </row>
    <row r="380">
      <c r="A380" s="413"/>
      <c r="B380" s="413"/>
      <c r="C380" s="414"/>
      <c r="D380" s="408" t="s">
        <v>6615</v>
      </c>
      <c r="E380" s="410" t="s">
        <v>6231</v>
      </c>
      <c r="F380" s="408" t="s">
        <v>89</v>
      </c>
      <c r="G380" s="408" t="s">
        <v>90</v>
      </c>
      <c r="H380" s="409" t="s">
        <v>77</v>
      </c>
      <c r="I380" s="409" t="s">
        <v>522</v>
      </c>
      <c r="J380" s="411">
        <v>379.0</v>
      </c>
    </row>
    <row r="381">
      <c r="A381" s="413"/>
      <c r="B381" s="413"/>
      <c r="C381" s="414"/>
      <c r="D381" s="408" t="s">
        <v>6616</v>
      </c>
      <c r="E381" s="410" t="s">
        <v>6231</v>
      </c>
      <c r="F381" s="408" t="s">
        <v>89</v>
      </c>
      <c r="G381" s="408" t="s">
        <v>374</v>
      </c>
      <c r="H381" s="409" t="s">
        <v>77</v>
      </c>
      <c r="I381" s="409" t="s">
        <v>522</v>
      </c>
      <c r="J381" s="411">
        <v>380.0</v>
      </c>
    </row>
    <row r="382">
      <c r="A382" s="413"/>
      <c r="B382" s="413"/>
      <c r="C382" s="414"/>
      <c r="D382" s="408" t="s">
        <v>6617</v>
      </c>
      <c r="E382" s="410" t="s">
        <v>6231</v>
      </c>
      <c r="F382" s="408" t="s">
        <v>89</v>
      </c>
      <c r="G382" s="408" t="s">
        <v>2132</v>
      </c>
      <c r="H382" s="409" t="s">
        <v>77</v>
      </c>
      <c r="I382" s="409" t="s">
        <v>522</v>
      </c>
      <c r="J382" s="411">
        <v>381.0</v>
      </c>
    </row>
    <row r="383">
      <c r="A383" s="413"/>
      <c r="B383" s="413"/>
      <c r="C383" s="414"/>
      <c r="D383" s="408" t="s">
        <v>6618</v>
      </c>
      <c r="E383" s="410" t="s">
        <v>6231</v>
      </c>
      <c r="F383" s="408" t="s">
        <v>89</v>
      </c>
      <c r="G383" s="408" t="s">
        <v>218</v>
      </c>
      <c r="H383" s="409" t="s">
        <v>77</v>
      </c>
      <c r="I383" s="409" t="s">
        <v>522</v>
      </c>
      <c r="J383" s="411">
        <v>382.0</v>
      </c>
    </row>
    <row r="384">
      <c r="A384" s="413"/>
      <c r="B384" s="413"/>
      <c r="C384" s="414"/>
      <c r="D384" s="408" t="s">
        <v>6619</v>
      </c>
      <c r="E384" s="410" t="s">
        <v>6231</v>
      </c>
      <c r="F384" s="408" t="s">
        <v>89</v>
      </c>
      <c r="G384" s="408" t="s">
        <v>1214</v>
      </c>
      <c r="H384" s="409" t="s">
        <v>77</v>
      </c>
      <c r="I384" s="409" t="s">
        <v>522</v>
      </c>
      <c r="J384" s="411">
        <v>383.0</v>
      </c>
    </row>
    <row r="385">
      <c r="A385" s="413"/>
      <c r="B385" s="413"/>
      <c r="C385" s="414"/>
      <c r="D385" s="408" t="s">
        <v>6620</v>
      </c>
      <c r="E385" s="410" t="s">
        <v>6231</v>
      </c>
      <c r="F385" s="408" t="s">
        <v>89</v>
      </c>
      <c r="G385" s="408" t="s">
        <v>1214</v>
      </c>
      <c r="H385" s="409" t="s">
        <v>77</v>
      </c>
      <c r="I385" s="409" t="s">
        <v>522</v>
      </c>
      <c r="J385" s="411">
        <v>384.0</v>
      </c>
    </row>
    <row r="386">
      <c r="A386" s="413"/>
      <c r="B386" s="413"/>
      <c r="C386" s="414"/>
      <c r="D386" s="408" t="s">
        <v>6621</v>
      </c>
      <c r="E386" s="410" t="s">
        <v>6231</v>
      </c>
      <c r="F386" s="408" t="s">
        <v>77</v>
      </c>
      <c r="G386" s="408" t="s">
        <v>77</v>
      </c>
      <c r="H386" s="409" t="s">
        <v>77</v>
      </c>
      <c r="I386" s="409" t="s">
        <v>522</v>
      </c>
      <c r="J386" s="411">
        <v>385.0</v>
      </c>
    </row>
    <row r="387">
      <c r="A387" s="413"/>
      <c r="B387" s="413"/>
      <c r="C387" s="414"/>
      <c r="D387" s="408" t="s">
        <v>6622</v>
      </c>
      <c r="E387" s="410" t="s">
        <v>6231</v>
      </c>
      <c r="F387" s="408" t="s">
        <v>89</v>
      </c>
      <c r="G387" s="408" t="s">
        <v>374</v>
      </c>
      <c r="H387" s="409" t="s">
        <v>77</v>
      </c>
      <c r="I387" s="409" t="s">
        <v>522</v>
      </c>
      <c r="J387" s="411">
        <v>386.0</v>
      </c>
    </row>
    <row r="388">
      <c r="A388" s="413"/>
      <c r="B388" s="413"/>
      <c r="C388" s="414"/>
      <c r="D388" s="408" t="s">
        <v>6623</v>
      </c>
      <c r="E388" s="410" t="s">
        <v>6231</v>
      </c>
      <c r="F388" s="408" t="s">
        <v>89</v>
      </c>
      <c r="G388" s="408" t="s">
        <v>1811</v>
      </c>
      <c r="H388" s="409" t="s">
        <v>77</v>
      </c>
      <c r="I388" s="409" t="s">
        <v>522</v>
      </c>
      <c r="J388" s="411">
        <v>387.0</v>
      </c>
    </row>
    <row r="389">
      <c r="A389" s="413"/>
      <c r="B389" s="413"/>
      <c r="C389" s="414"/>
      <c r="D389" s="408" t="s">
        <v>6624</v>
      </c>
      <c r="E389" s="410" t="s">
        <v>6231</v>
      </c>
      <c r="F389" s="408" t="s">
        <v>89</v>
      </c>
      <c r="G389" s="408" t="s">
        <v>5456</v>
      </c>
      <c r="H389" s="409" t="s">
        <v>77</v>
      </c>
      <c r="I389" s="409" t="s">
        <v>522</v>
      </c>
      <c r="J389" s="411">
        <v>388.0</v>
      </c>
    </row>
    <row r="390">
      <c r="A390" s="413"/>
      <c r="B390" s="413"/>
      <c r="C390" s="414"/>
      <c r="D390" s="408" t="s">
        <v>6625</v>
      </c>
      <c r="E390" s="410" t="s">
        <v>6231</v>
      </c>
      <c r="F390" s="408" t="s">
        <v>89</v>
      </c>
      <c r="G390" s="408" t="s">
        <v>1811</v>
      </c>
      <c r="H390" s="409" t="s">
        <v>77</v>
      </c>
      <c r="I390" s="409" t="s">
        <v>522</v>
      </c>
      <c r="J390" s="411">
        <v>389.0</v>
      </c>
    </row>
    <row r="391">
      <c r="A391" s="413"/>
      <c r="B391" s="413"/>
      <c r="C391" s="414"/>
      <c r="D391" s="408" t="s">
        <v>6626</v>
      </c>
      <c r="E391" s="410" t="s">
        <v>6231</v>
      </c>
      <c r="F391" s="408" t="s">
        <v>89</v>
      </c>
      <c r="G391" s="408" t="s">
        <v>6627</v>
      </c>
      <c r="H391" s="409" t="s">
        <v>77</v>
      </c>
      <c r="I391" s="409" t="s">
        <v>522</v>
      </c>
      <c r="J391" s="411">
        <v>390.0</v>
      </c>
    </row>
    <row r="392">
      <c r="A392" s="413"/>
      <c r="B392" s="413"/>
      <c r="C392" s="414"/>
      <c r="D392" s="408" t="s">
        <v>6628</v>
      </c>
      <c r="E392" s="410" t="s">
        <v>6231</v>
      </c>
      <c r="F392" s="408" t="s">
        <v>89</v>
      </c>
      <c r="G392" s="408" t="s">
        <v>218</v>
      </c>
      <c r="H392" s="409" t="s">
        <v>77</v>
      </c>
      <c r="I392" s="409" t="s">
        <v>522</v>
      </c>
      <c r="J392" s="411">
        <v>391.0</v>
      </c>
    </row>
    <row r="393">
      <c r="A393" s="413"/>
      <c r="B393" s="413"/>
      <c r="C393" s="414"/>
      <c r="D393" s="408" t="s">
        <v>6629</v>
      </c>
      <c r="E393" s="410" t="s">
        <v>6231</v>
      </c>
      <c r="F393" s="408" t="s">
        <v>89</v>
      </c>
      <c r="G393" s="408" t="s">
        <v>218</v>
      </c>
      <c r="H393" s="409" t="s">
        <v>77</v>
      </c>
      <c r="I393" s="409" t="s">
        <v>522</v>
      </c>
      <c r="J393" s="411">
        <v>392.0</v>
      </c>
    </row>
    <row r="394">
      <c r="A394" s="413"/>
      <c r="B394" s="413"/>
      <c r="C394" s="414"/>
      <c r="D394" s="408" t="s">
        <v>6630</v>
      </c>
      <c r="E394" s="410" t="s">
        <v>6231</v>
      </c>
      <c r="F394" s="408" t="s">
        <v>89</v>
      </c>
      <c r="G394" s="412"/>
      <c r="H394" s="409" t="s">
        <v>77</v>
      </c>
      <c r="I394" s="409" t="s">
        <v>522</v>
      </c>
      <c r="J394" s="411">
        <v>393.0</v>
      </c>
    </row>
    <row r="395">
      <c r="A395" s="413"/>
      <c r="B395" s="413"/>
      <c r="C395" s="414"/>
      <c r="D395" s="408" t="s">
        <v>6631</v>
      </c>
      <c r="E395" s="410" t="s">
        <v>6231</v>
      </c>
      <c r="F395" s="408" t="s">
        <v>89</v>
      </c>
      <c r="G395" s="408" t="s">
        <v>218</v>
      </c>
      <c r="H395" s="409" t="s">
        <v>77</v>
      </c>
      <c r="I395" s="409" t="s">
        <v>522</v>
      </c>
      <c r="J395" s="411">
        <v>394.0</v>
      </c>
    </row>
    <row r="396">
      <c r="A396" s="413"/>
      <c r="B396" s="413"/>
      <c r="C396" s="414"/>
      <c r="D396" s="408" t="s">
        <v>6632</v>
      </c>
      <c r="E396" s="410" t="s">
        <v>6231</v>
      </c>
      <c r="F396" s="408" t="s">
        <v>89</v>
      </c>
      <c r="G396" s="408" t="s">
        <v>63</v>
      </c>
      <c r="H396" s="409" t="s">
        <v>77</v>
      </c>
      <c r="I396" s="409" t="s">
        <v>522</v>
      </c>
      <c r="J396" s="411">
        <v>395.0</v>
      </c>
    </row>
    <row r="397">
      <c r="A397" s="413"/>
      <c r="B397" s="413"/>
      <c r="C397" s="414"/>
      <c r="D397" s="408" t="s">
        <v>6633</v>
      </c>
      <c r="E397" s="410" t="s">
        <v>6231</v>
      </c>
      <c r="F397" s="408" t="s">
        <v>89</v>
      </c>
      <c r="G397" s="408" t="s">
        <v>218</v>
      </c>
      <c r="H397" s="409" t="s">
        <v>77</v>
      </c>
      <c r="I397" s="409" t="s">
        <v>522</v>
      </c>
      <c r="J397" s="411">
        <v>396.0</v>
      </c>
    </row>
    <row r="398">
      <c r="A398" s="413"/>
      <c r="B398" s="413"/>
      <c r="C398" s="414"/>
      <c r="D398" s="408" t="s">
        <v>6634</v>
      </c>
      <c r="E398" s="410" t="s">
        <v>6231</v>
      </c>
      <c r="F398" s="408" t="s">
        <v>89</v>
      </c>
      <c r="G398" s="408" t="s">
        <v>1214</v>
      </c>
      <c r="H398" s="409" t="s">
        <v>77</v>
      </c>
      <c r="I398" s="409" t="s">
        <v>522</v>
      </c>
      <c r="J398" s="411">
        <v>397.0</v>
      </c>
    </row>
    <row r="399">
      <c r="A399" s="413"/>
      <c r="B399" s="413"/>
      <c r="C399" s="414"/>
      <c r="D399" s="408" t="s">
        <v>6635</v>
      </c>
      <c r="E399" s="410" t="s">
        <v>6231</v>
      </c>
      <c r="F399" s="408" t="s">
        <v>89</v>
      </c>
      <c r="G399" s="408" t="s">
        <v>1520</v>
      </c>
      <c r="H399" s="409" t="s">
        <v>77</v>
      </c>
      <c r="I399" s="409" t="s">
        <v>522</v>
      </c>
      <c r="J399" s="411">
        <v>398.0</v>
      </c>
    </row>
    <row r="400">
      <c r="A400" s="413"/>
      <c r="B400" s="413"/>
      <c r="C400" s="414"/>
      <c r="D400" s="408" t="s">
        <v>6636</v>
      </c>
      <c r="E400" s="410" t="s">
        <v>6231</v>
      </c>
      <c r="F400" s="408" t="s">
        <v>89</v>
      </c>
      <c r="G400" s="408" t="s">
        <v>230</v>
      </c>
      <c r="H400" s="409" t="s">
        <v>77</v>
      </c>
      <c r="I400" s="409" t="s">
        <v>522</v>
      </c>
      <c r="J400" s="411">
        <v>399.0</v>
      </c>
    </row>
    <row r="401">
      <c r="A401" s="413"/>
      <c r="B401" s="413"/>
      <c r="C401" s="414"/>
      <c r="D401" s="408" t="s">
        <v>6637</v>
      </c>
      <c r="E401" s="410" t="s">
        <v>6231</v>
      </c>
      <c r="F401" s="408" t="s">
        <v>89</v>
      </c>
      <c r="G401" s="408" t="s">
        <v>3148</v>
      </c>
      <c r="H401" s="409" t="s">
        <v>77</v>
      </c>
      <c r="I401" s="409" t="s">
        <v>522</v>
      </c>
      <c r="J401" s="411">
        <v>400.0</v>
      </c>
    </row>
    <row r="402">
      <c r="A402" s="413"/>
      <c r="B402" s="413"/>
      <c r="C402" s="414"/>
      <c r="D402" s="408" t="s">
        <v>6638</v>
      </c>
      <c r="E402" s="410" t="s">
        <v>6231</v>
      </c>
      <c r="F402" s="408" t="s">
        <v>89</v>
      </c>
      <c r="G402" s="408" t="s">
        <v>218</v>
      </c>
      <c r="H402" s="409" t="s">
        <v>77</v>
      </c>
      <c r="I402" s="409" t="s">
        <v>522</v>
      </c>
      <c r="J402" s="411">
        <v>401.0</v>
      </c>
    </row>
    <row r="403">
      <c r="A403" s="413"/>
      <c r="B403" s="413"/>
      <c r="C403" s="414"/>
      <c r="D403" s="408" t="s">
        <v>6639</v>
      </c>
      <c r="E403" s="410" t="s">
        <v>6231</v>
      </c>
      <c r="F403" s="408" t="s">
        <v>89</v>
      </c>
      <c r="G403" s="408" t="s">
        <v>374</v>
      </c>
      <c r="H403" s="409" t="s">
        <v>77</v>
      </c>
      <c r="I403" s="409" t="s">
        <v>522</v>
      </c>
      <c r="J403" s="411">
        <v>402.0</v>
      </c>
    </row>
    <row r="404">
      <c r="A404" s="413"/>
      <c r="B404" s="413"/>
      <c r="C404" s="414"/>
      <c r="D404" s="408" t="s">
        <v>6640</v>
      </c>
      <c r="E404" s="410" t="s">
        <v>6231</v>
      </c>
      <c r="F404" s="408" t="s">
        <v>89</v>
      </c>
      <c r="G404" s="408" t="s">
        <v>90</v>
      </c>
      <c r="H404" s="409" t="s">
        <v>77</v>
      </c>
      <c r="I404" s="409" t="s">
        <v>522</v>
      </c>
      <c r="J404" s="411">
        <v>403.0</v>
      </c>
    </row>
    <row r="405">
      <c r="A405" s="413"/>
      <c r="B405" s="413"/>
      <c r="C405" s="414"/>
      <c r="D405" s="408" t="s">
        <v>6641</v>
      </c>
      <c r="E405" s="410" t="s">
        <v>6231</v>
      </c>
      <c r="F405" s="408" t="s">
        <v>89</v>
      </c>
      <c r="G405" s="408" t="s">
        <v>374</v>
      </c>
      <c r="H405" s="409" t="s">
        <v>77</v>
      </c>
      <c r="I405" s="409" t="s">
        <v>522</v>
      </c>
      <c r="J405" s="411">
        <v>404.0</v>
      </c>
    </row>
    <row r="406">
      <c r="A406" s="413"/>
      <c r="B406" s="413"/>
      <c r="C406" s="414"/>
      <c r="D406" s="408" t="s">
        <v>6642</v>
      </c>
      <c r="E406" s="410" t="s">
        <v>6231</v>
      </c>
      <c r="F406" s="408" t="s">
        <v>89</v>
      </c>
      <c r="G406" s="408" t="s">
        <v>1826</v>
      </c>
      <c r="H406" s="409" t="s">
        <v>77</v>
      </c>
      <c r="I406" s="409" t="s">
        <v>522</v>
      </c>
      <c r="J406" s="411">
        <v>405.0</v>
      </c>
    </row>
    <row r="407">
      <c r="A407" s="413"/>
      <c r="B407" s="413"/>
      <c r="C407" s="414"/>
      <c r="D407" s="408" t="s">
        <v>6643</v>
      </c>
      <c r="E407" s="410" t="s">
        <v>6231</v>
      </c>
      <c r="F407" s="408" t="s">
        <v>89</v>
      </c>
      <c r="G407" s="408" t="s">
        <v>90</v>
      </c>
      <c r="H407" s="409" t="s">
        <v>77</v>
      </c>
      <c r="I407" s="409" t="s">
        <v>522</v>
      </c>
      <c r="J407" s="411">
        <v>406.0</v>
      </c>
    </row>
    <row r="408">
      <c r="A408" s="413"/>
      <c r="B408" s="413"/>
      <c r="C408" s="414"/>
      <c r="D408" s="408" t="s">
        <v>6644</v>
      </c>
      <c r="E408" s="410" t="s">
        <v>6231</v>
      </c>
      <c r="F408" s="408" t="s">
        <v>89</v>
      </c>
      <c r="G408" s="408" t="s">
        <v>90</v>
      </c>
      <c r="H408" s="409" t="s">
        <v>77</v>
      </c>
      <c r="I408" s="409" t="s">
        <v>522</v>
      </c>
      <c r="J408" s="411">
        <v>407.0</v>
      </c>
    </row>
    <row r="409">
      <c r="A409" s="413"/>
      <c r="B409" s="413"/>
      <c r="C409" s="414"/>
      <c r="D409" s="408" t="s">
        <v>6645</v>
      </c>
      <c r="E409" s="410" t="s">
        <v>6231</v>
      </c>
      <c r="F409" s="408" t="s">
        <v>89</v>
      </c>
      <c r="G409" s="408" t="s">
        <v>1833</v>
      </c>
      <c r="H409" s="409" t="s">
        <v>77</v>
      </c>
      <c r="I409" s="409" t="s">
        <v>522</v>
      </c>
      <c r="J409" s="411">
        <v>408.0</v>
      </c>
    </row>
    <row r="410">
      <c r="A410" s="413"/>
      <c r="B410" s="413"/>
      <c r="C410" s="414"/>
      <c r="D410" s="408" t="s">
        <v>6646</v>
      </c>
      <c r="E410" s="410" t="s">
        <v>6231</v>
      </c>
      <c r="F410" s="408" t="s">
        <v>159</v>
      </c>
      <c r="G410" s="408" t="s">
        <v>230</v>
      </c>
      <c r="H410" s="409" t="s">
        <v>77</v>
      </c>
      <c r="I410" s="409" t="s">
        <v>522</v>
      </c>
      <c r="J410" s="411">
        <v>409.0</v>
      </c>
    </row>
    <row r="411">
      <c r="A411" s="413"/>
      <c r="B411" s="413"/>
      <c r="C411" s="414"/>
      <c r="D411" s="408" t="s">
        <v>6647</v>
      </c>
      <c r="E411" s="410" t="s">
        <v>6231</v>
      </c>
      <c r="F411" s="408" t="s">
        <v>89</v>
      </c>
      <c r="G411" s="408" t="s">
        <v>160</v>
      </c>
      <c r="H411" s="409" t="s">
        <v>77</v>
      </c>
      <c r="I411" s="409" t="s">
        <v>522</v>
      </c>
      <c r="J411" s="411">
        <v>410.0</v>
      </c>
    </row>
    <row r="412">
      <c r="A412" s="413"/>
      <c r="B412" s="413"/>
      <c r="C412" s="414"/>
      <c r="D412" s="408" t="s">
        <v>6648</v>
      </c>
      <c r="E412" s="410" t="s">
        <v>6231</v>
      </c>
      <c r="F412" s="408" t="s">
        <v>89</v>
      </c>
      <c r="G412" s="408" t="s">
        <v>5089</v>
      </c>
      <c r="H412" s="409" t="s">
        <v>77</v>
      </c>
      <c r="I412" s="409" t="s">
        <v>522</v>
      </c>
      <c r="J412" s="411">
        <v>411.0</v>
      </c>
    </row>
    <row r="413">
      <c r="A413" s="413"/>
      <c r="B413" s="413"/>
      <c r="C413" s="414"/>
      <c r="D413" s="408" t="s">
        <v>6649</v>
      </c>
      <c r="E413" s="410" t="s">
        <v>6231</v>
      </c>
      <c r="F413" s="408" t="s">
        <v>89</v>
      </c>
      <c r="G413" s="408" t="s">
        <v>418</v>
      </c>
      <c r="H413" s="409" t="s">
        <v>77</v>
      </c>
      <c r="I413" s="409" t="s">
        <v>522</v>
      </c>
      <c r="J413" s="411">
        <v>412.0</v>
      </c>
    </row>
    <row r="414">
      <c r="A414" s="413"/>
      <c r="B414" s="413"/>
      <c r="C414" s="414"/>
      <c r="D414" s="408" t="s">
        <v>6650</v>
      </c>
      <c r="E414" s="410" t="s">
        <v>6231</v>
      </c>
      <c r="F414" s="408" t="s">
        <v>89</v>
      </c>
      <c r="G414" s="412"/>
      <c r="H414" s="409" t="s">
        <v>77</v>
      </c>
      <c r="I414" s="409" t="s">
        <v>522</v>
      </c>
      <c r="J414" s="411">
        <v>413.0</v>
      </c>
    </row>
    <row r="415">
      <c r="A415" s="413"/>
      <c r="B415" s="413"/>
      <c r="C415" s="414"/>
      <c r="D415" s="408" t="s">
        <v>6651</v>
      </c>
      <c r="E415" s="410" t="s">
        <v>6231</v>
      </c>
      <c r="F415" s="408" t="s">
        <v>89</v>
      </c>
      <c r="G415" s="408" t="s">
        <v>647</v>
      </c>
      <c r="H415" s="409" t="s">
        <v>77</v>
      </c>
      <c r="I415" s="409" t="s">
        <v>522</v>
      </c>
      <c r="J415" s="411">
        <v>414.0</v>
      </c>
    </row>
    <row r="416">
      <c r="A416" s="413"/>
      <c r="B416" s="413"/>
      <c r="C416" s="414"/>
      <c r="D416" s="408" t="s">
        <v>6652</v>
      </c>
      <c r="E416" s="410" t="s">
        <v>6231</v>
      </c>
      <c r="F416" s="408" t="s">
        <v>89</v>
      </c>
      <c r="G416" s="408" t="s">
        <v>160</v>
      </c>
      <c r="H416" s="409" t="s">
        <v>77</v>
      </c>
      <c r="I416" s="409" t="s">
        <v>522</v>
      </c>
      <c r="J416" s="411">
        <v>415.0</v>
      </c>
    </row>
    <row r="417">
      <c r="A417" s="413"/>
      <c r="B417" s="413"/>
      <c r="C417" s="414"/>
      <c r="D417" s="408" t="s">
        <v>6653</v>
      </c>
      <c r="E417" s="410" t="s">
        <v>6231</v>
      </c>
      <c r="F417" s="408" t="s">
        <v>89</v>
      </c>
      <c r="G417" s="408" t="s">
        <v>2016</v>
      </c>
      <c r="H417" s="409" t="s">
        <v>77</v>
      </c>
      <c r="I417" s="409" t="s">
        <v>522</v>
      </c>
      <c r="J417" s="411">
        <v>416.0</v>
      </c>
    </row>
    <row r="418">
      <c r="A418" s="413"/>
      <c r="B418" s="413"/>
      <c r="C418" s="414"/>
      <c r="D418" s="408" t="s">
        <v>6654</v>
      </c>
      <c r="E418" s="410" t="s">
        <v>6231</v>
      </c>
      <c r="F418" s="408" t="s">
        <v>89</v>
      </c>
      <c r="G418" s="408" t="s">
        <v>90</v>
      </c>
      <c r="H418" s="409" t="s">
        <v>77</v>
      </c>
      <c r="I418" s="409" t="s">
        <v>522</v>
      </c>
      <c r="J418" s="411">
        <v>417.0</v>
      </c>
    </row>
    <row r="419">
      <c r="A419" s="413"/>
      <c r="B419" s="413"/>
      <c r="C419" s="414"/>
      <c r="D419" s="408" t="s">
        <v>6655</v>
      </c>
      <c r="E419" s="410" t="s">
        <v>6231</v>
      </c>
      <c r="F419" s="408" t="s">
        <v>89</v>
      </c>
      <c r="G419" s="408" t="s">
        <v>1887</v>
      </c>
      <c r="H419" s="409" t="s">
        <v>77</v>
      </c>
      <c r="I419" s="409" t="s">
        <v>522</v>
      </c>
      <c r="J419" s="411">
        <v>418.0</v>
      </c>
    </row>
    <row r="420">
      <c r="A420" s="413"/>
      <c r="B420" s="413"/>
      <c r="C420" s="414"/>
      <c r="D420" s="408" t="s">
        <v>6656</v>
      </c>
      <c r="E420" s="410" t="s">
        <v>6231</v>
      </c>
      <c r="F420" s="408" t="s">
        <v>89</v>
      </c>
      <c r="G420" s="408" t="s">
        <v>4446</v>
      </c>
      <c r="H420" s="409" t="s">
        <v>77</v>
      </c>
      <c r="I420" s="409" t="s">
        <v>522</v>
      </c>
      <c r="J420" s="411">
        <v>419.0</v>
      </c>
    </row>
    <row r="421">
      <c r="A421" s="413"/>
      <c r="B421" s="413"/>
      <c r="C421" s="414"/>
      <c r="D421" s="408" t="s">
        <v>6657</v>
      </c>
      <c r="E421" s="410" t="s">
        <v>6231</v>
      </c>
      <c r="F421" s="408" t="s">
        <v>89</v>
      </c>
      <c r="G421" s="408" t="s">
        <v>90</v>
      </c>
      <c r="H421" s="409" t="s">
        <v>77</v>
      </c>
      <c r="I421" s="409" t="s">
        <v>522</v>
      </c>
      <c r="J421" s="411">
        <v>420.0</v>
      </c>
    </row>
    <row r="422">
      <c r="A422" s="413"/>
      <c r="B422" s="413"/>
      <c r="C422" s="414"/>
      <c r="D422" s="408" t="s">
        <v>6658</v>
      </c>
      <c r="E422" s="410" t="s">
        <v>6231</v>
      </c>
      <c r="F422" s="408" t="s">
        <v>89</v>
      </c>
      <c r="G422" s="408" t="s">
        <v>1214</v>
      </c>
      <c r="H422" s="409" t="s">
        <v>77</v>
      </c>
      <c r="I422" s="409" t="s">
        <v>522</v>
      </c>
      <c r="J422" s="411">
        <v>421.0</v>
      </c>
    </row>
    <row r="423">
      <c r="A423" s="413"/>
      <c r="B423" s="413"/>
      <c r="C423" s="414"/>
      <c r="D423" s="408" t="s">
        <v>6659</v>
      </c>
      <c r="E423" s="410" t="s">
        <v>6233</v>
      </c>
      <c r="F423" s="408" t="s">
        <v>89</v>
      </c>
      <c r="G423" s="408" t="s">
        <v>90</v>
      </c>
      <c r="H423" s="409" t="s">
        <v>83</v>
      </c>
      <c r="I423" s="409" t="s">
        <v>66</v>
      </c>
      <c r="J423" s="411">
        <v>422.0</v>
      </c>
    </row>
    <row r="424">
      <c r="A424" s="413"/>
      <c r="B424" s="413"/>
      <c r="C424" s="414"/>
      <c r="D424" s="408" t="s">
        <v>6660</v>
      </c>
      <c r="E424" s="410" t="s">
        <v>6231</v>
      </c>
      <c r="F424" s="408" t="s">
        <v>89</v>
      </c>
      <c r="G424" s="408" t="s">
        <v>1520</v>
      </c>
      <c r="H424" s="409" t="s">
        <v>77</v>
      </c>
      <c r="I424" s="409" t="s">
        <v>522</v>
      </c>
      <c r="J424" s="411">
        <v>423.0</v>
      </c>
    </row>
    <row r="425">
      <c r="A425" s="413"/>
      <c r="B425" s="413"/>
      <c r="C425" s="414"/>
      <c r="D425" s="408" t="s">
        <v>6661</v>
      </c>
      <c r="E425" s="410" t="s">
        <v>6231</v>
      </c>
      <c r="F425" s="408" t="s">
        <v>89</v>
      </c>
      <c r="G425" s="408" t="s">
        <v>5099</v>
      </c>
      <c r="H425" s="409" t="s">
        <v>77</v>
      </c>
      <c r="I425" s="409" t="s">
        <v>522</v>
      </c>
      <c r="J425" s="411">
        <v>424.0</v>
      </c>
    </row>
    <row r="426">
      <c r="A426" s="413"/>
      <c r="B426" s="413"/>
      <c r="C426" s="414"/>
      <c r="D426" s="408" t="s">
        <v>6662</v>
      </c>
      <c r="E426" s="410" t="s">
        <v>6231</v>
      </c>
      <c r="F426" s="408" t="s">
        <v>89</v>
      </c>
      <c r="G426" s="408" t="s">
        <v>418</v>
      </c>
      <c r="H426" s="409" t="s">
        <v>77</v>
      </c>
      <c r="I426" s="409" t="s">
        <v>522</v>
      </c>
      <c r="J426" s="411">
        <v>425.0</v>
      </c>
    </row>
    <row r="427">
      <c r="A427" s="413"/>
      <c r="B427" s="413"/>
      <c r="C427" s="414"/>
      <c r="D427" s="408" t="s">
        <v>6663</v>
      </c>
      <c r="E427" s="410" t="s">
        <v>6231</v>
      </c>
      <c r="F427" s="408" t="s">
        <v>89</v>
      </c>
      <c r="G427" s="408" t="s">
        <v>90</v>
      </c>
      <c r="H427" s="409" t="s">
        <v>77</v>
      </c>
      <c r="I427" s="409" t="s">
        <v>522</v>
      </c>
      <c r="J427" s="411">
        <v>426.0</v>
      </c>
    </row>
    <row r="428">
      <c r="A428" s="413"/>
      <c r="B428" s="413"/>
      <c r="C428" s="414"/>
      <c r="D428" s="408" t="s">
        <v>6664</v>
      </c>
      <c r="E428" s="410" t="s">
        <v>6231</v>
      </c>
      <c r="F428" s="408" t="s">
        <v>89</v>
      </c>
      <c r="G428" s="408" t="s">
        <v>218</v>
      </c>
      <c r="H428" s="409" t="s">
        <v>77</v>
      </c>
      <c r="I428" s="409" t="s">
        <v>522</v>
      </c>
      <c r="J428" s="411">
        <v>427.0</v>
      </c>
    </row>
    <row r="429">
      <c r="A429" s="413"/>
      <c r="B429" s="413"/>
      <c r="C429" s="414"/>
      <c r="D429" s="408" t="s">
        <v>6665</v>
      </c>
      <c r="E429" s="410" t="s">
        <v>6231</v>
      </c>
      <c r="F429" s="408" t="s">
        <v>89</v>
      </c>
      <c r="G429" s="408" t="s">
        <v>90</v>
      </c>
      <c r="H429" s="409" t="s">
        <v>77</v>
      </c>
      <c r="I429" s="409" t="s">
        <v>522</v>
      </c>
      <c r="J429" s="411">
        <v>428.0</v>
      </c>
    </row>
    <row r="430">
      <c r="A430" s="413"/>
      <c r="B430" s="413"/>
      <c r="C430" s="414"/>
      <c r="D430" s="408" t="s">
        <v>6666</v>
      </c>
      <c r="E430" s="410" t="s">
        <v>6231</v>
      </c>
      <c r="F430" s="408" t="s">
        <v>89</v>
      </c>
      <c r="G430" s="408" t="s">
        <v>230</v>
      </c>
      <c r="H430" s="409" t="s">
        <v>77</v>
      </c>
      <c r="I430" s="409" t="s">
        <v>522</v>
      </c>
      <c r="J430" s="411">
        <v>429.0</v>
      </c>
    </row>
    <row r="431">
      <c r="A431" s="413"/>
      <c r="B431" s="413"/>
      <c r="C431" s="414"/>
      <c r="D431" s="408" t="s">
        <v>6667</v>
      </c>
      <c r="E431" s="410" t="s">
        <v>6231</v>
      </c>
      <c r="F431" s="408" t="s">
        <v>89</v>
      </c>
      <c r="G431" s="408" t="s">
        <v>1051</v>
      </c>
      <c r="H431" s="409" t="s">
        <v>77</v>
      </c>
      <c r="I431" s="409" t="s">
        <v>522</v>
      </c>
      <c r="J431" s="411">
        <v>430.0</v>
      </c>
    </row>
    <row r="432">
      <c r="A432" s="413"/>
      <c r="B432" s="413"/>
      <c r="C432" s="414"/>
      <c r="D432" s="408" t="s">
        <v>6668</v>
      </c>
      <c r="E432" s="410" t="s">
        <v>6231</v>
      </c>
      <c r="F432" s="408" t="s">
        <v>89</v>
      </c>
      <c r="G432" s="408" t="s">
        <v>90</v>
      </c>
      <c r="H432" s="409" t="s">
        <v>77</v>
      </c>
      <c r="I432" s="409" t="s">
        <v>522</v>
      </c>
      <c r="J432" s="411">
        <v>431.0</v>
      </c>
    </row>
    <row r="433">
      <c r="A433" s="413"/>
      <c r="B433" s="413"/>
      <c r="C433" s="414"/>
      <c r="D433" s="408" t="s">
        <v>6669</v>
      </c>
      <c r="E433" s="410" t="s">
        <v>6231</v>
      </c>
      <c r="F433" s="408" t="s">
        <v>89</v>
      </c>
      <c r="G433" s="408" t="s">
        <v>160</v>
      </c>
      <c r="H433" s="409" t="s">
        <v>77</v>
      </c>
      <c r="I433" s="409" t="s">
        <v>522</v>
      </c>
      <c r="J433" s="411">
        <v>432.0</v>
      </c>
    </row>
    <row r="434">
      <c r="A434" s="413"/>
      <c r="B434" s="413"/>
      <c r="C434" s="414"/>
      <c r="D434" s="408" t="s">
        <v>6670</v>
      </c>
      <c r="E434" s="410" t="s">
        <v>6231</v>
      </c>
      <c r="F434" s="408" t="s">
        <v>110</v>
      </c>
      <c r="G434" s="408" t="s">
        <v>5805</v>
      </c>
      <c r="H434" s="409" t="s">
        <v>77</v>
      </c>
      <c r="I434" s="409" t="s">
        <v>522</v>
      </c>
      <c r="J434" s="411">
        <v>433.0</v>
      </c>
    </row>
    <row r="435">
      <c r="A435" s="413"/>
      <c r="B435" s="413"/>
      <c r="C435" s="414"/>
      <c r="D435" s="408" t="s">
        <v>6671</v>
      </c>
      <c r="E435" s="410" t="s">
        <v>6231</v>
      </c>
      <c r="F435" s="408" t="s">
        <v>89</v>
      </c>
      <c r="G435" s="408" t="s">
        <v>90</v>
      </c>
      <c r="H435" s="409" t="s">
        <v>77</v>
      </c>
      <c r="I435" s="409" t="s">
        <v>522</v>
      </c>
      <c r="J435" s="411">
        <v>434.0</v>
      </c>
    </row>
    <row r="436">
      <c r="A436" s="413"/>
      <c r="B436" s="413"/>
      <c r="C436" s="414"/>
      <c r="D436" s="408" t="s">
        <v>6672</v>
      </c>
      <c r="E436" s="410" t="s">
        <v>6231</v>
      </c>
      <c r="F436" s="408" t="s">
        <v>89</v>
      </c>
      <c r="G436" s="408" t="s">
        <v>90</v>
      </c>
      <c r="H436" s="409" t="s">
        <v>77</v>
      </c>
      <c r="I436" s="409" t="s">
        <v>522</v>
      </c>
      <c r="J436" s="411">
        <v>435.0</v>
      </c>
    </row>
    <row r="437">
      <c r="A437" s="413"/>
      <c r="B437" s="413"/>
      <c r="C437" s="414"/>
      <c r="D437" s="408" t="s">
        <v>6673</v>
      </c>
      <c r="E437" s="410" t="s">
        <v>6231</v>
      </c>
      <c r="F437" s="408" t="s">
        <v>89</v>
      </c>
      <c r="G437" s="408" t="s">
        <v>640</v>
      </c>
      <c r="H437" s="409" t="s">
        <v>77</v>
      </c>
      <c r="I437" s="409" t="s">
        <v>522</v>
      </c>
      <c r="J437" s="411">
        <v>436.0</v>
      </c>
    </row>
    <row r="438">
      <c r="A438" s="413"/>
      <c r="B438" s="413"/>
      <c r="C438" s="414"/>
      <c r="D438" s="408" t="s">
        <v>6674</v>
      </c>
      <c r="E438" s="410" t="s">
        <v>6231</v>
      </c>
      <c r="F438" s="408" t="s">
        <v>89</v>
      </c>
      <c r="G438" s="408" t="s">
        <v>1193</v>
      </c>
      <c r="H438" s="409" t="s">
        <v>77</v>
      </c>
      <c r="I438" s="409" t="s">
        <v>522</v>
      </c>
      <c r="J438" s="411">
        <v>437.0</v>
      </c>
    </row>
    <row r="439">
      <c r="A439" s="413"/>
      <c r="B439" s="413"/>
      <c r="C439" s="414"/>
      <c r="D439" s="408" t="s">
        <v>6675</v>
      </c>
      <c r="E439" s="410" t="s">
        <v>6231</v>
      </c>
      <c r="F439" s="408" t="s">
        <v>89</v>
      </c>
      <c r="G439" s="408" t="s">
        <v>374</v>
      </c>
      <c r="H439" s="409" t="s">
        <v>77</v>
      </c>
      <c r="I439" s="409" t="s">
        <v>522</v>
      </c>
      <c r="J439" s="411">
        <v>438.0</v>
      </c>
    </row>
    <row r="440">
      <c r="A440" s="413"/>
      <c r="B440" s="413"/>
      <c r="C440" s="414"/>
      <c r="D440" s="408" t="s">
        <v>6676</v>
      </c>
      <c r="E440" s="410" t="s">
        <v>6231</v>
      </c>
      <c r="F440" s="408" t="s">
        <v>89</v>
      </c>
      <c r="G440" s="408" t="s">
        <v>2016</v>
      </c>
      <c r="H440" s="409" t="s">
        <v>77</v>
      </c>
      <c r="I440" s="409" t="s">
        <v>522</v>
      </c>
      <c r="J440" s="411">
        <v>439.0</v>
      </c>
    </row>
    <row r="441">
      <c r="A441" s="413"/>
      <c r="B441" s="413"/>
      <c r="C441" s="414"/>
      <c r="D441" s="408" t="s">
        <v>6677</v>
      </c>
      <c r="E441" s="410" t="s">
        <v>6231</v>
      </c>
      <c r="F441" s="408" t="s">
        <v>89</v>
      </c>
      <c r="G441" s="408" t="s">
        <v>374</v>
      </c>
      <c r="H441" s="409" t="s">
        <v>77</v>
      </c>
      <c r="I441" s="409" t="s">
        <v>522</v>
      </c>
      <c r="J441" s="411">
        <v>440.0</v>
      </c>
    </row>
    <row r="442">
      <c r="A442" s="413"/>
      <c r="B442" s="413"/>
      <c r="C442" s="414"/>
      <c r="D442" s="408" t="s">
        <v>6678</v>
      </c>
      <c r="E442" s="410" t="s">
        <v>6231</v>
      </c>
      <c r="F442" s="408" t="s">
        <v>89</v>
      </c>
      <c r="G442" s="408" t="s">
        <v>90</v>
      </c>
      <c r="H442" s="409" t="s">
        <v>77</v>
      </c>
      <c r="I442" s="409" t="s">
        <v>522</v>
      </c>
      <c r="J442" s="411">
        <v>441.0</v>
      </c>
    </row>
    <row r="443">
      <c r="A443" s="413"/>
      <c r="B443" s="413"/>
      <c r="C443" s="414"/>
      <c r="D443" s="408" t="s">
        <v>6679</v>
      </c>
      <c r="E443" s="410" t="s">
        <v>6231</v>
      </c>
      <c r="F443" s="408" t="s">
        <v>89</v>
      </c>
      <c r="G443" s="408" t="s">
        <v>90</v>
      </c>
      <c r="H443" s="409" t="s">
        <v>77</v>
      </c>
      <c r="I443" s="409" t="s">
        <v>522</v>
      </c>
      <c r="J443" s="411">
        <v>442.0</v>
      </c>
    </row>
    <row r="444">
      <c r="A444" s="413"/>
      <c r="B444" s="413"/>
      <c r="C444" s="414"/>
      <c r="D444" s="408" t="s">
        <v>6680</v>
      </c>
      <c r="E444" s="410" t="s">
        <v>6231</v>
      </c>
      <c r="F444" s="408" t="s">
        <v>89</v>
      </c>
      <c r="G444" s="408" t="s">
        <v>4776</v>
      </c>
      <c r="H444" s="409" t="s">
        <v>77</v>
      </c>
      <c r="I444" s="409" t="s">
        <v>522</v>
      </c>
      <c r="J444" s="411">
        <v>443.0</v>
      </c>
    </row>
    <row r="445">
      <c r="A445" s="413"/>
      <c r="B445" s="413"/>
      <c r="C445" s="414"/>
      <c r="D445" s="408" t="s">
        <v>6681</v>
      </c>
      <c r="E445" s="410" t="s">
        <v>6231</v>
      </c>
      <c r="F445" s="408" t="s">
        <v>89</v>
      </c>
      <c r="G445" s="412"/>
      <c r="H445" s="409" t="s">
        <v>77</v>
      </c>
      <c r="I445" s="409" t="s">
        <v>522</v>
      </c>
      <c r="J445" s="411">
        <v>444.0</v>
      </c>
    </row>
    <row r="446">
      <c r="A446" s="413"/>
      <c r="B446" s="413"/>
      <c r="C446" s="414"/>
      <c r="D446" s="408" t="s">
        <v>6682</v>
      </c>
      <c r="E446" s="410" t="s">
        <v>6231</v>
      </c>
      <c r="F446" s="408" t="s">
        <v>89</v>
      </c>
      <c r="G446" s="408" t="s">
        <v>2628</v>
      </c>
      <c r="H446" s="409" t="s">
        <v>77</v>
      </c>
      <c r="I446" s="409" t="s">
        <v>522</v>
      </c>
      <c r="J446" s="411">
        <v>445.0</v>
      </c>
    </row>
    <row r="447">
      <c r="A447" s="413"/>
      <c r="B447" s="413"/>
      <c r="C447" s="414"/>
      <c r="D447" s="408" t="s">
        <v>6683</v>
      </c>
      <c r="E447" s="410" t="s">
        <v>6231</v>
      </c>
      <c r="F447" s="408" t="s">
        <v>89</v>
      </c>
      <c r="G447" s="408" t="s">
        <v>218</v>
      </c>
      <c r="H447" s="409" t="s">
        <v>77</v>
      </c>
      <c r="I447" s="409" t="s">
        <v>522</v>
      </c>
      <c r="J447" s="411">
        <v>446.0</v>
      </c>
    </row>
    <row r="448">
      <c r="A448" s="413"/>
      <c r="B448" s="413"/>
      <c r="C448" s="414"/>
      <c r="D448" s="408" t="s">
        <v>6684</v>
      </c>
      <c r="E448" s="410" t="s">
        <v>6231</v>
      </c>
      <c r="F448" s="408" t="s">
        <v>89</v>
      </c>
      <c r="G448" s="408" t="s">
        <v>207</v>
      </c>
      <c r="H448" s="409" t="s">
        <v>77</v>
      </c>
      <c r="I448" s="409" t="s">
        <v>522</v>
      </c>
      <c r="J448" s="411">
        <v>447.0</v>
      </c>
    </row>
    <row r="449">
      <c r="A449" s="413"/>
      <c r="B449" s="413"/>
      <c r="C449" s="414"/>
      <c r="D449" s="408" t="s">
        <v>6685</v>
      </c>
      <c r="E449" s="410" t="s">
        <v>6231</v>
      </c>
      <c r="F449" s="408" t="s">
        <v>89</v>
      </c>
      <c r="G449" s="408" t="s">
        <v>90</v>
      </c>
      <c r="H449" s="409" t="s">
        <v>77</v>
      </c>
      <c r="I449" s="409" t="s">
        <v>522</v>
      </c>
      <c r="J449" s="411">
        <v>448.0</v>
      </c>
    </row>
    <row r="450">
      <c r="A450" s="413"/>
      <c r="B450" s="413"/>
      <c r="C450" s="414"/>
      <c r="D450" s="408" t="s">
        <v>6686</v>
      </c>
      <c r="E450" s="410" t="s">
        <v>6231</v>
      </c>
      <c r="F450" s="408" t="s">
        <v>89</v>
      </c>
      <c r="G450" s="408" t="s">
        <v>218</v>
      </c>
      <c r="H450" s="409" t="s">
        <v>77</v>
      </c>
      <c r="I450" s="409" t="s">
        <v>522</v>
      </c>
      <c r="J450" s="411">
        <v>449.0</v>
      </c>
    </row>
    <row r="451">
      <c r="A451" s="413"/>
      <c r="B451" s="413"/>
      <c r="C451" s="414"/>
      <c r="D451" s="408" t="s">
        <v>6687</v>
      </c>
      <c r="E451" s="410" t="s">
        <v>6231</v>
      </c>
      <c r="F451" s="408" t="s">
        <v>89</v>
      </c>
      <c r="G451" s="412"/>
      <c r="H451" s="409" t="s">
        <v>77</v>
      </c>
      <c r="I451" s="409" t="s">
        <v>522</v>
      </c>
      <c r="J451" s="411">
        <v>450.0</v>
      </c>
    </row>
    <row r="452">
      <c r="A452" s="413"/>
      <c r="B452" s="413"/>
      <c r="C452" s="414"/>
      <c r="D452" s="408" t="s">
        <v>6688</v>
      </c>
      <c r="E452" s="410" t="s">
        <v>6231</v>
      </c>
      <c r="F452" s="408" t="s">
        <v>89</v>
      </c>
      <c r="G452" s="408" t="s">
        <v>90</v>
      </c>
      <c r="H452" s="409" t="s">
        <v>77</v>
      </c>
      <c r="I452" s="409" t="s">
        <v>522</v>
      </c>
      <c r="J452" s="411">
        <v>451.0</v>
      </c>
    </row>
    <row r="453">
      <c r="A453" s="413"/>
      <c r="B453" s="413"/>
      <c r="C453" s="414"/>
      <c r="D453" s="408" t="s">
        <v>6689</v>
      </c>
      <c r="E453" s="410" t="s">
        <v>6231</v>
      </c>
      <c r="F453" s="408" t="s">
        <v>89</v>
      </c>
      <c r="G453" s="408" t="s">
        <v>374</v>
      </c>
      <c r="H453" s="409" t="s">
        <v>77</v>
      </c>
      <c r="I453" s="409" t="s">
        <v>522</v>
      </c>
      <c r="J453" s="411">
        <v>452.0</v>
      </c>
    </row>
    <row r="454">
      <c r="A454" s="413"/>
      <c r="B454" s="413"/>
      <c r="C454" s="414"/>
      <c r="D454" s="408" t="s">
        <v>6690</v>
      </c>
      <c r="E454" s="410" t="s">
        <v>6231</v>
      </c>
      <c r="F454" s="408" t="s">
        <v>89</v>
      </c>
      <c r="G454" s="412"/>
      <c r="H454" s="409" t="s">
        <v>77</v>
      </c>
      <c r="I454" s="409" t="s">
        <v>522</v>
      </c>
      <c r="J454" s="411">
        <v>453.0</v>
      </c>
    </row>
    <row r="455">
      <c r="A455" s="413"/>
      <c r="B455" s="413"/>
      <c r="C455" s="414"/>
      <c r="D455" s="408" t="s">
        <v>6691</v>
      </c>
      <c r="E455" s="410" t="s">
        <v>6231</v>
      </c>
      <c r="F455" s="408" t="s">
        <v>89</v>
      </c>
      <c r="G455" s="408" t="s">
        <v>1520</v>
      </c>
      <c r="H455" s="409" t="s">
        <v>77</v>
      </c>
      <c r="I455" s="409" t="s">
        <v>522</v>
      </c>
      <c r="J455" s="411">
        <v>454.0</v>
      </c>
    </row>
    <row r="456">
      <c r="A456" s="413"/>
      <c r="B456" s="413"/>
      <c r="C456" s="414"/>
      <c r="D456" s="408" t="s">
        <v>6692</v>
      </c>
      <c r="E456" s="410" t="s">
        <v>6231</v>
      </c>
      <c r="F456" s="408" t="s">
        <v>89</v>
      </c>
      <c r="G456" s="408" t="s">
        <v>4138</v>
      </c>
      <c r="H456" s="409" t="s">
        <v>77</v>
      </c>
      <c r="I456" s="409" t="s">
        <v>522</v>
      </c>
      <c r="J456" s="411">
        <v>455.0</v>
      </c>
    </row>
    <row r="457">
      <c r="A457" s="413"/>
      <c r="B457" s="413"/>
      <c r="C457" s="414"/>
      <c r="D457" s="408" t="s">
        <v>6693</v>
      </c>
      <c r="E457" s="410" t="s">
        <v>6231</v>
      </c>
      <c r="F457" s="408" t="s">
        <v>89</v>
      </c>
      <c r="G457" s="408" t="s">
        <v>1851</v>
      </c>
      <c r="H457" s="409" t="s">
        <v>77</v>
      </c>
      <c r="I457" s="409" t="s">
        <v>522</v>
      </c>
      <c r="J457" s="411">
        <v>456.0</v>
      </c>
    </row>
    <row r="458">
      <c r="A458" s="413"/>
      <c r="B458" s="413"/>
      <c r="C458" s="414"/>
      <c r="D458" s="408" t="s">
        <v>6694</v>
      </c>
      <c r="E458" s="410" t="s">
        <v>6231</v>
      </c>
      <c r="F458" s="408" t="s">
        <v>89</v>
      </c>
      <c r="G458" s="412"/>
      <c r="H458" s="409" t="s">
        <v>77</v>
      </c>
      <c r="I458" s="409" t="s">
        <v>522</v>
      </c>
      <c r="J458" s="411">
        <v>457.0</v>
      </c>
    </row>
    <row r="459">
      <c r="A459" s="413"/>
      <c r="B459" s="413"/>
      <c r="C459" s="414"/>
      <c r="D459" s="408" t="s">
        <v>6695</v>
      </c>
      <c r="E459" s="410" t="s">
        <v>6231</v>
      </c>
      <c r="F459" s="408" t="s">
        <v>89</v>
      </c>
      <c r="G459" s="408" t="s">
        <v>90</v>
      </c>
      <c r="H459" s="409" t="s">
        <v>77</v>
      </c>
      <c r="I459" s="409" t="s">
        <v>522</v>
      </c>
      <c r="J459" s="411">
        <v>458.0</v>
      </c>
    </row>
    <row r="460">
      <c r="A460" s="413"/>
      <c r="B460" s="413"/>
      <c r="C460" s="414"/>
      <c r="D460" s="408" t="s">
        <v>6696</v>
      </c>
      <c r="E460" s="410" t="s">
        <v>6231</v>
      </c>
      <c r="F460" s="408" t="s">
        <v>89</v>
      </c>
      <c r="G460" s="408" t="s">
        <v>90</v>
      </c>
      <c r="H460" s="409" t="s">
        <v>77</v>
      </c>
      <c r="I460" s="409" t="s">
        <v>522</v>
      </c>
      <c r="J460" s="411">
        <v>459.0</v>
      </c>
    </row>
    <row r="461">
      <c r="A461" s="413"/>
      <c r="B461" s="413"/>
      <c r="C461" s="414"/>
      <c r="D461" s="408" t="s">
        <v>6697</v>
      </c>
      <c r="E461" s="410" t="s">
        <v>6231</v>
      </c>
      <c r="F461" s="408" t="s">
        <v>89</v>
      </c>
      <c r="G461" s="408" t="s">
        <v>218</v>
      </c>
      <c r="H461" s="409" t="s">
        <v>77</v>
      </c>
      <c r="I461" s="409" t="s">
        <v>522</v>
      </c>
      <c r="J461" s="411">
        <v>460.0</v>
      </c>
    </row>
    <row r="462">
      <c r="A462" s="413"/>
      <c r="B462" s="413"/>
      <c r="C462" s="414"/>
      <c r="D462" s="408" t="s">
        <v>6698</v>
      </c>
      <c r="E462" s="410" t="s">
        <v>6231</v>
      </c>
      <c r="F462" s="408" t="s">
        <v>89</v>
      </c>
      <c r="G462" s="408" t="s">
        <v>218</v>
      </c>
      <c r="H462" s="409" t="s">
        <v>77</v>
      </c>
      <c r="I462" s="409" t="s">
        <v>522</v>
      </c>
      <c r="J462" s="411">
        <v>461.0</v>
      </c>
    </row>
    <row r="463">
      <c r="A463" s="413"/>
      <c r="B463" s="413"/>
      <c r="C463" s="414"/>
      <c r="D463" s="408" t="s">
        <v>6699</v>
      </c>
      <c r="E463" s="410" t="s">
        <v>6231</v>
      </c>
      <c r="F463" s="408" t="s">
        <v>89</v>
      </c>
      <c r="G463" s="408" t="s">
        <v>1214</v>
      </c>
      <c r="H463" s="409" t="s">
        <v>77</v>
      </c>
      <c r="I463" s="409" t="s">
        <v>522</v>
      </c>
      <c r="J463" s="411">
        <v>462.0</v>
      </c>
    </row>
    <row r="464">
      <c r="A464" s="413"/>
      <c r="B464" s="413"/>
      <c r="C464" s="414"/>
      <c r="D464" s="408" t="s">
        <v>6700</v>
      </c>
      <c r="E464" s="410" t="s">
        <v>6231</v>
      </c>
      <c r="F464" s="408" t="s">
        <v>89</v>
      </c>
      <c r="G464" s="408" t="s">
        <v>207</v>
      </c>
      <c r="H464" s="409" t="s">
        <v>77</v>
      </c>
      <c r="I464" s="409" t="s">
        <v>522</v>
      </c>
      <c r="J464" s="411">
        <v>463.0</v>
      </c>
    </row>
    <row r="465">
      <c r="A465" s="413"/>
      <c r="B465" s="413"/>
      <c r="C465" s="414"/>
      <c r="D465" s="408" t="s">
        <v>6701</v>
      </c>
      <c r="E465" s="410" t="s">
        <v>6231</v>
      </c>
      <c r="F465" s="408" t="s">
        <v>89</v>
      </c>
      <c r="G465" s="408" t="s">
        <v>90</v>
      </c>
      <c r="H465" s="409" t="s">
        <v>77</v>
      </c>
      <c r="I465" s="409" t="s">
        <v>522</v>
      </c>
      <c r="J465" s="411">
        <v>464.0</v>
      </c>
    </row>
    <row r="466">
      <c r="A466" s="413"/>
      <c r="B466" s="413"/>
      <c r="C466" s="414"/>
      <c r="D466" s="408" t="s">
        <v>6702</v>
      </c>
      <c r="E466" s="410" t="s">
        <v>6231</v>
      </c>
      <c r="F466" s="408" t="s">
        <v>89</v>
      </c>
      <c r="G466" s="408" t="s">
        <v>243</v>
      </c>
      <c r="H466" s="409" t="s">
        <v>77</v>
      </c>
      <c r="I466" s="409" t="s">
        <v>522</v>
      </c>
      <c r="J466" s="411">
        <v>465.0</v>
      </c>
    </row>
    <row r="467">
      <c r="A467" s="413"/>
      <c r="B467" s="413"/>
      <c r="C467" s="414"/>
      <c r="D467" s="408" t="s">
        <v>6703</v>
      </c>
      <c r="E467" s="410" t="s">
        <v>6231</v>
      </c>
      <c r="F467" s="408" t="s">
        <v>77</v>
      </c>
      <c r="G467" s="408" t="s">
        <v>77</v>
      </c>
      <c r="H467" s="409" t="s">
        <v>77</v>
      </c>
      <c r="I467" s="409" t="s">
        <v>522</v>
      </c>
      <c r="J467" s="411">
        <v>466.0</v>
      </c>
    </row>
    <row r="468">
      <c r="A468" s="413"/>
      <c r="B468" s="413"/>
      <c r="C468" s="414"/>
      <c r="D468" s="408" t="s">
        <v>6704</v>
      </c>
      <c r="E468" s="410" t="s">
        <v>6231</v>
      </c>
      <c r="F468" s="408" t="s">
        <v>89</v>
      </c>
      <c r="G468" s="408" t="s">
        <v>1857</v>
      </c>
      <c r="H468" s="409" t="s">
        <v>77</v>
      </c>
      <c r="I468" s="409" t="s">
        <v>522</v>
      </c>
      <c r="J468" s="411">
        <v>467.0</v>
      </c>
    </row>
    <row r="469">
      <c r="A469" s="413"/>
      <c r="B469" s="413"/>
      <c r="C469" s="414"/>
      <c r="D469" s="408" t="s">
        <v>6705</v>
      </c>
      <c r="E469" s="410" t="s">
        <v>6231</v>
      </c>
      <c r="F469" s="408" t="s">
        <v>89</v>
      </c>
      <c r="G469" s="408" t="s">
        <v>6706</v>
      </c>
      <c r="H469" s="409" t="s">
        <v>77</v>
      </c>
      <c r="I469" s="409" t="s">
        <v>522</v>
      </c>
      <c r="J469" s="411">
        <v>468.0</v>
      </c>
    </row>
    <row r="470">
      <c r="A470" s="413"/>
      <c r="B470" s="413"/>
      <c r="C470" s="414"/>
      <c r="D470" s="408" t="s">
        <v>6707</v>
      </c>
      <c r="E470" s="410" t="s">
        <v>6231</v>
      </c>
      <c r="F470" s="408" t="s">
        <v>89</v>
      </c>
      <c r="G470" s="408" t="s">
        <v>5812</v>
      </c>
      <c r="H470" s="409" t="s">
        <v>77</v>
      </c>
      <c r="I470" s="409" t="s">
        <v>522</v>
      </c>
      <c r="J470" s="411">
        <v>469.0</v>
      </c>
    </row>
    <row r="471">
      <c r="A471" s="413"/>
      <c r="B471" s="413"/>
      <c r="C471" s="414"/>
      <c r="D471" s="408" t="s">
        <v>6708</v>
      </c>
      <c r="E471" s="410" t="s">
        <v>6231</v>
      </c>
      <c r="F471" s="408" t="s">
        <v>89</v>
      </c>
      <c r="G471" s="408" t="s">
        <v>1168</v>
      </c>
      <c r="H471" s="409" t="s">
        <v>77</v>
      </c>
      <c r="I471" s="409" t="s">
        <v>522</v>
      </c>
      <c r="J471" s="411">
        <v>470.0</v>
      </c>
    </row>
    <row r="472">
      <c r="A472" s="413"/>
      <c r="B472" s="413"/>
      <c r="C472" s="414"/>
      <c r="D472" s="408" t="s">
        <v>6709</v>
      </c>
      <c r="E472" s="410" t="s">
        <v>6231</v>
      </c>
      <c r="F472" s="408" t="s">
        <v>89</v>
      </c>
      <c r="G472" s="412"/>
      <c r="H472" s="409" t="s">
        <v>77</v>
      </c>
      <c r="I472" s="409" t="s">
        <v>522</v>
      </c>
      <c r="J472" s="411">
        <v>471.0</v>
      </c>
    </row>
    <row r="473">
      <c r="A473" s="413"/>
      <c r="B473" s="413"/>
      <c r="C473" s="414"/>
      <c r="D473" s="408" t="s">
        <v>6710</v>
      </c>
      <c r="E473" s="410" t="s">
        <v>6231</v>
      </c>
      <c r="F473" s="408" t="s">
        <v>89</v>
      </c>
      <c r="G473" s="408" t="s">
        <v>6711</v>
      </c>
      <c r="H473" s="409" t="s">
        <v>77</v>
      </c>
      <c r="I473" s="409" t="s">
        <v>522</v>
      </c>
      <c r="J473" s="411">
        <v>472.0</v>
      </c>
    </row>
    <row r="474">
      <c r="A474" s="413"/>
      <c r="B474" s="413"/>
      <c r="C474" s="414"/>
      <c r="D474" s="408" t="s">
        <v>6712</v>
      </c>
      <c r="E474" s="410" t="s">
        <v>6231</v>
      </c>
      <c r="F474" s="408" t="s">
        <v>89</v>
      </c>
      <c r="G474" s="408" t="s">
        <v>90</v>
      </c>
      <c r="H474" s="409" t="s">
        <v>77</v>
      </c>
      <c r="I474" s="409" t="s">
        <v>522</v>
      </c>
      <c r="J474" s="411">
        <v>473.0</v>
      </c>
    </row>
    <row r="475">
      <c r="A475" s="413"/>
      <c r="B475" s="413"/>
      <c r="C475" s="414"/>
      <c r="D475" s="408" t="s">
        <v>6713</v>
      </c>
      <c r="E475" s="410" t="s">
        <v>6231</v>
      </c>
      <c r="F475" s="408" t="s">
        <v>89</v>
      </c>
      <c r="G475" s="408" t="s">
        <v>1520</v>
      </c>
      <c r="H475" s="409" t="s">
        <v>77</v>
      </c>
      <c r="I475" s="409" t="s">
        <v>522</v>
      </c>
      <c r="J475" s="411">
        <v>474.0</v>
      </c>
    </row>
    <row r="476">
      <c r="A476" s="413"/>
      <c r="B476" s="413"/>
      <c r="C476" s="414"/>
      <c r="D476" s="408" t="s">
        <v>6714</v>
      </c>
      <c r="E476" s="410" t="s">
        <v>6231</v>
      </c>
      <c r="F476" s="408" t="s">
        <v>89</v>
      </c>
      <c r="G476" s="408" t="s">
        <v>374</v>
      </c>
      <c r="H476" s="409" t="s">
        <v>77</v>
      </c>
      <c r="I476" s="409" t="s">
        <v>522</v>
      </c>
      <c r="J476" s="411">
        <v>475.0</v>
      </c>
    </row>
    <row r="477">
      <c r="A477" s="413"/>
      <c r="B477" s="413"/>
      <c r="C477" s="414"/>
      <c r="D477" s="408" t="s">
        <v>6715</v>
      </c>
      <c r="E477" s="410" t="s">
        <v>6231</v>
      </c>
      <c r="F477" s="408" t="s">
        <v>89</v>
      </c>
      <c r="G477" s="408" t="s">
        <v>6716</v>
      </c>
      <c r="H477" s="409" t="s">
        <v>77</v>
      </c>
      <c r="I477" s="409" t="s">
        <v>522</v>
      </c>
      <c r="J477" s="411">
        <v>476.0</v>
      </c>
    </row>
    <row r="478">
      <c r="A478" s="413"/>
      <c r="B478" s="413"/>
      <c r="C478" s="414"/>
      <c r="D478" s="408" t="s">
        <v>6717</v>
      </c>
      <c r="E478" s="410" t="s">
        <v>6231</v>
      </c>
      <c r="F478" s="408" t="s">
        <v>89</v>
      </c>
      <c r="G478" s="408" t="s">
        <v>795</v>
      </c>
      <c r="H478" s="409" t="s">
        <v>77</v>
      </c>
      <c r="I478" s="409" t="s">
        <v>522</v>
      </c>
      <c r="J478" s="411">
        <v>477.0</v>
      </c>
    </row>
    <row r="479">
      <c r="A479" s="413"/>
      <c r="B479" s="413"/>
      <c r="C479" s="414"/>
      <c r="D479" s="408" t="s">
        <v>6718</v>
      </c>
      <c r="E479" s="410" t="s">
        <v>6231</v>
      </c>
      <c r="F479" s="408" t="s">
        <v>89</v>
      </c>
      <c r="G479" s="408" t="s">
        <v>6719</v>
      </c>
      <c r="H479" s="409" t="s">
        <v>77</v>
      </c>
      <c r="I479" s="409" t="s">
        <v>522</v>
      </c>
      <c r="J479" s="411">
        <v>478.0</v>
      </c>
    </row>
    <row r="480">
      <c r="A480" s="413"/>
      <c r="B480" s="413"/>
      <c r="C480" s="414"/>
      <c r="D480" s="408" t="s">
        <v>6720</v>
      </c>
      <c r="E480" s="410" t="s">
        <v>6231</v>
      </c>
      <c r="F480" s="408" t="s">
        <v>89</v>
      </c>
      <c r="G480" s="408" t="s">
        <v>218</v>
      </c>
      <c r="H480" s="409" t="s">
        <v>77</v>
      </c>
      <c r="I480" s="409" t="s">
        <v>522</v>
      </c>
      <c r="J480" s="411">
        <v>479.0</v>
      </c>
    </row>
    <row r="481">
      <c r="A481" s="413"/>
      <c r="B481" s="413"/>
      <c r="C481" s="414"/>
      <c r="D481" s="408" t="s">
        <v>6721</v>
      </c>
      <c r="E481" s="410" t="s">
        <v>6231</v>
      </c>
      <c r="F481" s="408" t="s">
        <v>89</v>
      </c>
      <c r="G481" s="408" t="s">
        <v>2501</v>
      </c>
      <c r="H481" s="409" t="s">
        <v>77</v>
      </c>
      <c r="I481" s="409" t="s">
        <v>522</v>
      </c>
      <c r="J481" s="411">
        <v>480.0</v>
      </c>
    </row>
    <row r="482">
      <c r="A482" s="413"/>
      <c r="B482" s="413"/>
      <c r="C482" s="414"/>
      <c r="D482" s="408" t="s">
        <v>6722</v>
      </c>
      <c r="E482" s="410" t="s">
        <v>6231</v>
      </c>
      <c r="F482" s="408" t="s">
        <v>89</v>
      </c>
      <c r="G482" s="408" t="s">
        <v>1520</v>
      </c>
      <c r="H482" s="409" t="s">
        <v>77</v>
      </c>
      <c r="I482" s="409" t="s">
        <v>522</v>
      </c>
      <c r="J482" s="411">
        <v>481.0</v>
      </c>
    </row>
    <row r="483">
      <c r="A483" s="413"/>
      <c r="B483" s="413"/>
      <c r="C483" s="414"/>
      <c r="D483" s="408" t="s">
        <v>6723</v>
      </c>
      <c r="E483" s="410" t="s">
        <v>6231</v>
      </c>
      <c r="F483" s="408" t="s">
        <v>89</v>
      </c>
      <c r="G483" s="408" t="s">
        <v>5155</v>
      </c>
      <c r="H483" s="409" t="s">
        <v>77</v>
      </c>
      <c r="I483" s="409" t="s">
        <v>522</v>
      </c>
      <c r="J483" s="411">
        <v>482.0</v>
      </c>
    </row>
    <row r="484">
      <c r="A484" s="413"/>
      <c r="B484" s="413"/>
      <c r="C484" s="414"/>
      <c r="D484" s="408" t="s">
        <v>6724</v>
      </c>
      <c r="E484" s="410" t="s">
        <v>6231</v>
      </c>
      <c r="F484" s="408" t="s">
        <v>89</v>
      </c>
      <c r="G484" s="408" t="s">
        <v>218</v>
      </c>
      <c r="H484" s="409" t="s">
        <v>77</v>
      </c>
      <c r="I484" s="409" t="s">
        <v>522</v>
      </c>
      <c r="J484" s="411">
        <v>483.0</v>
      </c>
    </row>
    <row r="485">
      <c r="A485" s="413"/>
      <c r="B485" s="413"/>
      <c r="C485" s="414"/>
      <c r="D485" s="408" t="s">
        <v>6725</v>
      </c>
      <c r="E485" s="410" t="s">
        <v>6231</v>
      </c>
      <c r="F485" s="408" t="s">
        <v>89</v>
      </c>
      <c r="G485" s="408" t="s">
        <v>218</v>
      </c>
      <c r="H485" s="409" t="s">
        <v>77</v>
      </c>
      <c r="I485" s="409" t="s">
        <v>522</v>
      </c>
      <c r="J485" s="411">
        <v>484.0</v>
      </c>
    </row>
    <row r="486">
      <c r="A486" s="413"/>
      <c r="B486" s="413"/>
      <c r="C486" s="414"/>
      <c r="D486" s="408" t="s">
        <v>6726</v>
      </c>
      <c r="E486" s="410" t="s">
        <v>6231</v>
      </c>
      <c r="F486" s="408" t="s">
        <v>89</v>
      </c>
      <c r="G486" s="408" t="s">
        <v>2016</v>
      </c>
      <c r="H486" s="409" t="s">
        <v>77</v>
      </c>
      <c r="I486" s="409" t="s">
        <v>522</v>
      </c>
      <c r="J486" s="411">
        <v>485.0</v>
      </c>
    </row>
    <row r="487">
      <c r="A487" s="413"/>
      <c r="B487" s="413"/>
      <c r="C487" s="414"/>
      <c r="D487" s="408" t="s">
        <v>6727</v>
      </c>
      <c r="E487" s="410" t="s">
        <v>6231</v>
      </c>
      <c r="F487" s="408" t="s">
        <v>89</v>
      </c>
      <c r="G487" s="408" t="s">
        <v>3244</v>
      </c>
      <c r="H487" s="409" t="s">
        <v>77</v>
      </c>
      <c r="I487" s="409" t="s">
        <v>522</v>
      </c>
      <c r="J487" s="411">
        <v>486.0</v>
      </c>
    </row>
    <row r="488">
      <c r="A488" s="413"/>
      <c r="B488" s="413"/>
      <c r="C488" s="414"/>
      <c r="D488" s="408" t="s">
        <v>6728</v>
      </c>
      <c r="E488" s="410" t="s">
        <v>6231</v>
      </c>
      <c r="F488" s="408" t="s">
        <v>89</v>
      </c>
      <c r="G488" s="408" t="s">
        <v>1520</v>
      </c>
      <c r="H488" s="409" t="s">
        <v>77</v>
      </c>
      <c r="I488" s="409" t="s">
        <v>522</v>
      </c>
      <c r="J488" s="411">
        <v>487.0</v>
      </c>
    </row>
    <row r="489">
      <c r="A489" s="413"/>
      <c r="B489" s="413"/>
      <c r="C489" s="414"/>
      <c r="D489" s="408" t="s">
        <v>6729</v>
      </c>
      <c r="E489" s="410" t="s">
        <v>6231</v>
      </c>
      <c r="F489" s="408" t="s">
        <v>89</v>
      </c>
      <c r="G489" s="408" t="s">
        <v>1214</v>
      </c>
      <c r="H489" s="409" t="s">
        <v>77</v>
      </c>
      <c r="I489" s="409" t="s">
        <v>522</v>
      </c>
      <c r="J489" s="411">
        <v>488.0</v>
      </c>
    </row>
    <row r="490">
      <c r="A490" s="413"/>
      <c r="B490" s="413"/>
      <c r="C490" s="414"/>
      <c r="D490" s="408" t="s">
        <v>6730</v>
      </c>
      <c r="E490" s="410" t="s">
        <v>6231</v>
      </c>
      <c r="F490" s="408" t="s">
        <v>89</v>
      </c>
      <c r="G490" s="408" t="s">
        <v>4816</v>
      </c>
      <c r="H490" s="409" t="s">
        <v>77</v>
      </c>
      <c r="I490" s="409" t="s">
        <v>522</v>
      </c>
      <c r="J490" s="411">
        <v>489.0</v>
      </c>
    </row>
    <row r="491">
      <c r="A491" s="413"/>
      <c r="B491" s="413"/>
      <c r="C491" s="414"/>
      <c r="D491" s="408" t="s">
        <v>6731</v>
      </c>
      <c r="E491" s="410" t="s">
        <v>6231</v>
      </c>
      <c r="F491" s="408" t="s">
        <v>89</v>
      </c>
      <c r="G491" s="408" t="s">
        <v>5174</v>
      </c>
      <c r="H491" s="409" t="s">
        <v>77</v>
      </c>
      <c r="I491" s="409" t="s">
        <v>522</v>
      </c>
      <c r="J491" s="411">
        <v>490.0</v>
      </c>
    </row>
    <row r="492">
      <c r="A492" s="413"/>
      <c r="B492" s="413"/>
      <c r="C492" s="414"/>
      <c r="D492" s="408" t="s">
        <v>6732</v>
      </c>
      <c r="E492" s="410" t="s">
        <v>6231</v>
      </c>
      <c r="F492" s="408" t="s">
        <v>89</v>
      </c>
      <c r="G492" s="408" t="s">
        <v>2398</v>
      </c>
      <c r="H492" s="409" t="s">
        <v>77</v>
      </c>
      <c r="I492" s="409" t="s">
        <v>522</v>
      </c>
      <c r="J492" s="411">
        <v>491.0</v>
      </c>
    </row>
    <row r="493">
      <c r="A493" s="413"/>
      <c r="B493" s="413"/>
      <c r="C493" s="414"/>
      <c r="D493" s="408" t="s">
        <v>6733</v>
      </c>
      <c r="E493" s="410" t="s">
        <v>6231</v>
      </c>
      <c r="F493" s="408" t="s">
        <v>89</v>
      </c>
      <c r="G493" s="408" t="s">
        <v>1193</v>
      </c>
      <c r="H493" s="409" t="s">
        <v>77</v>
      </c>
      <c r="I493" s="409" t="s">
        <v>522</v>
      </c>
      <c r="J493" s="411">
        <v>492.0</v>
      </c>
    </row>
    <row r="494">
      <c r="A494" s="413"/>
      <c r="B494" s="413"/>
      <c r="C494" s="414"/>
      <c r="D494" s="408" t="s">
        <v>6734</v>
      </c>
      <c r="E494" s="410" t="s">
        <v>6231</v>
      </c>
      <c r="F494" s="408" t="s">
        <v>89</v>
      </c>
      <c r="G494" s="408" t="s">
        <v>1214</v>
      </c>
      <c r="H494" s="409" t="s">
        <v>77</v>
      </c>
      <c r="I494" s="409" t="s">
        <v>522</v>
      </c>
      <c r="J494" s="411">
        <v>493.0</v>
      </c>
    </row>
    <row r="495">
      <c r="A495" s="413"/>
      <c r="B495" s="413"/>
      <c r="C495" s="414"/>
      <c r="D495" s="408" t="s">
        <v>6735</v>
      </c>
      <c r="E495" s="410" t="s">
        <v>6231</v>
      </c>
      <c r="F495" s="408" t="s">
        <v>89</v>
      </c>
      <c r="G495" s="408" t="s">
        <v>218</v>
      </c>
      <c r="H495" s="409" t="s">
        <v>77</v>
      </c>
      <c r="I495" s="409" t="s">
        <v>522</v>
      </c>
      <c r="J495" s="411">
        <v>494.0</v>
      </c>
    </row>
    <row r="496">
      <c r="A496" s="413"/>
      <c r="B496" s="413"/>
      <c r="C496" s="414"/>
      <c r="D496" s="408" t="s">
        <v>6736</v>
      </c>
      <c r="E496" s="410" t="s">
        <v>6231</v>
      </c>
      <c r="F496" s="408" t="s">
        <v>89</v>
      </c>
      <c r="G496" s="412"/>
      <c r="H496" s="409" t="s">
        <v>77</v>
      </c>
      <c r="I496" s="409" t="s">
        <v>522</v>
      </c>
      <c r="J496" s="411">
        <v>495.0</v>
      </c>
    </row>
    <row r="497">
      <c r="A497" s="413"/>
      <c r="B497" s="413"/>
      <c r="C497" s="414"/>
      <c r="D497" s="408" t="s">
        <v>6737</v>
      </c>
      <c r="E497" s="410" t="s">
        <v>6231</v>
      </c>
      <c r="F497" s="408" t="s">
        <v>89</v>
      </c>
      <c r="G497" s="408" t="s">
        <v>2419</v>
      </c>
      <c r="H497" s="409" t="s">
        <v>77</v>
      </c>
      <c r="I497" s="409" t="s">
        <v>522</v>
      </c>
      <c r="J497" s="411">
        <v>496.0</v>
      </c>
    </row>
    <row r="498">
      <c r="A498" s="413"/>
      <c r="B498" s="413"/>
      <c r="C498" s="414"/>
      <c r="D498" s="408" t="s">
        <v>6738</v>
      </c>
      <c r="E498" s="410" t="s">
        <v>6231</v>
      </c>
      <c r="F498" s="408" t="s">
        <v>89</v>
      </c>
      <c r="G498" s="408" t="s">
        <v>4843</v>
      </c>
      <c r="H498" s="409" t="s">
        <v>77</v>
      </c>
      <c r="I498" s="409" t="s">
        <v>522</v>
      </c>
      <c r="J498" s="411">
        <v>497.0</v>
      </c>
    </row>
    <row r="499">
      <c r="A499" s="413"/>
      <c r="B499" s="413"/>
      <c r="C499" s="414"/>
      <c r="D499" s="408" t="s">
        <v>6739</v>
      </c>
      <c r="E499" s="410" t="s">
        <v>6231</v>
      </c>
      <c r="F499" s="408" t="s">
        <v>89</v>
      </c>
      <c r="G499" s="408" t="s">
        <v>160</v>
      </c>
      <c r="H499" s="409" t="s">
        <v>77</v>
      </c>
      <c r="I499" s="409" t="s">
        <v>522</v>
      </c>
      <c r="J499" s="411">
        <v>498.0</v>
      </c>
    </row>
    <row r="500">
      <c r="A500" s="413"/>
      <c r="B500" s="413"/>
      <c r="C500" s="414"/>
      <c r="D500" s="408" t="s">
        <v>6740</v>
      </c>
      <c r="E500" s="410" t="s">
        <v>6231</v>
      </c>
      <c r="F500" s="408" t="s">
        <v>89</v>
      </c>
      <c r="G500" s="408" t="s">
        <v>5540</v>
      </c>
      <c r="H500" s="409" t="s">
        <v>77</v>
      </c>
      <c r="I500" s="409" t="s">
        <v>522</v>
      </c>
      <c r="J500" s="411">
        <v>499.0</v>
      </c>
    </row>
    <row r="501">
      <c r="A501" s="413"/>
      <c r="B501" s="413"/>
      <c r="C501" s="414"/>
      <c r="D501" s="408" t="s">
        <v>6741</v>
      </c>
      <c r="E501" s="410" t="s">
        <v>6231</v>
      </c>
      <c r="F501" s="408" t="s">
        <v>89</v>
      </c>
      <c r="G501" s="408" t="s">
        <v>1214</v>
      </c>
      <c r="H501" s="409" t="s">
        <v>77</v>
      </c>
      <c r="I501" s="409" t="s">
        <v>522</v>
      </c>
      <c r="J501" s="411">
        <v>500.0</v>
      </c>
    </row>
    <row r="502">
      <c r="A502" s="413"/>
      <c r="B502" s="413"/>
      <c r="C502" s="414"/>
      <c r="D502" s="408" t="s">
        <v>6742</v>
      </c>
      <c r="E502" s="410" t="s">
        <v>6231</v>
      </c>
      <c r="F502" s="408" t="s">
        <v>89</v>
      </c>
      <c r="G502" s="408" t="s">
        <v>3259</v>
      </c>
      <c r="H502" s="409" t="s">
        <v>77</v>
      </c>
      <c r="I502" s="409" t="s">
        <v>522</v>
      </c>
      <c r="J502" s="411">
        <v>501.0</v>
      </c>
    </row>
    <row r="503">
      <c r="A503" s="413"/>
      <c r="B503" s="413"/>
      <c r="C503" s="414"/>
      <c r="D503" s="408" t="s">
        <v>6743</v>
      </c>
      <c r="E503" s="410" t="s">
        <v>6231</v>
      </c>
      <c r="F503" s="408" t="s">
        <v>89</v>
      </c>
      <c r="G503" s="408" t="s">
        <v>1214</v>
      </c>
      <c r="H503" s="409" t="s">
        <v>77</v>
      </c>
      <c r="I503" s="409" t="s">
        <v>522</v>
      </c>
      <c r="J503" s="411">
        <v>502.0</v>
      </c>
    </row>
    <row r="504">
      <c r="A504" s="413"/>
      <c r="B504" s="413"/>
      <c r="C504" s="414"/>
      <c r="D504" s="408" t="s">
        <v>6744</v>
      </c>
      <c r="E504" s="410" t="s">
        <v>6231</v>
      </c>
      <c r="F504" s="408" t="s">
        <v>89</v>
      </c>
      <c r="G504" s="408" t="s">
        <v>2493</v>
      </c>
      <c r="H504" s="409" t="s">
        <v>77</v>
      </c>
      <c r="I504" s="409" t="s">
        <v>522</v>
      </c>
      <c r="J504" s="411">
        <v>503.0</v>
      </c>
    </row>
    <row r="505">
      <c r="A505" s="413"/>
      <c r="B505" s="413"/>
      <c r="C505" s="414"/>
      <c r="D505" s="408" t="s">
        <v>6745</v>
      </c>
      <c r="E505" s="410" t="s">
        <v>6231</v>
      </c>
      <c r="F505" s="408" t="s">
        <v>89</v>
      </c>
      <c r="G505" s="408" t="s">
        <v>1214</v>
      </c>
      <c r="H505" s="409" t="s">
        <v>77</v>
      </c>
      <c r="I505" s="409" t="s">
        <v>522</v>
      </c>
      <c r="J505" s="411">
        <v>504.0</v>
      </c>
    </row>
    <row r="506">
      <c r="A506" s="413"/>
      <c r="B506" s="413"/>
      <c r="C506" s="414"/>
      <c r="D506" s="408" t="s">
        <v>6746</v>
      </c>
      <c r="E506" s="410" t="s">
        <v>6231</v>
      </c>
      <c r="F506" s="408" t="s">
        <v>89</v>
      </c>
      <c r="G506" s="408" t="s">
        <v>678</v>
      </c>
      <c r="H506" s="409" t="s">
        <v>77</v>
      </c>
      <c r="I506" s="409" t="s">
        <v>522</v>
      </c>
      <c r="J506" s="411">
        <v>505.0</v>
      </c>
    </row>
    <row r="507">
      <c r="A507" s="413"/>
      <c r="B507" s="413"/>
      <c r="C507" s="414"/>
      <c r="D507" s="408" t="s">
        <v>6747</v>
      </c>
      <c r="E507" s="410" t="s">
        <v>6231</v>
      </c>
      <c r="F507" s="408" t="s">
        <v>89</v>
      </c>
      <c r="G507" s="408" t="s">
        <v>218</v>
      </c>
      <c r="H507" s="409" t="s">
        <v>77</v>
      </c>
      <c r="I507" s="409" t="s">
        <v>522</v>
      </c>
      <c r="J507" s="411">
        <v>506.0</v>
      </c>
    </row>
    <row r="508">
      <c r="A508" s="413"/>
      <c r="B508" s="413"/>
      <c r="C508" s="414"/>
      <c r="D508" s="408" t="s">
        <v>6748</v>
      </c>
      <c r="E508" s="410" t="s">
        <v>6231</v>
      </c>
      <c r="F508" s="408" t="s">
        <v>89</v>
      </c>
      <c r="G508" s="408" t="s">
        <v>218</v>
      </c>
      <c r="H508" s="409" t="s">
        <v>77</v>
      </c>
      <c r="I508" s="409" t="s">
        <v>522</v>
      </c>
      <c r="J508" s="411">
        <v>507.0</v>
      </c>
    </row>
    <row r="509">
      <c r="A509" s="413"/>
      <c r="B509" s="413"/>
      <c r="C509" s="414"/>
      <c r="D509" s="408" t="s">
        <v>6749</v>
      </c>
      <c r="E509" s="410" t="s">
        <v>6231</v>
      </c>
      <c r="F509" s="408" t="s">
        <v>89</v>
      </c>
      <c r="G509" s="408" t="s">
        <v>1214</v>
      </c>
      <c r="H509" s="409" t="s">
        <v>77</v>
      </c>
      <c r="I509" s="409" t="s">
        <v>522</v>
      </c>
      <c r="J509" s="411">
        <v>508.0</v>
      </c>
    </row>
    <row r="510">
      <c r="A510" s="413"/>
      <c r="B510" s="413"/>
      <c r="C510" s="414"/>
      <c r="D510" s="408" t="s">
        <v>6750</v>
      </c>
      <c r="E510" s="410" t="s">
        <v>6231</v>
      </c>
      <c r="F510" s="408" t="s">
        <v>89</v>
      </c>
      <c r="G510" s="408" t="s">
        <v>218</v>
      </c>
      <c r="H510" s="409" t="s">
        <v>77</v>
      </c>
      <c r="I510" s="409" t="s">
        <v>522</v>
      </c>
      <c r="J510" s="411">
        <v>509.0</v>
      </c>
    </row>
    <row r="511">
      <c r="A511" s="413"/>
      <c r="B511" s="413"/>
      <c r="C511" s="414"/>
      <c r="D511" s="408" t="s">
        <v>6751</v>
      </c>
      <c r="E511" s="410" t="s">
        <v>6231</v>
      </c>
      <c r="F511" s="408" t="s">
        <v>89</v>
      </c>
      <c r="G511" s="408" t="s">
        <v>1214</v>
      </c>
      <c r="H511" s="409" t="s">
        <v>77</v>
      </c>
      <c r="I511" s="409" t="s">
        <v>522</v>
      </c>
      <c r="J511" s="411">
        <v>510.0</v>
      </c>
    </row>
    <row r="512">
      <c r="A512" s="413"/>
      <c r="B512" s="413"/>
      <c r="C512" s="414"/>
      <c r="D512" s="408" t="s">
        <v>6752</v>
      </c>
      <c r="E512" s="410" t="s">
        <v>6231</v>
      </c>
      <c r="F512" s="408" t="s">
        <v>89</v>
      </c>
      <c r="G512" s="408" t="s">
        <v>1225</v>
      </c>
      <c r="H512" s="409" t="s">
        <v>77</v>
      </c>
      <c r="I512" s="409" t="s">
        <v>522</v>
      </c>
      <c r="J512" s="411">
        <v>511.0</v>
      </c>
    </row>
    <row r="513">
      <c r="A513" s="413"/>
      <c r="B513" s="413"/>
      <c r="C513" s="414"/>
      <c r="D513" s="408" t="s">
        <v>6753</v>
      </c>
      <c r="E513" s="410" t="s">
        <v>6231</v>
      </c>
      <c r="F513" s="408" t="s">
        <v>89</v>
      </c>
      <c r="G513" s="408" t="s">
        <v>374</v>
      </c>
      <c r="H513" s="409" t="s">
        <v>77</v>
      </c>
      <c r="I513" s="409" t="s">
        <v>522</v>
      </c>
      <c r="J513" s="411">
        <v>512.0</v>
      </c>
    </row>
    <row r="514">
      <c r="A514" s="413"/>
      <c r="B514" s="413"/>
      <c r="C514" s="414"/>
      <c r="D514" s="408" t="s">
        <v>6754</v>
      </c>
      <c r="E514" s="410" t="s">
        <v>6231</v>
      </c>
      <c r="F514" s="408" t="s">
        <v>89</v>
      </c>
      <c r="G514" s="408" t="s">
        <v>3275</v>
      </c>
      <c r="H514" s="409" t="s">
        <v>77</v>
      </c>
      <c r="I514" s="409" t="s">
        <v>522</v>
      </c>
      <c r="J514" s="411">
        <v>513.0</v>
      </c>
    </row>
    <row r="515">
      <c r="A515" s="413"/>
      <c r="B515" s="413"/>
      <c r="C515" s="414"/>
      <c r="D515" s="408" t="s">
        <v>6755</v>
      </c>
      <c r="E515" s="410" t="s">
        <v>6231</v>
      </c>
      <c r="F515" s="408" t="s">
        <v>89</v>
      </c>
      <c r="G515" s="408" t="s">
        <v>374</v>
      </c>
      <c r="H515" s="409" t="s">
        <v>77</v>
      </c>
      <c r="I515" s="409" t="s">
        <v>522</v>
      </c>
      <c r="J515" s="411">
        <v>514.0</v>
      </c>
    </row>
    <row r="516">
      <c r="A516" s="413"/>
      <c r="B516" s="413"/>
      <c r="C516" s="414"/>
      <c r="D516" s="408" t="s">
        <v>6756</v>
      </c>
      <c r="E516" s="410" t="s">
        <v>6231</v>
      </c>
      <c r="F516" s="408" t="s">
        <v>89</v>
      </c>
      <c r="G516" s="408" t="s">
        <v>1239</v>
      </c>
      <c r="H516" s="409" t="s">
        <v>77</v>
      </c>
      <c r="I516" s="409" t="s">
        <v>522</v>
      </c>
      <c r="J516" s="411">
        <v>515.0</v>
      </c>
    </row>
    <row r="517">
      <c r="A517" s="413"/>
      <c r="B517" s="413"/>
      <c r="C517" s="414"/>
      <c r="D517" s="408" t="s">
        <v>6757</v>
      </c>
      <c r="E517" s="410" t="s">
        <v>6231</v>
      </c>
      <c r="F517" s="408" t="s">
        <v>89</v>
      </c>
      <c r="G517" s="412"/>
      <c r="H517" s="409" t="s">
        <v>77</v>
      </c>
      <c r="I517" s="409" t="s">
        <v>522</v>
      </c>
      <c r="J517" s="411">
        <v>516.0</v>
      </c>
    </row>
    <row r="518">
      <c r="A518" s="413"/>
      <c r="B518" s="413"/>
      <c r="C518" s="414"/>
      <c r="D518" s="408" t="s">
        <v>6758</v>
      </c>
      <c r="E518" s="410" t="s">
        <v>6231</v>
      </c>
      <c r="F518" s="408" t="s">
        <v>89</v>
      </c>
      <c r="G518" s="412"/>
      <c r="H518" s="409" t="s">
        <v>77</v>
      </c>
      <c r="I518" s="409" t="s">
        <v>522</v>
      </c>
      <c r="J518" s="411">
        <v>517.0</v>
      </c>
    </row>
    <row r="519">
      <c r="A519" s="413"/>
      <c r="B519" s="413"/>
      <c r="C519" s="414"/>
      <c r="D519" s="408" t="s">
        <v>6759</v>
      </c>
      <c r="E519" s="410" t="s">
        <v>6231</v>
      </c>
      <c r="F519" s="408" t="s">
        <v>89</v>
      </c>
      <c r="G519" s="408" t="s">
        <v>6760</v>
      </c>
      <c r="H519" s="409" t="s">
        <v>77</v>
      </c>
      <c r="I519" s="409" t="s">
        <v>522</v>
      </c>
      <c r="J519" s="411">
        <v>518.0</v>
      </c>
    </row>
    <row r="520">
      <c r="A520" s="413"/>
      <c r="B520" s="413"/>
      <c r="C520" s="414"/>
      <c r="D520" s="408" t="s">
        <v>6761</v>
      </c>
      <c r="E520" s="410" t="s">
        <v>6231</v>
      </c>
      <c r="F520" s="408" t="s">
        <v>89</v>
      </c>
      <c r="G520" s="412"/>
      <c r="H520" s="409" t="s">
        <v>77</v>
      </c>
      <c r="I520" s="409" t="s">
        <v>522</v>
      </c>
      <c r="J520" s="411">
        <v>519.0</v>
      </c>
    </row>
    <row r="521">
      <c r="A521" s="413"/>
      <c r="B521" s="413"/>
      <c r="C521" s="414"/>
      <c r="D521" s="408" t="s">
        <v>6762</v>
      </c>
      <c r="E521" s="410" t="s">
        <v>6231</v>
      </c>
      <c r="F521" s="408" t="s">
        <v>89</v>
      </c>
      <c r="G521" s="408" t="s">
        <v>6763</v>
      </c>
      <c r="H521" s="409" t="s">
        <v>77</v>
      </c>
      <c r="I521" s="409" t="s">
        <v>522</v>
      </c>
      <c r="J521" s="411">
        <v>520.0</v>
      </c>
    </row>
    <row r="522">
      <c r="A522" s="413"/>
      <c r="B522" s="413"/>
      <c r="C522" s="414"/>
      <c r="D522" s="408" t="s">
        <v>6764</v>
      </c>
      <c r="E522" s="410" t="s">
        <v>6231</v>
      </c>
      <c r="F522" s="408" t="s">
        <v>89</v>
      </c>
      <c r="G522" s="408" t="s">
        <v>2710</v>
      </c>
      <c r="H522" s="409" t="s">
        <v>77</v>
      </c>
      <c r="I522" s="409" t="s">
        <v>522</v>
      </c>
      <c r="J522" s="411">
        <v>521.0</v>
      </c>
    </row>
    <row r="523">
      <c r="A523" s="413"/>
      <c r="B523" s="413"/>
      <c r="C523" s="414"/>
      <c r="D523" s="408" t="s">
        <v>6765</v>
      </c>
      <c r="E523" s="410" t="s">
        <v>6231</v>
      </c>
      <c r="F523" s="408" t="s">
        <v>89</v>
      </c>
      <c r="G523" s="408" t="s">
        <v>4487</v>
      </c>
      <c r="H523" s="409" t="s">
        <v>77</v>
      </c>
      <c r="I523" s="409" t="s">
        <v>522</v>
      </c>
      <c r="J523" s="411">
        <v>522.0</v>
      </c>
    </row>
    <row r="524">
      <c r="A524" s="413"/>
      <c r="B524" s="413"/>
      <c r="C524" s="414"/>
      <c r="D524" s="408" t="s">
        <v>6766</v>
      </c>
      <c r="E524" s="410" t="s">
        <v>6231</v>
      </c>
      <c r="F524" s="408" t="s">
        <v>89</v>
      </c>
      <c r="G524" s="408" t="s">
        <v>5513</v>
      </c>
      <c r="H524" s="409" t="s">
        <v>77</v>
      </c>
      <c r="I524" s="409" t="s">
        <v>522</v>
      </c>
      <c r="J524" s="411">
        <v>523.0</v>
      </c>
    </row>
    <row r="525">
      <c r="A525" s="413"/>
      <c r="B525" s="413"/>
      <c r="C525" s="414"/>
      <c r="D525" s="408" t="s">
        <v>6767</v>
      </c>
      <c r="E525" s="410" t="s">
        <v>6231</v>
      </c>
      <c r="F525" s="408" t="s">
        <v>89</v>
      </c>
      <c r="G525" s="408" t="s">
        <v>90</v>
      </c>
      <c r="H525" s="409" t="s">
        <v>77</v>
      </c>
      <c r="I525" s="409" t="s">
        <v>522</v>
      </c>
      <c r="J525" s="411">
        <v>524.0</v>
      </c>
    </row>
    <row r="526">
      <c r="A526" s="413"/>
      <c r="B526" s="413"/>
      <c r="C526" s="414"/>
      <c r="D526" s="408" t="s">
        <v>6768</v>
      </c>
      <c r="E526" s="410" t="s">
        <v>6231</v>
      </c>
      <c r="F526" s="408" t="s">
        <v>89</v>
      </c>
      <c r="G526" s="408" t="s">
        <v>3312</v>
      </c>
      <c r="H526" s="409" t="s">
        <v>77</v>
      </c>
      <c r="I526" s="409" t="s">
        <v>522</v>
      </c>
      <c r="J526" s="411">
        <v>525.0</v>
      </c>
    </row>
    <row r="527">
      <c r="A527" s="413"/>
      <c r="B527" s="413"/>
      <c r="C527" s="414"/>
      <c r="D527" s="408" t="s">
        <v>6769</v>
      </c>
      <c r="E527" s="410" t="s">
        <v>6231</v>
      </c>
      <c r="F527" s="408" t="s">
        <v>89</v>
      </c>
      <c r="G527" s="408" t="s">
        <v>218</v>
      </c>
      <c r="H527" s="409" t="s">
        <v>77</v>
      </c>
      <c r="I527" s="409" t="s">
        <v>522</v>
      </c>
      <c r="J527" s="411">
        <v>526.0</v>
      </c>
    </row>
    <row r="528">
      <c r="A528" s="413"/>
      <c r="B528" s="413"/>
      <c r="C528" s="414"/>
      <c r="D528" s="408" t="s">
        <v>6770</v>
      </c>
      <c r="E528" s="410" t="s">
        <v>6231</v>
      </c>
      <c r="F528" s="408" t="s">
        <v>89</v>
      </c>
      <c r="G528" s="413"/>
      <c r="H528" s="409" t="s">
        <v>77</v>
      </c>
      <c r="I528" s="409" t="s">
        <v>522</v>
      </c>
      <c r="J528" s="411">
        <v>527.0</v>
      </c>
    </row>
    <row r="529">
      <c r="A529" s="413"/>
      <c r="B529" s="413"/>
      <c r="C529" s="414"/>
      <c r="D529" s="408" t="s">
        <v>6771</v>
      </c>
      <c r="E529" s="410" t="s">
        <v>6231</v>
      </c>
      <c r="F529" s="408" t="s">
        <v>89</v>
      </c>
      <c r="G529" s="412"/>
      <c r="H529" s="409" t="s">
        <v>77</v>
      </c>
      <c r="I529" s="409" t="s">
        <v>522</v>
      </c>
      <c r="J529" s="411">
        <v>528.0</v>
      </c>
    </row>
    <row r="530">
      <c r="A530" s="413"/>
      <c r="B530" s="413"/>
      <c r="C530" s="414"/>
      <c r="D530" s="408" t="s">
        <v>6772</v>
      </c>
      <c r="E530" s="410" t="s">
        <v>6231</v>
      </c>
      <c r="F530" s="408" t="s">
        <v>89</v>
      </c>
      <c r="G530" s="408" t="s">
        <v>90</v>
      </c>
      <c r="H530" s="409" t="s">
        <v>77</v>
      </c>
      <c r="I530" s="409" t="s">
        <v>522</v>
      </c>
      <c r="J530" s="411">
        <v>529.0</v>
      </c>
    </row>
    <row r="531">
      <c r="A531" s="413"/>
      <c r="B531" s="413"/>
      <c r="C531" s="414"/>
      <c r="D531" s="408" t="s">
        <v>6773</v>
      </c>
      <c r="E531" s="410" t="s">
        <v>6231</v>
      </c>
      <c r="F531" s="408" t="s">
        <v>89</v>
      </c>
      <c r="G531" s="408" t="s">
        <v>160</v>
      </c>
      <c r="H531" s="409" t="s">
        <v>77</v>
      </c>
      <c r="I531" s="409" t="s">
        <v>522</v>
      </c>
      <c r="J531" s="411">
        <v>530.0</v>
      </c>
    </row>
    <row r="532">
      <c r="A532" s="413"/>
      <c r="B532" s="413"/>
      <c r="C532" s="414"/>
      <c r="D532" s="408" t="s">
        <v>6774</v>
      </c>
      <c r="E532" s="410" t="s">
        <v>6231</v>
      </c>
      <c r="F532" s="408" t="s">
        <v>89</v>
      </c>
      <c r="G532" s="408" t="s">
        <v>2318</v>
      </c>
      <c r="H532" s="409" t="s">
        <v>77</v>
      </c>
      <c r="I532" s="409" t="s">
        <v>522</v>
      </c>
      <c r="J532" s="411">
        <v>531.0</v>
      </c>
    </row>
    <row r="533">
      <c r="A533" s="413"/>
      <c r="B533" s="413"/>
      <c r="C533" s="414"/>
      <c r="D533" s="408" t="s">
        <v>6775</v>
      </c>
      <c r="E533" s="410" t="s">
        <v>6231</v>
      </c>
      <c r="F533" s="408" t="s">
        <v>89</v>
      </c>
      <c r="G533" s="408" t="s">
        <v>1214</v>
      </c>
      <c r="H533" s="409" t="s">
        <v>77</v>
      </c>
      <c r="I533" s="409" t="s">
        <v>522</v>
      </c>
      <c r="J533" s="411">
        <v>532.0</v>
      </c>
    </row>
    <row r="534">
      <c r="A534" s="413"/>
      <c r="B534" s="413"/>
      <c r="C534" s="414"/>
      <c r="D534" s="408" t="s">
        <v>6776</v>
      </c>
      <c r="E534" s="410" t="s">
        <v>6231</v>
      </c>
      <c r="F534" s="408" t="s">
        <v>89</v>
      </c>
      <c r="G534" s="412"/>
      <c r="H534" s="409" t="s">
        <v>77</v>
      </c>
      <c r="I534" s="409" t="s">
        <v>522</v>
      </c>
      <c r="J534" s="411">
        <v>533.0</v>
      </c>
    </row>
    <row r="535">
      <c r="A535" s="413"/>
      <c r="B535" s="413"/>
      <c r="C535" s="414"/>
      <c r="D535" s="408" t="s">
        <v>6777</v>
      </c>
      <c r="E535" s="410" t="s">
        <v>6231</v>
      </c>
      <c r="F535" s="408" t="s">
        <v>89</v>
      </c>
      <c r="G535" s="408" t="s">
        <v>218</v>
      </c>
      <c r="H535" s="409" t="s">
        <v>77</v>
      </c>
      <c r="I535" s="409" t="s">
        <v>522</v>
      </c>
      <c r="J535" s="411">
        <v>534.0</v>
      </c>
    </row>
    <row r="536">
      <c r="A536" s="413"/>
      <c r="B536" s="413"/>
      <c r="C536" s="414"/>
      <c r="D536" s="408" t="s">
        <v>6778</v>
      </c>
      <c r="E536" s="410" t="s">
        <v>6231</v>
      </c>
      <c r="F536" s="408" t="s">
        <v>89</v>
      </c>
      <c r="G536" s="408" t="s">
        <v>4843</v>
      </c>
      <c r="H536" s="409" t="s">
        <v>77</v>
      </c>
      <c r="I536" s="409" t="s">
        <v>522</v>
      </c>
      <c r="J536" s="411">
        <v>535.0</v>
      </c>
    </row>
    <row r="537">
      <c r="A537" s="413"/>
      <c r="B537" s="413"/>
      <c r="C537" s="414"/>
      <c r="D537" s="408" t="s">
        <v>6779</v>
      </c>
      <c r="E537" s="410" t="s">
        <v>6231</v>
      </c>
      <c r="F537" s="408" t="s">
        <v>89</v>
      </c>
      <c r="G537" s="408" t="s">
        <v>2132</v>
      </c>
      <c r="H537" s="409" t="s">
        <v>77</v>
      </c>
      <c r="I537" s="409" t="s">
        <v>522</v>
      </c>
      <c r="J537" s="411">
        <v>536.0</v>
      </c>
    </row>
    <row r="538">
      <c r="A538" s="413"/>
      <c r="B538" s="413"/>
      <c r="C538" s="414"/>
      <c r="D538" s="408" t="s">
        <v>6780</v>
      </c>
      <c r="E538" s="410" t="s">
        <v>6231</v>
      </c>
      <c r="F538" s="408" t="s">
        <v>89</v>
      </c>
      <c r="G538" s="408" t="s">
        <v>1214</v>
      </c>
      <c r="H538" s="409" t="s">
        <v>77</v>
      </c>
      <c r="I538" s="409" t="s">
        <v>522</v>
      </c>
      <c r="J538" s="411">
        <v>537.0</v>
      </c>
    </row>
    <row r="539">
      <c r="A539" s="413"/>
      <c r="B539" s="413"/>
      <c r="C539" s="414"/>
      <c r="D539" s="408" t="s">
        <v>6781</v>
      </c>
      <c r="E539" s="410" t="s">
        <v>6231</v>
      </c>
      <c r="F539" s="408" t="s">
        <v>89</v>
      </c>
      <c r="G539" s="408" t="s">
        <v>1214</v>
      </c>
      <c r="H539" s="409" t="s">
        <v>77</v>
      </c>
      <c r="I539" s="409" t="s">
        <v>522</v>
      </c>
      <c r="J539" s="411">
        <v>538.0</v>
      </c>
    </row>
    <row r="540">
      <c r="A540" s="413"/>
      <c r="B540" s="413"/>
      <c r="C540" s="414"/>
      <c r="D540" s="408" t="s">
        <v>6782</v>
      </c>
      <c r="E540" s="410" t="s">
        <v>6231</v>
      </c>
      <c r="F540" s="408" t="s">
        <v>89</v>
      </c>
      <c r="G540" s="408" t="s">
        <v>1887</v>
      </c>
      <c r="H540" s="409" t="s">
        <v>77</v>
      </c>
      <c r="I540" s="409" t="s">
        <v>522</v>
      </c>
      <c r="J540" s="411">
        <v>539.0</v>
      </c>
    </row>
    <row r="541">
      <c r="A541" s="413"/>
      <c r="B541" s="413"/>
      <c r="C541" s="414"/>
      <c r="D541" s="408" t="s">
        <v>6783</v>
      </c>
      <c r="E541" s="410" t="s">
        <v>6231</v>
      </c>
      <c r="F541" s="408" t="s">
        <v>89</v>
      </c>
      <c r="G541" s="408" t="s">
        <v>374</v>
      </c>
      <c r="H541" s="409" t="s">
        <v>77</v>
      </c>
      <c r="I541" s="409" t="s">
        <v>522</v>
      </c>
      <c r="J541" s="411">
        <v>540.0</v>
      </c>
    </row>
    <row r="542">
      <c r="A542" s="413"/>
      <c r="B542" s="413"/>
      <c r="C542" s="414"/>
      <c r="D542" s="408" t="s">
        <v>6784</v>
      </c>
      <c r="E542" s="410" t="s">
        <v>6231</v>
      </c>
      <c r="F542" s="408" t="s">
        <v>89</v>
      </c>
      <c r="G542" s="413"/>
      <c r="H542" s="409" t="s">
        <v>77</v>
      </c>
      <c r="I542" s="409" t="s">
        <v>522</v>
      </c>
      <c r="J542" s="411">
        <v>541.0</v>
      </c>
    </row>
    <row r="543">
      <c r="A543" s="413"/>
      <c r="B543" s="413"/>
      <c r="C543" s="414"/>
      <c r="D543" s="408" t="s">
        <v>6785</v>
      </c>
      <c r="E543" s="410" t="s">
        <v>6231</v>
      </c>
      <c r="F543" s="408" t="s">
        <v>89</v>
      </c>
      <c r="G543" s="408" t="s">
        <v>90</v>
      </c>
      <c r="H543" s="409" t="s">
        <v>77</v>
      </c>
      <c r="I543" s="409" t="s">
        <v>522</v>
      </c>
      <c r="J543" s="411">
        <v>542.0</v>
      </c>
    </row>
    <row r="544">
      <c r="A544" s="413"/>
      <c r="B544" s="413"/>
      <c r="C544" s="414"/>
      <c r="D544" s="408" t="s">
        <v>6786</v>
      </c>
      <c r="E544" s="410" t="s">
        <v>6231</v>
      </c>
      <c r="F544" s="408" t="s">
        <v>89</v>
      </c>
      <c r="G544" s="412"/>
      <c r="H544" s="409" t="s">
        <v>77</v>
      </c>
      <c r="I544" s="409" t="s">
        <v>522</v>
      </c>
      <c r="J544" s="411">
        <v>543.0</v>
      </c>
    </row>
    <row r="545">
      <c r="A545" s="413"/>
      <c r="B545" s="413"/>
      <c r="C545" s="414"/>
      <c r="D545" s="408" t="s">
        <v>6787</v>
      </c>
      <c r="E545" s="410" t="s">
        <v>6231</v>
      </c>
      <c r="F545" s="408" t="s">
        <v>77</v>
      </c>
      <c r="G545" s="408" t="s">
        <v>77</v>
      </c>
      <c r="H545" s="409" t="s">
        <v>77</v>
      </c>
      <c r="I545" s="409" t="s">
        <v>522</v>
      </c>
      <c r="J545" s="411">
        <v>544.0</v>
      </c>
    </row>
    <row r="546">
      <c r="A546" s="413"/>
      <c r="B546" s="413"/>
      <c r="C546" s="414"/>
      <c r="D546" s="408" t="s">
        <v>6788</v>
      </c>
      <c r="E546" s="410" t="s">
        <v>6231</v>
      </c>
      <c r="F546" s="408" t="s">
        <v>89</v>
      </c>
      <c r="G546" s="408" t="s">
        <v>1906</v>
      </c>
      <c r="H546" s="409" t="s">
        <v>77</v>
      </c>
      <c r="I546" s="409" t="s">
        <v>522</v>
      </c>
      <c r="J546" s="411">
        <v>545.0</v>
      </c>
    </row>
    <row r="547">
      <c r="A547" s="413"/>
      <c r="B547" s="413"/>
      <c r="C547" s="414"/>
      <c r="D547" s="408" t="s">
        <v>6789</v>
      </c>
      <c r="E547" s="410" t="s">
        <v>6231</v>
      </c>
      <c r="F547" s="408" t="s">
        <v>89</v>
      </c>
      <c r="G547" s="408" t="s">
        <v>2542</v>
      </c>
      <c r="H547" s="409" t="s">
        <v>77</v>
      </c>
      <c r="I547" s="409" t="s">
        <v>522</v>
      </c>
      <c r="J547" s="411">
        <v>546.0</v>
      </c>
    </row>
    <row r="548">
      <c r="A548" s="413"/>
      <c r="B548" s="413"/>
      <c r="C548" s="414"/>
      <c r="D548" s="408" t="s">
        <v>6790</v>
      </c>
      <c r="E548" s="410" t="s">
        <v>6231</v>
      </c>
      <c r="F548" s="408" t="s">
        <v>89</v>
      </c>
      <c r="G548" s="408" t="s">
        <v>374</v>
      </c>
      <c r="H548" s="409" t="s">
        <v>77</v>
      </c>
      <c r="I548" s="409" t="s">
        <v>522</v>
      </c>
      <c r="J548" s="411">
        <v>547.0</v>
      </c>
    </row>
    <row r="549">
      <c r="A549" s="413"/>
      <c r="B549" s="413"/>
      <c r="C549" s="414"/>
      <c r="D549" s="408" t="s">
        <v>6791</v>
      </c>
      <c r="E549" s="410" t="s">
        <v>6231</v>
      </c>
      <c r="F549" s="408" t="s">
        <v>89</v>
      </c>
      <c r="G549" s="408" t="s">
        <v>795</v>
      </c>
      <c r="H549" s="409" t="s">
        <v>77</v>
      </c>
      <c r="I549" s="409" t="s">
        <v>522</v>
      </c>
      <c r="J549" s="411">
        <v>548.0</v>
      </c>
    </row>
    <row r="550">
      <c r="A550" s="413"/>
      <c r="B550" s="413"/>
      <c r="C550" s="414"/>
      <c r="D550" s="408" t="s">
        <v>6792</v>
      </c>
      <c r="E550" s="410" t="s">
        <v>6231</v>
      </c>
      <c r="F550" s="408" t="s">
        <v>89</v>
      </c>
      <c r="G550" s="408" t="s">
        <v>90</v>
      </c>
      <c r="H550" s="409" t="s">
        <v>77</v>
      </c>
      <c r="I550" s="409" t="s">
        <v>522</v>
      </c>
      <c r="J550" s="411">
        <v>549.0</v>
      </c>
    </row>
    <row r="551">
      <c r="A551" s="413"/>
      <c r="B551" s="413"/>
      <c r="C551" s="414"/>
      <c r="D551" s="408" t="s">
        <v>6793</v>
      </c>
      <c r="E551" s="410" t="s">
        <v>6231</v>
      </c>
      <c r="F551" s="408" t="s">
        <v>89</v>
      </c>
      <c r="G551" s="408" t="s">
        <v>1520</v>
      </c>
      <c r="H551" s="409" t="s">
        <v>77</v>
      </c>
      <c r="I551" s="409" t="s">
        <v>522</v>
      </c>
      <c r="J551" s="411">
        <v>550.0</v>
      </c>
    </row>
    <row r="552">
      <c r="A552" s="413"/>
      <c r="B552" s="413"/>
      <c r="C552" s="414"/>
      <c r="D552" s="408" t="s">
        <v>6794</v>
      </c>
      <c r="E552" s="410" t="s">
        <v>6231</v>
      </c>
      <c r="F552" s="408" t="s">
        <v>89</v>
      </c>
      <c r="G552" s="408" t="s">
        <v>218</v>
      </c>
      <c r="H552" s="409" t="s">
        <v>77</v>
      </c>
      <c r="I552" s="409" t="s">
        <v>522</v>
      </c>
      <c r="J552" s="411">
        <v>551.0</v>
      </c>
    </row>
    <row r="553">
      <c r="A553" s="413"/>
      <c r="B553" s="413"/>
      <c r="C553" s="414"/>
      <c r="D553" s="408" t="s">
        <v>6795</v>
      </c>
      <c r="E553" s="410" t="s">
        <v>6231</v>
      </c>
      <c r="F553" s="408" t="s">
        <v>89</v>
      </c>
      <c r="G553" s="408" t="s">
        <v>1913</v>
      </c>
      <c r="H553" s="409" t="s">
        <v>77</v>
      </c>
      <c r="I553" s="409" t="s">
        <v>522</v>
      </c>
      <c r="J553" s="411">
        <v>552.0</v>
      </c>
    </row>
    <row r="554">
      <c r="A554" s="413"/>
      <c r="B554" s="413"/>
      <c r="C554" s="414"/>
      <c r="D554" s="408" t="s">
        <v>6796</v>
      </c>
      <c r="E554" s="410" t="s">
        <v>6231</v>
      </c>
      <c r="F554" s="408" t="s">
        <v>89</v>
      </c>
      <c r="G554" s="408" t="s">
        <v>3304</v>
      </c>
      <c r="H554" s="409" t="s">
        <v>77</v>
      </c>
      <c r="I554" s="409" t="s">
        <v>522</v>
      </c>
      <c r="J554" s="411">
        <v>553.0</v>
      </c>
    </row>
    <row r="555">
      <c r="A555" s="413"/>
      <c r="B555" s="413"/>
      <c r="C555" s="414"/>
      <c r="D555" s="408" t="s">
        <v>6797</v>
      </c>
      <c r="E555" s="410" t="s">
        <v>6231</v>
      </c>
      <c r="F555" s="408" t="s">
        <v>89</v>
      </c>
      <c r="G555" s="408" t="s">
        <v>218</v>
      </c>
      <c r="H555" s="409" t="s">
        <v>77</v>
      </c>
      <c r="I555" s="409" t="s">
        <v>522</v>
      </c>
      <c r="J555" s="411">
        <v>554.0</v>
      </c>
    </row>
    <row r="556">
      <c r="A556" s="413"/>
      <c r="B556" s="413"/>
      <c r="C556" s="414"/>
      <c r="D556" s="408" t="s">
        <v>6798</v>
      </c>
      <c r="E556" s="410" t="s">
        <v>6231</v>
      </c>
      <c r="F556" s="408" t="s">
        <v>89</v>
      </c>
      <c r="G556" s="408" t="s">
        <v>678</v>
      </c>
      <c r="H556" s="409" t="s">
        <v>77</v>
      </c>
      <c r="I556" s="409" t="s">
        <v>522</v>
      </c>
      <c r="J556" s="411">
        <v>555.0</v>
      </c>
    </row>
    <row r="557">
      <c r="A557" s="413"/>
      <c r="B557" s="413"/>
      <c r="C557" s="414"/>
      <c r="D557" s="408" t="s">
        <v>6799</v>
      </c>
      <c r="E557" s="410" t="s">
        <v>6231</v>
      </c>
      <c r="F557" s="408" t="s">
        <v>89</v>
      </c>
      <c r="G557" s="408" t="s">
        <v>3312</v>
      </c>
      <c r="H557" s="409" t="s">
        <v>77</v>
      </c>
      <c r="I557" s="409" t="s">
        <v>522</v>
      </c>
      <c r="J557" s="411">
        <v>556.0</v>
      </c>
    </row>
    <row r="558">
      <c r="A558" s="413"/>
      <c r="B558" s="413"/>
      <c r="C558" s="414"/>
      <c r="D558" s="408" t="s">
        <v>6800</v>
      </c>
      <c r="E558" s="410" t="s">
        <v>6231</v>
      </c>
      <c r="F558" s="408" t="s">
        <v>89</v>
      </c>
      <c r="G558" s="408" t="s">
        <v>1193</v>
      </c>
      <c r="H558" s="409" t="s">
        <v>77</v>
      </c>
      <c r="I558" s="409" t="s">
        <v>522</v>
      </c>
      <c r="J558" s="411">
        <v>557.0</v>
      </c>
    </row>
    <row r="559">
      <c r="A559" s="413"/>
      <c r="B559" s="413"/>
      <c r="C559" s="414"/>
      <c r="D559" s="408" t="s">
        <v>6801</v>
      </c>
      <c r="E559" s="410" t="s">
        <v>6231</v>
      </c>
      <c r="F559" s="408" t="s">
        <v>89</v>
      </c>
      <c r="G559" s="412"/>
      <c r="H559" s="409" t="s">
        <v>77</v>
      </c>
      <c r="I559" s="409" t="s">
        <v>522</v>
      </c>
      <c r="J559" s="411">
        <v>558.0</v>
      </c>
    </row>
    <row r="560">
      <c r="A560" s="413"/>
      <c r="B560" s="413"/>
      <c r="C560" s="414"/>
      <c r="D560" s="408" t="s">
        <v>6802</v>
      </c>
      <c r="E560" s="410" t="s">
        <v>6231</v>
      </c>
      <c r="F560" s="408" t="s">
        <v>89</v>
      </c>
      <c r="G560" s="408" t="s">
        <v>2710</v>
      </c>
      <c r="H560" s="409" t="s">
        <v>77</v>
      </c>
      <c r="I560" s="409" t="s">
        <v>522</v>
      </c>
      <c r="J560" s="411">
        <v>559.0</v>
      </c>
    </row>
    <row r="561">
      <c r="A561" s="413"/>
      <c r="B561" s="413"/>
      <c r="C561" s="414"/>
      <c r="D561" s="408" t="s">
        <v>6803</v>
      </c>
      <c r="E561" s="410" t="s">
        <v>6231</v>
      </c>
      <c r="F561" s="408" t="s">
        <v>89</v>
      </c>
      <c r="G561" s="408" t="s">
        <v>374</v>
      </c>
      <c r="H561" s="409" t="s">
        <v>77</v>
      </c>
      <c r="I561" s="409" t="s">
        <v>522</v>
      </c>
      <c r="J561" s="411">
        <v>560.0</v>
      </c>
    </row>
    <row r="562">
      <c r="A562" s="413"/>
      <c r="B562" s="413"/>
      <c r="C562" s="414"/>
      <c r="D562" s="408" t="s">
        <v>6804</v>
      </c>
      <c r="E562" s="410" t="s">
        <v>6231</v>
      </c>
      <c r="F562" s="408" t="s">
        <v>89</v>
      </c>
      <c r="G562" s="408" t="s">
        <v>3908</v>
      </c>
      <c r="H562" s="409" t="s">
        <v>77</v>
      </c>
      <c r="I562" s="409" t="s">
        <v>522</v>
      </c>
      <c r="J562" s="411">
        <v>561.0</v>
      </c>
    </row>
    <row r="563">
      <c r="A563" s="413"/>
      <c r="B563" s="413"/>
      <c r="C563" s="414"/>
      <c r="D563" s="408" t="s">
        <v>6805</v>
      </c>
      <c r="E563" s="410" t="s">
        <v>6231</v>
      </c>
      <c r="F563" s="408" t="s">
        <v>89</v>
      </c>
      <c r="G563" s="408" t="s">
        <v>374</v>
      </c>
      <c r="H563" s="409" t="s">
        <v>77</v>
      </c>
      <c r="I563" s="409" t="s">
        <v>522</v>
      </c>
      <c r="J563" s="411">
        <v>562.0</v>
      </c>
    </row>
    <row r="564">
      <c r="A564" s="413"/>
      <c r="B564" s="413"/>
      <c r="C564" s="414"/>
      <c r="D564" s="408" t="s">
        <v>6806</v>
      </c>
      <c r="E564" s="410" t="s">
        <v>6231</v>
      </c>
      <c r="F564" s="408" t="s">
        <v>89</v>
      </c>
      <c r="G564" s="408" t="s">
        <v>1287</v>
      </c>
      <c r="H564" s="409" t="s">
        <v>77</v>
      </c>
      <c r="I564" s="409" t="s">
        <v>522</v>
      </c>
      <c r="J564" s="411">
        <v>563.0</v>
      </c>
    </row>
    <row r="565">
      <c r="A565" s="413"/>
      <c r="B565" s="413"/>
      <c r="C565" s="414"/>
      <c r="D565" s="408" t="s">
        <v>6807</v>
      </c>
      <c r="E565" s="410" t="s">
        <v>6231</v>
      </c>
      <c r="F565" s="408" t="s">
        <v>89</v>
      </c>
      <c r="G565" s="408" t="s">
        <v>4521</v>
      </c>
      <c r="H565" s="409" t="s">
        <v>77</v>
      </c>
      <c r="I565" s="409" t="s">
        <v>522</v>
      </c>
      <c r="J565" s="411">
        <v>564.0</v>
      </c>
    </row>
    <row r="566">
      <c r="A566" s="413"/>
      <c r="B566" s="413"/>
      <c r="C566" s="414"/>
      <c r="D566" s="408" t="s">
        <v>6808</v>
      </c>
      <c r="E566" s="410" t="s">
        <v>6231</v>
      </c>
      <c r="F566" s="408" t="s">
        <v>89</v>
      </c>
      <c r="G566" s="408" t="s">
        <v>2132</v>
      </c>
      <c r="H566" s="409" t="s">
        <v>77</v>
      </c>
      <c r="I566" s="409" t="s">
        <v>522</v>
      </c>
      <c r="J566" s="411">
        <v>565.0</v>
      </c>
    </row>
    <row r="567">
      <c r="A567" s="413"/>
      <c r="B567" s="413"/>
      <c r="C567" s="414"/>
      <c r="D567" s="408" t="s">
        <v>6809</v>
      </c>
      <c r="E567" s="410" t="s">
        <v>6231</v>
      </c>
      <c r="F567" s="408" t="s">
        <v>89</v>
      </c>
      <c r="G567" s="408" t="s">
        <v>374</v>
      </c>
      <c r="H567" s="409" t="s">
        <v>77</v>
      </c>
      <c r="I567" s="409" t="s">
        <v>522</v>
      </c>
      <c r="J567" s="411">
        <v>566.0</v>
      </c>
    </row>
    <row r="568">
      <c r="A568" s="413"/>
      <c r="B568" s="413"/>
      <c r="C568" s="414"/>
      <c r="D568" s="408" t="s">
        <v>6810</v>
      </c>
      <c r="E568" s="410" t="s">
        <v>6231</v>
      </c>
      <c r="F568" s="408" t="s">
        <v>89</v>
      </c>
      <c r="G568" s="408" t="s">
        <v>4528</v>
      </c>
      <c r="H568" s="409" t="s">
        <v>77</v>
      </c>
      <c r="I568" s="409" t="s">
        <v>522</v>
      </c>
      <c r="J568" s="411">
        <v>567.0</v>
      </c>
    </row>
    <row r="569">
      <c r="A569" s="413"/>
      <c r="B569" s="413"/>
      <c r="C569" s="414"/>
      <c r="D569" s="408" t="s">
        <v>6811</v>
      </c>
      <c r="E569" s="410" t="s">
        <v>6231</v>
      </c>
      <c r="F569" s="408" t="s">
        <v>89</v>
      </c>
      <c r="G569" s="408" t="s">
        <v>90</v>
      </c>
      <c r="H569" s="409" t="s">
        <v>77</v>
      </c>
      <c r="I569" s="409" t="s">
        <v>522</v>
      </c>
      <c r="J569" s="411">
        <v>568.0</v>
      </c>
    </row>
    <row r="570">
      <c r="A570" s="413"/>
      <c r="B570" s="413"/>
      <c r="C570" s="414"/>
      <c r="D570" s="408" t="s">
        <v>6812</v>
      </c>
      <c r="E570" s="410" t="s">
        <v>6231</v>
      </c>
      <c r="F570" s="408" t="s">
        <v>89</v>
      </c>
      <c r="G570" s="408" t="s">
        <v>3336</v>
      </c>
      <c r="H570" s="409" t="s">
        <v>77</v>
      </c>
      <c r="I570" s="409" t="s">
        <v>522</v>
      </c>
      <c r="J570" s="411">
        <v>569.0</v>
      </c>
    </row>
    <row r="571">
      <c r="A571" s="413"/>
      <c r="B571" s="413"/>
      <c r="C571" s="414"/>
      <c r="D571" s="408" t="s">
        <v>6813</v>
      </c>
      <c r="E571" s="410" t="s">
        <v>6231</v>
      </c>
      <c r="F571" s="408" t="s">
        <v>89</v>
      </c>
      <c r="G571" s="408" t="s">
        <v>6814</v>
      </c>
      <c r="H571" s="409" t="s">
        <v>77</v>
      </c>
      <c r="I571" s="409" t="s">
        <v>522</v>
      </c>
      <c r="J571" s="411">
        <v>570.0</v>
      </c>
    </row>
    <row r="572">
      <c r="A572" s="413"/>
      <c r="B572" s="413"/>
      <c r="C572" s="414"/>
      <c r="D572" s="408" t="s">
        <v>6815</v>
      </c>
      <c r="E572" s="410" t="s">
        <v>6231</v>
      </c>
      <c r="F572" s="408" t="s">
        <v>89</v>
      </c>
      <c r="G572" s="408" t="s">
        <v>5211</v>
      </c>
      <c r="H572" s="409" t="s">
        <v>77</v>
      </c>
      <c r="I572" s="409" t="s">
        <v>522</v>
      </c>
      <c r="J572" s="411">
        <v>571.0</v>
      </c>
    </row>
    <row r="573">
      <c r="A573" s="413"/>
      <c r="B573" s="413"/>
      <c r="C573" s="414"/>
      <c r="D573" s="408" t="s">
        <v>6816</v>
      </c>
      <c r="E573" s="410" t="s">
        <v>6231</v>
      </c>
      <c r="F573" s="408" t="s">
        <v>89</v>
      </c>
      <c r="G573" s="412"/>
      <c r="H573" s="409" t="s">
        <v>77</v>
      </c>
      <c r="I573" s="409" t="s">
        <v>522</v>
      </c>
      <c r="J573" s="411">
        <v>572.0</v>
      </c>
    </row>
    <row r="574">
      <c r="A574" s="407">
        <v>36.0</v>
      </c>
      <c r="B574" s="408" t="s">
        <v>173</v>
      </c>
      <c r="C574" s="409">
        <v>92.0</v>
      </c>
      <c r="D574" s="408" t="s">
        <v>6817</v>
      </c>
      <c r="E574" s="410" t="s">
        <v>6233</v>
      </c>
      <c r="F574" s="408" t="s">
        <v>89</v>
      </c>
      <c r="G574" s="408" t="s">
        <v>63</v>
      </c>
      <c r="H574" s="409" t="s">
        <v>183</v>
      </c>
      <c r="I574" s="409" t="s">
        <v>66</v>
      </c>
      <c r="J574" s="411">
        <v>573.0</v>
      </c>
    </row>
    <row r="575">
      <c r="A575" s="413"/>
      <c r="B575" s="413"/>
      <c r="C575" s="414"/>
      <c r="D575" s="408" t="s">
        <v>6818</v>
      </c>
      <c r="E575" s="410" t="s">
        <v>6231</v>
      </c>
      <c r="F575" s="408" t="s">
        <v>89</v>
      </c>
      <c r="G575" s="412"/>
      <c r="H575" s="409" t="s">
        <v>103</v>
      </c>
      <c r="I575" s="409" t="s">
        <v>66</v>
      </c>
      <c r="J575" s="411">
        <v>574.0</v>
      </c>
    </row>
    <row r="576">
      <c r="A576" s="413"/>
      <c r="B576" s="413"/>
      <c r="C576" s="414"/>
      <c r="D576" s="408" t="s">
        <v>6819</v>
      </c>
      <c r="E576" s="410" t="s">
        <v>6233</v>
      </c>
      <c r="F576" s="408" t="s">
        <v>159</v>
      </c>
      <c r="G576" s="408" t="s">
        <v>218</v>
      </c>
      <c r="H576" s="409" t="s">
        <v>83</v>
      </c>
      <c r="I576" s="409" t="s">
        <v>66</v>
      </c>
      <c r="J576" s="411">
        <v>575.0</v>
      </c>
    </row>
    <row r="577">
      <c r="A577" s="413"/>
      <c r="B577" s="413"/>
      <c r="C577" s="414"/>
      <c r="D577" s="408" t="s">
        <v>6820</v>
      </c>
      <c r="E577" s="410" t="s">
        <v>6821</v>
      </c>
      <c r="F577" s="408" t="s">
        <v>89</v>
      </c>
      <c r="G577" s="408" t="s">
        <v>3886</v>
      </c>
      <c r="H577" s="409" t="s">
        <v>83</v>
      </c>
      <c r="I577" s="409" t="s">
        <v>66</v>
      </c>
      <c r="J577" s="411">
        <v>576.0</v>
      </c>
    </row>
    <row r="578">
      <c r="A578" s="413"/>
      <c r="B578" s="413"/>
      <c r="C578" s="414"/>
      <c r="D578" s="408" t="s">
        <v>6822</v>
      </c>
      <c r="E578" s="410" t="s">
        <v>6233</v>
      </c>
      <c r="F578" s="408" t="s">
        <v>159</v>
      </c>
      <c r="G578" s="408" t="s">
        <v>3403</v>
      </c>
      <c r="H578" s="409" t="s">
        <v>83</v>
      </c>
      <c r="I578" s="409" t="s">
        <v>66</v>
      </c>
      <c r="J578" s="411">
        <v>577.0</v>
      </c>
    </row>
    <row r="579">
      <c r="A579" s="413"/>
      <c r="B579" s="413"/>
      <c r="C579" s="414"/>
      <c r="D579" s="408" t="s">
        <v>6823</v>
      </c>
      <c r="E579" s="410" t="s">
        <v>6231</v>
      </c>
      <c r="F579" s="408" t="s">
        <v>89</v>
      </c>
      <c r="G579" s="408" t="s">
        <v>218</v>
      </c>
      <c r="H579" s="409" t="s">
        <v>83</v>
      </c>
      <c r="I579" s="409" t="s">
        <v>66</v>
      </c>
      <c r="J579" s="411">
        <v>578.0</v>
      </c>
    </row>
    <row r="580">
      <c r="A580" s="413"/>
      <c r="B580" s="413"/>
      <c r="C580" s="414"/>
      <c r="D580" s="408" t="s">
        <v>6824</v>
      </c>
      <c r="E580" s="410" t="s">
        <v>6233</v>
      </c>
      <c r="F580" s="408" t="s">
        <v>285</v>
      </c>
      <c r="G580" s="412"/>
      <c r="H580" s="409" t="s">
        <v>81</v>
      </c>
      <c r="I580" s="409" t="s">
        <v>66</v>
      </c>
      <c r="J580" s="411">
        <v>579.0</v>
      </c>
    </row>
    <row r="581">
      <c r="A581" s="413"/>
      <c r="B581" s="413"/>
      <c r="C581" s="414"/>
      <c r="D581" s="408" t="s">
        <v>6825</v>
      </c>
      <c r="E581" s="410" t="s">
        <v>6233</v>
      </c>
      <c r="F581" s="408" t="s">
        <v>89</v>
      </c>
      <c r="G581" s="408" t="s">
        <v>230</v>
      </c>
      <c r="H581" s="409" t="s">
        <v>183</v>
      </c>
      <c r="I581" s="409" t="s">
        <v>66</v>
      </c>
      <c r="J581" s="411">
        <v>580.0</v>
      </c>
    </row>
    <row r="582">
      <c r="A582" s="412"/>
      <c r="B582" s="412"/>
      <c r="C582" s="415"/>
      <c r="D582" s="408" t="s">
        <v>6826</v>
      </c>
      <c r="E582" s="410" t="s">
        <v>6233</v>
      </c>
      <c r="F582" s="408" t="s">
        <v>89</v>
      </c>
      <c r="G582" s="408" t="s">
        <v>218</v>
      </c>
      <c r="H582" s="409" t="s">
        <v>83</v>
      </c>
      <c r="I582" s="409" t="s">
        <v>66</v>
      </c>
      <c r="J582" s="411">
        <v>581.0</v>
      </c>
    </row>
    <row r="583">
      <c r="A583" s="413"/>
      <c r="B583" s="413"/>
      <c r="C583" s="414"/>
      <c r="D583" s="408" t="s">
        <v>6827</v>
      </c>
      <c r="E583" s="410" t="s">
        <v>6233</v>
      </c>
      <c r="F583" s="408" t="s">
        <v>89</v>
      </c>
      <c r="G583" s="408" t="s">
        <v>197</v>
      </c>
      <c r="H583" s="409" t="s">
        <v>83</v>
      </c>
      <c r="I583" s="409" t="s">
        <v>66</v>
      </c>
      <c r="J583" s="411">
        <v>582.0</v>
      </c>
    </row>
    <row r="584">
      <c r="A584" s="413"/>
      <c r="B584" s="413"/>
      <c r="C584" s="414"/>
      <c r="D584" s="408" t="s">
        <v>6828</v>
      </c>
      <c r="E584" s="410" t="s">
        <v>6231</v>
      </c>
      <c r="F584" s="408" t="s">
        <v>159</v>
      </c>
      <c r="G584" s="408" t="s">
        <v>218</v>
      </c>
      <c r="H584" s="409" t="s">
        <v>83</v>
      </c>
      <c r="I584" s="409" t="s">
        <v>66</v>
      </c>
      <c r="J584" s="411">
        <v>583.0</v>
      </c>
    </row>
    <row r="585">
      <c r="A585" s="413"/>
      <c r="B585" s="413"/>
      <c r="C585" s="414"/>
      <c r="D585" s="408" t="s">
        <v>6829</v>
      </c>
      <c r="E585" s="410" t="s">
        <v>6233</v>
      </c>
      <c r="F585" s="408" t="s">
        <v>89</v>
      </c>
      <c r="G585" s="408" t="s">
        <v>1520</v>
      </c>
      <c r="H585" s="409" t="s">
        <v>83</v>
      </c>
      <c r="I585" s="409" t="s">
        <v>66</v>
      </c>
      <c r="J585" s="411">
        <v>584.0</v>
      </c>
    </row>
    <row r="586">
      <c r="A586" s="413"/>
      <c r="B586" s="413"/>
      <c r="C586" s="414"/>
      <c r="D586" s="408" t="s">
        <v>6830</v>
      </c>
      <c r="E586" s="410" t="s">
        <v>6231</v>
      </c>
      <c r="F586" s="408" t="s">
        <v>89</v>
      </c>
      <c r="G586" s="408" t="s">
        <v>218</v>
      </c>
      <c r="H586" s="409" t="s">
        <v>83</v>
      </c>
      <c r="I586" s="409" t="s">
        <v>66</v>
      </c>
      <c r="J586" s="411">
        <v>585.0</v>
      </c>
    </row>
    <row r="587">
      <c r="A587" s="413"/>
      <c r="B587" s="413"/>
      <c r="C587" s="414"/>
      <c r="D587" s="408" t="s">
        <v>6831</v>
      </c>
      <c r="E587" s="410" t="s">
        <v>6231</v>
      </c>
      <c r="F587" s="408" t="s">
        <v>89</v>
      </c>
      <c r="G587" s="408" t="s">
        <v>418</v>
      </c>
      <c r="H587" s="409" t="s">
        <v>83</v>
      </c>
      <c r="I587" s="409" t="s">
        <v>66</v>
      </c>
      <c r="J587" s="411">
        <v>586.0</v>
      </c>
    </row>
    <row r="588">
      <c r="A588" s="413"/>
      <c r="B588" s="413"/>
      <c r="C588" s="414"/>
      <c r="D588" s="408" t="s">
        <v>6832</v>
      </c>
      <c r="E588" s="410" t="s">
        <v>6231</v>
      </c>
      <c r="F588" s="408" t="s">
        <v>285</v>
      </c>
      <c r="G588" s="413"/>
      <c r="H588" s="409" t="s">
        <v>81</v>
      </c>
      <c r="I588" s="409" t="s">
        <v>66</v>
      </c>
      <c r="J588" s="411">
        <v>587.0</v>
      </c>
    </row>
    <row r="589">
      <c r="A589" s="413"/>
      <c r="B589" s="413"/>
      <c r="C589" s="414"/>
      <c r="D589" s="408" t="s">
        <v>6833</v>
      </c>
      <c r="E589" s="410" t="s">
        <v>6233</v>
      </c>
      <c r="F589" s="408" t="s">
        <v>89</v>
      </c>
      <c r="G589" s="408" t="s">
        <v>230</v>
      </c>
      <c r="H589" s="409" t="s">
        <v>81</v>
      </c>
      <c r="I589" s="409" t="s">
        <v>66</v>
      </c>
      <c r="J589" s="411">
        <v>588.0</v>
      </c>
    </row>
    <row r="590">
      <c r="A590" s="413"/>
      <c r="B590" s="413"/>
      <c r="C590" s="414"/>
      <c r="D590" s="408" t="s">
        <v>6834</v>
      </c>
      <c r="E590" s="410" t="s">
        <v>6233</v>
      </c>
      <c r="F590" s="408" t="s">
        <v>89</v>
      </c>
      <c r="G590" s="408" t="s">
        <v>230</v>
      </c>
      <c r="H590" s="409" t="s">
        <v>83</v>
      </c>
      <c r="I590" s="409" t="s">
        <v>66</v>
      </c>
      <c r="J590" s="411">
        <v>589.0</v>
      </c>
    </row>
    <row r="591">
      <c r="A591" s="413"/>
      <c r="B591" s="413"/>
      <c r="C591" s="414"/>
      <c r="D591" s="408" t="s">
        <v>6835</v>
      </c>
      <c r="E591" s="410" t="s">
        <v>6231</v>
      </c>
      <c r="F591" s="408" t="s">
        <v>77</v>
      </c>
      <c r="G591" s="408" t="s">
        <v>77</v>
      </c>
      <c r="H591" s="409" t="s">
        <v>77</v>
      </c>
      <c r="I591" s="409" t="s">
        <v>66</v>
      </c>
      <c r="J591" s="411">
        <v>590.0</v>
      </c>
    </row>
    <row r="592">
      <c r="A592" s="413"/>
      <c r="B592" s="413"/>
      <c r="C592" s="414"/>
      <c r="D592" s="408" t="s">
        <v>6836</v>
      </c>
      <c r="E592" s="410" t="s">
        <v>6233</v>
      </c>
      <c r="F592" s="408" t="s">
        <v>110</v>
      </c>
      <c r="G592" s="412"/>
      <c r="H592" s="409" t="s">
        <v>81</v>
      </c>
      <c r="I592" s="409" t="s">
        <v>66</v>
      </c>
      <c r="J592" s="411">
        <v>591.0</v>
      </c>
    </row>
    <row r="593">
      <c r="A593" s="413"/>
      <c r="B593" s="413"/>
      <c r="C593" s="414"/>
      <c r="D593" s="408" t="s">
        <v>6837</v>
      </c>
      <c r="E593" s="410" t="s">
        <v>6233</v>
      </c>
      <c r="F593" s="408" t="s">
        <v>89</v>
      </c>
      <c r="G593" s="408" t="s">
        <v>218</v>
      </c>
      <c r="H593" s="409" t="s">
        <v>103</v>
      </c>
      <c r="I593" s="409" t="s">
        <v>66</v>
      </c>
      <c r="J593" s="411">
        <v>592.0</v>
      </c>
    </row>
    <row r="594">
      <c r="A594" s="413"/>
      <c r="B594" s="413"/>
      <c r="C594" s="414"/>
      <c r="D594" s="408" t="s">
        <v>6838</v>
      </c>
      <c r="E594" s="410" t="s">
        <v>6231</v>
      </c>
      <c r="F594" s="408" t="s">
        <v>159</v>
      </c>
      <c r="G594" s="408" t="s">
        <v>218</v>
      </c>
      <c r="H594" s="409" t="s">
        <v>83</v>
      </c>
      <c r="I594" s="409" t="s">
        <v>66</v>
      </c>
      <c r="J594" s="411">
        <v>593.0</v>
      </c>
    </row>
    <row r="595">
      <c r="A595" s="413"/>
      <c r="B595" s="413"/>
      <c r="C595" s="414"/>
      <c r="D595" s="408" t="s">
        <v>6839</v>
      </c>
      <c r="E595" s="410" t="s">
        <v>6231</v>
      </c>
      <c r="F595" s="408" t="s">
        <v>89</v>
      </c>
      <c r="G595" s="408" t="s">
        <v>197</v>
      </c>
      <c r="H595" s="409" t="s">
        <v>83</v>
      </c>
      <c r="I595" s="409" t="s">
        <v>66</v>
      </c>
      <c r="J595" s="411">
        <v>594.0</v>
      </c>
    </row>
    <row r="596">
      <c r="A596" s="413"/>
      <c r="B596" s="413"/>
      <c r="C596" s="414"/>
      <c r="D596" s="408" t="s">
        <v>6840</v>
      </c>
      <c r="E596" s="410" t="s">
        <v>6231</v>
      </c>
      <c r="F596" s="408" t="s">
        <v>89</v>
      </c>
      <c r="G596" s="408" t="s">
        <v>218</v>
      </c>
      <c r="H596" s="409" t="s">
        <v>83</v>
      </c>
      <c r="I596" s="409" t="s">
        <v>66</v>
      </c>
      <c r="J596" s="411">
        <v>595.0</v>
      </c>
    </row>
    <row r="597">
      <c r="A597" s="413"/>
      <c r="B597" s="413"/>
      <c r="C597" s="414"/>
      <c r="D597" s="408" t="s">
        <v>6841</v>
      </c>
      <c r="E597" s="410" t="s">
        <v>6233</v>
      </c>
      <c r="F597" s="408" t="s">
        <v>159</v>
      </c>
      <c r="G597" s="408" t="s">
        <v>259</v>
      </c>
      <c r="H597" s="409" t="s">
        <v>83</v>
      </c>
      <c r="I597" s="409" t="s">
        <v>66</v>
      </c>
      <c r="J597" s="411">
        <v>596.0</v>
      </c>
    </row>
    <row r="598">
      <c r="A598" s="413"/>
      <c r="B598" s="413"/>
      <c r="C598" s="414"/>
      <c r="D598" s="408" t="s">
        <v>6842</v>
      </c>
      <c r="E598" s="410" t="s">
        <v>6231</v>
      </c>
      <c r="F598" s="408" t="s">
        <v>159</v>
      </c>
      <c r="G598" s="408" t="s">
        <v>374</v>
      </c>
      <c r="H598" s="409" t="s">
        <v>83</v>
      </c>
      <c r="I598" s="409" t="s">
        <v>66</v>
      </c>
      <c r="J598" s="411">
        <v>597.0</v>
      </c>
    </row>
    <row r="599">
      <c r="A599" s="413"/>
      <c r="B599" s="413"/>
      <c r="C599" s="414"/>
      <c r="D599" s="408" t="s">
        <v>6843</v>
      </c>
      <c r="E599" s="410" t="s">
        <v>6233</v>
      </c>
      <c r="F599" s="408" t="s">
        <v>159</v>
      </c>
      <c r="G599" s="408" t="s">
        <v>230</v>
      </c>
      <c r="H599" s="409" t="s">
        <v>83</v>
      </c>
      <c r="I599" s="409" t="s">
        <v>66</v>
      </c>
      <c r="J599" s="411">
        <v>598.0</v>
      </c>
    </row>
    <row r="600">
      <c r="A600" s="413"/>
      <c r="B600" s="413"/>
      <c r="C600" s="414"/>
      <c r="D600" s="408" t="s">
        <v>6844</v>
      </c>
      <c r="E600" s="410" t="s">
        <v>6233</v>
      </c>
      <c r="F600" s="408" t="s">
        <v>89</v>
      </c>
      <c r="G600" s="408" t="s">
        <v>1449</v>
      </c>
      <c r="H600" s="409" t="s">
        <v>83</v>
      </c>
      <c r="I600" s="409" t="s">
        <v>66</v>
      </c>
      <c r="J600" s="411">
        <v>599.0</v>
      </c>
    </row>
    <row r="601">
      <c r="A601" s="413"/>
      <c r="B601" s="413"/>
      <c r="C601" s="414"/>
      <c r="D601" s="408" t="s">
        <v>6845</v>
      </c>
      <c r="E601" s="410" t="s">
        <v>6231</v>
      </c>
      <c r="F601" s="408" t="s">
        <v>159</v>
      </c>
      <c r="G601" s="408" t="s">
        <v>2572</v>
      </c>
      <c r="H601" s="409" t="s">
        <v>83</v>
      </c>
      <c r="I601" s="409" t="s">
        <v>66</v>
      </c>
      <c r="J601" s="411">
        <v>600.0</v>
      </c>
    </row>
    <row r="602">
      <c r="A602" s="413"/>
      <c r="B602" s="413"/>
      <c r="C602" s="414"/>
      <c r="D602" s="408" t="s">
        <v>6846</v>
      </c>
      <c r="E602" s="410" t="s">
        <v>6231</v>
      </c>
      <c r="F602" s="408" t="s">
        <v>89</v>
      </c>
      <c r="G602" s="408" t="s">
        <v>218</v>
      </c>
      <c r="H602" s="409" t="s">
        <v>83</v>
      </c>
      <c r="I602" s="409" t="s">
        <v>66</v>
      </c>
      <c r="J602" s="411">
        <v>601.0</v>
      </c>
    </row>
    <row r="603">
      <c r="A603" s="413"/>
      <c r="B603" s="413"/>
      <c r="C603" s="414"/>
      <c r="D603" s="408" t="s">
        <v>6847</v>
      </c>
      <c r="E603" s="410" t="s">
        <v>6848</v>
      </c>
      <c r="F603" s="408" t="s">
        <v>159</v>
      </c>
      <c r="G603" s="412"/>
      <c r="H603" s="409" t="s">
        <v>255</v>
      </c>
      <c r="I603" s="409" t="s">
        <v>66</v>
      </c>
      <c r="J603" s="411">
        <v>602.0</v>
      </c>
    </row>
    <row r="604">
      <c r="A604" s="413"/>
      <c r="B604" s="413"/>
      <c r="C604" s="414"/>
      <c r="D604" s="408" t="s">
        <v>6849</v>
      </c>
      <c r="E604" s="410" t="s">
        <v>6233</v>
      </c>
      <c r="F604" s="408" t="s">
        <v>159</v>
      </c>
      <c r="G604" s="408" t="s">
        <v>218</v>
      </c>
      <c r="H604" s="409" t="s">
        <v>83</v>
      </c>
      <c r="I604" s="409" t="s">
        <v>66</v>
      </c>
      <c r="J604" s="411">
        <v>603.0</v>
      </c>
    </row>
    <row r="605">
      <c r="A605" s="413"/>
      <c r="B605" s="413"/>
      <c r="C605" s="414"/>
      <c r="D605" s="408" t="s">
        <v>6850</v>
      </c>
      <c r="E605" s="410" t="s">
        <v>6231</v>
      </c>
      <c r="F605" s="408" t="s">
        <v>89</v>
      </c>
      <c r="G605" s="408" t="s">
        <v>218</v>
      </c>
      <c r="H605" s="409" t="s">
        <v>83</v>
      </c>
      <c r="I605" s="409" t="s">
        <v>66</v>
      </c>
      <c r="J605" s="411">
        <v>604.0</v>
      </c>
    </row>
    <row r="606">
      <c r="A606" s="413"/>
      <c r="B606" s="413"/>
      <c r="C606" s="414"/>
      <c r="D606" s="408" t="s">
        <v>6851</v>
      </c>
      <c r="E606" s="410" t="s">
        <v>6233</v>
      </c>
      <c r="F606" s="408" t="s">
        <v>159</v>
      </c>
      <c r="G606" s="408" t="s">
        <v>218</v>
      </c>
      <c r="H606" s="409" t="s">
        <v>83</v>
      </c>
      <c r="I606" s="409" t="s">
        <v>66</v>
      </c>
      <c r="J606" s="411">
        <v>605.0</v>
      </c>
    </row>
    <row r="607">
      <c r="A607" s="413"/>
      <c r="B607" s="413"/>
      <c r="C607" s="414"/>
      <c r="D607" s="408" t="s">
        <v>6852</v>
      </c>
      <c r="E607" s="410">
        <v>-1.0</v>
      </c>
      <c r="F607" s="408" t="s">
        <v>159</v>
      </c>
      <c r="G607" s="408" t="s">
        <v>259</v>
      </c>
      <c r="H607" s="409" t="s">
        <v>255</v>
      </c>
      <c r="I607" s="409" t="s">
        <v>66</v>
      </c>
      <c r="J607" s="411">
        <v>606.0</v>
      </c>
    </row>
    <row r="608">
      <c r="A608" s="413"/>
      <c r="B608" s="413"/>
      <c r="C608" s="414"/>
      <c r="D608" s="408" t="s">
        <v>6853</v>
      </c>
      <c r="E608" s="410" t="s">
        <v>6226</v>
      </c>
      <c r="F608" s="408" t="s">
        <v>89</v>
      </c>
      <c r="G608" s="408" t="s">
        <v>90</v>
      </c>
      <c r="H608" s="409" t="s">
        <v>83</v>
      </c>
      <c r="I608" s="409" t="s">
        <v>66</v>
      </c>
      <c r="J608" s="411">
        <v>607.0</v>
      </c>
    </row>
    <row r="609">
      <c r="A609" s="413"/>
      <c r="B609" s="413"/>
      <c r="C609" s="414"/>
      <c r="D609" s="408" t="s">
        <v>6854</v>
      </c>
      <c r="E609" s="410" t="s">
        <v>6233</v>
      </c>
      <c r="F609" s="408" t="s">
        <v>89</v>
      </c>
      <c r="G609" s="408" t="s">
        <v>218</v>
      </c>
      <c r="H609" s="409" t="s">
        <v>81</v>
      </c>
      <c r="I609" s="409" t="s">
        <v>66</v>
      </c>
      <c r="J609" s="411">
        <v>608.0</v>
      </c>
    </row>
    <row r="610">
      <c r="A610" s="413"/>
      <c r="B610" s="413"/>
      <c r="C610" s="414"/>
      <c r="D610" s="408" t="s">
        <v>6855</v>
      </c>
      <c r="E610" s="410" t="s">
        <v>6233</v>
      </c>
      <c r="F610" s="408" t="s">
        <v>89</v>
      </c>
      <c r="G610" s="408" t="s">
        <v>1562</v>
      </c>
      <c r="H610" s="409" t="s">
        <v>103</v>
      </c>
      <c r="I610" s="409" t="s">
        <v>66</v>
      </c>
      <c r="J610" s="411">
        <v>609.0</v>
      </c>
    </row>
    <row r="611">
      <c r="A611" s="413"/>
      <c r="B611" s="413"/>
      <c r="C611" s="414"/>
      <c r="D611" s="408" t="s">
        <v>6856</v>
      </c>
      <c r="E611" s="410" t="s">
        <v>6233</v>
      </c>
      <c r="F611" s="408" t="s">
        <v>89</v>
      </c>
      <c r="G611" s="408" t="s">
        <v>90</v>
      </c>
      <c r="H611" s="409" t="s">
        <v>83</v>
      </c>
      <c r="I611" s="409" t="s">
        <v>66</v>
      </c>
      <c r="J611" s="411">
        <v>610.0</v>
      </c>
    </row>
    <row r="612">
      <c r="A612" s="413"/>
      <c r="B612" s="413"/>
      <c r="C612" s="414"/>
      <c r="D612" s="408" t="s">
        <v>6857</v>
      </c>
      <c r="E612" s="410" t="s">
        <v>6231</v>
      </c>
      <c r="F612" s="408" t="s">
        <v>89</v>
      </c>
      <c r="G612" s="408" t="s">
        <v>429</v>
      </c>
      <c r="H612" s="409" t="s">
        <v>103</v>
      </c>
      <c r="I612" s="409" t="s">
        <v>66</v>
      </c>
      <c r="J612" s="411">
        <v>611.0</v>
      </c>
    </row>
    <row r="613">
      <c r="A613" s="413"/>
      <c r="B613" s="413"/>
      <c r="C613" s="414"/>
      <c r="D613" s="408" t="s">
        <v>6858</v>
      </c>
      <c r="E613" s="410" t="s">
        <v>6231</v>
      </c>
      <c r="F613" s="408" t="s">
        <v>89</v>
      </c>
      <c r="G613" s="408" t="s">
        <v>90</v>
      </c>
      <c r="H613" s="409" t="s">
        <v>81</v>
      </c>
      <c r="I613" s="409" t="s">
        <v>66</v>
      </c>
      <c r="J613" s="411">
        <v>612.0</v>
      </c>
    </row>
    <row r="614">
      <c r="A614" s="413"/>
      <c r="B614" s="413"/>
      <c r="C614" s="414"/>
      <c r="D614" s="408" t="s">
        <v>6859</v>
      </c>
      <c r="E614" s="410" t="s">
        <v>6233</v>
      </c>
      <c r="F614" s="408" t="s">
        <v>89</v>
      </c>
      <c r="G614" s="408" t="s">
        <v>90</v>
      </c>
      <c r="H614" s="409" t="s">
        <v>83</v>
      </c>
      <c r="I614" s="409" t="s">
        <v>66</v>
      </c>
      <c r="J614" s="411">
        <v>613.0</v>
      </c>
    </row>
    <row r="615">
      <c r="A615" s="413"/>
      <c r="B615" s="413"/>
      <c r="C615" s="414"/>
      <c r="D615" s="408" t="s">
        <v>6860</v>
      </c>
      <c r="E615" s="410" t="s">
        <v>6231</v>
      </c>
      <c r="F615" s="408" t="s">
        <v>89</v>
      </c>
      <c r="G615" s="408" t="s">
        <v>90</v>
      </c>
      <c r="H615" s="409" t="s">
        <v>103</v>
      </c>
      <c r="I615" s="409" t="s">
        <v>66</v>
      </c>
      <c r="J615" s="411">
        <v>614.0</v>
      </c>
    </row>
    <row r="616">
      <c r="A616" s="413"/>
      <c r="B616" s="413"/>
      <c r="C616" s="414"/>
      <c r="D616" s="408" t="s">
        <v>6861</v>
      </c>
      <c r="E616" s="410" t="s">
        <v>6233</v>
      </c>
      <c r="F616" s="408" t="s">
        <v>159</v>
      </c>
      <c r="G616" s="408" t="s">
        <v>1633</v>
      </c>
      <c r="H616" s="409" t="s">
        <v>83</v>
      </c>
      <c r="I616" s="409" t="s">
        <v>66</v>
      </c>
      <c r="J616" s="411">
        <v>615.0</v>
      </c>
    </row>
    <row r="617">
      <c r="A617" s="413"/>
      <c r="B617" s="413"/>
      <c r="C617" s="414"/>
      <c r="D617" s="408" t="s">
        <v>6862</v>
      </c>
      <c r="E617" s="410" t="s">
        <v>6231</v>
      </c>
      <c r="F617" s="408" t="s">
        <v>89</v>
      </c>
      <c r="G617" s="408" t="s">
        <v>2132</v>
      </c>
      <c r="H617" s="409" t="s">
        <v>103</v>
      </c>
      <c r="I617" s="409" t="s">
        <v>66</v>
      </c>
      <c r="J617" s="411">
        <v>616.0</v>
      </c>
    </row>
    <row r="618">
      <c r="A618" s="413"/>
      <c r="B618" s="413"/>
      <c r="C618" s="414"/>
      <c r="D618" s="408" t="s">
        <v>6863</v>
      </c>
      <c r="E618" s="410" t="s">
        <v>6231</v>
      </c>
      <c r="F618" s="408" t="s">
        <v>89</v>
      </c>
      <c r="G618" s="412"/>
      <c r="H618" s="409" t="s">
        <v>83</v>
      </c>
      <c r="I618" s="409" t="s">
        <v>66</v>
      </c>
      <c r="J618" s="411">
        <v>617.0</v>
      </c>
    </row>
    <row r="619">
      <c r="A619" s="413"/>
      <c r="B619" s="413"/>
      <c r="C619" s="414"/>
      <c r="D619" s="408" t="s">
        <v>6864</v>
      </c>
      <c r="E619" s="410" t="s">
        <v>6231</v>
      </c>
      <c r="F619" s="408" t="s">
        <v>89</v>
      </c>
      <c r="G619" s="408" t="s">
        <v>439</v>
      </c>
      <c r="H619" s="409" t="s">
        <v>103</v>
      </c>
      <c r="I619" s="409" t="s">
        <v>66</v>
      </c>
      <c r="J619" s="411">
        <v>618.0</v>
      </c>
    </row>
    <row r="620">
      <c r="A620" s="413"/>
      <c r="B620" s="413"/>
      <c r="C620" s="414"/>
      <c r="D620" s="408" t="s">
        <v>6865</v>
      </c>
      <c r="E620" s="410" t="s">
        <v>6233</v>
      </c>
      <c r="F620" s="408" t="s">
        <v>89</v>
      </c>
      <c r="G620" s="408" t="s">
        <v>218</v>
      </c>
      <c r="H620" s="409" t="s">
        <v>183</v>
      </c>
      <c r="I620" s="409" t="s">
        <v>66</v>
      </c>
      <c r="J620" s="411">
        <v>619.0</v>
      </c>
    </row>
    <row r="621">
      <c r="A621" s="413"/>
      <c r="B621" s="413"/>
      <c r="C621" s="414"/>
      <c r="D621" s="408" t="s">
        <v>6866</v>
      </c>
      <c r="E621" s="410" t="s">
        <v>6241</v>
      </c>
      <c r="F621" s="408" t="s">
        <v>89</v>
      </c>
      <c r="G621" s="408" t="s">
        <v>230</v>
      </c>
      <c r="H621" s="409" t="s">
        <v>83</v>
      </c>
      <c r="I621" s="409" t="s">
        <v>66</v>
      </c>
      <c r="J621" s="411">
        <v>620.0</v>
      </c>
    </row>
    <row r="622">
      <c r="A622" s="413"/>
      <c r="B622" s="413"/>
      <c r="C622" s="414"/>
      <c r="D622" s="408" t="s">
        <v>6867</v>
      </c>
      <c r="E622" s="410" t="s">
        <v>6233</v>
      </c>
      <c r="F622" s="408" t="s">
        <v>89</v>
      </c>
      <c r="G622" s="408" t="s">
        <v>1441</v>
      </c>
      <c r="H622" s="409" t="s">
        <v>83</v>
      </c>
      <c r="I622" s="409" t="s">
        <v>66</v>
      </c>
      <c r="J622" s="411">
        <v>621.0</v>
      </c>
    </row>
    <row r="623">
      <c r="A623" s="413"/>
      <c r="B623" s="413"/>
      <c r="C623" s="414"/>
      <c r="D623" s="408" t="s">
        <v>6868</v>
      </c>
      <c r="E623" s="410" t="s">
        <v>6233</v>
      </c>
      <c r="F623" s="408" t="s">
        <v>89</v>
      </c>
      <c r="G623" s="408" t="s">
        <v>160</v>
      </c>
      <c r="H623" s="409" t="s">
        <v>83</v>
      </c>
      <c r="I623" s="409" t="s">
        <v>66</v>
      </c>
      <c r="J623" s="411">
        <v>622.0</v>
      </c>
    </row>
    <row r="624">
      <c r="A624" s="413"/>
      <c r="B624" s="413"/>
      <c r="C624" s="414"/>
      <c r="D624" s="408" t="s">
        <v>6869</v>
      </c>
      <c r="E624" s="410" t="s">
        <v>6233</v>
      </c>
      <c r="F624" s="408" t="s">
        <v>110</v>
      </c>
      <c r="G624" s="408" t="s">
        <v>186</v>
      </c>
      <c r="H624" s="409" t="s">
        <v>183</v>
      </c>
      <c r="I624" s="409" t="s">
        <v>66</v>
      </c>
      <c r="J624" s="411">
        <v>623.0</v>
      </c>
    </row>
    <row r="625">
      <c r="A625" s="413"/>
      <c r="B625" s="413"/>
      <c r="C625" s="414"/>
      <c r="D625" s="408" t="s">
        <v>6870</v>
      </c>
      <c r="E625" s="410" t="s">
        <v>6231</v>
      </c>
      <c r="F625" s="408" t="s">
        <v>89</v>
      </c>
      <c r="G625" s="408" t="s">
        <v>218</v>
      </c>
      <c r="H625" s="409" t="s">
        <v>183</v>
      </c>
      <c r="I625" s="409" t="s">
        <v>66</v>
      </c>
      <c r="J625" s="411">
        <v>624.0</v>
      </c>
    </row>
    <row r="626">
      <c r="A626" s="413"/>
      <c r="B626" s="413"/>
      <c r="C626" s="414"/>
      <c r="D626" s="408" t="s">
        <v>6871</v>
      </c>
      <c r="E626" s="410" t="s">
        <v>6231</v>
      </c>
      <c r="F626" s="408" t="s">
        <v>89</v>
      </c>
      <c r="G626" s="408" t="s">
        <v>458</v>
      </c>
      <c r="H626" s="409" t="s">
        <v>103</v>
      </c>
      <c r="I626" s="409" t="s">
        <v>66</v>
      </c>
      <c r="J626" s="411">
        <v>625.0</v>
      </c>
    </row>
    <row r="627">
      <c r="A627" s="413"/>
      <c r="B627" s="413"/>
      <c r="C627" s="414"/>
      <c r="D627" s="408" t="s">
        <v>6872</v>
      </c>
      <c r="E627" s="410" t="s">
        <v>6231</v>
      </c>
      <c r="F627" s="408" t="s">
        <v>159</v>
      </c>
      <c r="G627" s="408" t="s">
        <v>2681</v>
      </c>
      <c r="H627" s="409" t="s">
        <v>83</v>
      </c>
      <c r="I627" s="409" t="s">
        <v>66</v>
      </c>
      <c r="J627" s="411">
        <v>626.0</v>
      </c>
    </row>
    <row r="628">
      <c r="A628" s="413"/>
      <c r="B628" s="413"/>
      <c r="C628" s="414"/>
      <c r="D628" s="408" t="s">
        <v>6873</v>
      </c>
      <c r="E628" s="410" t="s">
        <v>6244</v>
      </c>
      <c r="F628" s="408" t="s">
        <v>89</v>
      </c>
      <c r="G628" s="408" t="s">
        <v>1416</v>
      </c>
      <c r="H628" s="409" t="s">
        <v>83</v>
      </c>
      <c r="I628" s="409" t="s">
        <v>66</v>
      </c>
      <c r="J628" s="411">
        <v>627.0</v>
      </c>
    </row>
    <row r="629">
      <c r="A629" s="413"/>
      <c r="B629" s="413"/>
      <c r="C629" s="414"/>
      <c r="D629" s="408" t="s">
        <v>6874</v>
      </c>
      <c r="E629" s="410" t="s">
        <v>6233</v>
      </c>
      <c r="F629" s="408" t="s">
        <v>89</v>
      </c>
      <c r="G629" s="408" t="s">
        <v>90</v>
      </c>
      <c r="H629" s="409" t="s">
        <v>83</v>
      </c>
      <c r="I629" s="409" t="s">
        <v>66</v>
      </c>
      <c r="J629" s="411">
        <v>628.0</v>
      </c>
    </row>
    <row r="630">
      <c r="A630" s="413"/>
      <c r="B630" s="413"/>
      <c r="C630" s="414"/>
      <c r="D630" s="408" t="s">
        <v>6875</v>
      </c>
      <c r="E630" s="410" t="s">
        <v>6231</v>
      </c>
      <c r="F630" s="408" t="s">
        <v>159</v>
      </c>
      <c r="G630" s="408" t="s">
        <v>230</v>
      </c>
      <c r="H630" s="409" t="s">
        <v>103</v>
      </c>
      <c r="I630" s="409" t="s">
        <v>66</v>
      </c>
      <c r="J630" s="411">
        <v>629.0</v>
      </c>
    </row>
    <row r="631">
      <c r="A631" s="413"/>
      <c r="B631" s="413"/>
      <c r="C631" s="414"/>
      <c r="D631" s="408" t="s">
        <v>6876</v>
      </c>
      <c r="E631" s="410" t="s">
        <v>6233</v>
      </c>
      <c r="F631" s="408" t="s">
        <v>89</v>
      </c>
      <c r="G631" s="408" t="s">
        <v>374</v>
      </c>
      <c r="H631" s="409" t="s">
        <v>83</v>
      </c>
      <c r="I631" s="409" t="s">
        <v>66</v>
      </c>
      <c r="J631" s="411">
        <v>630.0</v>
      </c>
    </row>
    <row r="632">
      <c r="A632" s="413"/>
      <c r="B632" s="413"/>
      <c r="C632" s="414"/>
      <c r="D632" s="408" t="s">
        <v>6877</v>
      </c>
      <c r="E632" s="410" t="s">
        <v>6233</v>
      </c>
      <c r="F632" s="408" t="s">
        <v>159</v>
      </c>
      <c r="G632" s="408" t="s">
        <v>259</v>
      </c>
      <c r="H632" s="409" t="s">
        <v>103</v>
      </c>
      <c r="I632" s="409" t="s">
        <v>66</v>
      </c>
      <c r="J632" s="411">
        <v>631.0</v>
      </c>
    </row>
    <row r="633">
      <c r="A633" s="413"/>
      <c r="B633" s="413"/>
      <c r="C633" s="414"/>
      <c r="D633" s="408" t="s">
        <v>6878</v>
      </c>
      <c r="E633" s="410" t="s">
        <v>6231</v>
      </c>
      <c r="F633" s="408" t="s">
        <v>89</v>
      </c>
      <c r="G633" s="408" t="s">
        <v>90</v>
      </c>
      <c r="H633" s="409" t="s">
        <v>83</v>
      </c>
      <c r="I633" s="409" t="s">
        <v>66</v>
      </c>
      <c r="J633" s="411">
        <v>632.0</v>
      </c>
    </row>
    <row r="634">
      <c r="A634" s="413"/>
      <c r="B634" s="413"/>
      <c r="C634" s="414"/>
      <c r="D634" s="408" t="s">
        <v>6879</v>
      </c>
      <c r="E634" s="410" t="s">
        <v>6231</v>
      </c>
      <c r="F634" s="408" t="s">
        <v>89</v>
      </c>
      <c r="G634" s="412"/>
      <c r="H634" s="409" t="s">
        <v>83</v>
      </c>
      <c r="I634" s="409" t="s">
        <v>66</v>
      </c>
      <c r="J634" s="411">
        <v>633.0</v>
      </c>
    </row>
    <row r="635">
      <c r="A635" s="413"/>
      <c r="B635" s="413"/>
      <c r="C635" s="414"/>
      <c r="D635" s="408" t="s">
        <v>6880</v>
      </c>
      <c r="E635" s="410" t="s">
        <v>6233</v>
      </c>
      <c r="F635" s="408" t="s">
        <v>89</v>
      </c>
      <c r="G635" s="408" t="s">
        <v>218</v>
      </c>
      <c r="H635" s="409" t="s">
        <v>83</v>
      </c>
      <c r="I635" s="409" t="s">
        <v>66</v>
      </c>
      <c r="J635" s="411">
        <v>634.0</v>
      </c>
    </row>
    <row r="636">
      <c r="A636" s="413"/>
      <c r="B636" s="413"/>
      <c r="C636" s="414"/>
      <c r="D636" s="408" t="s">
        <v>6881</v>
      </c>
      <c r="E636" s="410" t="s">
        <v>6231</v>
      </c>
      <c r="F636" s="408" t="s">
        <v>89</v>
      </c>
      <c r="G636" s="408" t="s">
        <v>218</v>
      </c>
      <c r="H636" s="409" t="s">
        <v>81</v>
      </c>
      <c r="I636" s="409" t="s">
        <v>66</v>
      </c>
      <c r="J636" s="411">
        <v>635.0</v>
      </c>
    </row>
    <row r="637">
      <c r="A637" s="413"/>
      <c r="B637" s="413"/>
      <c r="C637" s="414"/>
      <c r="D637" s="408" t="s">
        <v>6882</v>
      </c>
      <c r="E637" s="410" t="s">
        <v>6233</v>
      </c>
      <c r="F637" s="408" t="s">
        <v>159</v>
      </c>
      <c r="G637" s="408" t="s">
        <v>1464</v>
      </c>
      <c r="H637" s="409" t="s">
        <v>83</v>
      </c>
      <c r="I637" s="409" t="s">
        <v>66</v>
      </c>
      <c r="J637" s="411">
        <v>636.0</v>
      </c>
    </row>
    <row r="638">
      <c r="A638" s="413"/>
      <c r="B638" s="413"/>
      <c r="C638" s="414"/>
      <c r="D638" s="408" t="s">
        <v>6883</v>
      </c>
      <c r="E638" s="410" t="s">
        <v>6231</v>
      </c>
      <c r="F638" s="408" t="s">
        <v>89</v>
      </c>
      <c r="G638" s="408" t="s">
        <v>3908</v>
      </c>
      <c r="H638" s="409" t="s">
        <v>83</v>
      </c>
      <c r="I638" s="409" t="s">
        <v>66</v>
      </c>
      <c r="J638" s="411">
        <v>637.0</v>
      </c>
    </row>
    <row r="639">
      <c r="A639" s="413"/>
      <c r="B639" s="413"/>
      <c r="C639" s="414"/>
      <c r="D639" s="408" t="s">
        <v>6884</v>
      </c>
      <c r="E639" s="410" t="s">
        <v>6231</v>
      </c>
      <c r="F639" s="408" t="s">
        <v>89</v>
      </c>
      <c r="G639" s="408" t="s">
        <v>1633</v>
      </c>
      <c r="H639" s="409" t="s">
        <v>81</v>
      </c>
      <c r="I639" s="409" t="s">
        <v>66</v>
      </c>
      <c r="J639" s="411">
        <v>638.0</v>
      </c>
    </row>
    <row r="640">
      <c r="A640" s="413"/>
      <c r="B640" s="413"/>
      <c r="C640" s="414"/>
      <c r="D640" s="408" t="s">
        <v>6885</v>
      </c>
      <c r="E640" s="410">
        <v>-1.0</v>
      </c>
      <c r="F640" s="408" t="s">
        <v>89</v>
      </c>
      <c r="G640" s="408" t="s">
        <v>230</v>
      </c>
      <c r="H640" s="409" t="s">
        <v>83</v>
      </c>
      <c r="I640" s="409" t="s">
        <v>66</v>
      </c>
      <c r="J640" s="411">
        <v>639.0</v>
      </c>
    </row>
    <row r="641">
      <c r="A641" s="413"/>
      <c r="B641" s="413"/>
      <c r="C641" s="414"/>
      <c r="D641" s="408" t="s">
        <v>6886</v>
      </c>
      <c r="E641" s="410" t="s">
        <v>6231</v>
      </c>
      <c r="F641" s="408" t="s">
        <v>89</v>
      </c>
      <c r="G641" s="408" t="s">
        <v>1520</v>
      </c>
      <c r="H641" s="409" t="s">
        <v>83</v>
      </c>
      <c r="I641" s="409" t="s">
        <v>66</v>
      </c>
      <c r="J641" s="411">
        <v>640.0</v>
      </c>
    </row>
    <row r="642">
      <c r="A642" s="413"/>
      <c r="B642" s="413"/>
      <c r="C642" s="414"/>
      <c r="D642" s="408" t="s">
        <v>6887</v>
      </c>
      <c r="E642" s="410" t="s">
        <v>6231</v>
      </c>
      <c r="F642" s="408" t="s">
        <v>89</v>
      </c>
      <c r="G642" s="408" t="s">
        <v>230</v>
      </c>
      <c r="H642" s="409" t="s">
        <v>183</v>
      </c>
      <c r="I642" s="409" t="s">
        <v>66</v>
      </c>
      <c r="J642" s="411">
        <v>641.0</v>
      </c>
    </row>
    <row r="643">
      <c r="A643" s="413"/>
      <c r="B643" s="413"/>
      <c r="C643" s="414"/>
      <c r="D643" s="408" t="s">
        <v>6888</v>
      </c>
      <c r="E643" s="410" t="s">
        <v>6233</v>
      </c>
      <c r="F643" s="408" t="s">
        <v>89</v>
      </c>
      <c r="G643" s="408" t="s">
        <v>90</v>
      </c>
      <c r="H643" s="409" t="s">
        <v>83</v>
      </c>
      <c r="I643" s="409" t="s">
        <v>66</v>
      </c>
      <c r="J643" s="411">
        <v>642.0</v>
      </c>
    </row>
    <row r="644">
      <c r="A644" s="413"/>
      <c r="B644" s="413"/>
      <c r="C644" s="414"/>
      <c r="D644" s="408" t="s">
        <v>6889</v>
      </c>
      <c r="E644" s="410" t="s">
        <v>6244</v>
      </c>
      <c r="F644" s="408" t="s">
        <v>159</v>
      </c>
      <c r="G644" s="408" t="s">
        <v>503</v>
      </c>
      <c r="H644" s="409" t="s">
        <v>255</v>
      </c>
      <c r="I644" s="409" t="s">
        <v>66</v>
      </c>
      <c r="J644" s="411">
        <v>643.0</v>
      </c>
    </row>
    <row r="645">
      <c r="A645" s="413"/>
      <c r="B645" s="413"/>
      <c r="C645" s="414"/>
      <c r="D645" s="408" t="s">
        <v>6890</v>
      </c>
      <c r="E645" s="410" t="s">
        <v>6233</v>
      </c>
      <c r="F645" s="408" t="s">
        <v>89</v>
      </c>
      <c r="G645" s="412"/>
      <c r="H645" s="409" t="s">
        <v>83</v>
      </c>
      <c r="I645" s="409" t="s">
        <v>66</v>
      </c>
      <c r="J645" s="411">
        <v>644.0</v>
      </c>
    </row>
    <row r="646">
      <c r="A646" s="413"/>
      <c r="B646" s="413"/>
      <c r="C646" s="414"/>
      <c r="D646" s="408" t="s">
        <v>6891</v>
      </c>
      <c r="E646" s="410" t="s">
        <v>6231</v>
      </c>
      <c r="F646" s="408" t="s">
        <v>159</v>
      </c>
      <c r="G646" s="408" t="s">
        <v>1328</v>
      </c>
      <c r="H646" s="409" t="s">
        <v>255</v>
      </c>
      <c r="I646" s="409" t="s">
        <v>66</v>
      </c>
      <c r="J646" s="411">
        <v>645.0</v>
      </c>
    </row>
    <row r="647">
      <c r="A647" s="413"/>
      <c r="B647" s="413"/>
      <c r="C647" s="414"/>
      <c r="D647" s="408" t="s">
        <v>6892</v>
      </c>
      <c r="E647" s="410" t="s">
        <v>6821</v>
      </c>
      <c r="F647" s="408" t="s">
        <v>89</v>
      </c>
      <c r="G647" s="408" t="s">
        <v>218</v>
      </c>
      <c r="H647" s="409" t="s">
        <v>83</v>
      </c>
      <c r="I647" s="409" t="s">
        <v>66</v>
      </c>
      <c r="J647" s="411">
        <v>646.0</v>
      </c>
    </row>
    <row r="648">
      <c r="A648" s="413"/>
      <c r="B648" s="413"/>
      <c r="C648" s="414"/>
      <c r="D648" s="408" t="s">
        <v>6893</v>
      </c>
      <c r="E648" s="410" t="s">
        <v>6231</v>
      </c>
      <c r="F648" s="408" t="s">
        <v>89</v>
      </c>
      <c r="G648" s="408" t="s">
        <v>276</v>
      </c>
      <c r="H648" s="409" t="s">
        <v>83</v>
      </c>
      <c r="I648" s="409" t="s">
        <v>66</v>
      </c>
      <c r="J648" s="411">
        <v>647.0</v>
      </c>
    </row>
    <row r="649">
      <c r="A649" s="413"/>
      <c r="B649" s="413"/>
      <c r="C649" s="414"/>
      <c r="D649" s="408" t="s">
        <v>6894</v>
      </c>
      <c r="E649" s="410" t="s">
        <v>6241</v>
      </c>
      <c r="F649" s="408" t="s">
        <v>89</v>
      </c>
      <c r="G649" s="412"/>
      <c r="H649" s="409" t="s">
        <v>83</v>
      </c>
      <c r="I649" s="409" t="s">
        <v>66</v>
      </c>
      <c r="J649" s="411">
        <v>648.0</v>
      </c>
    </row>
    <row r="650">
      <c r="A650" s="413"/>
      <c r="B650" s="413"/>
      <c r="C650" s="414"/>
      <c r="D650" s="408" t="s">
        <v>6895</v>
      </c>
      <c r="E650" s="410" t="s">
        <v>6231</v>
      </c>
      <c r="F650" s="408" t="s">
        <v>159</v>
      </c>
      <c r="G650" s="408" t="s">
        <v>259</v>
      </c>
      <c r="H650" s="409" t="s">
        <v>255</v>
      </c>
      <c r="I650" s="409" t="s">
        <v>66</v>
      </c>
      <c r="J650" s="411">
        <v>649.0</v>
      </c>
    </row>
    <row r="651">
      <c r="A651" s="413"/>
      <c r="B651" s="413"/>
      <c r="C651" s="414"/>
      <c r="D651" s="408" t="s">
        <v>6896</v>
      </c>
      <c r="E651" s="410" t="s">
        <v>6231</v>
      </c>
      <c r="F651" s="408" t="s">
        <v>89</v>
      </c>
      <c r="G651" s="408" t="s">
        <v>90</v>
      </c>
      <c r="H651" s="409" t="s">
        <v>81</v>
      </c>
      <c r="I651" s="409" t="s">
        <v>66</v>
      </c>
      <c r="J651" s="411">
        <v>650.0</v>
      </c>
    </row>
    <row r="652">
      <c r="A652" s="413"/>
      <c r="B652" s="413"/>
      <c r="C652" s="414"/>
      <c r="D652" s="408" t="s">
        <v>6897</v>
      </c>
      <c r="E652" s="410" t="s">
        <v>6229</v>
      </c>
      <c r="F652" s="408" t="s">
        <v>89</v>
      </c>
      <c r="G652" s="408" t="s">
        <v>2132</v>
      </c>
      <c r="H652" s="409" t="s">
        <v>83</v>
      </c>
      <c r="I652" s="409" t="s">
        <v>66</v>
      </c>
      <c r="J652" s="411">
        <v>651.0</v>
      </c>
    </row>
    <row r="653">
      <c r="A653" s="413"/>
      <c r="B653" s="413"/>
      <c r="C653" s="414"/>
      <c r="D653" s="408" t="s">
        <v>6898</v>
      </c>
      <c r="E653" s="410" t="s">
        <v>6226</v>
      </c>
      <c r="F653" s="408" t="s">
        <v>159</v>
      </c>
      <c r="G653" s="408" t="s">
        <v>503</v>
      </c>
      <c r="H653" s="409" t="s">
        <v>255</v>
      </c>
      <c r="I653" s="409" t="s">
        <v>66</v>
      </c>
      <c r="J653" s="411">
        <v>652.0</v>
      </c>
    </row>
    <row r="654">
      <c r="A654" s="413"/>
      <c r="B654" s="413"/>
      <c r="C654" s="414"/>
      <c r="D654" s="408" t="s">
        <v>6899</v>
      </c>
      <c r="E654" s="410" t="s">
        <v>6233</v>
      </c>
      <c r="F654" s="408" t="s">
        <v>159</v>
      </c>
      <c r="G654" s="408" t="s">
        <v>218</v>
      </c>
      <c r="H654" s="409" t="s">
        <v>83</v>
      </c>
      <c r="I654" s="409" t="s">
        <v>66</v>
      </c>
      <c r="J654" s="411">
        <v>653.0</v>
      </c>
    </row>
    <row r="655">
      <c r="A655" s="413"/>
      <c r="B655" s="413"/>
      <c r="C655" s="414"/>
      <c r="D655" s="408" t="s">
        <v>6900</v>
      </c>
      <c r="E655" s="410">
        <v>-1.0</v>
      </c>
      <c r="F655" s="408" t="s">
        <v>89</v>
      </c>
      <c r="G655" s="412"/>
      <c r="H655" s="409" t="s">
        <v>83</v>
      </c>
      <c r="I655" s="409" t="s">
        <v>66</v>
      </c>
      <c r="J655" s="411">
        <v>654.0</v>
      </c>
    </row>
    <row r="656">
      <c r="A656" s="413"/>
      <c r="B656" s="413"/>
      <c r="C656" s="414"/>
      <c r="D656" s="408" t="s">
        <v>6901</v>
      </c>
      <c r="E656" s="410" t="s">
        <v>6233</v>
      </c>
      <c r="F656" s="408" t="s">
        <v>89</v>
      </c>
      <c r="G656" s="408" t="s">
        <v>1416</v>
      </c>
      <c r="H656" s="409" t="s">
        <v>83</v>
      </c>
      <c r="I656" s="409" t="s">
        <v>66</v>
      </c>
      <c r="J656" s="411">
        <v>655.0</v>
      </c>
    </row>
    <row r="657">
      <c r="A657" s="413"/>
      <c r="B657" s="413"/>
      <c r="C657" s="414"/>
      <c r="D657" s="408" t="s">
        <v>6902</v>
      </c>
      <c r="E657" s="410" t="s">
        <v>6233</v>
      </c>
      <c r="F657" s="408" t="s">
        <v>89</v>
      </c>
      <c r="G657" s="408" t="s">
        <v>218</v>
      </c>
      <c r="H657" s="409" t="s">
        <v>83</v>
      </c>
      <c r="I657" s="409" t="s">
        <v>66</v>
      </c>
      <c r="J657" s="411">
        <v>656.0</v>
      </c>
    </row>
    <row r="658">
      <c r="A658" s="413"/>
      <c r="B658" s="413"/>
      <c r="C658" s="414"/>
      <c r="D658" s="408" t="s">
        <v>6903</v>
      </c>
      <c r="E658" s="410" t="s">
        <v>6233</v>
      </c>
      <c r="F658" s="408" t="s">
        <v>89</v>
      </c>
      <c r="G658" s="408" t="s">
        <v>90</v>
      </c>
      <c r="H658" s="409" t="s">
        <v>83</v>
      </c>
      <c r="I658" s="409" t="s">
        <v>66</v>
      </c>
      <c r="J658" s="411">
        <v>657.0</v>
      </c>
    </row>
    <row r="659">
      <c r="A659" s="413"/>
      <c r="B659" s="413"/>
      <c r="C659" s="414"/>
      <c r="D659" s="408" t="s">
        <v>6904</v>
      </c>
      <c r="E659" s="410" t="s">
        <v>6233</v>
      </c>
      <c r="F659" s="408" t="s">
        <v>89</v>
      </c>
      <c r="G659" s="408" t="s">
        <v>374</v>
      </c>
      <c r="H659" s="409" t="s">
        <v>83</v>
      </c>
      <c r="I659" s="409" t="s">
        <v>66</v>
      </c>
      <c r="J659" s="411">
        <v>658.0</v>
      </c>
    </row>
    <row r="660">
      <c r="A660" s="413"/>
      <c r="B660" s="413"/>
      <c r="C660" s="414"/>
      <c r="D660" s="408" t="s">
        <v>6905</v>
      </c>
      <c r="E660" s="410" t="s">
        <v>6231</v>
      </c>
      <c r="F660" s="408" t="s">
        <v>89</v>
      </c>
      <c r="G660" s="408" t="s">
        <v>418</v>
      </c>
      <c r="H660" s="409" t="s">
        <v>103</v>
      </c>
      <c r="I660" s="409" t="s">
        <v>66</v>
      </c>
      <c r="J660" s="411">
        <v>659.0</v>
      </c>
    </row>
    <row r="661">
      <c r="A661" s="413"/>
      <c r="B661" s="413"/>
      <c r="C661" s="414"/>
      <c r="D661" s="408" t="s">
        <v>6906</v>
      </c>
      <c r="E661" s="410" t="s">
        <v>6233</v>
      </c>
      <c r="F661" s="408" t="s">
        <v>89</v>
      </c>
      <c r="G661" s="408" t="s">
        <v>467</v>
      </c>
      <c r="H661" s="409" t="s">
        <v>83</v>
      </c>
      <c r="I661" s="409" t="s">
        <v>66</v>
      </c>
      <c r="J661" s="411">
        <v>660.0</v>
      </c>
    </row>
    <row r="662">
      <c r="A662" s="413"/>
      <c r="B662" s="413"/>
      <c r="C662" s="414"/>
      <c r="D662" s="408" t="s">
        <v>6907</v>
      </c>
      <c r="E662" s="410">
        <v>-1.0</v>
      </c>
      <c r="F662" s="408" t="s">
        <v>159</v>
      </c>
      <c r="G662" s="408" t="s">
        <v>1354</v>
      </c>
      <c r="H662" s="409" t="s">
        <v>255</v>
      </c>
      <c r="I662" s="409" t="s">
        <v>66</v>
      </c>
      <c r="J662" s="411">
        <v>661.0</v>
      </c>
    </row>
    <row r="663">
      <c r="A663" s="413"/>
      <c r="B663" s="413"/>
      <c r="C663" s="414"/>
      <c r="D663" s="408" t="s">
        <v>6908</v>
      </c>
      <c r="E663" s="410" t="s">
        <v>6233</v>
      </c>
      <c r="F663" s="408" t="s">
        <v>159</v>
      </c>
      <c r="G663" s="408" t="s">
        <v>218</v>
      </c>
      <c r="H663" s="409" t="s">
        <v>255</v>
      </c>
      <c r="I663" s="409" t="s">
        <v>66</v>
      </c>
      <c r="J663" s="411">
        <v>662.0</v>
      </c>
    </row>
    <row r="664">
      <c r="A664" s="413"/>
      <c r="B664" s="413"/>
      <c r="C664" s="414"/>
      <c r="D664" s="408" t="s">
        <v>6909</v>
      </c>
      <c r="E664" s="410" t="s">
        <v>6226</v>
      </c>
      <c r="F664" s="408" t="s">
        <v>110</v>
      </c>
      <c r="G664" s="408" t="s">
        <v>1370</v>
      </c>
      <c r="H664" s="409" t="s">
        <v>83</v>
      </c>
      <c r="I664" s="409" t="s">
        <v>66</v>
      </c>
      <c r="J664" s="411">
        <v>663.0</v>
      </c>
    </row>
    <row r="665">
      <c r="A665" s="413"/>
      <c r="B665" s="413"/>
      <c r="C665" s="414"/>
      <c r="D665" s="408" t="s">
        <v>6910</v>
      </c>
      <c r="E665" s="410" t="s">
        <v>6231</v>
      </c>
      <c r="F665" s="408" t="s">
        <v>285</v>
      </c>
      <c r="G665" s="412"/>
      <c r="H665" s="409" t="s">
        <v>81</v>
      </c>
      <c r="I665" s="409" t="s">
        <v>66</v>
      </c>
      <c r="J665" s="411">
        <v>664.0</v>
      </c>
    </row>
    <row r="666">
      <c r="A666" s="407">
        <v>37.0</v>
      </c>
      <c r="B666" s="408" t="s">
        <v>196</v>
      </c>
      <c r="C666" s="409">
        <v>24.0</v>
      </c>
      <c r="D666" s="408" t="s">
        <v>6911</v>
      </c>
      <c r="E666" s="410" t="s">
        <v>6231</v>
      </c>
      <c r="F666" s="408" t="s">
        <v>285</v>
      </c>
      <c r="G666" s="412"/>
      <c r="H666" s="409" t="s">
        <v>81</v>
      </c>
      <c r="I666" s="409" t="s">
        <v>66</v>
      </c>
      <c r="J666" s="411">
        <v>665.0</v>
      </c>
    </row>
    <row r="667">
      <c r="A667" s="413"/>
      <c r="B667" s="413"/>
      <c r="C667" s="414"/>
      <c r="D667" s="408" t="s">
        <v>6912</v>
      </c>
      <c r="E667" s="410" t="s">
        <v>6231</v>
      </c>
      <c r="F667" s="408" t="s">
        <v>285</v>
      </c>
      <c r="G667" s="408" t="s">
        <v>1570</v>
      </c>
      <c r="H667" s="409" t="s">
        <v>183</v>
      </c>
      <c r="I667" s="409" t="s">
        <v>66</v>
      </c>
      <c r="J667" s="411">
        <v>666.0</v>
      </c>
    </row>
    <row r="668">
      <c r="A668" s="413"/>
      <c r="B668" s="413"/>
      <c r="C668" s="414"/>
      <c r="D668" s="408" t="s">
        <v>6913</v>
      </c>
      <c r="E668" s="410" t="s">
        <v>6231</v>
      </c>
      <c r="F668" s="408" t="s">
        <v>285</v>
      </c>
      <c r="G668" s="408" t="s">
        <v>399</v>
      </c>
      <c r="H668" s="409" t="s">
        <v>183</v>
      </c>
      <c r="I668" s="409" t="s">
        <v>66</v>
      </c>
      <c r="J668" s="411">
        <v>667.0</v>
      </c>
    </row>
    <row r="669">
      <c r="A669" s="413"/>
      <c r="B669" s="413"/>
      <c r="C669" s="414"/>
      <c r="D669" s="408" t="s">
        <v>6914</v>
      </c>
      <c r="E669" s="410" t="s">
        <v>6233</v>
      </c>
      <c r="F669" s="408" t="s">
        <v>285</v>
      </c>
      <c r="G669" s="412"/>
      <c r="H669" s="409" t="s">
        <v>81</v>
      </c>
      <c r="I669" s="409" t="s">
        <v>66</v>
      </c>
      <c r="J669" s="411">
        <v>668.0</v>
      </c>
    </row>
    <row r="670">
      <c r="A670" s="413"/>
      <c r="B670" s="413"/>
      <c r="C670" s="414"/>
      <c r="D670" s="408" t="s">
        <v>6915</v>
      </c>
      <c r="E670" s="410" t="s">
        <v>6231</v>
      </c>
      <c r="F670" s="408" t="s">
        <v>285</v>
      </c>
      <c r="G670" s="408" t="s">
        <v>2224</v>
      </c>
      <c r="H670" s="409" t="s">
        <v>81</v>
      </c>
      <c r="I670" s="409" t="s">
        <v>66</v>
      </c>
      <c r="J670" s="411">
        <v>669.0</v>
      </c>
    </row>
    <row r="671">
      <c r="A671" s="413"/>
      <c r="B671" s="413"/>
      <c r="C671" s="414"/>
      <c r="D671" s="408" t="s">
        <v>6916</v>
      </c>
      <c r="E671" s="410" t="s">
        <v>6233</v>
      </c>
      <c r="F671" s="408" t="s">
        <v>89</v>
      </c>
      <c r="G671" s="408" t="s">
        <v>218</v>
      </c>
      <c r="H671" s="409" t="s">
        <v>83</v>
      </c>
      <c r="I671" s="409" t="s">
        <v>66</v>
      </c>
      <c r="J671" s="411">
        <v>670.0</v>
      </c>
    </row>
    <row r="672">
      <c r="A672" s="413"/>
      <c r="B672" s="413"/>
      <c r="C672" s="414"/>
      <c r="D672" s="408" t="s">
        <v>6917</v>
      </c>
      <c r="E672" s="410" t="s">
        <v>6233</v>
      </c>
      <c r="F672" s="408" t="s">
        <v>89</v>
      </c>
      <c r="G672" s="408" t="s">
        <v>197</v>
      </c>
      <c r="H672" s="409" t="s">
        <v>103</v>
      </c>
      <c r="I672" s="409" t="s">
        <v>66</v>
      </c>
      <c r="J672" s="411">
        <v>671.0</v>
      </c>
    </row>
    <row r="673">
      <c r="A673" s="413"/>
      <c r="B673" s="413"/>
      <c r="C673" s="414"/>
      <c r="D673" s="408" t="s">
        <v>6918</v>
      </c>
      <c r="E673" s="410" t="s">
        <v>6231</v>
      </c>
      <c r="F673" s="408" t="s">
        <v>285</v>
      </c>
      <c r="G673" s="413"/>
      <c r="H673" s="409" t="s">
        <v>81</v>
      </c>
      <c r="I673" s="409" t="s">
        <v>66</v>
      </c>
      <c r="J673" s="411">
        <v>672.0</v>
      </c>
    </row>
    <row r="674">
      <c r="A674" s="412"/>
      <c r="B674" s="412"/>
      <c r="C674" s="415"/>
      <c r="D674" s="408" t="s">
        <v>6919</v>
      </c>
      <c r="E674" s="410" t="s">
        <v>6231</v>
      </c>
      <c r="F674" s="408" t="s">
        <v>285</v>
      </c>
      <c r="G674" s="408" t="s">
        <v>399</v>
      </c>
      <c r="H674" s="409" t="s">
        <v>81</v>
      </c>
      <c r="I674" s="409" t="s">
        <v>66</v>
      </c>
      <c r="J674" s="411">
        <v>673.0</v>
      </c>
    </row>
    <row r="675">
      <c r="A675" s="413"/>
      <c r="B675" s="413"/>
      <c r="C675" s="414"/>
      <c r="D675" s="408" t="s">
        <v>6920</v>
      </c>
      <c r="E675" s="410" t="s">
        <v>6233</v>
      </c>
      <c r="F675" s="408" t="s">
        <v>267</v>
      </c>
      <c r="G675" s="408" t="s">
        <v>309</v>
      </c>
      <c r="H675" s="409" t="s">
        <v>183</v>
      </c>
      <c r="I675" s="409" t="s">
        <v>66</v>
      </c>
      <c r="J675" s="411">
        <v>674.0</v>
      </c>
    </row>
    <row r="676">
      <c r="A676" s="413"/>
      <c r="B676" s="413"/>
      <c r="C676" s="414"/>
      <c r="D676" s="408" t="s">
        <v>6921</v>
      </c>
      <c r="E676" s="410" t="s">
        <v>6233</v>
      </c>
      <c r="F676" s="408" t="s">
        <v>285</v>
      </c>
      <c r="G676" s="412"/>
      <c r="H676" s="409" t="s">
        <v>172</v>
      </c>
      <c r="I676" s="409" t="s">
        <v>66</v>
      </c>
      <c r="J676" s="411">
        <v>675.0</v>
      </c>
    </row>
    <row r="677">
      <c r="A677" s="413"/>
      <c r="B677" s="413"/>
      <c r="C677" s="414"/>
      <c r="D677" s="408" t="s">
        <v>6922</v>
      </c>
      <c r="E677" s="410" t="s">
        <v>6233</v>
      </c>
      <c r="F677" s="408" t="s">
        <v>285</v>
      </c>
      <c r="G677" s="413"/>
      <c r="H677" s="409" t="s">
        <v>183</v>
      </c>
      <c r="I677" s="409" t="s">
        <v>66</v>
      </c>
      <c r="J677" s="411">
        <v>676.0</v>
      </c>
    </row>
    <row r="678">
      <c r="A678" s="413"/>
      <c r="B678" s="413"/>
      <c r="C678" s="414"/>
      <c r="D678" s="408" t="s">
        <v>6923</v>
      </c>
      <c r="E678" s="410" t="s">
        <v>6233</v>
      </c>
      <c r="F678" s="408" t="s">
        <v>285</v>
      </c>
      <c r="G678" s="408" t="s">
        <v>399</v>
      </c>
      <c r="H678" s="409" t="s">
        <v>308</v>
      </c>
      <c r="I678" s="409" t="s">
        <v>66</v>
      </c>
      <c r="J678" s="411">
        <v>677.0</v>
      </c>
    </row>
    <row r="679">
      <c r="A679" s="413"/>
      <c r="B679" s="413"/>
      <c r="C679" s="414"/>
      <c r="D679" s="408" t="s">
        <v>6924</v>
      </c>
      <c r="E679" s="410" t="s">
        <v>6233</v>
      </c>
      <c r="F679" s="408" t="s">
        <v>285</v>
      </c>
      <c r="G679" s="412"/>
      <c r="H679" s="409" t="s">
        <v>81</v>
      </c>
      <c r="I679" s="409" t="s">
        <v>66</v>
      </c>
      <c r="J679" s="411">
        <v>678.0</v>
      </c>
    </row>
    <row r="680">
      <c r="A680" s="413"/>
      <c r="B680" s="413"/>
      <c r="C680" s="414"/>
      <c r="D680" s="408" t="s">
        <v>6925</v>
      </c>
      <c r="E680" s="410" t="s">
        <v>6231</v>
      </c>
      <c r="F680" s="408" t="s">
        <v>285</v>
      </c>
      <c r="G680" s="412"/>
      <c r="H680" s="409" t="s">
        <v>81</v>
      </c>
      <c r="I680" s="409" t="s">
        <v>66</v>
      </c>
      <c r="J680" s="411">
        <v>679.0</v>
      </c>
    </row>
    <row r="681">
      <c r="A681" s="413"/>
      <c r="B681" s="413"/>
      <c r="C681" s="414"/>
      <c r="D681" s="408" t="s">
        <v>6926</v>
      </c>
      <c r="E681" s="410" t="s">
        <v>6231</v>
      </c>
      <c r="F681" s="408" t="s">
        <v>285</v>
      </c>
      <c r="G681" s="408" t="s">
        <v>1596</v>
      </c>
      <c r="H681" s="409" t="s">
        <v>183</v>
      </c>
      <c r="I681" s="409" t="s">
        <v>66</v>
      </c>
      <c r="J681" s="411">
        <v>680.0</v>
      </c>
    </row>
    <row r="682">
      <c r="A682" s="413"/>
      <c r="B682" s="413"/>
      <c r="C682" s="414"/>
      <c r="D682" s="408" t="s">
        <v>6927</v>
      </c>
      <c r="E682" s="410" t="s">
        <v>6231</v>
      </c>
      <c r="F682" s="408" t="s">
        <v>285</v>
      </c>
      <c r="G682" s="412"/>
      <c r="H682" s="409" t="s">
        <v>183</v>
      </c>
      <c r="I682" s="409" t="s">
        <v>66</v>
      </c>
      <c r="J682" s="411">
        <v>681.0</v>
      </c>
    </row>
    <row r="683">
      <c r="A683" s="413"/>
      <c r="B683" s="413"/>
      <c r="C683" s="414"/>
      <c r="D683" s="408" t="s">
        <v>6928</v>
      </c>
      <c r="E683" s="410" t="s">
        <v>6233</v>
      </c>
      <c r="F683" s="408" t="s">
        <v>285</v>
      </c>
      <c r="G683" s="408" t="s">
        <v>2862</v>
      </c>
      <c r="H683" s="409" t="s">
        <v>183</v>
      </c>
      <c r="I683" s="409" t="s">
        <v>66</v>
      </c>
      <c r="J683" s="411">
        <v>682.0</v>
      </c>
    </row>
    <row r="684">
      <c r="A684" s="413"/>
      <c r="B684" s="413"/>
      <c r="C684" s="414"/>
      <c r="D684" s="408" t="s">
        <v>6929</v>
      </c>
      <c r="E684" s="410" t="s">
        <v>6231</v>
      </c>
      <c r="F684" s="408" t="s">
        <v>285</v>
      </c>
      <c r="G684" s="413"/>
      <c r="H684" s="409" t="s">
        <v>297</v>
      </c>
      <c r="I684" s="409" t="s">
        <v>66</v>
      </c>
      <c r="J684" s="411">
        <v>683.0</v>
      </c>
    </row>
    <row r="685">
      <c r="A685" s="413"/>
      <c r="B685" s="413"/>
      <c r="C685" s="414"/>
      <c r="D685" s="408" t="s">
        <v>6930</v>
      </c>
      <c r="E685" s="410" t="s">
        <v>6231</v>
      </c>
      <c r="F685" s="408" t="s">
        <v>89</v>
      </c>
      <c r="G685" s="408" t="s">
        <v>207</v>
      </c>
      <c r="H685" s="409" t="s">
        <v>83</v>
      </c>
      <c r="I685" s="409" t="s">
        <v>66</v>
      </c>
      <c r="J685" s="411">
        <v>684.0</v>
      </c>
    </row>
    <row r="686">
      <c r="A686" s="413"/>
      <c r="B686" s="413"/>
      <c r="C686" s="414"/>
      <c r="D686" s="408" t="s">
        <v>6931</v>
      </c>
      <c r="E686" s="410" t="s">
        <v>6226</v>
      </c>
      <c r="F686" s="408" t="s">
        <v>89</v>
      </c>
      <c r="G686" s="408" t="s">
        <v>4556</v>
      </c>
      <c r="H686" s="409" t="s">
        <v>83</v>
      </c>
      <c r="I686" s="409" t="s">
        <v>66</v>
      </c>
      <c r="J686" s="411">
        <v>685.0</v>
      </c>
    </row>
    <row r="687">
      <c r="A687" s="413"/>
      <c r="B687" s="413"/>
      <c r="C687" s="414"/>
      <c r="D687" s="408" t="s">
        <v>6932</v>
      </c>
      <c r="E687" s="410" t="s">
        <v>6233</v>
      </c>
      <c r="F687" s="408" t="s">
        <v>267</v>
      </c>
      <c r="G687" s="408" t="s">
        <v>1655</v>
      </c>
      <c r="H687" s="409" t="s">
        <v>308</v>
      </c>
      <c r="I687" s="409" t="s">
        <v>66</v>
      </c>
      <c r="J687" s="411">
        <v>686.0</v>
      </c>
    </row>
    <row r="688">
      <c r="A688" s="413"/>
      <c r="B688" s="413"/>
      <c r="C688" s="414"/>
      <c r="D688" s="408" t="s">
        <v>6933</v>
      </c>
      <c r="E688" s="410" t="s">
        <v>6233</v>
      </c>
      <c r="F688" s="408" t="s">
        <v>285</v>
      </c>
      <c r="G688" s="413"/>
      <c r="H688" s="409" t="s">
        <v>183</v>
      </c>
      <c r="I688" s="409" t="s">
        <v>66</v>
      </c>
      <c r="J688" s="411">
        <v>687.0</v>
      </c>
    </row>
    <row r="689">
      <c r="A689" s="413"/>
      <c r="B689" s="413"/>
      <c r="C689" s="414"/>
      <c r="D689" s="408" t="s">
        <v>6934</v>
      </c>
      <c r="E689" s="410" t="s">
        <v>6231</v>
      </c>
      <c r="F689" s="408" t="s">
        <v>285</v>
      </c>
      <c r="G689" s="412"/>
      <c r="H689" s="409" t="s">
        <v>81</v>
      </c>
      <c r="I689" s="409" t="s">
        <v>66</v>
      </c>
      <c r="J689" s="411">
        <v>688.0</v>
      </c>
    </row>
    <row r="690">
      <c r="A690" s="407">
        <v>38.0</v>
      </c>
      <c r="B690" s="408" t="s">
        <v>519</v>
      </c>
      <c r="C690" s="409">
        <v>48.0</v>
      </c>
      <c r="D690" s="408" t="s">
        <v>6935</v>
      </c>
      <c r="E690" s="410" t="s">
        <v>6231</v>
      </c>
      <c r="F690" s="408" t="s">
        <v>267</v>
      </c>
      <c r="G690" s="413"/>
      <c r="H690" s="409" t="s">
        <v>77</v>
      </c>
      <c r="I690" s="409" t="s">
        <v>522</v>
      </c>
      <c r="J690" s="411">
        <v>689.0</v>
      </c>
    </row>
    <row r="691">
      <c r="A691" s="413"/>
      <c r="B691" s="413"/>
      <c r="C691" s="414"/>
      <c r="D691" s="408" t="s">
        <v>6936</v>
      </c>
      <c r="E691" s="410" t="s">
        <v>6231</v>
      </c>
      <c r="F691" s="408" t="s">
        <v>267</v>
      </c>
      <c r="G691" s="408" t="s">
        <v>3961</v>
      </c>
      <c r="H691" s="409" t="s">
        <v>77</v>
      </c>
      <c r="I691" s="409" t="s">
        <v>522</v>
      </c>
      <c r="J691" s="411">
        <v>690.0</v>
      </c>
    </row>
    <row r="692">
      <c r="A692" s="413"/>
      <c r="B692" s="413"/>
      <c r="C692" s="414"/>
      <c r="D692" s="408" t="s">
        <v>6937</v>
      </c>
      <c r="E692" s="410" t="s">
        <v>6231</v>
      </c>
      <c r="F692" s="408" t="s">
        <v>267</v>
      </c>
      <c r="G692" s="408" t="s">
        <v>6938</v>
      </c>
      <c r="H692" s="409" t="s">
        <v>77</v>
      </c>
      <c r="I692" s="409" t="s">
        <v>522</v>
      </c>
      <c r="J692" s="411">
        <v>691.0</v>
      </c>
    </row>
    <row r="693">
      <c r="A693" s="413"/>
      <c r="B693" s="413"/>
      <c r="C693" s="414"/>
      <c r="D693" s="408" t="s">
        <v>6939</v>
      </c>
      <c r="E693" s="410" t="s">
        <v>6231</v>
      </c>
      <c r="F693" s="408" t="s">
        <v>267</v>
      </c>
      <c r="G693" s="408" t="s">
        <v>752</v>
      </c>
      <c r="H693" s="409" t="s">
        <v>77</v>
      </c>
      <c r="I693" s="409" t="s">
        <v>522</v>
      </c>
      <c r="J693" s="411">
        <v>692.0</v>
      </c>
    </row>
    <row r="694">
      <c r="A694" s="413"/>
      <c r="B694" s="413"/>
      <c r="C694" s="414"/>
      <c r="D694" s="408" t="s">
        <v>6940</v>
      </c>
      <c r="E694" s="410" t="s">
        <v>6231</v>
      </c>
      <c r="F694" s="408" t="s">
        <v>267</v>
      </c>
      <c r="G694" s="408" t="s">
        <v>6941</v>
      </c>
      <c r="H694" s="409" t="s">
        <v>77</v>
      </c>
      <c r="I694" s="409" t="s">
        <v>522</v>
      </c>
      <c r="J694" s="411">
        <v>693.0</v>
      </c>
    </row>
    <row r="695">
      <c r="A695" s="413"/>
      <c r="B695" s="413"/>
      <c r="C695" s="414"/>
      <c r="D695" s="408" t="s">
        <v>6942</v>
      </c>
      <c r="E695" s="410" t="s">
        <v>6231</v>
      </c>
      <c r="F695" s="408" t="s">
        <v>267</v>
      </c>
      <c r="G695" s="408" t="s">
        <v>230</v>
      </c>
      <c r="H695" s="409" t="s">
        <v>77</v>
      </c>
      <c r="I695" s="409" t="s">
        <v>522</v>
      </c>
      <c r="J695" s="411">
        <v>694.0</v>
      </c>
    </row>
    <row r="696">
      <c r="A696" s="413"/>
      <c r="B696" s="413"/>
      <c r="C696" s="414"/>
      <c r="D696" s="408" t="s">
        <v>6943</v>
      </c>
      <c r="E696" s="410" t="s">
        <v>6231</v>
      </c>
      <c r="F696" s="408" t="s">
        <v>267</v>
      </c>
      <c r="G696" s="408" t="s">
        <v>346</v>
      </c>
      <c r="H696" s="409" t="s">
        <v>77</v>
      </c>
      <c r="I696" s="409" t="s">
        <v>522</v>
      </c>
      <c r="J696" s="411">
        <v>695.0</v>
      </c>
    </row>
    <row r="697">
      <c r="A697" s="413"/>
      <c r="B697" s="413"/>
      <c r="C697" s="414"/>
      <c r="D697" s="408" t="s">
        <v>6944</v>
      </c>
      <c r="E697" s="410" t="s">
        <v>6231</v>
      </c>
      <c r="F697" s="408" t="s">
        <v>267</v>
      </c>
      <c r="G697" s="408" t="s">
        <v>752</v>
      </c>
      <c r="H697" s="409" t="s">
        <v>77</v>
      </c>
      <c r="I697" s="409" t="s">
        <v>522</v>
      </c>
      <c r="J697" s="411">
        <v>696.0</v>
      </c>
    </row>
    <row r="698">
      <c r="A698" s="412"/>
      <c r="B698" s="412"/>
      <c r="C698" s="415"/>
      <c r="D698" s="408" t="s">
        <v>6945</v>
      </c>
      <c r="E698" s="410" t="s">
        <v>6231</v>
      </c>
      <c r="F698" s="408" t="s">
        <v>267</v>
      </c>
      <c r="G698" s="408" t="s">
        <v>374</v>
      </c>
      <c r="H698" s="409" t="s">
        <v>77</v>
      </c>
      <c r="I698" s="409" t="s">
        <v>522</v>
      </c>
      <c r="J698" s="411">
        <v>697.0</v>
      </c>
    </row>
    <row r="699">
      <c r="A699" s="413"/>
      <c r="B699" s="413"/>
      <c r="C699" s="414"/>
      <c r="D699" s="408" t="s">
        <v>6946</v>
      </c>
      <c r="E699" s="410" t="s">
        <v>6231</v>
      </c>
      <c r="F699" s="408" t="s">
        <v>267</v>
      </c>
      <c r="G699" s="408" t="s">
        <v>1071</v>
      </c>
      <c r="H699" s="409" t="s">
        <v>77</v>
      </c>
      <c r="I699" s="409" t="s">
        <v>522</v>
      </c>
      <c r="J699" s="411">
        <v>698.0</v>
      </c>
    </row>
    <row r="700">
      <c r="A700" s="413"/>
      <c r="B700" s="413"/>
      <c r="C700" s="414"/>
      <c r="D700" s="408" t="s">
        <v>6947</v>
      </c>
      <c r="E700" s="410" t="s">
        <v>6231</v>
      </c>
      <c r="F700" s="408" t="s">
        <v>267</v>
      </c>
      <c r="G700" s="408" t="s">
        <v>814</v>
      </c>
      <c r="H700" s="409" t="s">
        <v>77</v>
      </c>
      <c r="I700" s="409" t="s">
        <v>522</v>
      </c>
      <c r="J700" s="411">
        <v>699.0</v>
      </c>
    </row>
    <row r="701">
      <c r="A701" s="413"/>
      <c r="B701" s="413"/>
      <c r="C701" s="414"/>
      <c r="D701" s="408" t="s">
        <v>6948</v>
      </c>
      <c r="E701" s="410" t="s">
        <v>6231</v>
      </c>
      <c r="F701" s="408" t="s">
        <v>267</v>
      </c>
      <c r="G701" s="408" t="s">
        <v>346</v>
      </c>
      <c r="H701" s="409" t="s">
        <v>77</v>
      </c>
      <c r="I701" s="409" t="s">
        <v>522</v>
      </c>
      <c r="J701" s="411">
        <v>700.0</v>
      </c>
    </row>
    <row r="702">
      <c r="A702" s="413"/>
      <c r="B702" s="413"/>
      <c r="C702" s="414"/>
      <c r="D702" s="408" t="s">
        <v>6949</v>
      </c>
      <c r="E702" s="410" t="s">
        <v>6231</v>
      </c>
      <c r="F702" s="408" t="s">
        <v>267</v>
      </c>
      <c r="G702" s="408" t="s">
        <v>1773</v>
      </c>
      <c r="H702" s="409" t="s">
        <v>77</v>
      </c>
      <c r="I702" s="409" t="s">
        <v>522</v>
      </c>
      <c r="J702" s="411">
        <v>701.0</v>
      </c>
    </row>
    <row r="703">
      <c r="A703" s="413"/>
      <c r="B703" s="413"/>
      <c r="C703" s="414"/>
      <c r="D703" s="408" t="s">
        <v>6950</v>
      </c>
      <c r="E703" s="410" t="s">
        <v>6231</v>
      </c>
      <c r="F703" s="408" t="s">
        <v>267</v>
      </c>
      <c r="G703" s="408" t="s">
        <v>6951</v>
      </c>
      <c r="H703" s="409" t="s">
        <v>77</v>
      </c>
      <c r="I703" s="409" t="s">
        <v>522</v>
      </c>
      <c r="J703" s="411">
        <v>702.0</v>
      </c>
    </row>
    <row r="704">
      <c r="A704" s="413"/>
      <c r="B704" s="413"/>
      <c r="C704" s="414"/>
      <c r="D704" s="408" t="s">
        <v>6952</v>
      </c>
      <c r="E704" s="410" t="s">
        <v>6231</v>
      </c>
      <c r="F704" s="408" t="s">
        <v>267</v>
      </c>
      <c r="G704" s="408" t="s">
        <v>5413</v>
      </c>
      <c r="H704" s="409" t="s">
        <v>77</v>
      </c>
      <c r="I704" s="409" t="s">
        <v>522</v>
      </c>
      <c r="J704" s="411">
        <v>703.0</v>
      </c>
    </row>
    <row r="705">
      <c r="A705" s="413"/>
      <c r="B705" s="413"/>
      <c r="C705" s="414"/>
      <c r="D705" s="408" t="s">
        <v>6953</v>
      </c>
      <c r="E705" s="410" t="s">
        <v>6231</v>
      </c>
      <c r="F705" s="408" t="s">
        <v>267</v>
      </c>
      <c r="G705" s="408" t="s">
        <v>4100</v>
      </c>
      <c r="H705" s="409" t="s">
        <v>77</v>
      </c>
      <c r="I705" s="409" t="s">
        <v>522</v>
      </c>
      <c r="J705" s="411">
        <v>704.0</v>
      </c>
    </row>
    <row r="706">
      <c r="A706" s="413"/>
      <c r="B706" s="413"/>
      <c r="C706" s="414"/>
      <c r="D706" s="408" t="s">
        <v>6954</v>
      </c>
      <c r="E706" s="410" t="s">
        <v>6231</v>
      </c>
      <c r="F706" s="408" t="s">
        <v>267</v>
      </c>
      <c r="G706" s="408" t="s">
        <v>855</v>
      </c>
      <c r="H706" s="409" t="s">
        <v>77</v>
      </c>
      <c r="I706" s="409" t="s">
        <v>522</v>
      </c>
      <c r="J706" s="411">
        <v>705.0</v>
      </c>
    </row>
    <row r="707">
      <c r="A707" s="413"/>
      <c r="B707" s="413"/>
      <c r="C707" s="414"/>
      <c r="D707" s="408" t="s">
        <v>6955</v>
      </c>
      <c r="E707" s="410" t="s">
        <v>6231</v>
      </c>
      <c r="F707" s="408" t="s">
        <v>267</v>
      </c>
      <c r="G707" s="408" t="s">
        <v>752</v>
      </c>
      <c r="H707" s="409" t="s">
        <v>77</v>
      </c>
      <c r="I707" s="409" t="s">
        <v>522</v>
      </c>
      <c r="J707" s="411">
        <v>706.0</v>
      </c>
    </row>
    <row r="708">
      <c r="A708" s="413"/>
      <c r="B708" s="413"/>
      <c r="C708" s="414"/>
      <c r="D708" s="408" t="s">
        <v>6956</v>
      </c>
      <c r="E708" s="410" t="s">
        <v>6231</v>
      </c>
      <c r="F708" s="408" t="s">
        <v>267</v>
      </c>
      <c r="G708" s="408" t="s">
        <v>5057</v>
      </c>
      <c r="H708" s="409" t="s">
        <v>77</v>
      </c>
      <c r="I708" s="409" t="s">
        <v>522</v>
      </c>
      <c r="J708" s="411">
        <v>707.0</v>
      </c>
    </row>
    <row r="709">
      <c r="A709" s="413"/>
      <c r="B709" s="413"/>
      <c r="C709" s="414"/>
      <c r="D709" s="408" t="s">
        <v>6957</v>
      </c>
      <c r="E709" s="410" t="s">
        <v>6231</v>
      </c>
      <c r="F709" s="408" t="s">
        <v>267</v>
      </c>
      <c r="G709" s="408" t="s">
        <v>4039</v>
      </c>
      <c r="H709" s="409" t="s">
        <v>77</v>
      </c>
      <c r="I709" s="409" t="s">
        <v>522</v>
      </c>
      <c r="J709" s="411">
        <v>708.0</v>
      </c>
    </row>
    <row r="710">
      <c r="A710" s="413"/>
      <c r="B710" s="413"/>
      <c r="C710" s="414"/>
      <c r="D710" s="408" t="s">
        <v>6958</v>
      </c>
      <c r="E710" s="410" t="s">
        <v>6231</v>
      </c>
      <c r="F710" s="408" t="s">
        <v>267</v>
      </c>
      <c r="G710" s="408" t="s">
        <v>346</v>
      </c>
      <c r="H710" s="409" t="s">
        <v>77</v>
      </c>
      <c r="I710" s="409" t="s">
        <v>522</v>
      </c>
      <c r="J710" s="411">
        <v>709.0</v>
      </c>
    </row>
    <row r="711">
      <c r="A711" s="413"/>
      <c r="B711" s="413"/>
      <c r="C711" s="414"/>
      <c r="D711" s="408" t="s">
        <v>6959</v>
      </c>
      <c r="E711" s="410" t="s">
        <v>6231</v>
      </c>
      <c r="F711" s="408" t="s">
        <v>267</v>
      </c>
      <c r="G711" s="408" t="s">
        <v>5430</v>
      </c>
      <c r="H711" s="409" t="s">
        <v>77</v>
      </c>
      <c r="I711" s="409" t="s">
        <v>522</v>
      </c>
      <c r="J711" s="411">
        <v>710.0</v>
      </c>
    </row>
    <row r="712">
      <c r="A712" s="413"/>
      <c r="B712" s="413"/>
      <c r="C712" s="414"/>
      <c r="D712" s="408" t="s">
        <v>6960</v>
      </c>
      <c r="E712" s="410" t="s">
        <v>6231</v>
      </c>
      <c r="F712" s="408" t="s">
        <v>267</v>
      </c>
      <c r="G712" s="408" t="s">
        <v>4076</v>
      </c>
      <c r="H712" s="409" t="s">
        <v>77</v>
      </c>
      <c r="I712" s="409" t="s">
        <v>522</v>
      </c>
      <c r="J712" s="411">
        <v>711.0</v>
      </c>
    </row>
    <row r="713">
      <c r="A713" s="413"/>
      <c r="B713" s="413"/>
      <c r="C713" s="414"/>
      <c r="D713" s="408" t="s">
        <v>6961</v>
      </c>
      <c r="E713" s="410" t="s">
        <v>6231</v>
      </c>
      <c r="F713" s="408" t="s">
        <v>267</v>
      </c>
      <c r="G713" s="408" t="s">
        <v>6962</v>
      </c>
      <c r="H713" s="409" t="s">
        <v>77</v>
      </c>
      <c r="I713" s="409" t="s">
        <v>522</v>
      </c>
      <c r="J713" s="411">
        <v>712.0</v>
      </c>
    </row>
    <row r="714">
      <c r="A714" s="413"/>
      <c r="B714" s="413"/>
      <c r="C714" s="414"/>
      <c r="D714" s="408" t="s">
        <v>6963</v>
      </c>
      <c r="E714" s="410" t="s">
        <v>6231</v>
      </c>
      <c r="F714" s="408" t="s">
        <v>267</v>
      </c>
      <c r="G714" s="408" t="s">
        <v>6964</v>
      </c>
      <c r="H714" s="409" t="s">
        <v>77</v>
      </c>
      <c r="I714" s="409" t="s">
        <v>522</v>
      </c>
      <c r="J714" s="411">
        <v>713.0</v>
      </c>
    </row>
    <row r="715">
      <c r="A715" s="413"/>
      <c r="B715" s="413"/>
      <c r="C715" s="414"/>
      <c r="D715" s="408" t="s">
        <v>6965</v>
      </c>
      <c r="E715" s="410" t="s">
        <v>6231</v>
      </c>
      <c r="F715" s="408" t="s">
        <v>267</v>
      </c>
      <c r="G715" s="408" t="s">
        <v>4100</v>
      </c>
      <c r="H715" s="409" t="s">
        <v>77</v>
      </c>
      <c r="I715" s="409" t="s">
        <v>522</v>
      </c>
      <c r="J715" s="411">
        <v>714.0</v>
      </c>
    </row>
    <row r="716">
      <c r="A716" s="413"/>
      <c r="B716" s="413"/>
      <c r="C716" s="414"/>
      <c r="D716" s="408" t="s">
        <v>6966</v>
      </c>
      <c r="E716" s="410" t="s">
        <v>6231</v>
      </c>
      <c r="F716" s="408" t="s">
        <v>267</v>
      </c>
      <c r="G716" s="412"/>
      <c r="H716" s="409" t="s">
        <v>77</v>
      </c>
      <c r="I716" s="409" t="s">
        <v>522</v>
      </c>
      <c r="J716" s="411">
        <v>715.0</v>
      </c>
    </row>
    <row r="717">
      <c r="A717" s="413"/>
      <c r="B717" s="413"/>
      <c r="C717" s="414"/>
      <c r="D717" s="408" t="s">
        <v>6967</v>
      </c>
      <c r="E717" s="410" t="s">
        <v>6231</v>
      </c>
      <c r="F717" s="408" t="s">
        <v>267</v>
      </c>
      <c r="G717" s="408" t="s">
        <v>752</v>
      </c>
      <c r="H717" s="409" t="s">
        <v>77</v>
      </c>
      <c r="I717" s="409" t="s">
        <v>522</v>
      </c>
      <c r="J717" s="411">
        <v>716.0</v>
      </c>
    </row>
    <row r="718">
      <c r="A718" s="413"/>
      <c r="B718" s="413"/>
      <c r="C718" s="414"/>
      <c r="D718" s="408" t="s">
        <v>6968</v>
      </c>
      <c r="E718" s="410" t="s">
        <v>6231</v>
      </c>
      <c r="F718" s="408" t="s">
        <v>89</v>
      </c>
      <c r="G718" s="408" t="s">
        <v>5490</v>
      </c>
      <c r="H718" s="409" t="s">
        <v>77</v>
      </c>
      <c r="I718" s="409" t="s">
        <v>522</v>
      </c>
      <c r="J718" s="411">
        <v>717.0</v>
      </c>
    </row>
    <row r="719">
      <c r="A719" s="413"/>
      <c r="B719" s="413"/>
      <c r="C719" s="414"/>
      <c r="D719" s="408" t="s">
        <v>6969</v>
      </c>
      <c r="E719" s="410" t="s">
        <v>6231</v>
      </c>
      <c r="F719" s="408" t="s">
        <v>267</v>
      </c>
      <c r="G719" s="408" t="s">
        <v>1071</v>
      </c>
      <c r="H719" s="409" t="s">
        <v>77</v>
      </c>
      <c r="I719" s="409" t="s">
        <v>522</v>
      </c>
      <c r="J719" s="411">
        <v>718.0</v>
      </c>
    </row>
    <row r="720">
      <c r="A720" s="413"/>
      <c r="B720" s="413"/>
      <c r="C720" s="414"/>
      <c r="D720" s="408" t="s">
        <v>6970</v>
      </c>
      <c r="E720" s="410" t="s">
        <v>6231</v>
      </c>
      <c r="F720" s="408" t="s">
        <v>267</v>
      </c>
      <c r="G720" s="412"/>
      <c r="H720" s="409" t="s">
        <v>77</v>
      </c>
      <c r="I720" s="409" t="s">
        <v>522</v>
      </c>
      <c r="J720" s="411">
        <v>719.0</v>
      </c>
    </row>
    <row r="721">
      <c r="A721" s="413"/>
      <c r="B721" s="413"/>
      <c r="C721" s="414"/>
      <c r="D721" s="408" t="s">
        <v>6971</v>
      </c>
      <c r="E721" s="410" t="s">
        <v>6231</v>
      </c>
      <c r="F721" s="408" t="s">
        <v>267</v>
      </c>
      <c r="G721" s="408" t="s">
        <v>230</v>
      </c>
      <c r="H721" s="409" t="s">
        <v>77</v>
      </c>
      <c r="I721" s="409" t="s">
        <v>522</v>
      </c>
      <c r="J721" s="411">
        <v>720.0</v>
      </c>
    </row>
    <row r="722">
      <c r="A722" s="413"/>
      <c r="B722" s="413"/>
      <c r="C722" s="414"/>
      <c r="D722" s="408" t="s">
        <v>6972</v>
      </c>
      <c r="E722" s="410" t="s">
        <v>6231</v>
      </c>
      <c r="F722" s="408" t="s">
        <v>267</v>
      </c>
      <c r="G722" s="408" t="s">
        <v>752</v>
      </c>
      <c r="H722" s="409" t="s">
        <v>77</v>
      </c>
      <c r="I722" s="409" t="s">
        <v>522</v>
      </c>
      <c r="J722" s="411">
        <v>721.0</v>
      </c>
    </row>
    <row r="723">
      <c r="A723" s="413"/>
      <c r="B723" s="413"/>
      <c r="C723" s="414"/>
      <c r="D723" s="408" t="s">
        <v>6973</v>
      </c>
      <c r="E723" s="410" t="s">
        <v>6231</v>
      </c>
      <c r="F723" s="408" t="s">
        <v>267</v>
      </c>
      <c r="G723" s="408" t="s">
        <v>6974</v>
      </c>
      <c r="H723" s="409" t="s">
        <v>77</v>
      </c>
      <c r="I723" s="409" t="s">
        <v>522</v>
      </c>
      <c r="J723" s="411">
        <v>722.0</v>
      </c>
    </row>
    <row r="724">
      <c r="A724" s="413"/>
      <c r="B724" s="413"/>
      <c r="C724" s="414"/>
      <c r="D724" s="408" t="s">
        <v>6975</v>
      </c>
      <c r="E724" s="410" t="s">
        <v>6231</v>
      </c>
      <c r="F724" s="408" t="s">
        <v>267</v>
      </c>
      <c r="G724" s="413"/>
      <c r="H724" s="409" t="s">
        <v>77</v>
      </c>
      <c r="I724" s="409" t="s">
        <v>522</v>
      </c>
      <c r="J724" s="411">
        <v>723.0</v>
      </c>
    </row>
    <row r="725">
      <c r="A725" s="413"/>
      <c r="B725" s="413"/>
      <c r="C725" s="414"/>
      <c r="D725" s="408" t="s">
        <v>6976</v>
      </c>
      <c r="E725" s="410" t="s">
        <v>6231</v>
      </c>
      <c r="F725" s="408" t="s">
        <v>267</v>
      </c>
      <c r="G725" s="408" t="s">
        <v>3932</v>
      </c>
      <c r="H725" s="409" t="s">
        <v>77</v>
      </c>
      <c r="I725" s="409" t="s">
        <v>522</v>
      </c>
      <c r="J725" s="411">
        <v>724.0</v>
      </c>
    </row>
    <row r="726">
      <c r="A726" s="413"/>
      <c r="B726" s="413"/>
      <c r="C726" s="414"/>
      <c r="D726" s="408" t="s">
        <v>6977</v>
      </c>
      <c r="E726" s="410" t="s">
        <v>6231</v>
      </c>
      <c r="F726" s="408" t="s">
        <v>267</v>
      </c>
      <c r="G726" s="408" t="s">
        <v>5820</v>
      </c>
      <c r="H726" s="409" t="s">
        <v>77</v>
      </c>
      <c r="I726" s="409" t="s">
        <v>522</v>
      </c>
      <c r="J726" s="411">
        <v>725.0</v>
      </c>
    </row>
    <row r="727">
      <c r="A727" s="413"/>
      <c r="B727" s="413"/>
      <c r="C727" s="414"/>
      <c r="D727" s="408" t="s">
        <v>6978</v>
      </c>
      <c r="E727" s="410" t="s">
        <v>6231</v>
      </c>
      <c r="F727" s="408" t="s">
        <v>267</v>
      </c>
      <c r="G727" s="408" t="s">
        <v>6979</v>
      </c>
      <c r="H727" s="409" t="s">
        <v>77</v>
      </c>
      <c r="I727" s="409" t="s">
        <v>522</v>
      </c>
      <c r="J727" s="411">
        <v>726.0</v>
      </c>
    </row>
    <row r="728">
      <c r="A728" s="413"/>
      <c r="B728" s="413"/>
      <c r="C728" s="414"/>
      <c r="D728" s="408" t="s">
        <v>6980</v>
      </c>
      <c r="E728" s="410" t="s">
        <v>6231</v>
      </c>
      <c r="F728" s="408" t="s">
        <v>267</v>
      </c>
      <c r="G728" s="408" t="s">
        <v>4798</v>
      </c>
      <c r="H728" s="409" t="s">
        <v>77</v>
      </c>
      <c r="I728" s="409" t="s">
        <v>522</v>
      </c>
      <c r="J728" s="411">
        <v>727.0</v>
      </c>
    </row>
    <row r="729">
      <c r="A729" s="413"/>
      <c r="B729" s="413"/>
      <c r="C729" s="414"/>
      <c r="D729" s="408" t="s">
        <v>6981</v>
      </c>
      <c r="E729" s="410" t="s">
        <v>6231</v>
      </c>
      <c r="F729" s="408" t="s">
        <v>267</v>
      </c>
      <c r="G729" s="408" t="s">
        <v>374</v>
      </c>
      <c r="H729" s="409" t="s">
        <v>77</v>
      </c>
      <c r="I729" s="409" t="s">
        <v>522</v>
      </c>
      <c r="J729" s="411">
        <v>728.0</v>
      </c>
    </row>
    <row r="730">
      <c r="A730" s="413"/>
      <c r="B730" s="413"/>
      <c r="C730" s="414"/>
      <c r="D730" s="408" t="s">
        <v>6982</v>
      </c>
      <c r="E730" s="410" t="s">
        <v>6231</v>
      </c>
      <c r="F730" s="408" t="s">
        <v>267</v>
      </c>
      <c r="G730" s="408" t="s">
        <v>5831</v>
      </c>
      <c r="H730" s="409" t="s">
        <v>77</v>
      </c>
      <c r="I730" s="409" t="s">
        <v>522</v>
      </c>
      <c r="J730" s="411">
        <v>729.0</v>
      </c>
    </row>
    <row r="731">
      <c r="A731" s="413"/>
      <c r="B731" s="413"/>
      <c r="C731" s="414"/>
      <c r="D731" s="408" t="s">
        <v>6983</v>
      </c>
      <c r="E731" s="410" t="s">
        <v>6231</v>
      </c>
      <c r="F731" s="408" t="s">
        <v>267</v>
      </c>
      <c r="G731" s="408" t="s">
        <v>418</v>
      </c>
      <c r="H731" s="409" t="s">
        <v>77</v>
      </c>
      <c r="I731" s="409" t="s">
        <v>522</v>
      </c>
      <c r="J731" s="411">
        <v>730.0</v>
      </c>
    </row>
    <row r="732">
      <c r="A732" s="413"/>
      <c r="B732" s="413"/>
      <c r="C732" s="414"/>
      <c r="D732" s="408" t="s">
        <v>6984</v>
      </c>
      <c r="E732" s="410" t="s">
        <v>6231</v>
      </c>
      <c r="F732" s="408" t="s">
        <v>267</v>
      </c>
      <c r="G732" s="408" t="s">
        <v>5566</v>
      </c>
      <c r="H732" s="409" t="s">
        <v>77</v>
      </c>
      <c r="I732" s="409" t="s">
        <v>522</v>
      </c>
      <c r="J732" s="411">
        <v>731.0</v>
      </c>
    </row>
    <row r="733">
      <c r="A733" s="413"/>
      <c r="B733" s="413"/>
      <c r="C733" s="414"/>
      <c r="D733" s="408" t="s">
        <v>6985</v>
      </c>
      <c r="E733" s="410" t="s">
        <v>6231</v>
      </c>
      <c r="F733" s="408" t="s">
        <v>267</v>
      </c>
      <c r="G733" s="408" t="s">
        <v>6986</v>
      </c>
      <c r="H733" s="409" t="s">
        <v>77</v>
      </c>
      <c r="I733" s="409" t="s">
        <v>522</v>
      </c>
      <c r="J733" s="411">
        <v>732.0</v>
      </c>
    </row>
    <row r="734">
      <c r="A734" s="413"/>
      <c r="B734" s="413"/>
      <c r="C734" s="414"/>
      <c r="D734" s="408" t="s">
        <v>6987</v>
      </c>
      <c r="E734" s="410" t="s">
        <v>6231</v>
      </c>
      <c r="F734" s="408" t="s">
        <v>267</v>
      </c>
      <c r="G734" s="408" t="s">
        <v>346</v>
      </c>
      <c r="H734" s="409" t="s">
        <v>77</v>
      </c>
      <c r="I734" s="409" t="s">
        <v>522</v>
      </c>
      <c r="J734" s="411">
        <v>733.0</v>
      </c>
    </row>
    <row r="735">
      <c r="A735" s="413"/>
      <c r="B735" s="413"/>
      <c r="C735" s="414"/>
      <c r="D735" s="408" t="s">
        <v>6988</v>
      </c>
      <c r="E735" s="410" t="s">
        <v>6231</v>
      </c>
      <c r="F735" s="408" t="s">
        <v>267</v>
      </c>
      <c r="G735" s="408" t="s">
        <v>4416</v>
      </c>
      <c r="H735" s="409" t="s">
        <v>77</v>
      </c>
      <c r="I735" s="409" t="s">
        <v>522</v>
      </c>
      <c r="J735" s="411">
        <v>734.0</v>
      </c>
    </row>
    <row r="736">
      <c r="A736" s="413"/>
      <c r="B736" s="413"/>
      <c r="C736" s="414"/>
      <c r="D736" s="408" t="s">
        <v>6989</v>
      </c>
      <c r="E736" s="410" t="s">
        <v>6231</v>
      </c>
      <c r="F736" s="408" t="s">
        <v>267</v>
      </c>
      <c r="G736" s="408" t="s">
        <v>6964</v>
      </c>
      <c r="H736" s="409" t="s">
        <v>77</v>
      </c>
      <c r="I736" s="409" t="s">
        <v>522</v>
      </c>
      <c r="J736" s="411">
        <v>735.0</v>
      </c>
    </row>
    <row r="737">
      <c r="A737" s="413"/>
      <c r="B737" s="413"/>
      <c r="C737" s="414"/>
      <c r="D737" s="408" t="s">
        <v>6990</v>
      </c>
      <c r="E737" s="410" t="s">
        <v>6231</v>
      </c>
      <c r="F737" s="408" t="s">
        <v>267</v>
      </c>
      <c r="G737" s="408" t="s">
        <v>6991</v>
      </c>
      <c r="H737" s="409" t="s">
        <v>77</v>
      </c>
      <c r="I737" s="409" t="s">
        <v>522</v>
      </c>
      <c r="J737" s="411">
        <v>736.0</v>
      </c>
    </row>
    <row r="738">
      <c r="A738" s="407">
        <v>39.0</v>
      </c>
      <c r="B738" s="408" t="s">
        <v>660</v>
      </c>
      <c r="C738" s="409">
        <v>4.0</v>
      </c>
      <c r="D738" s="408" t="s">
        <v>6992</v>
      </c>
      <c r="E738" s="410" t="s">
        <v>6231</v>
      </c>
      <c r="F738" s="408" t="s">
        <v>600</v>
      </c>
      <c r="G738" s="408" t="s">
        <v>77</v>
      </c>
      <c r="H738" s="409" t="s">
        <v>77</v>
      </c>
      <c r="I738" s="409" t="s">
        <v>522</v>
      </c>
      <c r="J738" s="411">
        <v>737.0</v>
      </c>
    </row>
    <row r="739">
      <c r="A739" s="413"/>
      <c r="B739" s="413"/>
      <c r="C739" s="414"/>
      <c r="D739" s="408" t="s">
        <v>6993</v>
      </c>
      <c r="E739" s="410" t="s">
        <v>6231</v>
      </c>
      <c r="F739" s="408" t="s">
        <v>847</v>
      </c>
      <c r="G739" s="412"/>
      <c r="H739" s="409" t="s">
        <v>77</v>
      </c>
      <c r="I739" s="409" t="s">
        <v>522</v>
      </c>
      <c r="J739" s="411">
        <v>738.0</v>
      </c>
    </row>
    <row r="740">
      <c r="A740" s="413"/>
      <c r="B740" s="413"/>
      <c r="C740" s="414"/>
      <c r="D740" s="408" t="s">
        <v>6994</v>
      </c>
      <c r="E740" s="410" t="s">
        <v>6231</v>
      </c>
      <c r="F740" s="408" t="s">
        <v>847</v>
      </c>
      <c r="G740" s="408" t="s">
        <v>77</v>
      </c>
      <c r="H740" s="409" t="s">
        <v>77</v>
      </c>
      <c r="I740" s="409" t="s">
        <v>522</v>
      </c>
      <c r="J740" s="411">
        <v>739.0</v>
      </c>
    </row>
    <row r="741">
      <c r="A741" s="413"/>
      <c r="B741" s="413"/>
      <c r="C741" s="414"/>
      <c r="D741" s="408" t="s">
        <v>6995</v>
      </c>
      <c r="E741" s="410" t="s">
        <v>6231</v>
      </c>
      <c r="F741" s="408" t="s">
        <v>600</v>
      </c>
      <c r="G741" s="408" t="s">
        <v>77</v>
      </c>
      <c r="H741" s="409" t="s">
        <v>77</v>
      </c>
      <c r="I741" s="409" t="s">
        <v>522</v>
      </c>
      <c r="J741" s="411">
        <v>740.0</v>
      </c>
    </row>
    <row r="742">
      <c r="A742" s="407">
        <v>40.0</v>
      </c>
      <c r="B742" s="408" t="s">
        <v>229</v>
      </c>
      <c r="C742" s="409">
        <v>101.0</v>
      </c>
      <c r="D742" s="408" t="s">
        <v>6996</v>
      </c>
      <c r="E742" s="410" t="s">
        <v>6231</v>
      </c>
      <c r="F742" s="408" t="s">
        <v>159</v>
      </c>
      <c r="G742" s="408" t="s">
        <v>2778</v>
      </c>
      <c r="H742" s="409" t="s">
        <v>103</v>
      </c>
      <c r="I742" s="409" t="s">
        <v>66</v>
      </c>
      <c r="J742" s="411">
        <v>741.0</v>
      </c>
    </row>
    <row r="743">
      <c r="A743" s="413"/>
      <c r="B743" s="413"/>
      <c r="C743" s="414"/>
      <c r="D743" s="408" t="s">
        <v>6997</v>
      </c>
      <c r="E743" s="410" t="s">
        <v>6233</v>
      </c>
      <c r="F743" s="408" t="s">
        <v>89</v>
      </c>
      <c r="G743" s="408" t="s">
        <v>2731</v>
      </c>
      <c r="H743" s="409" t="s">
        <v>83</v>
      </c>
      <c r="I743" s="409" t="s">
        <v>66</v>
      </c>
      <c r="J743" s="411">
        <v>742.0</v>
      </c>
    </row>
    <row r="744">
      <c r="A744" s="413"/>
      <c r="B744" s="413"/>
      <c r="C744" s="414"/>
      <c r="D744" s="408" t="s">
        <v>6998</v>
      </c>
      <c r="E744" s="410" t="s">
        <v>6231</v>
      </c>
      <c r="F744" s="408" t="s">
        <v>89</v>
      </c>
      <c r="G744" s="408" t="s">
        <v>1214</v>
      </c>
      <c r="H744" s="409" t="s">
        <v>103</v>
      </c>
      <c r="I744" s="409" t="s">
        <v>66</v>
      </c>
      <c r="J744" s="411">
        <v>743.0</v>
      </c>
    </row>
    <row r="745">
      <c r="A745" s="413"/>
      <c r="B745" s="413"/>
      <c r="C745" s="414"/>
      <c r="D745" s="408" t="s">
        <v>6999</v>
      </c>
      <c r="E745" s="410" t="s">
        <v>6229</v>
      </c>
      <c r="F745" s="408" t="s">
        <v>159</v>
      </c>
      <c r="G745" s="408" t="s">
        <v>1346</v>
      </c>
      <c r="H745" s="409" t="s">
        <v>255</v>
      </c>
      <c r="I745" s="409" t="s">
        <v>66</v>
      </c>
      <c r="J745" s="411">
        <v>744.0</v>
      </c>
    </row>
    <row r="746">
      <c r="A746" s="412"/>
      <c r="B746" s="412"/>
      <c r="C746" s="415"/>
      <c r="D746" s="408" t="s">
        <v>7000</v>
      </c>
      <c r="E746" s="410" t="s">
        <v>6233</v>
      </c>
      <c r="F746" s="408" t="s">
        <v>89</v>
      </c>
      <c r="G746" s="408" t="s">
        <v>2063</v>
      </c>
      <c r="H746" s="409" t="s">
        <v>83</v>
      </c>
      <c r="I746" s="409" t="s">
        <v>66</v>
      </c>
      <c r="J746" s="411">
        <v>745.0</v>
      </c>
    </row>
    <row r="747">
      <c r="A747" s="413"/>
      <c r="B747" s="413"/>
      <c r="C747" s="414"/>
      <c r="D747" s="408" t="s">
        <v>7001</v>
      </c>
      <c r="E747" s="410" t="s">
        <v>6233</v>
      </c>
      <c r="F747" s="408" t="s">
        <v>89</v>
      </c>
      <c r="G747" s="408" t="s">
        <v>90</v>
      </c>
      <c r="H747" s="409" t="s">
        <v>103</v>
      </c>
      <c r="I747" s="409" t="s">
        <v>66</v>
      </c>
      <c r="J747" s="411">
        <v>746.0</v>
      </c>
    </row>
    <row r="748">
      <c r="A748" s="413"/>
      <c r="B748" s="413"/>
      <c r="C748" s="414"/>
      <c r="D748" s="408" t="s">
        <v>7002</v>
      </c>
      <c r="E748" s="410" t="s">
        <v>6229</v>
      </c>
      <c r="F748" s="408" t="s">
        <v>159</v>
      </c>
      <c r="G748" s="408" t="s">
        <v>2096</v>
      </c>
      <c r="H748" s="409" t="s">
        <v>83</v>
      </c>
      <c r="I748" s="409" t="s">
        <v>66</v>
      </c>
      <c r="J748" s="411">
        <v>747.0</v>
      </c>
    </row>
    <row r="749">
      <c r="A749" s="413"/>
      <c r="B749" s="413"/>
      <c r="C749" s="414"/>
      <c r="D749" s="408" t="s">
        <v>7003</v>
      </c>
      <c r="E749" s="410" t="s">
        <v>6226</v>
      </c>
      <c r="F749" s="408" t="s">
        <v>89</v>
      </c>
      <c r="G749" s="408" t="s">
        <v>2710</v>
      </c>
      <c r="H749" s="409" t="s">
        <v>83</v>
      </c>
      <c r="I749" s="409" t="s">
        <v>66</v>
      </c>
      <c r="J749" s="411">
        <v>748.0</v>
      </c>
    </row>
    <row r="750">
      <c r="A750" s="412"/>
      <c r="B750" s="412"/>
      <c r="C750" s="415"/>
      <c r="D750" s="408" t="s">
        <v>7004</v>
      </c>
      <c r="E750" s="410" t="s">
        <v>6231</v>
      </c>
      <c r="F750" s="408" t="s">
        <v>89</v>
      </c>
      <c r="G750" s="408" t="s">
        <v>218</v>
      </c>
      <c r="H750" s="409" t="s">
        <v>83</v>
      </c>
      <c r="I750" s="409" t="s">
        <v>66</v>
      </c>
      <c r="J750" s="411">
        <v>749.0</v>
      </c>
    </row>
    <row r="751">
      <c r="A751" s="413"/>
      <c r="B751" s="413"/>
      <c r="C751" s="414"/>
      <c r="D751" s="408" t="s">
        <v>7005</v>
      </c>
      <c r="E751" s="410" t="s">
        <v>6231</v>
      </c>
      <c r="F751" s="408" t="s">
        <v>267</v>
      </c>
      <c r="G751" s="408" t="s">
        <v>230</v>
      </c>
      <c r="H751" s="409" t="s">
        <v>183</v>
      </c>
      <c r="I751" s="409" t="s">
        <v>66</v>
      </c>
      <c r="J751" s="411">
        <v>750.0</v>
      </c>
    </row>
    <row r="752">
      <c r="A752" s="413"/>
      <c r="B752" s="413"/>
      <c r="C752" s="414"/>
      <c r="D752" s="408" t="s">
        <v>7006</v>
      </c>
      <c r="E752" s="410" t="s">
        <v>6233</v>
      </c>
      <c r="F752" s="408" t="s">
        <v>89</v>
      </c>
      <c r="G752" s="408" t="s">
        <v>2016</v>
      </c>
      <c r="H752" s="409" t="s">
        <v>103</v>
      </c>
      <c r="I752" s="409" t="s">
        <v>66</v>
      </c>
      <c r="J752" s="411">
        <v>751.0</v>
      </c>
    </row>
    <row r="753">
      <c r="A753" s="413"/>
      <c r="B753" s="413"/>
      <c r="C753" s="414"/>
      <c r="D753" s="408" t="s">
        <v>7007</v>
      </c>
      <c r="E753" s="410" t="s">
        <v>6244</v>
      </c>
      <c r="F753" s="408" t="s">
        <v>159</v>
      </c>
      <c r="G753" s="408" t="s">
        <v>1354</v>
      </c>
      <c r="H753" s="409" t="s">
        <v>255</v>
      </c>
      <c r="I753" s="409" t="s">
        <v>66</v>
      </c>
      <c r="J753" s="411">
        <v>752.0</v>
      </c>
    </row>
    <row r="754">
      <c r="A754" s="413"/>
      <c r="B754" s="413"/>
      <c r="C754" s="414"/>
      <c r="D754" s="408" t="s">
        <v>7008</v>
      </c>
      <c r="E754" s="410" t="s">
        <v>6231</v>
      </c>
      <c r="F754" s="408" t="s">
        <v>89</v>
      </c>
      <c r="G754" s="408" t="s">
        <v>90</v>
      </c>
      <c r="H754" s="409" t="s">
        <v>83</v>
      </c>
      <c r="I754" s="409" t="s">
        <v>66</v>
      </c>
      <c r="J754" s="411">
        <v>753.0</v>
      </c>
    </row>
    <row r="755">
      <c r="A755" s="413"/>
      <c r="B755" s="413"/>
      <c r="C755" s="414"/>
      <c r="D755" s="408" t="s">
        <v>7009</v>
      </c>
      <c r="E755" s="410" t="s">
        <v>6233</v>
      </c>
      <c r="F755" s="408" t="s">
        <v>89</v>
      </c>
      <c r="G755" s="408" t="s">
        <v>218</v>
      </c>
      <c r="H755" s="409" t="s">
        <v>83</v>
      </c>
      <c r="I755" s="409" t="s">
        <v>66</v>
      </c>
      <c r="J755" s="411">
        <v>754.0</v>
      </c>
    </row>
    <row r="756">
      <c r="A756" s="413"/>
      <c r="B756" s="413"/>
      <c r="C756" s="414"/>
      <c r="D756" s="408" t="s">
        <v>7010</v>
      </c>
      <c r="E756" s="410" t="s">
        <v>6229</v>
      </c>
      <c r="F756" s="408" t="s">
        <v>159</v>
      </c>
      <c r="G756" s="408" t="s">
        <v>2096</v>
      </c>
      <c r="H756" s="409" t="s">
        <v>255</v>
      </c>
      <c r="I756" s="409" t="s">
        <v>66</v>
      </c>
      <c r="J756" s="411">
        <v>755.0</v>
      </c>
    </row>
    <row r="757">
      <c r="A757" s="413"/>
      <c r="B757" s="413"/>
      <c r="C757" s="414"/>
      <c r="D757" s="408" t="s">
        <v>7011</v>
      </c>
      <c r="E757" s="410" t="s">
        <v>6231</v>
      </c>
      <c r="F757" s="408" t="s">
        <v>89</v>
      </c>
      <c r="G757" s="408" t="s">
        <v>207</v>
      </c>
      <c r="H757" s="409" t="s">
        <v>83</v>
      </c>
      <c r="I757" s="409" t="s">
        <v>66</v>
      </c>
      <c r="J757" s="411">
        <v>756.0</v>
      </c>
    </row>
    <row r="758">
      <c r="A758" s="413"/>
      <c r="B758" s="413"/>
      <c r="C758" s="414"/>
      <c r="D758" s="408" t="s">
        <v>7012</v>
      </c>
      <c r="E758" s="410" t="s">
        <v>6231</v>
      </c>
      <c r="F758" s="408" t="s">
        <v>89</v>
      </c>
      <c r="G758" s="408" t="s">
        <v>230</v>
      </c>
      <c r="H758" s="409" t="s">
        <v>83</v>
      </c>
      <c r="I758" s="409" t="s">
        <v>66</v>
      </c>
      <c r="J758" s="411">
        <v>757.0</v>
      </c>
    </row>
    <row r="759">
      <c r="A759" s="413"/>
      <c r="B759" s="413"/>
      <c r="C759" s="414"/>
      <c r="D759" s="408" t="s">
        <v>7013</v>
      </c>
      <c r="E759" s="410" t="s">
        <v>6231</v>
      </c>
      <c r="F759" s="408" t="s">
        <v>89</v>
      </c>
      <c r="G759" s="408" t="s">
        <v>337</v>
      </c>
      <c r="H759" s="409" t="s">
        <v>103</v>
      </c>
      <c r="I759" s="409" t="s">
        <v>66</v>
      </c>
      <c r="J759" s="411">
        <v>758.0</v>
      </c>
    </row>
    <row r="760">
      <c r="A760" s="413"/>
      <c r="B760" s="413"/>
      <c r="C760" s="414"/>
      <c r="D760" s="408" t="s">
        <v>7014</v>
      </c>
      <c r="E760" s="410" t="s">
        <v>6231</v>
      </c>
      <c r="F760" s="408" t="s">
        <v>159</v>
      </c>
      <c r="G760" s="408" t="s">
        <v>90</v>
      </c>
      <c r="H760" s="409" t="s">
        <v>83</v>
      </c>
      <c r="I760" s="409" t="s">
        <v>66</v>
      </c>
      <c r="J760" s="411">
        <v>759.0</v>
      </c>
    </row>
    <row r="761">
      <c r="A761" s="413"/>
      <c r="B761" s="413"/>
      <c r="C761" s="414"/>
      <c r="D761" s="408" t="s">
        <v>7015</v>
      </c>
      <c r="E761" s="410" t="s">
        <v>6231</v>
      </c>
      <c r="F761" s="408" t="s">
        <v>159</v>
      </c>
      <c r="G761" s="408" t="s">
        <v>218</v>
      </c>
      <c r="H761" s="409" t="s">
        <v>83</v>
      </c>
      <c r="I761" s="409" t="s">
        <v>66</v>
      </c>
      <c r="J761" s="411">
        <v>760.0</v>
      </c>
    </row>
    <row r="762">
      <c r="A762" s="413"/>
      <c r="B762" s="413"/>
      <c r="C762" s="414"/>
      <c r="D762" s="408" t="s">
        <v>7016</v>
      </c>
      <c r="E762" s="410" t="s">
        <v>6231</v>
      </c>
      <c r="F762" s="408" t="s">
        <v>285</v>
      </c>
      <c r="G762" s="412"/>
      <c r="H762" s="409" t="s">
        <v>83</v>
      </c>
      <c r="I762" s="409" t="s">
        <v>66</v>
      </c>
      <c r="J762" s="411">
        <v>761.0</v>
      </c>
    </row>
    <row r="763">
      <c r="A763" s="413"/>
      <c r="B763" s="413"/>
      <c r="C763" s="414"/>
      <c r="D763" s="408" t="s">
        <v>7017</v>
      </c>
      <c r="E763" s="410" t="s">
        <v>6233</v>
      </c>
      <c r="F763" s="408" t="s">
        <v>267</v>
      </c>
      <c r="G763" s="408" t="s">
        <v>1611</v>
      </c>
      <c r="H763" s="409" t="s">
        <v>183</v>
      </c>
      <c r="I763" s="409" t="s">
        <v>66</v>
      </c>
      <c r="J763" s="411">
        <v>762.0</v>
      </c>
    </row>
    <row r="764">
      <c r="A764" s="413"/>
      <c r="B764" s="413"/>
      <c r="C764" s="414"/>
      <c r="D764" s="408" t="s">
        <v>7018</v>
      </c>
      <c r="E764" s="410" t="s">
        <v>6233</v>
      </c>
      <c r="F764" s="408" t="s">
        <v>159</v>
      </c>
      <c r="G764" s="408" t="s">
        <v>1354</v>
      </c>
      <c r="H764" s="409" t="s">
        <v>83</v>
      </c>
      <c r="I764" s="409" t="s">
        <v>66</v>
      </c>
      <c r="J764" s="411">
        <v>763.0</v>
      </c>
    </row>
    <row r="765">
      <c r="A765" s="413"/>
      <c r="B765" s="413"/>
      <c r="C765" s="414"/>
      <c r="D765" s="408" t="s">
        <v>7019</v>
      </c>
      <c r="E765" s="410" t="s">
        <v>6233</v>
      </c>
      <c r="F765" s="408" t="s">
        <v>89</v>
      </c>
      <c r="G765" s="408" t="s">
        <v>795</v>
      </c>
      <c r="H765" s="409" t="s">
        <v>83</v>
      </c>
      <c r="I765" s="409" t="s">
        <v>66</v>
      </c>
      <c r="J765" s="411">
        <v>764.0</v>
      </c>
    </row>
    <row r="766">
      <c r="A766" s="413"/>
      <c r="B766" s="413"/>
      <c r="C766" s="414"/>
      <c r="D766" s="408" t="s">
        <v>7020</v>
      </c>
      <c r="E766" s="410" t="s">
        <v>6231</v>
      </c>
      <c r="F766" s="408" t="s">
        <v>89</v>
      </c>
      <c r="G766" s="408" t="s">
        <v>218</v>
      </c>
      <c r="H766" s="409" t="s">
        <v>103</v>
      </c>
      <c r="I766" s="409" t="s">
        <v>66</v>
      </c>
      <c r="J766" s="411">
        <v>765.0</v>
      </c>
    </row>
    <row r="767">
      <c r="A767" s="413"/>
      <c r="B767" s="413"/>
      <c r="C767" s="414"/>
      <c r="D767" s="408" t="s">
        <v>7021</v>
      </c>
      <c r="E767" s="410" t="s">
        <v>6231</v>
      </c>
      <c r="F767" s="408" t="s">
        <v>267</v>
      </c>
      <c r="G767" s="408" t="s">
        <v>2848</v>
      </c>
      <c r="H767" s="409" t="s">
        <v>183</v>
      </c>
      <c r="I767" s="409" t="s">
        <v>66</v>
      </c>
      <c r="J767" s="411">
        <v>766.0</v>
      </c>
    </row>
    <row r="768">
      <c r="A768" s="413"/>
      <c r="B768" s="413"/>
      <c r="C768" s="414"/>
      <c r="D768" s="408" t="s">
        <v>7022</v>
      </c>
      <c r="E768" s="410" t="s">
        <v>6233</v>
      </c>
      <c r="F768" s="408" t="s">
        <v>89</v>
      </c>
      <c r="G768" s="408" t="s">
        <v>337</v>
      </c>
      <c r="H768" s="409" t="s">
        <v>103</v>
      </c>
      <c r="I768" s="409" t="s">
        <v>66</v>
      </c>
      <c r="J768" s="411">
        <v>767.0</v>
      </c>
    </row>
    <row r="769">
      <c r="A769" s="413"/>
      <c r="B769" s="413"/>
      <c r="C769" s="414"/>
      <c r="D769" s="408" t="s">
        <v>7023</v>
      </c>
      <c r="E769" s="410" t="s">
        <v>6231</v>
      </c>
      <c r="F769" s="408" t="s">
        <v>267</v>
      </c>
      <c r="G769" s="408" t="s">
        <v>5607</v>
      </c>
      <c r="H769" s="409" t="s">
        <v>81</v>
      </c>
      <c r="I769" s="409" t="s">
        <v>66</v>
      </c>
      <c r="J769" s="411">
        <v>768.0</v>
      </c>
    </row>
    <row r="770">
      <c r="A770" s="413"/>
      <c r="B770" s="413"/>
      <c r="C770" s="414"/>
      <c r="D770" s="408" t="s">
        <v>7024</v>
      </c>
      <c r="E770" s="410" t="s">
        <v>6233</v>
      </c>
      <c r="F770" s="408" t="s">
        <v>89</v>
      </c>
      <c r="G770" s="408" t="s">
        <v>218</v>
      </c>
      <c r="H770" s="409" t="s">
        <v>81</v>
      </c>
      <c r="I770" s="409" t="s">
        <v>66</v>
      </c>
      <c r="J770" s="411">
        <v>769.0</v>
      </c>
    </row>
    <row r="771">
      <c r="A771" s="413"/>
      <c r="B771" s="413"/>
      <c r="C771" s="414"/>
      <c r="D771" s="408" t="s">
        <v>7025</v>
      </c>
      <c r="E771" s="410" t="s">
        <v>6233</v>
      </c>
      <c r="F771" s="408" t="s">
        <v>89</v>
      </c>
      <c r="G771" s="408" t="s">
        <v>218</v>
      </c>
      <c r="H771" s="409" t="s">
        <v>83</v>
      </c>
      <c r="I771" s="409" t="s">
        <v>66</v>
      </c>
      <c r="J771" s="411">
        <v>770.0</v>
      </c>
    </row>
    <row r="772">
      <c r="A772" s="413"/>
      <c r="B772" s="413"/>
      <c r="C772" s="414"/>
      <c r="D772" s="408" t="s">
        <v>7026</v>
      </c>
      <c r="E772" s="410" t="s">
        <v>7027</v>
      </c>
      <c r="F772" s="408" t="s">
        <v>159</v>
      </c>
      <c r="G772" s="408" t="s">
        <v>1633</v>
      </c>
      <c r="H772" s="409" t="s">
        <v>53</v>
      </c>
      <c r="I772" s="409" t="s">
        <v>66</v>
      </c>
      <c r="J772" s="411">
        <v>771.0</v>
      </c>
    </row>
    <row r="773">
      <c r="A773" s="413"/>
      <c r="B773" s="413"/>
      <c r="C773" s="414"/>
      <c r="D773" s="408" t="s">
        <v>7028</v>
      </c>
      <c r="E773" s="410" t="s">
        <v>6231</v>
      </c>
      <c r="F773" s="408" t="s">
        <v>285</v>
      </c>
      <c r="G773" s="408" t="s">
        <v>298</v>
      </c>
      <c r="H773" s="409" t="s">
        <v>297</v>
      </c>
      <c r="I773" s="409" t="s">
        <v>66</v>
      </c>
      <c r="J773" s="411">
        <v>772.0</v>
      </c>
    </row>
    <row r="774">
      <c r="A774" s="413"/>
      <c r="B774" s="413"/>
      <c r="C774" s="414"/>
      <c r="D774" s="408" t="s">
        <v>7029</v>
      </c>
      <c r="E774" s="410" t="s">
        <v>6233</v>
      </c>
      <c r="F774" s="408" t="s">
        <v>89</v>
      </c>
      <c r="G774" s="408" t="s">
        <v>2318</v>
      </c>
      <c r="H774" s="409" t="s">
        <v>83</v>
      </c>
      <c r="I774" s="409" t="s">
        <v>66</v>
      </c>
      <c r="J774" s="411">
        <v>773.0</v>
      </c>
    </row>
    <row r="775">
      <c r="A775" s="413"/>
      <c r="B775" s="413"/>
      <c r="C775" s="414"/>
      <c r="D775" s="408" t="s">
        <v>7030</v>
      </c>
      <c r="E775" s="410" t="s">
        <v>6233</v>
      </c>
      <c r="F775" s="408" t="s">
        <v>89</v>
      </c>
      <c r="G775" s="408" t="s">
        <v>2703</v>
      </c>
      <c r="H775" s="409" t="s">
        <v>83</v>
      </c>
      <c r="I775" s="409" t="s">
        <v>66</v>
      </c>
      <c r="J775" s="411">
        <v>774.0</v>
      </c>
    </row>
    <row r="776">
      <c r="A776" s="413"/>
      <c r="B776" s="413"/>
      <c r="C776" s="414"/>
      <c r="D776" s="408" t="s">
        <v>7031</v>
      </c>
      <c r="E776" s="410" t="s">
        <v>6233</v>
      </c>
      <c r="F776" s="408" t="s">
        <v>89</v>
      </c>
      <c r="G776" s="408" t="s">
        <v>90</v>
      </c>
      <c r="H776" s="409" t="s">
        <v>83</v>
      </c>
      <c r="I776" s="409" t="s">
        <v>66</v>
      </c>
      <c r="J776" s="411">
        <v>775.0</v>
      </c>
    </row>
    <row r="777">
      <c r="A777" s="413"/>
      <c r="B777" s="413"/>
      <c r="C777" s="414"/>
      <c r="D777" s="408" t="s">
        <v>7032</v>
      </c>
      <c r="E777" s="410" t="s">
        <v>6233</v>
      </c>
      <c r="F777" s="408" t="s">
        <v>89</v>
      </c>
      <c r="G777" s="408" t="s">
        <v>218</v>
      </c>
      <c r="H777" s="409" t="s">
        <v>183</v>
      </c>
      <c r="I777" s="409" t="s">
        <v>66</v>
      </c>
      <c r="J777" s="411">
        <v>776.0</v>
      </c>
    </row>
    <row r="778">
      <c r="A778" s="413"/>
      <c r="B778" s="413"/>
      <c r="C778" s="414"/>
      <c r="D778" s="408" t="s">
        <v>7033</v>
      </c>
      <c r="E778" s="410" t="s">
        <v>7034</v>
      </c>
      <c r="F778" s="408" t="s">
        <v>159</v>
      </c>
      <c r="G778" s="408" t="s">
        <v>2096</v>
      </c>
      <c r="H778" s="409" t="s">
        <v>83</v>
      </c>
      <c r="I778" s="409" t="s">
        <v>66</v>
      </c>
      <c r="J778" s="411">
        <v>777.0</v>
      </c>
    </row>
    <row r="779">
      <c r="A779" s="413"/>
      <c r="B779" s="413"/>
      <c r="C779" s="414"/>
      <c r="D779" s="408" t="s">
        <v>7035</v>
      </c>
      <c r="E779" s="410" t="s">
        <v>6233</v>
      </c>
      <c r="F779" s="408" t="s">
        <v>89</v>
      </c>
      <c r="G779" s="408" t="s">
        <v>218</v>
      </c>
      <c r="H779" s="409" t="s">
        <v>81</v>
      </c>
      <c r="I779" s="409" t="s">
        <v>66</v>
      </c>
      <c r="J779" s="411">
        <v>778.0</v>
      </c>
    </row>
    <row r="780">
      <c r="A780" s="413"/>
      <c r="B780" s="413"/>
      <c r="C780" s="414"/>
      <c r="D780" s="408" t="s">
        <v>7036</v>
      </c>
      <c r="E780" s="410" t="s">
        <v>6233</v>
      </c>
      <c r="F780" s="408" t="s">
        <v>89</v>
      </c>
      <c r="G780" s="408" t="s">
        <v>2030</v>
      </c>
      <c r="H780" s="409" t="s">
        <v>83</v>
      </c>
      <c r="I780" s="409" t="s">
        <v>66</v>
      </c>
      <c r="J780" s="411">
        <v>779.0</v>
      </c>
    </row>
    <row r="781">
      <c r="A781" s="413"/>
      <c r="B781" s="413"/>
      <c r="C781" s="414"/>
      <c r="D781" s="408" t="s">
        <v>7037</v>
      </c>
      <c r="E781" s="410" t="s">
        <v>6233</v>
      </c>
      <c r="F781" s="408" t="s">
        <v>89</v>
      </c>
      <c r="G781" s="408" t="s">
        <v>374</v>
      </c>
      <c r="H781" s="409" t="s">
        <v>83</v>
      </c>
      <c r="I781" s="409" t="s">
        <v>66</v>
      </c>
      <c r="J781" s="411">
        <v>780.0</v>
      </c>
    </row>
    <row r="782">
      <c r="A782" s="413"/>
      <c r="B782" s="413"/>
      <c r="C782" s="414"/>
      <c r="D782" s="408" t="s">
        <v>7038</v>
      </c>
      <c r="E782" s="410" t="s">
        <v>6233</v>
      </c>
      <c r="F782" s="408" t="s">
        <v>159</v>
      </c>
      <c r="G782" s="408" t="s">
        <v>1633</v>
      </c>
      <c r="H782" s="409" t="s">
        <v>83</v>
      </c>
      <c r="I782" s="409" t="s">
        <v>66</v>
      </c>
      <c r="J782" s="411">
        <v>781.0</v>
      </c>
    </row>
    <row r="783">
      <c r="A783" s="413"/>
      <c r="B783" s="413"/>
      <c r="C783" s="414"/>
      <c r="D783" s="408" t="s">
        <v>7039</v>
      </c>
      <c r="E783" s="410" t="s">
        <v>6233</v>
      </c>
      <c r="F783" s="408" t="s">
        <v>89</v>
      </c>
      <c r="G783" s="408" t="s">
        <v>1520</v>
      </c>
      <c r="H783" s="409" t="s">
        <v>83</v>
      </c>
      <c r="I783" s="409" t="s">
        <v>66</v>
      </c>
      <c r="J783" s="411">
        <v>782.0</v>
      </c>
    </row>
    <row r="784">
      <c r="A784" s="413"/>
      <c r="B784" s="413"/>
      <c r="C784" s="414"/>
      <c r="D784" s="408" t="s">
        <v>7040</v>
      </c>
      <c r="E784" s="410" t="s">
        <v>6233</v>
      </c>
      <c r="F784" s="408" t="s">
        <v>285</v>
      </c>
      <c r="G784" s="408" t="s">
        <v>399</v>
      </c>
      <c r="H784" s="409" t="s">
        <v>308</v>
      </c>
      <c r="I784" s="409" t="s">
        <v>66</v>
      </c>
      <c r="J784" s="411">
        <v>783.0</v>
      </c>
    </row>
    <row r="785">
      <c r="A785" s="413"/>
      <c r="B785" s="413"/>
      <c r="C785" s="414"/>
      <c r="D785" s="408" t="s">
        <v>7041</v>
      </c>
      <c r="E785" s="410" t="s">
        <v>6231</v>
      </c>
      <c r="F785" s="408" t="s">
        <v>89</v>
      </c>
      <c r="G785" s="408" t="s">
        <v>1214</v>
      </c>
      <c r="H785" s="409" t="s">
        <v>83</v>
      </c>
      <c r="I785" s="409" t="s">
        <v>66</v>
      </c>
      <c r="J785" s="411">
        <v>784.0</v>
      </c>
    </row>
    <row r="786">
      <c r="A786" s="413"/>
      <c r="B786" s="413"/>
      <c r="C786" s="414"/>
      <c r="D786" s="408" t="s">
        <v>7042</v>
      </c>
      <c r="E786" s="410" t="s">
        <v>6233</v>
      </c>
      <c r="F786" s="408" t="s">
        <v>89</v>
      </c>
      <c r="G786" s="408" t="s">
        <v>218</v>
      </c>
      <c r="H786" s="409" t="s">
        <v>83</v>
      </c>
      <c r="I786" s="409" t="s">
        <v>66</v>
      </c>
      <c r="J786" s="411">
        <v>785.0</v>
      </c>
    </row>
    <row r="787">
      <c r="A787" s="413"/>
      <c r="B787" s="413"/>
      <c r="C787" s="414"/>
      <c r="D787" s="408" t="s">
        <v>7043</v>
      </c>
      <c r="E787" s="410" t="s">
        <v>6233</v>
      </c>
      <c r="F787" s="408" t="s">
        <v>89</v>
      </c>
      <c r="G787" s="408" t="s">
        <v>2016</v>
      </c>
      <c r="H787" s="409" t="s">
        <v>83</v>
      </c>
      <c r="I787" s="409" t="s">
        <v>66</v>
      </c>
      <c r="J787" s="411">
        <v>786.0</v>
      </c>
    </row>
    <row r="788">
      <c r="A788" s="413"/>
      <c r="B788" s="413"/>
      <c r="C788" s="414"/>
      <c r="D788" s="408" t="s">
        <v>7044</v>
      </c>
      <c r="E788" s="410" t="s">
        <v>6231</v>
      </c>
      <c r="F788" s="408" t="s">
        <v>159</v>
      </c>
      <c r="G788" s="408" t="s">
        <v>503</v>
      </c>
      <c r="H788" s="409" t="s">
        <v>83</v>
      </c>
      <c r="I788" s="409" t="s">
        <v>66</v>
      </c>
      <c r="J788" s="411">
        <v>787.0</v>
      </c>
    </row>
    <row r="789">
      <c r="A789" s="413"/>
      <c r="B789" s="413"/>
      <c r="C789" s="414"/>
      <c r="D789" s="408" t="s">
        <v>7045</v>
      </c>
      <c r="E789" s="410" t="s">
        <v>6233</v>
      </c>
      <c r="F789" s="408" t="s">
        <v>89</v>
      </c>
      <c r="G789" s="408" t="s">
        <v>218</v>
      </c>
      <c r="H789" s="409" t="s">
        <v>83</v>
      </c>
      <c r="I789" s="409" t="s">
        <v>66</v>
      </c>
      <c r="J789" s="411">
        <v>788.0</v>
      </c>
    </row>
    <row r="790">
      <c r="A790" s="413"/>
      <c r="B790" s="413"/>
      <c r="C790" s="414"/>
      <c r="D790" s="408" t="s">
        <v>7046</v>
      </c>
      <c r="E790" s="410" t="s">
        <v>6233</v>
      </c>
      <c r="F790" s="408" t="s">
        <v>267</v>
      </c>
      <c r="G790" s="408" t="s">
        <v>218</v>
      </c>
      <c r="H790" s="409" t="s">
        <v>103</v>
      </c>
      <c r="I790" s="409" t="s">
        <v>66</v>
      </c>
      <c r="J790" s="411">
        <v>789.0</v>
      </c>
    </row>
    <row r="791">
      <c r="A791" s="413"/>
      <c r="B791" s="413"/>
      <c r="C791" s="414"/>
      <c r="D791" s="408" t="s">
        <v>7047</v>
      </c>
      <c r="E791" s="410" t="s">
        <v>6229</v>
      </c>
      <c r="F791" s="408" t="s">
        <v>89</v>
      </c>
      <c r="G791" s="408" t="s">
        <v>319</v>
      </c>
      <c r="H791" s="409" t="s">
        <v>83</v>
      </c>
      <c r="I791" s="409" t="s">
        <v>66</v>
      </c>
      <c r="J791" s="411">
        <v>790.0</v>
      </c>
    </row>
    <row r="792">
      <c r="A792" s="413"/>
      <c r="B792" s="413"/>
      <c r="C792" s="414"/>
      <c r="D792" s="408" t="s">
        <v>7048</v>
      </c>
      <c r="E792" s="410" t="s">
        <v>6231</v>
      </c>
      <c r="F792" s="408" t="s">
        <v>89</v>
      </c>
      <c r="G792" s="408" t="s">
        <v>90</v>
      </c>
      <c r="H792" s="409" t="s">
        <v>83</v>
      </c>
      <c r="I792" s="409" t="s">
        <v>66</v>
      </c>
      <c r="J792" s="411">
        <v>791.0</v>
      </c>
    </row>
    <row r="793">
      <c r="A793" s="413"/>
      <c r="B793" s="413"/>
      <c r="C793" s="414"/>
      <c r="D793" s="408" t="s">
        <v>7049</v>
      </c>
      <c r="E793" s="410" t="s">
        <v>6233</v>
      </c>
      <c r="F793" s="408" t="s">
        <v>89</v>
      </c>
      <c r="G793" s="408" t="s">
        <v>207</v>
      </c>
      <c r="H793" s="409" t="s">
        <v>83</v>
      </c>
      <c r="I793" s="409" t="s">
        <v>66</v>
      </c>
      <c r="J793" s="411">
        <v>792.0</v>
      </c>
    </row>
    <row r="794">
      <c r="A794" s="413"/>
      <c r="B794" s="413"/>
      <c r="C794" s="414"/>
      <c r="D794" s="408" t="s">
        <v>7050</v>
      </c>
      <c r="E794" s="410" t="s">
        <v>6231</v>
      </c>
      <c r="F794" s="408" t="s">
        <v>159</v>
      </c>
      <c r="G794" s="408" t="s">
        <v>160</v>
      </c>
      <c r="H794" s="409" t="s">
        <v>83</v>
      </c>
      <c r="I794" s="409" t="s">
        <v>66</v>
      </c>
      <c r="J794" s="411">
        <v>793.0</v>
      </c>
    </row>
    <row r="795">
      <c r="A795" s="413"/>
      <c r="B795" s="413"/>
      <c r="C795" s="414"/>
      <c r="D795" s="408" t="s">
        <v>7051</v>
      </c>
      <c r="E795" s="410" t="s">
        <v>6233</v>
      </c>
      <c r="F795" s="408" t="s">
        <v>159</v>
      </c>
      <c r="G795" s="408" t="s">
        <v>160</v>
      </c>
      <c r="H795" s="409" t="s">
        <v>103</v>
      </c>
      <c r="I795" s="409" t="s">
        <v>66</v>
      </c>
      <c r="J795" s="411">
        <v>794.0</v>
      </c>
    </row>
    <row r="796">
      <c r="A796" s="413"/>
      <c r="B796" s="413"/>
      <c r="C796" s="414"/>
      <c r="D796" s="408" t="s">
        <v>7052</v>
      </c>
      <c r="E796" s="410" t="s">
        <v>6233</v>
      </c>
      <c r="F796" s="408" t="s">
        <v>89</v>
      </c>
      <c r="G796" s="408" t="s">
        <v>2628</v>
      </c>
      <c r="H796" s="409" t="s">
        <v>83</v>
      </c>
      <c r="I796" s="409" t="s">
        <v>66</v>
      </c>
      <c r="J796" s="411">
        <v>795.0</v>
      </c>
    </row>
    <row r="797">
      <c r="A797" s="413"/>
      <c r="B797" s="413"/>
      <c r="C797" s="414"/>
      <c r="D797" s="408" t="s">
        <v>7053</v>
      </c>
      <c r="E797" s="410" t="s">
        <v>6233</v>
      </c>
      <c r="F797" s="408" t="s">
        <v>285</v>
      </c>
      <c r="G797" s="412"/>
      <c r="H797" s="409" t="s">
        <v>81</v>
      </c>
      <c r="I797" s="409" t="s">
        <v>66</v>
      </c>
      <c r="J797" s="411">
        <v>796.0</v>
      </c>
    </row>
    <row r="798">
      <c r="A798" s="413"/>
      <c r="B798" s="413"/>
      <c r="C798" s="414"/>
      <c r="D798" s="408" t="s">
        <v>7054</v>
      </c>
      <c r="E798" s="410" t="s">
        <v>6231</v>
      </c>
      <c r="F798" s="408" t="s">
        <v>89</v>
      </c>
      <c r="G798" s="408" t="s">
        <v>647</v>
      </c>
      <c r="H798" s="409" t="s">
        <v>83</v>
      </c>
      <c r="I798" s="409" t="s">
        <v>66</v>
      </c>
      <c r="J798" s="411">
        <v>797.0</v>
      </c>
    </row>
    <row r="799">
      <c r="A799" s="413"/>
      <c r="B799" s="413"/>
      <c r="C799" s="414"/>
      <c r="D799" s="408" t="s">
        <v>7055</v>
      </c>
      <c r="E799" s="410" t="s">
        <v>6231</v>
      </c>
      <c r="F799" s="408" t="s">
        <v>267</v>
      </c>
      <c r="G799" s="408" t="s">
        <v>230</v>
      </c>
      <c r="H799" s="409" t="s">
        <v>183</v>
      </c>
      <c r="I799" s="409" t="s">
        <v>66</v>
      </c>
      <c r="J799" s="411">
        <v>798.0</v>
      </c>
    </row>
    <row r="800">
      <c r="A800" s="413"/>
      <c r="B800" s="413"/>
      <c r="C800" s="414"/>
      <c r="D800" s="408" t="s">
        <v>7056</v>
      </c>
      <c r="E800" s="410" t="s">
        <v>6233</v>
      </c>
      <c r="F800" s="408" t="s">
        <v>267</v>
      </c>
      <c r="G800" s="408" t="s">
        <v>346</v>
      </c>
      <c r="H800" s="409" t="s">
        <v>308</v>
      </c>
      <c r="I800" s="409" t="s">
        <v>66</v>
      </c>
      <c r="J800" s="411">
        <v>799.0</v>
      </c>
    </row>
    <row r="801">
      <c r="A801" s="413"/>
      <c r="B801" s="413"/>
      <c r="C801" s="414"/>
      <c r="D801" s="408" t="s">
        <v>7057</v>
      </c>
      <c r="E801" s="410" t="s">
        <v>6231</v>
      </c>
      <c r="F801" s="408" t="s">
        <v>89</v>
      </c>
      <c r="G801" s="408" t="s">
        <v>218</v>
      </c>
      <c r="H801" s="409" t="s">
        <v>83</v>
      </c>
      <c r="I801" s="409" t="s">
        <v>66</v>
      </c>
      <c r="J801" s="411">
        <v>800.0</v>
      </c>
    </row>
    <row r="802">
      <c r="A802" s="413"/>
      <c r="B802" s="413"/>
      <c r="C802" s="414"/>
      <c r="D802" s="408" t="s">
        <v>7058</v>
      </c>
      <c r="E802" s="410" t="s">
        <v>6233</v>
      </c>
      <c r="F802" s="408" t="s">
        <v>89</v>
      </c>
      <c r="G802" s="408" t="s">
        <v>218</v>
      </c>
      <c r="H802" s="409" t="s">
        <v>83</v>
      </c>
      <c r="I802" s="409" t="s">
        <v>66</v>
      </c>
      <c r="J802" s="411">
        <v>801.0</v>
      </c>
    </row>
    <row r="803">
      <c r="A803" s="413"/>
      <c r="B803" s="413"/>
      <c r="C803" s="414"/>
      <c r="D803" s="408" t="s">
        <v>7059</v>
      </c>
      <c r="E803" s="410" t="s">
        <v>6233</v>
      </c>
      <c r="F803" s="408" t="s">
        <v>267</v>
      </c>
      <c r="G803" s="408" t="s">
        <v>2185</v>
      </c>
      <c r="H803" s="409" t="s">
        <v>81</v>
      </c>
      <c r="I803" s="409" t="s">
        <v>66</v>
      </c>
      <c r="J803" s="411">
        <v>802.0</v>
      </c>
    </row>
    <row r="804">
      <c r="A804" s="413"/>
      <c r="B804" s="413"/>
      <c r="C804" s="414"/>
      <c r="D804" s="408" t="s">
        <v>7060</v>
      </c>
      <c r="E804" s="410" t="s">
        <v>6244</v>
      </c>
      <c r="F804" s="408" t="s">
        <v>110</v>
      </c>
      <c r="G804" s="408" t="s">
        <v>2830</v>
      </c>
      <c r="H804" s="409" t="s">
        <v>103</v>
      </c>
      <c r="I804" s="409" t="s">
        <v>66</v>
      </c>
      <c r="J804" s="411">
        <v>803.0</v>
      </c>
    </row>
    <row r="805">
      <c r="A805" s="413"/>
      <c r="B805" s="413"/>
      <c r="C805" s="414"/>
      <c r="D805" s="408" t="s">
        <v>7061</v>
      </c>
      <c r="E805" s="410" t="s">
        <v>6231</v>
      </c>
      <c r="F805" s="408" t="s">
        <v>89</v>
      </c>
      <c r="G805" s="408" t="s">
        <v>1214</v>
      </c>
      <c r="H805" s="409" t="s">
        <v>83</v>
      </c>
      <c r="I805" s="409" t="s">
        <v>66</v>
      </c>
      <c r="J805" s="411">
        <v>804.0</v>
      </c>
    </row>
    <row r="806">
      <c r="A806" s="413"/>
      <c r="B806" s="413"/>
      <c r="C806" s="414"/>
      <c r="D806" s="408" t="s">
        <v>7062</v>
      </c>
      <c r="E806" s="410" t="s">
        <v>6233</v>
      </c>
      <c r="F806" s="408" t="s">
        <v>89</v>
      </c>
      <c r="G806" s="408" t="s">
        <v>2132</v>
      </c>
      <c r="H806" s="409" t="s">
        <v>81</v>
      </c>
      <c r="I806" s="409" t="s">
        <v>66</v>
      </c>
      <c r="J806" s="411">
        <v>805.0</v>
      </c>
    </row>
    <row r="807">
      <c r="A807" s="413"/>
      <c r="B807" s="413"/>
      <c r="C807" s="414"/>
      <c r="D807" s="408" t="s">
        <v>7063</v>
      </c>
      <c r="E807" s="410" t="s">
        <v>6233</v>
      </c>
      <c r="F807" s="408" t="s">
        <v>89</v>
      </c>
      <c r="G807" s="408" t="s">
        <v>2644</v>
      </c>
      <c r="H807" s="409" t="s">
        <v>83</v>
      </c>
      <c r="I807" s="409" t="s">
        <v>66</v>
      </c>
      <c r="J807" s="411">
        <v>806.0</v>
      </c>
    </row>
    <row r="808">
      <c r="A808" s="413"/>
      <c r="B808" s="413"/>
      <c r="C808" s="414"/>
      <c r="D808" s="408" t="s">
        <v>7064</v>
      </c>
      <c r="E808" s="410" t="s">
        <v>6233</v>
      </c>
      <c r="F808" s="408" t="s">
        <v>89</v>
      </c>
      <c r="G808" s="408" t="s">
        <v>374</v>
      </c>
      <c r="H808" s="409" t="s">
        <v>83</v>
      </c>
      <c r="I808" s="409" t="s">
        <v>66</v>
      </c>
      <c r="J808" s="411">
        <v>807.0</v>
      </c>
    </row>
    <row r="809">
      <c r="A809" s="413"/>
      <c r="B809" s="413"/>
      <c r="C809" s="414"/>
      <c r="D809" s="408" t="s">
        <v>7065</v>
      </c>
      <c r="E809" s="410" t="s">
        <v>6231</v>
      </c>
      <c r="F809" s="408" t="s">
        <v>159</v>
      </c>
      <c r="G809" s="408" t="s">
        <v>2771</v>
      </c>
      <c r="H809" s="409" t="s">
        <v>103</v>
      </c>
      <c r="I809" s="409" t="s">
        <v>66</v>
      </c>
      <c r="J809" s="411">
        <v>808.0</v>
      </c>
    </row>
    <row r="810">
      <c r="A810" s="413"/>
      <c r="B810" s="413"/>
      <c r="C810" s="414"/>
      <c r="D810" s="408" t="s">
        <v>7066</v>
      </c>
      <c r="E810" s="410" t="s">
        <v>6233</v>
      </c>
      <c r="F810" s="408" t="s">
        <v>89</v>
      </c>
      <c r="G810" s="408" t="s">
        <v>647</v>
      </c>
      <c r="H810" s="409" t="s">
        <v>83</v>
      </c>
      <c r="I810" s="409" t="s">
        <v>66</v>
      </c>
      <c r="J810" s="411">
        <v>809.0</v>
      </c>
    </row>
    <row r="811">
      <c r="A811" s="413"/>
      <c r="B811" s="413"/>
      <c r="C811" s="414"/>
      <c r="D811" s="408" t="s">
        <v>7067</v>
      </c>
      <c r="E811" s="410" t="s">
        <v>6231</v>
      </c>
      <c r="F811" s="408" t="s">
        <v>89</v>
      </c>
      <c r="G811" s="408" t="s">
        <v>2165</v>
      </c>
      <c r="H811" s="409" t="s">
        <v>103</v>
      </c>
      <c r="I811" s="409" t="s">
        <v>66</v>
      </c>
      <c r="J811" s="411">
        <v>810.0</v>
      </c>
    </row>
    <row r="812">
      <c r="A812" s="413"/>
      <c r="B812" s="413"/>
      <c r="C812" s="414"/>
      <c r="D812" s="408" t="s">
        <v>7068</v>
      </c>
      <c r="E812" s="410" t="s">
        <v>6231</v>
      </c>
      <c r="F812" s="408" t="s">
        <v>89</v>
      </c>
      <c r="G812" s="408" t="s">
        <v>218</v>
      </c>
      <c r="H812" s="409" t="s">
        <v>183</v>
      </c>
      <c r="I812" s="409" t="s">
        <v>66</v>
      </c>
      <c r="J812" s="411">
        <v>811.0</v>
      </c>
    </row>
    <row r="813">
      <c r="A813" s="413"/>
      <c r="B813" s="413"/>
      <c r="C813" s="414"/>
      <c r="D813" s="408" t="s">
        <v>7069</v>
      </c>
      <c r="E813" s="410" t="s">
        <v>6231</v>
      </c>
      <c r="F813" s="408" t="s">
        <v>89</v>
      </c>
      <c r="G813" s="408" t="s">
        <v>218</v>
      </c>
      <c r="H813" s="409" t="s">
        <v>83</v>
      </c>
      <c r="I813" s="409" t="s">
        <v>66</v>
      </c>
      <c r="J813" s="411">
        <v>812.0</v>
      </c>
    </row>
    <row r="814">
      <c r="A814" s="413"/>
      <c r="B814" s="413"/>
      <c r="C814" s="414"/>
      <c r="D814" s="408" t="s">
        <v>7070</v>
      </c>
      <c r="E814" s="410" t="s">
        <v>6231</v>
      </c>
      <c r="F814" s="408" t="s">
        <v>159</v>
      </c>
      <c r="G814" s="408" t="s">
        <v>218</v>
      </c>
      <c r="H814" s="409" t="s">
        <v>83</v>
      </c>
      <c r="I814" s="409" t="s">
        <v>66</v>
      </c>
      <c r="J814" s="411">
        <v>813.0</v>
      </c>
    </row>
    <row r="815">
      <c r="A815" s="413"/>
      <c r="B815" s="413"/>
      <c r="C815" s="414"/>
      <c r="D815" s="408" t="s">
        <v>7071</v>
      </c>
      <c r="E815" s="410">
        <v>-1.0</v>
      </c>
      <c r="F815" s="408" t="s">
        <v>267</v>
      </c>
      <c r="G815" s="408" t="s">
        <v>3932</v>
      </c>
      <c r="H815" s="409" t="s">
        <v>103</v>
      </c>
      <c r="I815" s="409" t="s">
        <v>66</v>
      </c>
      <c r="J815" s="411">
        <v>814.0</v>
      </c>
    </row>
    <row r="816">
      <c r="A816" s="413"/>
      <c r="B816" s="413"/>
      <c r="C816" s="414"/>
      <c r="D816" s="408" t="s">
        <v>7072</v>
      </c>
      <c r="E816" s="410" t="s">
        <v>6233</v>
      </c>
      <c r="F816" s="408" t="s">
        <v>159</v>
      </c>
      <c r="G816" s="408" t="s">
        <v>259</v>
      </c>
      <c r="H816" s="409" t="s">
        <v>255</v>
      </c>
      <c r="I816" s="409" t="s">
        <v>66</v>
      </c>
      <c r="J816" s="411">
        <v>815.0</v>
      </c>
    </row>
    <row r="817">
      <c r="A817" s="413"/>
      <c r="B817" s="413"/>
      <c r="C817" s="414"/>
      <c r="D817" s="408" t="s">
        <v>7073</v>
      </c>
      <c r="E817" s="410" t="s">
        <v>6233</v>
      </c>
      <c r="F817" s="408" t="s">
        <v>89</v>
      </c>
      <c r="G817" s="408" t="s">
        <v>2318</v>
      </c>
      <c r="H817" s="409" t="s">
        <v>83</v>
      </c>
      <c r="I817" s="409" t="s">
        <v>66</v>
      </c>
      <c r="J817" s="411">
        <v>816.0</v>
      </c>
    </row>
    <row r="818">
      <c r="A818" s="413"/>
      <c r="B818" s="413"/>
      <c r="C818" s="414"/>
      <c r="D818" s="408" t="s">
        <v>7074</v>
      </c>
      <c r="E818" s="410" t="s">
        <v>6231</v>
      </c>
      <c r="F818" s="408" t="s">
        <v>89</v>
      </c>
      <c r="G818" s="408" t="s">
        <v>640</v>
      </c>
      <c r="H818" s="409" t="s">
        <v>103</v>
      </c>
      <c r="I818" s="409" t="s">
        <v>66</v>
      </c>
      <c r="J818" s="411">
        <v>817.0</v>
      </c>
    </row>
    <row r="819">
      <c r="A819" s="413"/>
      <c r="B819" s="413"/>
      <c r="C819" s="414"/>
      <c r="D819" s="408" t="s">
        <v>7075</v>
      </c>
      <c r="E819" s="410" t="s">
        <v>6233</v>
      </c>
      <c r="F819" s="408" t="s">
        <v>89</v>
      </c>
      <c r="G819" s="408" t="s">
        <v>2398</v>
      </c>
      <c r="H819" s="409" t="s">
        <v>103</v>
      </c>
      <c r="I819" s="409" t="s">
        <v>66</v>
      </c>
      <c r="J819" s="411">
        <v>818.0</v>
      </c>
    </row>
    <row r="820">
      <c r="A820" s="413"/>
      <c r="B820" s="413"/>
      <c r="C820" s="414"/>
      <c r="D820" s="408" t="s">
        <v>7076</v>
      </c>
      <c r="E820" s="410" t="s">
        <v>6231</v>
      </c>
      <c r="F820" s="408" t="s">
        <v>89</v>
      </c>
      <c r="G820" s="408" t="s">
        <v>4563</v>
      </c>
      <c r="H820" s="409" t="s">
        <v>83</v>
      </c>
      <c r="I820" s="409" t="s">
        <v>66</v>
      </c>
      <c r="J820" s="411">
        <v>819.0</v>
      </c>
    </row>
    <row r="821">
      <c r="A821" s="413"/>
      <c r="B821" s="413"/>
      <c r="C821" s="414"/>
      <c r="D821" s="408" t="s">
        <v>7077</v>
      </c>
      <c r="E821" s="410" t="s">
        <v>6233</v>
      </c>
      <c r="F821" s="408" t="s">
        <v>267</v>
      </c>
      <c r="G821" s="408" t="s">
        <v>2812</v>
      </c>
      <c r="H821" s="409" t="s">
        <v>103</v>
      </c>
      <c r="I821" s="409" t="s">
        <v>66</v>
      </c>
      <c r="J821" s="411">
        <v>820.0</v>
      </c>
    </row>
    <row r="822">
      <c r="A822" s="413"/>
      <c r="B822" s="413"/>
      <c r="C822" s="414"/>
      <c r="D822" s="408" t="s">
        <v>7078</v>
      </c>
      <c r="E822" s="410" t="s">
        <v>6233</v>
      </c>
      <c r="F822" s="408" t="s">
        <v>89</v>
      </c>
      <c r="G822" s="408" t="s">
        <v>197</v>
      </c>
      <c r="H822" s="409" t="s">
        <v>83</v>
      </c>
      <c r="I822" s="409" t="s">
        <v>66</v>
      </c>
      <c r="J822" s="411">
        <v>821.0</v>
      </c>
    </row>
    <row r="823">
      <c r="A823" s="413"/>
      <c r="B823" s="413"/>
      <c r="C823" s="414"/>
      <c r="D823" s="408" t="s">
        <v>7079</v>
      </c>
      <c r="E823" s="410" t="s">
        <v>6231</v>
      </c>
      <c r="F823" s="408" t="s">
        <v>89</v>
      </c>
      <c r="G823" s="408" t="s">
        <v>795</v>
      </c>
      <c r="H823" s="409" t="s">
        <v>83</v>
      </c>
      <c r="I823" s="409" t="s">
        <v>66</v>
      </c>
      <c r="J823" s="411">
        <v>822.0</v>
      </c>
    </row>
    <row r="824">
      <c r="A824" s="413"/>
      <c r="B824" s="413"/>
      <c r="C824" s="414"/>
      <c r="D824" s="408" t="s">
        <v>7080</v>
      </c>
      <c r="E824" s="410" t="s">
        <v>6233</v>
      </c>
      <c r="F824" s="408" t="s">
        <v>159</v>
      </c>
      <c r="G824" s="408" t="s">
        <v>218</v>
      </c>
      <c r="H824" s="409" t="s">
        <v>255</v>
      </c>
      <c r="I824" s="409" t="s">
        <v>66</v>
      </c>
      <c r="J824" s="411">
        <v>823.0</v>
      </c>
    </row>
    <row r="825">
      <c r="A825" s="413"/>
      <c r="B825" s="413"/>
      <c r="C825" s="414"/>
      <c r="D825" s="408" t="s">
        <v>7081</v>
      </c>
      <c r="E825" s="410" t="s">
        <v>6233</v>
      </c>
      <c r="F825" s="408" t="s">
        <v>89</v>
      </c>
      <c r="G825" s="408" t="s">
        <v>218</v>
      </c>
      <c r="H825" s="409" t="s">
        <v>103</v>
      </c>
      <c r="I825" s="409" t="s">
        <v>66</v>
      </c>
      <c r="J825" s="411">
        <v>824.0</v>
      </c>
    </row>
    <row r="826">
      <c r="A826" s="413"/>
      <c r="B826" s="413"/>
      <c r="C826" s="414"/>
      <c r="D826" s="408" t="s">
        <v>7082</v>
      </c>
      <c r="E826" s="410" t="s">
        <v>6233</v>
      </c>
      <c r="F826" s="408" t="s">
        <v>89</v>
      </c>
      <c r="G826" s="408" t="s">
        <v>90</v>
      </c>
      <c r="H826" s="409" t="s">
        <v>83</v>
      </c>
      <c r="I826" s="409" t="s">
        <v>66</v>
      </c>
      <c r="J826" s="411">
        <v>825.0</v>
      </c>
    </row>
    <row r="827">
      <c r="A827" s="413"/>
      <c r="B827" s="413"/>
      <c r="C827" s="414"/>
      <c r="D827" s="408" t="s">
        <v>7083</v>
      </c>
      <c r="E827" s="410" t="s">
        <v>6233</v>
      </c>
      <c r="F827" s="408" t="s">
        <v>159</v>
      </c>
      <c r="G827" s="408" t="s">
        <v>2572</v>
      </c>
      <c r="H827" s="409" t="s">
        <v>83</v>
      </c>
      <c r="I827" s="409" t="s">
        <v>66</v>
      </c>
      <c r="J827" s="411">
        <v>826.0</v>
      </c>
    </row>
    <row r="828">
      <c r="A828" s="413"/>
      <c r="B828" s="413"/>
      <c r="C828" s="414"/>
      <c r="D828" s="408" t="s">
        <v>7084</v>
      </c>
      <c r="E828" s="410" t="s">
        <v>6231</v>
      </c>
      <c r="F828" s="408" t="s">
        <v>89</v>
      </c>
      <c r="G828" s="408" t="s">
        <v>337</v>
      </c>
      <c r="H828" s="409" t="s">
        <v>83</v>
      </c>
      <c r="I828" s="409" t="s">
        <v>66</v>
      </c>
      <c r="J828" s="411">
        <v>827.0</v>
      </c>
    </row>
    <row r="829">
      <c r="A829" s="413"/>
      <c r="B829" s="413"/>
      <c r="C829" s="414"/>
      <c r="D829" s="408" t="s">
        <v>7085</v>
      </c>
      <c r="E829" s="410" t="s">
        <v>6229</v>
      </c>
      <c r="F829" s="408" t="s">
        <v>159</v>
      </c>
      <c r="G829" s="408" t="s">
        <v>259</v>
      </c>
      <c r="H829" s="409" t="s">
        <v>255</v>
      </c>
      <c r="I829" s="409" t="s">
        <v>66</v>
      </c>
      <c r="J829" s="411">
        <v>828.0</v>
      </c>
    </row>
    <row r="830">
      <c r="A830" s="413"/>
      <c r="B830" s="413"/>
      <c r="C830" s="414"/>
      <c r="D830" s="408" t="s">
        <v>7086</v>
      </c>
      <c r="E830" s="410" t="s">
        <v>6231</v>
      </c>
      <c r="F830" s="408" t="s">
        <v>159</v>
      </c>
      <c r="G830" s="408" t="s">
        <v>2663</v>
      </c>
      <c r="H830" s="409" t="s">
        <v>83</v>
      </c>
      <c r="I830" s="409" t="s">
        <v>66</v>
      </c>
      <c r="J830" s="411">
        <v>829.0</v>
      </c>
    </row>
    <row r="831">
      <c r="A831" s="413"/>
      <c r="B831" s="413"/>
      <c r="C831" s="414"/>
      <c r="D831" s="408" t="s">
        <v>7087</v>
      </c>
      <c r="E831" s="410" t="s">
        <v>6231</v>
      </c>
      <c r="F831" s="408" t="s">
        <v>89</v>
      </c>
      <c r="G831" s="408" t="s">
        <v>2710</v>
      </c>
      <c r="H831" s="409" t="s">
        <v>83</v>
      </c>
      <c r="I831" s="409" t="s">
        <v>66</v>
      </c>
      <c r="J831" s="411">
        <v>830.0</v>
      </c>
    </row>
    <row r="832">
      <c r="A832" s="413"/>
      <c r="B832" s="413"/>
      <c r="C832" s="414"/>
      <c r="D832" s="408" t="s">
        <v>7088</v>
      </c>
      <c r="E832" s="410" t="s">
        <v>6233</v>
      </c>
      <c r="F832" s="408" t="s">
        <v>89</v>
      </c>
      <c r="G832" s="412"/>
      <c r="H832" s="409" t="s">
        <v>83</v>
      </c>
      <c r="I832" s="409" t="s">
        <v>66</v>
      </c>
      <c r="J832" s="411">
        <v>831.0</v>
      </c>
    </row>
    <row r="833">
      <c r="A833" s="413"/>
      <c r="B833" s="413"/>
      <c r="C833" s="414"/>
      <c r="D833" s="408" t="s">
        <v>7089</v>
      </c>
      <c r="E833" s="410" t="s">
        <v>6231</v>
      </c>
      <c r="F833" s="408" t="s">
        <v>159</v>
      </c>
      <c r="G833" s="412"/>
      <c r="H833" s="409" t="s">
        <v>83</v>
      </c>
      <c r="I833" s="409" t="s">
        <v>66</v>
      </c>
      <c r="J833" s="411">
        <v>832.0</v>
      </c>
    </row>
    <row r="834">
      <c r="A834" s="413"/>
      <c r="B834" s="413"/>
      <c r="C834" s="414"/>
      <c r="D834" s="408" t="s">
        <v>7090</v>
      </c>
      <c r="E834" s="410" t="s">
        <v>6233</v>
      </c>
      <c r="F834" s="408" t="s">
        <v>89</v>
      </c>
      <c r="G834" s="408" t="s">
        <v>2016</v>
      </c>
      <c r="H834" s="409" t="s">
        <v>83</v>
      </c>
      <c r="I834" s="409" t="s">
        <v>66</v>
      </c>
      <c r="J834" s="411">
        <v>833.0</v>
      </c>
    </row>
    <row r="835">
      <c r="A835" s="413"/>
      <c r="B835" s="413"/>
      <c r="C835" s="414"/>
      <c r="D835" s="408" t="s">
        <v>7091</v>
      </c>
      <c r="E835" s="410" t="s">
        <v>6244</v>
      </c>
      <c r="F835" s="408" t="s">
        <v>89</v>
      </c>
      <c r="G835" s="408" t="s">
        <v>1214</v>
      </c>
      <c r="H835" s="409" t="s">
        <v>83</v>
      </c>
      <c r="I835" s="409" t="s">
        <v>66</v>
      </c>
      <c r="J835" s="411">
        <v>834.0</v>
      </c>
    </row>
    <row r="836">
      <c r="A836" s="413"/>
      <c r="B836" s="413"/>
      <c r="C836" s="414"/>
      <c r="D836" s="408" t="s">
        <v>7092</v>
      </c>
      <c r="E836" s="410" t="s">
        <v>6233</v>
      </c>
      <c r="F836" s="408" t="s">
        <v>89</v>
      </c>
      <c r="G836" s="408" t="s">
        <v>218</v>
      </c>
      <c r="H836" s="409" t="s">
        <v>183</v>
      </c>
      <c r="I836" s="409" t="s">
        <v>66</v>
      </c>
      <c r="J836" s="411">
        <v>835.0</v>
      </c>
    </row>
    <row r="837">
      <c r="A837" s="413"/>
      <c r="B837" s="413"/>
      <c r="C837" s="414"/>
      <c r="D837" s="408" t="s">
        <v>7093</v>
      </c>
      <c r="E837" s="410" t="s">
        <v>6231</v>
      </c>
      <c r="F837" s="408" t="s">
        <v>89</v>
      </c>
      <c r="G837" s="408" t="s">
        <v>218</v>
      </c>
      <c r="H837" s="409" t="s">
        <v>81</v>
      </c>
      <c r="I837" s="409" t="s">
        <v>66</v>
      </c>
      <c r="J837" s="411">
        <v>836.0</v>
      </c>
    </row>
    <row r="838">
      <c r="A838" s="413"/>
      <c r="B838" s="413"/>
      <c r="C838" s="414"/>
      <c r="D838" s="408" t="s">
        <v>7094</v>
      </c>
      <c r="E838" s="410" t="s">
        <v>6231</v>
      </c>
      <c r="F838" s="408" t="s">
        <v>159</v>
      </c>
      <c r="G838" s="408" t="s">
        <v>218</v>
      </c>
      <c r="H838" s="409" t="s">
        <v>83</v>
      </c>
      <c r="I838" s="409" t="s">
        <v>66</v>
      </c>
      <c r="J838" s="411">
        <v>837.0</v>
      </c>
    </row>
    <row r="839">
      <c r="A839" s="413"/>
      <c r="B839" s="413"/>
      <c r="C839" s="414"/>
      <c r="D839" s="408" t="s">
        <v>7095</v>
      </c>
      <c r="E839" s="410" t="s">
        <v>6231</v>
      </c>
      <c r="F839" s="408" t="s">
        <v>89</v>
      </c>
      <c r="G839" s="408" t="s">
        <v>1811</v>
      </c>
      <c r="H839" s="409" t="s">
        <v>83</v>
      </c>
      <c r="I839" s="409" t="s">
        <v>66</v>
      </c>
      <c r="J839" s="411">
        <v>838.0</v>
      </c>
    </row>
    <row r="840">
      <c r="A840" s="413"/>
      <c r="B840" s="413"/>
      <c r="C840" s="414"/>
      <c r="D840" s="408" t="s">
        <v>7096</v>
      </c>
      <c r="E840" s="410" t="s">
        <v>6233</v>
      </c>
      <c r="F840" s="408" t="s">
        <v>159</v>
      </c>
      <c r="G840" s="408" t="s">
        <v>218</v>
      </c>
      <c r="H840" s="409" t="s">
        <v>183</v>
      </c>
      <c r="I840" s="409" t="s">
        <v>66</v>
      </c>
      <c r="J840" s="411">
        <v>839.0</v>
      </c>
    </row>
    <row r="841">
      <c r="A841" s="413"/>
      <c r="B841" s="413"/>
      <c r="C841" s="414"/>
      <c r="D841" s="408" t="s">
        <v>7097</v>
      </c>
      <c r="E841" s="410" t="s">
        <v>6231</v>
      </c>
      <c r="F841" s="408" t="s">
        <v>159</v>
      </c>
      <c r="G841" s="408" t="s">
        <v>1354</v>
      </c>
      <c r="H841" s="409" t="s">
        <v>83</v>
      </c>
      <c r="I841" s="409" t="s">
        <v>66</v>
      </c>
      <c r="J841" s="411">
        <v>840.0</v>
      </c>
    </row>
    <row r="842">
      <c r="A842" s="413"/>
      <c r="B842" s="413"/>
      <c r="C842" s="414"/>
      <c r="D842" s="408" t="s">
        <v>7098</v>
      </c>
      <c r="E842" s="410" t="s">
        <v>6229</v>
      </c>
      <c r="F842" s="408" t="s">
        <v>89</v>
      </c>
      <c r="G842" s="408" t="s">
        <v>1464</v>
      </c>
      <c r="H842" s="409" t="s">
        <v>53</v>
      </c>
      <c r="I842" s="409" t="s">
        <v>66</v>
      </c>
      <c r="J842" s="411">
        <v>841.0</v>
      </c>
    </row>
    <row r="843">
      <c r="A843" s="407">
        <v>41.0</v>
      </c>
      <c r="B843" s="408" t="s">
        <v>365</v>
      </c>
      <c r="C843" s="409">
        <v>1.0</v>
      </c>
      <c r="D843" s="408" t="s">
        <v>7099</v>
      </c>
      <c r="E843" s="410" t="s">
        <v>7100</v>
      </c>
      <c r="F843" s="408" t="s">
        <v>159</v>
      </c>
      <c r="G843" s="408" t="s">
        <v>366</v>
      </c>
      <c r="H843" s="409" t="s">
        <v>255</v>
      </c>
      <c r="I843" s="409" t="s">
        <v>66</v>
      </c>
      <c r="J843" s="411">
        <v>842.0</v>
      </c>
    </row>
    <row r="844">
      <c r="A844" s="407">
        <v>42.0</v>
      </c>
      <c r="B844" s="408" t="s">
        <v>7101</v>
      </c>
      <c r="C844" s="409">
        <v>9.0</v>
      </c>
      <c r="D844" s="408" t="s">
        <v>7102</v>
      </c>
      <c r="E844" s="410" t="s">
        <v>6231</v>
      </c>
      <c r="F844" s="408" t="s">
        <v>89</v>
      </c>
      <c r="G844" s="408" t="s">
        <v>243</v>
      </c>
      <c r="H844" s="409" t="s">
        <v>81</v>
      </c>
      <c r="I844" s="409" t="s">
        <v>5</v>
      </c>
      <c r="J844" s="411">
        <v>843.0</v>
      </c>
    </row>
    <row r="845">
      <c r="A845" s="413"/>
      <c r="B845" s="413"/>
      <c r="C845" s="414"/>
      <c r="D845" s="408" t="s">
        <v>7103</v>
      </c>
      <c r="E845" s="410" t="s">
        <v>6231</v>
      </c>
      <c r="F845" s="408" t="s">
        <v>89</v>
      </c>
      <c r="G845" s="408" t="s">
        <v>230</v>
      </c>
      <c r="H845" s="409" t="s">
        <v>81</v>
      </c>
      <c r="I845" s="409" t="s">
        <v>5</v>
      </c>
      <c r="J845" s="411">
        <v>844.0</v>
      </c>
    </row>
    <row r="846">
      <c r="A846" s="413"/>
      <c r="B846" s="413"/>
      <c r="C846" s="414"/>
      <c r="D846" s="408" t="s">
        <v>7104</v>
      </c>
      <c r="E846" s="410" t="s">
        <v>6231</v>
      </c>
      <c r="F846" s="408" t="s">
        <v>89</v>
      </c>
      <c r="G846" s="408" t="s">
        <v>2185</v>
      </c>
      <c r="H846" s="409" t="s">
        <v>81</v>
      </c>
      <c r="I846" s="409" t="s">
        <v>5</v>
      </c>
      <c r="J846" s="411">
        <v>845.0</v>
      </c>
    </row>
    <row r="847">
      <c r="A847" s="413"/>
      <c r="B847" s="413"/>
      <c r="C847" s="414"/>
      <c r="D847" s="408" t="s">
        <v>7105</v>
      </c>
      <c r="E847" s="410" t="s">
        <v>6231</v>
      </c>
      <c r="F847" s="408" t="s">
        <v>89</v>
      </c>
      <c r="G847" s="408" t="s">
        <v>230</v>
      </c>
      <c r="H847" s="409" t="s">
        <v>81</v>
      </c>
      <c r="I847" s="409" t="s">
        <v>5</v>
      </c>
      <c r="J847" s="411">
        <v>846.0</v>
      </c>
    </row>
    <row r="848">
      <c r="A848" s="413"/>
      <c r="B848" s="413"/>
      <c r="C848" s="414"/>
      <c r="D848" s="408" t="s">
        <v>7106</v>
      </c>
      <c r="E848" s="410" t="s">
        <v>6231</v>
      </c>
      <c r="F848" s="408" t="s">
        <v>89</v>
      </c>
      <c r="G848" s="408" t="s">
        <v>230</v>
      </c>
      <c r="H848" s="409" t="s">
        <v>81</v>
      </c>
      <c r="I848" s="409" t="s">
        <v>5</v>
      </c>
      <c r="J848" s="411">
        <v>847.0</v>
      </c>
    </row>
    <row r="849">
      <c r="A849" s="413"/>
      <c r="B849" s="413"/>
      <c r="C849" s="414"/>
      <c r="D849" s="408" t="s">
        <v>7107</v>
      </c>
      <c r="E849" s="410" t="s">
        <v>6231</v>
      </c>
      <c r="F849" s="408" t="s">
        <v>89</v>
      </c>
      <c r="G849" s="408" t="s">
        <v>230</v>
      </c>
      <c r="H849" s="409" t="s">
        <v>81</v>
      </c>
      <c r="I849" s="409" t="s">
        <v>5</v>
      </c>
      <c r="J849" s="411">
        <v>848.0</v>
      </c>
    </row>
    <row r="850">
      <c r="A850" s="413"/>
      <c r="B850" s="413"/>
      <c r="C850" s="414"/>
      <c r="D850" s="408" t="s">
        <v>7108</v>
      </c>
      <c r="E850" s="410" t="s">
        <v>6231</v>
      </c>
      <c r="F850" s="408" t="s">
        <v>89</v>
      </c>
      <c r="G850" s="408" t="s">
        <v>243</v>
      </c>
      <c r="H850" s="409" t="s">
        <v>81</v>
      </c>
      <c r="I850" s="409" t="s">
        <v>5</v>
      </c>
      <c r="J850" s="411">
        <v>849.0</v>
      </c>
    </row>
    <row r="851">
      <c r="A851" s="412"/>
      <c r="B851" s="412"/>
      <c r="C851" s="415"/>
      <c r="D851" s="408" t="s">
        <v>7109</v>
      </c>
      <c r="E851" s="410" t="s">
        <v>6231</v>
      </c>
      <c r="F851" s="408" t="s">
        <v>89</v>
      </c>
      <c r="G851" s="408" t="s">
        <v>160</v>
      </c>
      <c r="H851" s="409" t="s">
        <v>81</v>
      </c>
      <c r="I851" s="409" t="s">
        <v>5</v>
      </c>
      <c r="J851" s="411">
        <v>850.0</v>
      </c>
    </row>
    <row r="852">
      <c r="A852" s="412"/>
      <c r="B852" s="412"/>
      <c r="C852" s="415"/>
      <c r="D852" s="408" t="s">
        <v>7110</v>
      </c>
      <c r="E852" s="410" t="s">
        <v>6231</v>
      </c>
      <c r="F852" s="408" t="s">
        <v>89</v>
      </c>
      <c r="G852" s="408" t="s">
        <v>647</v>
      </c>
      <c r="H852" s="409" t="s">
        <v>81</v>
      </c>
      <c r="I852" s="409" t="s">
        <v>5</v>
      </c>
      <c r="J852" s="411">
        <v>851.0</v>
      </c>
    </row>
    <row r="853">
      <c r="C853" s="416"/>
      <c r="E853" s="417"/>
      <c r="H853" s="416"/>
      <c r="I853" s="416"/>
    </row>
    <row r="854">
      <c r="C854" s="416"/>
      <c r="E854" s="417"/>
      <c r="H854" s="416"/>
      <c r="I854" s="416"/>
    </row>
    <row r="855">
      <c r="C855" s="416"/>
      <c r="E855" s="417"/>
      <c r="H855" s="416"/>
      <c r="I855" s="416"/>
    </row>
    <row r="856">
      <c r="C856" s="416"/>
      <c r="E856" s="417"/>
      <c r="H856" s="416"/>
      <c r="I856" s="416"/>
    </row>
    <row r="857">
      <c r="C857" s="416"/>
      <c r="E857" s="417"/>
      <c r="H857" s="416"/>
      <c r="I857" s="416"/>
    </row>
    <row r="858">
      <c r="C858" s="416"/>
      <c r="E858" s="417"/>
      <c r="H858" s="416"/>
      <c r="I858" s="416"/>
    </row>
    <row r="859">
      <c r="C859" s="416"/>
      <c r="E859" s="417"/>
      <c r="H859" s="416"/>
      <c r="I859" s="416"/>
    </row>
    <row r="860">
      <c r="C860" s="416"/>
      <c r="E860" s="417"/>
      <c r="H860" s="416"/>
      <c r="I860" s="416"/>
    </row>
    <row r="861">
      <c r="C861" s="416"/>
      <c r="E861" s="417"/>
      <c r="H861" s="416"/>
      <c r="I861" s="416"/>
    </row>
    <row r="862">
      <c r="C862" s="416"/>
      <c r="E862" s="417"/>
      <c r="H862" s="416"/>
      <c r="I862" s="416"/>
    </row>
    <row r="863">
      <c r="C863" s="416"/>
      <c r="E863" s="417"/>
      <c r="H863" s="416"/>
      <c r="I863" s="416"/>
    </row>
    <row r="864">
      <c r="C864" s="416"/>
      <c r="E864" s="417"/>
      <c r="H864" s="416"/>
      <c r="I864" s="416"/>
    </row>
    <row r="865">
      <c r="C865" s="416"/>
      <c r="E865" s="417"/>
      <c r="H865" s="416"/>
      <c r="I865" s="416"/>
    </row>
    <row r="866">
      <c r="C866" s="416"/>
      <c r="E866" s="417"/>
      <c r="H866" s="416"/>
      <c r="I866" s="416"/>
    </row>
    <row r="867">
      <c r="C867" s="416"/>
      <c r="E867" s="417"/>
      <c r="H867" s="416"/>
      <c r="I867" s="416"/>
    </row>
    <row r="868">
      <c r="C868" s="416"/>
      <c r="E868" s="417"/>
      <c r="H868" s="416"/>
      <c r="I868" s="416"/>
    </row>
    <row r="869">
      <c r="C869" s="416"/>
      <c r="E869" s="417"/>
      <c r="H869" s="416"/>
      <c r="I869" s="416"/>
    </row>
    <row r="870">
      <c r="C870" s="416"/>
      <c r="E870" s="417"/>
      <c r="H870" s="416"/>
      <c r="I870" s="416"/>
    </row>
    <row r="871">
      <c r="C871" s="416"/>
      <c r="E871" s="417"/>
      <c r="H871" s="416"/>
      <c r="I871" s="416"/>
    </row>
    <row r="872">
      <c r="C872" s="416"/>
      <c r="E872" s="417"/>
      <c r="H872" s="416"/>
      <c r="I872" s="416"/>
    </row>
    <row r="873">
      <c r="C873" s="416"/>
      <c r="E873" s="417"/>
      <c r="H873" s="416"/>
      <c r="I873" s="416"/>
    </row>
    <row r="874">
      <c r="C874" s="416"/>
      <c r="E874" s="417"/>
      <c r="H874" s="416"/>
      <c r="I874" s="416"/>
    </row>
    <row r="875">
      <c r="C875" s="416"/>
      <c r="E875" s="417"/>
      <c r="H875" s="416"/>
      <c r="I875" s="416"/>
    </row>
    <row r="876">
      <c r="C876" s="416"/>
      <c r="E876" s="417"/>
      <c r="H876" s="416"/>
      <c r="I876" s="416"/>
    </row>
    <row r="877">
      <c r="C877" s="416"/>
      <c r="E877" s="417"/>
      <c r="H877" s="416"/>
      <c r="I877" s="416"/>
    </row>
    <row r="878">
      <c r="C878" s="416"/>
      <c r="E878" s="417"/>
      <c r="H878" s="416"/>
      <c r="I878" s="416"/>
    </row>
    <row r="879">
      <c r="C879" s="416"/>
      <c r="E879" s="417"/>
      <c r="H879" s="416"/>
      <c r="I879" s="416"/>
    </row>
    <row r="880">
      <c r="C880" s="416"/>
      <c r="E880" s="417"/>
      <c r="H880" s="416"/>
      <c r="I880" s="416"/>
    </row>
    <row r="881">
      <c r="C881" s="416"/>
      <c r="E881" s="417"/>
      <c r="H881" s="416"/>
      <c r="I881" s="416"/>
    </row>
    <row r="882">
      <c r="C882" s="416"/>
      <c r="E882" s="417"/>
      <c r="H882" s="416"/>
      <c r="I882" s="416"/>
    </row>
    <row r="883">
      <c r="C883" s="416"/>
      <c r="E883" s="417"/>
      <c r="H883" s="416"/>
      <c r="I883" s="416"/>
    </row>
    <row r="884">
      <c r="C884" s="416"/>
      <c r="E884" s="417"/>
      <c r="H884" s="416"/>
      <c r="I884" s="416"/>
    </row>
    <row r="885">
      <c r="C885" s="416"/>
      <c r="E885" s="417"/>
      <c r="H885" s="416"/>
      <c r="I885" s="416"/>
    </row>
    <row r="886">
      <c r="C886" s="416"/>
      <c r="E886" s="417"/>
      <c r="H886" s="416"/>
      <c r="I886" s="416"/>
    </row>
    <row r="887">
      <c r="C887" s="416"/>
      <c r="E887" s="417"/>
      <c r="H887" s="416"/>
      <c r="I887" s="416"/>
    </row>
    <row r="888">
      <c r="C888" s="416"/>
      <c r="E888" s="417"/>
      <c r="H888" s="416"/>
      <c r="I888" s="416"/>
    </row>
    <row r="889">
      <c r="C889" s="416"/>
      <c r="E889" s="417"/>
      <c r="H889" s="416"/>
      <c r="I889" s="416"/>
    </row>
    <row r="890">
      <c r="C890" s="416"/>
      <c r="E890" s="417"/>
      <c r="H890" s="416"/>
      <c r="I890" s="416"/>
    </row>
    <row r="891">
      <c r="C891" s="416"/>
      <c r="E891" s="417"/>
      <c r="H891" s="416"/>
      <c r="I891" s="416"/>
    </row>
    <row r="892">
      <c r="C892" s="416"/>
      <c r="E892" s="417"/>
      <c r="H892" s="416"/>
      <c r="I892" s="416"/>
    </row>
    <row r="893">
      <c r="C893" s="416"/>
      <c r="E893" s="417"/>
      <c r="H893" s="416"/>
      <c r="I893" s="416"/>
    </row>
    <row r="894">
      <c r="C894" s="416"/>
      <c r="E894" s="417"/>
      <c r="H894" s="416"/>
      <c r="I894" s="416"/>
    </row>
    <row r="895">
      <c r="C895" s="416"/>
      <c r="E895" s="417"/>
      <c r="H895" s="416"/>
      <c r="I895" s="416"/>
    </row>
    <row r="896">
      <c r="C896" s="416"/>
      <c r="E896" s="417"/>
      <c r="H896" s="416"/>
      <c r="I896" s="416"/>
    </row>
    <row r="897">
      <c r="C897" s="416"/>
      <c r="E897" s="417"/>
      <c r="H897" s="416"/>
      <c r="I897" s="416"/>
    </row>
    <row r="898">
      <c r="C898" s="416"/>
      <c r="E898" s="417"/>
      <c r="H898" s="416"/>
      <c r="I898" s="416"/>
    </row>
    <row r="899">
      <c r="C899" s="416"/>
      <c r="E899" s="417"/>
      <c r="H899" s="416"/>
      <c r="I899" s="416"/>
    </row>
    <row r="900">
      <c r="C900" s="416"/>
      <c r="E900" s="417"/>
      <c r="H900" s="416"/>
      <c r="I900" s="416"/>
    </row>
    <row r="901">
      <c r="C901" s="416"/>
      <c r="E901" s="417"/>
      <c r="H901" s="416"/>
      <c r="I901" s="416"/>
    </row>
    <row r="902">
      <c r="C902" s="416"/>
      <c r="E902" s="417"/>
      <c r="H902" s="416"/>
      <c r="I902" s="416"/>
    </row>
    <row r="903">
      <c r="C903" s="416"/>
      <c r="E903" s="417"/>
      <c r="H903" s="416"/>
      <c r="I903" s="416"/>
    </row>
    <row r="904">
      <c r="C904" s="416"/>
      <c r="E904" s="417"/>
      <c r="H904" s="416"/>
      <c r="I904" s="416"/>
    </row>
    <row r="905">
      <c r="C905" s="416"/>
      <c r="E905" s="417"/>
      <c r="H905" s="416"/>
      <c r="I905" s="416"/>
    </row>
    <row r="906">
      <c r="C906" s="416"/>
      <c r="E906" s="417"/>
      <c r="H906" s="416"/>
      <c r="I906" s="416"/>
    </row>
    <row r="907">
      <c r="C907" s="416"/>
      <c r="E907" s="417"/>
      <c r="H907" s="416"/>
      <c r="I907" s="416"/>
    </row>
    <row r="908">
      <c r="C908" s="416"/>
      <c r="E908" s="417"/>
      <c r="H908" s="416"/>
      <c r="I908" s="416"/>
    </row>
    <row r="909">
      <c r="C909" s="416"/>
      <c r="E909" s="417"/>
      <c r="H909" s="416"/>
      <c r="I909" s="416"/>
    </row>
    <row r="910">
      <c r="C910" s="416"/>
      <c r="E910" s="417"/>
      <c r="H910" s="416"/>
      <c r="I910" s="416"/>
    </row>
    <row r="911">
      <c r="C911" s="416"/>
      <c r="E911" s="417"/>
      <c r="H911" s="416"/>
      <c r="I911" s="416"/>
    </row>
    <row r="912">
      <c r="C912" s="416"/>
      <c r="E912" s="417"/>
      <c r="H912" s="416"/>
      <c r="I912" s="416"/>
    </row>
    <row r="913">
      <c r="C913" s="416"/>
      <c r="E913" s="417"/>
      <c r="H913" s="416"/>
      <c r="I913" s="416"/>
    </row>
    <row r="914">
      <c r="C914" s="416"/>
      <c r="E914" s="417"/>
      <c r="H914" s="416"/>
      <c r="I914" s="416"/>
    </row>
    <row r="915">
      <c r="C915" s="416"/>
      <c r="E915" s="417"/>
      <c r="H915" s="416"/>
      <c r="I915" s="416"/>
    </row>
    <row r="916">
      <c r="C916" s="416"/>
      <c r="E916" s="417"/>
      <c r="H916" s="416"/>
      <c r="I916" s="416"/>
    </row>
    <row r="917">
      <c r="C917" s="416"/>
      <c r="E917" s="417"/>
      <c r="H917" s="416"/>
      <c r="I917" s="416"/>
    </row>
    <row r="918">
      <c r="C918" s="416"/>
      <c r="E918" s="417"/>
      <c r="H918" s="416"/>
      <c r="I918" s="416"/>
    </row>
    <row r="919">
      <c r="C919" s="416"/>
      <c r="E919" s="417"/>
      <c r="H919" s="416"/>
      <c r="I919" s="416"/>
    </row>
    <row r="920">
      <c r="C920" s="416"/>
      <c r="E920" s="417"/>
      <c r="H920" s="416"/>
      <c r="I920" s="416"/>
    </row>
    <row r="921">
      <c r="C921" s="416"/>
      <c r="E921" s="417"/>
      <c r="H921" s="416"/>
      <c r="I921" s="416"/>
    </row>
    <row r="922">
      <c r="C922" s="416"/>
      <c r="E922" s="417"/>
      <c r="H922" s="416"/>
      <c r="I922" s="416"/>
    </row>
    <row r="923">
      <c r="C923" s="416"/>
      <c r="E923" s="417"/>
      <c r="H923" s="416"/>
      <c r="I923" s="416"/>
    </row>
    <row r="924">
      <c r="C924" s="416"/>
      <c r="E924" s="417"/>
      <c r="H924" s="416"/>
      <c r="I924" s="416"/>
    </row>
    <row r="925">
      <c r="C925" s="416"/>
      <c r="E925" s="417"/>
      <c r="H925" s="416"/>
      <c r="I925" s="416"/>
    </row>
    <row r="926">
      <c r="C926" s="416"/>
      <c r="E926" s="417"/>
      <c r="H926" s="416"/>
      <c r="I926" s="416"/>
    </row>
    <row r="927">
      <c r="C927" s="416"/>
      <c r="E927" s="417"/>
      <c r="H927" s="416"/>
      <c r="I927" s="416"/>
    </row>
    <row r="928">
      <c r="C928" s="416"/>
      <c r="E928" s="417"/>
      <c r="H928" s="416"/>
      <c r="I928" s="416"/>
    </row>
    <row r="929">
      <c r="C929" s="416"/>
      <c r="E929" s="417"/>
      <c r="H929" s="416"/>
      <c r="I929" s="416"/>
    </row>
    <row r="930">
      <c r="C930" s="416"/>
      <c r="E930" s="417"/>
      <c r="H930" s="416"/>
      <c r="I930" s="416"/>
    </row>
    <row r="931">
      <c r="C931" s="416"/>
      <c r="E931" s="417"/>
      <c r="H931" s="416"/>
      <c r="I931" s="416"/>
    </row>
    <row r="932">
      <c r="C932" s="416"/>
      <c r="E932" s="417"/>
      <c r="H932" s="416"/>
      <c r="I932" s="416"/>
    </row>
    <row r="933">
      <c r="C933" s="416"/>
      <c r="E933" s="417"/>
      <c r="H933" s="416"/>
      <c r="I933" s="416"/>
    </row>
    <row r="934">
      <c r="C934" s="416"/>
      <c r="E934" s="417"/>
      <c r="H934" s="416"/>
      <c r="I934" s="416"/>
    </row>
    <row r="935">
      <c r="C935" s="416"/>
      <c r="E935" s="417"/>
      <c r="H935" s="416"/>
      <c r="I935" s="416"/>
    </row>
    <row r="936">
      <c r="C936" s="416"/>
      <c r="E936" s="417"/>
      <c r="H936" s="416"/>
      <c r="I936" s="416"/>
    </row>
    <row r="937">
      <c r="C937" s="416"/>
      <c r="E937" s="417"/>
      <c r="H937" s="416"/>
      <c r="I937" s="416"/>
    </row>
    <row r="938">
      <c r="C938" s="416"/>
      <c r="E938" s="417"/>
      <c r="H938" s="416"/>
      <c r="I938" s="416"/>
    </row>
    <row r="939">
      <c r="C939" s="416"/>
      <c r="E939" s="417"/>
      <c r="H939" s="416"/>
      <c r="I939" s="416"/>
    </row>
    <row r="940">
      <c r="C940" s="416"/>
      <c r="E940" s="417"/>
      <c r="H940" s="416"/>
      <c r="I940" s="416"/>
    </row>
    <row r="941">
      <c r="C941" s="416"/>
      <c r="E941" s="417"/>
      <c r="H941" s="416"/>
      <c r="I941" s="416"/>
    </row>
    <row r="942">
      <c r="C942" s="416"/>
      <c r="E942" s="417"/>
      <c r="H942" s="416"/>
      <c r="I942" s="416"/>
    </row>
    <row r="943">
      <c r="C943" s="416"/>
      <c r="E943" s="417"/>
      <c r="H943" s="416"/>
      <c r="I943" s="416"/>
    </row>
    <row r="944">
      <c r="C944" s="416"/>
      <c r="E944" s="417"/>
      <c r="H944" s="416"/>
      <c r="I944" s="416"/>
    </row>
    <row r="945">
      <c r="C945" s="416"/>
      <c r="E945" s="417"/>
      <c r="H945" s="416"/>
      <c r="I945" s="416"/>
    </row>
    <row r="946">
      <c r="C946" s="416"/>
      <c r="E946" s="417"/>
      <c r="H946" s="416"/>
      <c r="I946" s="416"/>
    </row>
    <row r="947">
      <c r="C947" s="416"/>
      <c r="E947" s="417"/>
      <c r="H947" s="416"/>
      <c r="I947" s="416"/>
    </row>
    <row r="948">
      <c r="C948" s="416"/>
      <c r="E948" s="417"/>
      <c r="H948" s="416"/>
      <c r="I948" s="416"/>
    </row>
    <row r="949">
      <c r="C949" s="416"/>
      <c r="E949" s="417"/>
      <c r="H949" s="416"/>
      <c r="I949" s="416"/>
    </row>
    <row r="950">
      <c r="C950" s="416"/>
      <c r="E950" s="417"/>
      <c r="H950" s="416"/>
      <c r="I950" s="416"/>
    </row>
    <row r="951">
      <c r="C951" s="416"/>
      <c r="E951" s="417"/>
      <c r="H951" s="416"/>
      <c r="I951" s="416"/>
    </row>
    <row r="952">
      <c r="C952" s="416"/>
      <c r="E952" s="417"/>
      <c r="H952" s="416"/>
      <c r="I952" s="416"/>
    </row>
    <row r="953">
      <c r="C953" s="416"/>
      <c r="E953" s="417"/>
      <c r="H953" s="416"/>
      <c r="I953" s="416"/>
    </row>
    <row r="954">
      <c r="C954" s="416"/>
      <c r="E954" s="417"/>
      <c r="H954" s="416"/>
      <c r="I954" s="416"/>
    </row>
    <row r="955">
      <c r="C955" s="416"/>
      <c r="E955" s="417"/>
      <c r="H955" s="416"/>
      <c r="I955" s="416"/>
    </row>
    <row r="956">
      <c r="C956" s="416"/>
      <c r="E956" s="417"/>
      <c r="H956" s="416"/>
      <c r="I956" s="416"/>
    </row>
    <row r="957">
      <c r="C957" s="416"/>
      <c r="E957" s="417"/>
      <c r="H957" s="416"/>
      <c r="I957" s="416"/>
    </row>
    <row r="958">
      <c r="C958" s="416"/>
      <c r="E958" s="417"/>
      <c r="H958" s="416"/>
      <c r="I958" s="416"/>
    </row>
    <row r="959">
      <c r="C959" s="416"/>
      <c r="E959" s="417"/>
      <c r="H959" s="416"/>
      <c r="I959" s="416"/>
    </row>
    <row r="960">
      <c r="C960" s="416"/>
      <c r="E960" s="417"/>
      <c r="H960" s="416"/>
      <c r="I960" s="416"/>
    </row>
    <row r="961">
      <c r="C961" s="416"/>
      <c r="E961" s="417"/>
      <c r="H961" s="416"/>
      <c r="I961" s="416"/>
    </row>
    <row r="962">
      <c r="C962" s="416"/>
      <c r="E962" s="417"/>
      <c r="H962" s="416"/>
      <c r="I962" s="416"/>
    </row>
    <row r="963">
      <c r="C963" s="416"/>
      <c r="E963" s="417"/>
      <c r="H963" s="416"/>
      <c r="I963" s="416"/>
    </row>
    <row r="964">
      <c r="C964" s="416"/>
      <c r="E964" s="417"/>
      <c r="H964" s="416"/>
      <c r="I964" s="416"/>
    </row>
    <row r="965">
      <c r="C965" s="416"/>
      <c r="E965" s="417"/>
      <c r="H965" s="416"/>
      <c r="I965" s="416"/>
    </row>
    <row r="966">
      <c r="C966" s="416"/>
      <c r="E966" s="417"/>
      <c r="H966" s="416"/>
      <c r="I966" s="416"/>
    </row>
    <row r="967">
      <c r="C967" s="416"/>
      <c r="E967" s="417"/>
      <c r="H967" s="416"/>
      <c r="I967" s="416"/>
    </row>
    <row r="968">
      <c r="C968" s="416"/>
      <c r="E968" s="417"/>
      <c r="H968" s="416"/>
      <c r="I968" s="416"/>
    </row>
    <row r="969">
      <c r="C969" s="416"/>
      <c r="E969" s="417"/>
      <c r="H969" s="416"/>
      <c r="I969" s="416"/>
    </row>
    <row r="970">
      <c r="C970" s="416"/>
      <c r="E970" s="417"/>
      <c r="H970" s="416"/>
      <c r="I970" s="416"/>
    </row>
    <row r="971">
      <c r="C971" s="416"/>
      <c r="E971" s="417"/>
      <c r="H971" s="416"/>
      <c r="I971" s="416"/>
    </row>
    <row r="972">
      <c r="C972" s="416"/>
      <c r="E972" s="417"/>
      <c r="H972" s="416"/>
      <c r="I972" s="416"/>
    </row>
    <row r="973">
      <c r="C973" s="416"/>
      <c r="E973" s="417"/>
      <c r="H973" s="416"/>
      <c r="I973" s="416"/>
    </row>
    <row r="974">
      <c r="C974" s="416"/>
      <c r="E974" s="417"/>
      <c r="H974" s="416"/>
      <c r="I974" s="416"/>
    </row>
    <row r="975">
      <c r="C975" s="416"/>
      <c r="E975" s="417"/>
      <c r="H975" s="416"/>
      <c r="I975" s="416"/>
    </row>
    <row r="976">
      <c r="C976" s="416"/>
      <c r="E976" s="417"/>
      <c r="H976" s="416"/>
      <c r="I976" s="416"/>
    </row>
    <row r="977">
      <c r="C977" s="416"/>
      <c r="E977" s="417"/>
      <c r="H977" s="416"/>
      <c r="I977" s="416"/>
    </row>
    <row r="978">
      <c r="C978" s="416"/>
      <c r="E978" s="417"/>
      <c r="H978" s="416"/>
      <c r="I978" s="416"/>
    </row>
    <row r="979">
      <c r="C979" s="416"/>
      <c r="E979" s="417"/>
      <c r="H979" s="416"/>
      <c r="I979" s="416"/>
    </row>
    <row r="980">
      <c r="C980" s="416"/>
      <c r="E980" s="417"/>
      <c r="H980" s="416"/>
      <c r="I980" s="416"/>
    </row>
    <row r="981">
      <c r="C981" s="416"/>
      <c r="E981" s="417"/>
      <c r="H981" s="416"/>
      <c r="I981" s="416"/>
    </row>
    <row r="982">
      <c r="C982" s="416"/>
      <c r="E982" s="417"/>
      <c r="H982" s="416"/>
      <c r="I982" s="416"/>
    </row>
    <row r="983">
      <c r="C983" s="416"/>
      <c r="E983" s="417"/>
      <c r="H983" s="416"/>
      <c r="I983" s="416"/>
    </row>
    <row r="984">
      <c r="C984" s="416"/>
      <c r="E984" s="417"/>
      <c r="H984" s="416"/>
      <c r="I984" s="416"/>
    </row>
    <row r="985">
      <c r="C985" s="416"/>
      <c r="E985" s="417"/>
      <c r="H985" s="416"/>
      <c r="I985" s="416"/>
    </row>
    <row r="986">
      <c r="C986" s="416"/>
      <c r="E986" s="417"/>
      <c r="H986" s="416"/>
      <c r="I986" s="416"/>
    </row>
    <row r="987">
      <c r="C987" s="416"/>
      <c r="E987" s="417"/>
      <c r="H987" s="416"/>
      <c r="I987" s="416"/>
    </row>
    <row r="988">
      <c r="C988" s="416"/>
      <c r="E988" s="417"/>
      <c r="H988" s="416"/>
      <c r="I988" s="416"/>
    </row>
    <row r="989">
      <c r="C989" s="416"/>
      <c r="E989" s="417"/>
      <c r="H989" s="416"/>
      <c r="I989" s="416"/>
    </row>
    <row r="990">
      <c r="C990" s="416"/>
      <c r="E990" s="417"/>
      <c r="H990" s="416"/>
      <c r="I990" s="416"/>
    </row>
    <row r="991">
      <c r="C991" s="416"/>
      <c r="E991" s="417"/>
      <c r="H991" s="416"/>
      <c r="I991" s="416"/>
    </row>
    <row r="992">
      <c r="C992" s="416"/>
      <c r="E992" s="417"/>
      <c r="H992" s="416"/>
      <c r="I992" s="416"/>
    </row>
    <row r="993">
      <c r="C993" s="416"/>
      <c r="E993" s="417"/>
      <c r="H993" s="416"/>
      <c r="I993" s="416"/>
    </row>
    <row r="994">
      <c r="C994" s="416"/>
      <c r="E994" s="417"/>
      <c r="H994" s="416"/>
      <c r="I994" s="416"/>
    </row>
    <row r="995">
      <c r="C995" s="416"/>
      <c r="E995" s="417"/>
      <c r="H995" s="416"/>
      <c r="I995" s="416"/>
    </row>
    <row r="996">
      <c r="C996" s="416"/>
      <c r="E996" s="417"/>
      <c r="H996" s="416"/>
      <c r="I996" s="416"/>
    </row>
    <row r="997">
      <c r="C997" s="416"/>
      <c r="E997" s="417"/>
      <c r="H997" s="416"/>
      <c r="I997" s="416"/>
    </row>
    <row r="998">
      <c r="C998" s="416"/>
      <c r="E998" s="417"/>
      <c r="H998" s="416"/>
      <c r="I998" s="416"/>
    </row>
    <row r="999">
      <c r="C999" s="416"/>
      <c r="E999" s="417"/>
      <c r="H999" s="416"/>
      <c r="I999" s="416"/>
    </row>
    <row r="1000">
      <c r="C1000" s="416"/>
      <c r="E1000" s="417"/>
      <c r="H1000" s="416"/>
      <c r="I1000" s="416"/>
    </row>
  </sheetData>
  <autoFilter ref="$A$1:$Z$852"/>
  <drawing r:id="rId1"/>
</worksheet>
</file>